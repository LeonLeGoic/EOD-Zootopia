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sus LLG\Desktop\Supaero\4A\5 ETE\305 Julia\EOD-Zootopia\data\"/>
    </mc:Choice>
  </mc:AlternateContent>
  <xr:revisionPtr revIDLastSave="0" documentId="13_ncr:1_{20F11F1E-6E56-42FE-B303-078B95AB8D9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rc électrique" sheetId="6" r:id="rId1"/>
    <sheet name="Stock hydro" sheetId="10" r:id="rId2"/>
    <sheet name="Détails historique hydro" sheetId="12" r:id="rId3"/>
    <sheet name="Données gaz" sheetId="14" r:id="rId4"/>
    <sheet name="Rendements" sheetId="15" r:id="rId5"/>
    <sheet name="Investissements" sheetId="13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761" i="12" l="1"/>
  <c r="K8760" i="12"/>
  <c r="K8759" i="12"/>
  <c r="K8758" i="12"/>
  <c r="K8757" i="12"/>
  <c r="K8756" i="12"/>
  <c r="K8755" i="12"/>
  <c r="K8754" i="12"/>
  <c r="K8753" i="12"/>
  <c r="K8752" i="12"/>
  <c r="K8751" i="12"/>
  <c r="K8750" i="12"/>
  <c r="K8749" i="12"/>
  <c r="K8748" i="12"/>
  <c r="K8747" i="12"/>
  <c r="K8746" i="12"/>
  <c r="K8745" i="12"/>
  <c r="K8744" i="12"/>
  <c r="K8743" i="12"/>
  <c r="K8742" i="12"/>
  <c r="K8741" i="12"/>
  <c r="K8740" i="12"/>
  <c r="K8739" i="12"/>
  <c r="K8738" i="12"/>
  <c r="F25" i="14"/>
  <c r="B368" i="14"/>
  <c r="F10" i="6" l="1"/>
  <c r="K49" i="12"/>
  <c r="K73" i="12" s="1"/>
  <c r="K97" i="12" s="1"/>
  <c r="K121" i="12" s="1"/>
  <c r="K145" i="12" s="1"/>
  <c r="K169" i="12" s="1"/>
  <c r="K193" i="12" s="1"/>
  <c r="K217" i="12" s="1"/>
  <c r="K241" i="12" s="1"/>
  <c r="K265" i="12" s="1"/>
  <c r="K289" i="12" s="1"/>
  <c r="K313" i="12" s="1"/>
  <c r="K337" i="12" s="1"/>
  <c r="K361" i="12" s="1"/>
  <c r="K385" i="12" s="1"/>
  <c r="K409" i="12" s="1"/>
  <c r="K433" i="12" s="1"/>
  <c r="K457" i="12" s="1"/>
  <c r="K481" i="12" s="1"/>
  <c r="K505" i="12" s="1"/>
  <c r="K529" i="12" s="1"/>
  <c r="K553" i="12" s="1"/>
  <c r="K577" i="12" s="1"/>
  <c r="K601" i="12" s="1"/>
  <c r="K625" i="12" s="1"/>
  <c r="K649" i="12" s="1"/>
  <c r="K673" i="12" s="1"/>
  <c r="K697" i="12" s="1"/>
  <c r="K721" i="12" s="1"/>
  <c r="K745" i="12" s="1"/>
  <c r="K769" i="12" s="1"/>
  <c r="K793" i="12" s="1"/>
  <c r="K817" i="12" s="1"/>
  <c r="K841" i="12" s="1"/>
  <c r="K865" i="12" s="1"/>
  <c r="K889" i="12" s="1"/>
  <c r="K913" i="12" s="1"/>
  <c r="K937" i="12" s="1"/>
  <c r="K961" i="12" s="1"/>
  <c r="K985" i="12" s="1"/>
  <c r="K1009" i="12" s="1"/>
  <c r="K1033" i="12" s="1"/>
  <c r="K1057" i="12" s="1"/>
  <c r="K1081" i="12" s="1"/>
  <c r="K1105" i="12" s="1"/>
  <c r="K1129" i="12" s="1"/>
  <c r="K1153" i="12" s="1"/>
  <c r="K1177" i="12" s="1"/>
  <c r="K1201" i="12" s="1"/>
  <c r="K1225" i="12" s="1"/>
  <c r="K1249" i="12" s="1"/>
  <c r="K1273" i="12" s="1"/>
  <c r="K1297" i="12" s="1"/>
  <c r="K1321" i="12" s="1"/>
  <c r="K1345" i="12" s="1"/>
  <c r="K1369" i="12" s="1"/>
  <c r="K1393" i="12" s="1"/>
  <c r="K1417" i="12" s="1"/>
  <c r="K1441" i="12" s="1"/>
  <c r="K1465" i="12" s="1"/>
  <c r="K1489" i="12" s="1"/>
  <c r="K1513" i="12" s="1"/>
  <c r="K1537" i="12" s="1"/>
  <c r="K1561" i="12" s="1"/>
  <c r="K1585" i="12" s="1"/>
  <c r="K1609" i="12" s="1"/>
  <c r="K1633" i="12" s="1"/>
  <c r="K1657" i="12" s="1"/>
  <c r="K1681" i="12" s="1"/>
  <c r="K1705" i="12" s="1"/>
  <c r="K1729" i="12" s="1"/>
  <c r="K1753" i="12" s="1"/>
  <c r="K1777" i="12" s="1"/>
  <c r="K1801" i="12" s="1"/>
  <c r="K1825" i="12" s="1"/>
  <c r="K1849" i="12" s="1"/>
  <c r="K1873" i="12" s="1"/>
  <c r="K1897" i="12" s="1"/>
  <c r="K1921" i="12" s="1"/>
  <c r="K1945" i="12" s="1"/>
  <c r="K1969" i="12" s="1"/>
  <c r="K1993" i="12" s="1"/>
  <c r="K2017" i="12" s="1"/>
  <c r="K2041" i="12" s="1"/>
  <c r="K2065" i="12" s="1"/>
  <c r="K2089" i="12" s="1"/>
  <c r="K2113" i="12" s="1"/>
  <c r="K2137" i="12" s="1"/>
  <c r="K2161" i="12" s="1"/>
  <c r="K2185" i="12" s="1"/>
  <c r="K2209" i="12" s="1"/>
  <c r="K2233" i="12" s="1"/>
  <c r="K2257" i="12" s="1"/>
  <c r="K2281" i="12" s="1"/>
  <c r="K2305" i="12" s="1"/>
  <c r="K2329" i="12" s="1"/>
  <c r="K2353" i="12" s="1"/>
  <c r="K2377" i="12" s="1"/>
  <c r="K2401" i="12" s="1"/>
  <c r="K2425" i="12" s="1"/>
  <c r="K2449" i="12" s="1"/>
  <c r="K2473" i="12" s="1"/>
  <c r="K2497" i="12" s="1"/>
  <c r="K2521" i="12" s="1"/>
  <c r="K2545" i="12" s="1"/>
  <c r="K2569" i="12" s="1"/>
  <c r="K2593" i="12" s="1"/>
  <c r="K2617" i="12" s="1"/>
  <c r="K2641" i="12" s="1"/>
  <c r="K2665" i="12" s="1"/>
  <c r="K2689" i="12" s="1"/>
  <c r="K2713" i="12" s="1"/>
  <c r="K2737" i="12" s="1"/>
  <c r="K2761" i="12" s="1"/>
  <c r="K2785" i="12" s="1"/>
  <c r="K2809" i="12" s="1"/>
  <c r="K2833" i="12" s="1"/>
  <c r="K2857" i="12" s="1"/>
  <c r="K2881" i="12" s="1"/>
  <c r="K2905" i="12" s="1"/>
  <c r="K2929" i="12" s="1"/>
  <c r="K2953" i="12" s="1"/>
  <c r="K2977" i="12" s="1"/>
  <c r="K3001" i="12" s="1"/>
  <c r="K3025" i="12" s="1"/>
  <c r="K3049" i="12" s="1"/>
  <c r="K3073" i="12" s="1"/>
  <c r="K3097" i="12" s="1"/>
  <c r="K3121" i="12" s="1"/>
  <c r="K3145" i="12" s="1"/>
  <c r="K3169" i="12" s="1"/>
  <c r="K3193" i="12" s="1"/>
  <c r="K3217" i="12" s="1"/>
  <c r="K3241" i="12" s="1"/>
  <c r="K3265" i="12" s="1"/>
  <c r="K3289" i="12" s="1"/>
  <c r="K3313" i="12" s="1"/>
  <c r="K3337" i="12" s="1"/>
  <c r="K3361" i="12" s="1"/>
  <c r="K3385" i="12" s="1"/>
  <c r="K3409" i="12" s="1"/>
  <c r="K3433" i="12" s="1"/>
  <c r="K3457" i="12" s="1"/>
  <c r="K3481" i="12" s="1"/>
  <c r="K3505" i="12" s="1"/>
  <c r="K3529" i="12" s="1"/>
  <c r="K3553" i="12" s="1"/>
  <c r="K3577" i="12" s="1"/>
  <c r="K3601" i="12" s="1"/>
  <c r="K3625" i="12" s="1"/>
  <c r="K3649" i="12" s="1"/>
  <c r="K3673" i="12" s="1"/>
  <c r="K3697" i="12" s="1"/>
  <c r="K3721" i="12" s="1"/>
  <c r="K3745" i="12" s="1"/>
  <c r="K3769" i="12" s="1"/>
  <c r="K3793" i="12" s="1"/>
  <c r="K3817" i="12" s="1"/>
  <c r="K3841" i="12" s="1"/>
  <c r="K3865" i="12" s="1"/>
  <c r="K3889" i="12" s="1"/>
  <c r="K3913" i="12" s="1"/>
  <c r="K3937" i="12" s="1"/>
  <c r="K3961" i="12" s="1"/>
  <c r="K3985" i="12" s="1"/>
  <c r="K4009" i="12" s="1"/>
  <c r="K4033" i="12" s="1"/>
  <c r="K4057" i="12" s="1"/>
  <c r="K4081" i="12" s="1"/>
  <c r="K4105" i="12" s="1"/>
  <c r="K4129" i="12" s="1"/>
  <c r="K4153" i="12" s="1"/>
  <c r="K4177" i="12" s="1"/>
  <c r="K4201" i="12" s="1"/>
  <c r="K4225" i="12" s="1"/>
  <c r="K4249" i="12" s="1"/>
  <c r="K4273" i="12" s="1"/>
  <c r="K4297" i="12" s="1"/>
  <c r="K4321" i="12" s="1"/>
  <c r="K4345" i="12" s="1"/>
  <c r="K4369" i="12" s="1"/>
  <c r="K4393" i="12" s="1"/>
  <c r="K4417" i="12" s="1"/>
  <c r="K4441" i="12" s="1"/>
  <c r="K4465" i="12" s="1"/>
  <c r="K4489" i="12" s="1"/>
  <c r="K4513" i="12" s="1"/>
  <c r="K4537" i="12" s="1"/>
  <c r="K4561" i="12" s="1"/>
  <c r="K4585" i="12" s="1"/>
  <c r="K4609" i="12" s="1"/>
  <c r="K4633" i="12" s="1"/>
  <c r="K4657" i="12" s="1"/>
  <c r="K4681" i="12" s="1"/>
  <c r="K4705" i="12" s="1"/>
  <c r="K4729" i="12" s="1"/>
  <c r="K4753" i="12" s="1"/>
  <c r="K4777" i="12" s="1"/>
  <c r="K4801" i="12" s="1"/>
  <c r="K4825" i="12" s="1"/>
  <c r="K4849" i="12" s="1"/>
  <c r="K4873" i="12" s="1"/>
  <c r="K4897" i="12" s="1"/>
  <c r="K4921" i="12" s="1"/>
  <c r="K4945" i="12" s="1"/>
  <c r="K4969" i="12" s="1"/>
  <c r="K4993" i="12" s="1"/>
  <c r="K5017" i="12" s="1"/>
  <c r="K5041" i="12" s="1"/>
  <c r="K5065" i="12" s="1"/>
  <c r="K5089" i="12" s="1"/>
  <c r="K5113" i="12" s="1"/>
  <c r="K5137" i="12" s="1"/>
  <c r="K5161" i="12" s="1"/>
  <c r="K5185" i="12" s="1"/>
  <c r="K5209" i="12" s="1"/>
  <c r="K5233" i="12" s="1"/>
  <c r="K5257" i="12" s="1"/>
  <c r="K5281" i="12" s="1"/>
  <c r="K5305" i="12" s="1"/>
  <c r="K5329" i="12" s="1"/>
  <c r="K5353" i="12" s="1"/>
  <c r="K5377" i="12" s="1"/>
  <c r="K5401" i="12" s="1"/>
  <c r="K5425" i="12" s="1"/>
  <c r="K5449" i="12" s="1"/>
  <c r="K5473" i="12" s="1"/>
  <c r="K5497" i="12" s="1"/>
  <c r="K5521" i="12" s="1"/>
  <c r="K5545" i="12" s="1"/>
  <c r="K5569" i="12" s="1"/>
  <c r="K5593" i="12" s="1"/>
  <c r="K5617" i="12" s="1"/>
  <c r="K5641" i="12" s="1"/>
  <c r="K5665" i="12" s="1"/>
  <c r="K5689" i="12" s="1"/>
  <c r="K5713" i="12" s="1"/>
  <c r="K5737" i="12" s="1"/>
  <c r="K5761" i="12" s="1"/>
  <c r="K5785" i="12" s="1"/>
  <c r="K5809" i="12" s="1"/>
  <c r="K5833" i="12" s="1"/>
  <c r="K5857" i="12" s="1"/>
  <c r="K5881" i="12" s="1"/>
  <c r="K5905" i="12" s="1"/>
  <c r="K5929" i="12" s="1"/>
  <c r="K5953" i="12" s="1"/>
  <c r="K5977" i="12" s="1"/>
  <c r="K6001" i="12" s="1"/>
  <c r="K6025" i="12" s="1"/>
  <c r="K6049" i="12" s="1"/>
  <c r="K6073" i="12" s="1"/>
  <c r="K6097" i="12" s="1"/>
  <c r="K6121" i="12" s="1"/>
  <c r="K6145" i="12" s="1"/>
  <c r="K6169" i="12" s="1"/>
  <c r="K6193" i="12" s="1"/>
  <c r="K6217" i="12" s="1"/>
  <c r="K6241" i="12" s="1"/>
  <c r="K6265" i="12" s="1"/>
  <c r="K6289" i="12" s="1"/>
  <c r="K6313" i="12" s="1"/>
  <c r="K6337" i="12" s="1"/>
  <c r="K6361" i="12" s="1"/>
  <c r="K6385" i="12" s="1"/>
  <c r="K6409" i="12" s="1"/>
  <c r="K6433" i="12" s="1"/>
  <c r="K6457" i="12" s="1"/>
  <c r="K6481" i="12" s="1"/>
  <c r="K6505" i="12" s="1"/>
  <c r="K6529" i="12" s="1"/>
  <c r="K6553" i="12" s="1"/>
  <c r="K6577" i="12" s="1"/>
  <c r="K6601" i="12" s="1"/>
  <c r="K6625" i="12" s="1"/>
  <c r="K6649" i="12" s="1"/>
  <c r="K6673" i="12" s="1"/>
  <c r="K6697" i="12" s="1"/>
  <c r="K6721" i="12" s="1"/>
  <c r="K6745" i="12" s="1"/>
  <c r="K6769" i="12" s="1"/>
  <c r="K6793" i="12" s="1"/>
  <c r="K6817" i="12" s="1"/>
  <c r="K6841" i="12" s="1"/>
  <c r="K6865" i="12" s="1"/>
  <c r="K6889" i="12" s="1"/>
  <c r="K6913" i="12" s="1"/>
  <c r="K6937" i="12" s="1"/>
  <c r="K6961" i="12" s="1"/>
  <c r="K6985" i="12" s="1"/>
  <c r="K7009" i="12" s="1"/>
  <c r="K7033" i="12" s="1"/>
  <c r="K7057" i="12" s="1"/>
  <c r="K7081" i="12" s="1"/>
  <c r="K7105" i="12" s="1"/>
  <c r="K7129" i="12" s="1"/>
  <c r="K7153" i="12" s="1"/>
  <c r="K7177" i="12" s="1"/>
  <c r="K7201" i="12" s="1"/>
  <c r="K7225" i="12" s="1"/>
  <c r="K7249" i="12" s="1"/>
  <c r="K7273" i="12" s="1"/>
  <c r="K7297" i="12" s="1"/>
  <c r="K7321" i="12" s="1"/>
  <c r="K7345" i="12" s="1"/>
  <c r="K7369" i="12" s="1"/>
  <c r="K7393" i="12" s="1"/>
  <c r="K7417" i="12" s="1"/>
  <c r="K7441" i="12" s="1"/>
  <c r="K7465" i="12" s="1"/>
  <c r="K7489" i="12" s="1"/>
  <c r="K7513" i="12" s="1"/>
  <c r="K7537" i="12" s="1"/>
  <c r="K7561" i="12" s="1"/>
  <c r="K7585" i="12" s="1"/>
  <c r="K7609" i="12" s="1"/>
  <c r="K7633" i="12" s="1"/>
  <c r="K7657" i="12" s="1"/>
  <c r="K7681" i="12" s="1"/>
  <c r="K7705" i="12" s="1"/>
  <c r="K7729" i="12" s="1"/>
  <c r="K7753" i="12" s="1"/>
  <c r="K7777" i="12" s="1"/>
  <c r="K7801" i="12" s="1"/>
  <c r="K7825" i="12" s="1"/>
  <c r="K7849" i="12" s="1"/>
  <c r="K7873" i="12" s="1"/>
  <c r="K7897" i="12" s="1"/>
  <c r="K7921" i="12" s="1"/>
  <c r="K7945" i="12" s="1"/>
  <c r="K7969" i="12" s="1"/>
  <c r="K7993" i="12" s="1"/>
  <c r="K8017" i="12" s="1"/>
  <c r="K8041" i="12" s="1"/>
  <c r="K8065" i="12" s="1"/>
  <c r="K8089" i="12" s="1"/>
  <c r="K8113" i="12" s="1"/>
  <c r="K8137" i="12" s="1"/>
  <c r="K8161" i="12" s="1"/>
  <c r="K8185" i="12" s="1"/>
  <c r="K8209" i="12" s="1"/>
  <c r="K8233" i="12" s="1"/>
  <c r="K8257" i="12" s="1"/>
  <c r="K8281" i="12" s="1"/>
  <c r="K8305" i="12" s="1"/>
  <c r="K8329" i="12" s="1"/>
  <c r="K8353" i="12" s="1"/>
  <c r="K8377" i="12" s="1"/>
  <c r="K8401" i="12" s="1"/>
  <c r="K8425" i="12" s="1"/>
  <c r="K8449" i="12" s="1"/>
  <c r="K8473" i="12" s="1"/>
  <c r="K8497" i="12" s="1"/>
  <c r="K8521" i="12" s="1"/>
  <c r="K8545" i="12" s="1"/>
  <c r="K8569" i="12" s="1"/>
  <c r="K8593" i="12" s="1"/>
  <c r="K8617" i="12" s="1"/>
  <c r="K8641" i="12" s="1"/>
  <c r="K8665" i="12" s="1"/>
  <c r="K8689" i="12" s="1"/>
  <c r="K8713" i="12" s="1"/>
  <c r="K8737" i="12" s="1"/>
  <c r="K48" i="12"/>
  <c r="K72" i="12" s="1"/>
  <c r="K96" i="12" s="1"/>
  <c r="K120" i="12" s="1"/>
  <c r="K144" i="12" s="1"/>
  <c r="K168" i="12" s="1"/>
  <c r="K192" i="12" s="1"/>
  <c r="K216" i="12" s="1"/>
  <c r="K240" i="12" s="1"/>
  <c r="K264" i="12" s="1"/>
  <c r="K288" i="12" s="1"/>
  <c r="K312" i="12" s="1"/>
  <c r="K336" i="12" s="1"/>
  <c r="K360" i="12" s="1"/>
  <c r="K384" i="12" s="1"/>
  <c r="K408" i="12" s="1"/>
  <c r="K432" i="12" s="1"/>
  <c r="K456" i="12" s="1"/>
  <c r="K480" i="12" s="1"/>
  <c r="K504" i="12" s="1"/>
  <c r="K528" i="12" s="1"/>
  <c r="K552" i="12" s="1"/>
  <c r="K576" i="12" s="1"/>
  <c r="K600" i="12" s="1"/>
  <c r="K624" i="12" s="1"/>
  <c r="K648" i="12" s="1"/>
  <c r="K672" i="12" s="1"/>
  <c r="K696" i="12" s="1"/>
  <c r="K720" i="12" s="1"/>
  <c r="K744" i="12" s="1"/>
  <c r="K768" i="12" s="1"/>
  <c r="K792" i="12" s="1"/>
  <c r="K816" i="12" s="1"/>
  <c r="K840" i="12" s="1"/>
  <c r="K864" i="12" s="1"/>
  <c r="K888" i="12" s="1"/>
  <c r="K912" i="12" s="1"/>
  <c r="K936" i="12" s="1"/>
  <c r="K960" i="12" s="1"/>
  <c r="K984" i="12" s="1"/>
  <c r="K1008" i="12" s="1"/>
  <c r="K1032" i="12" s="1"/>
  <c r="K1056" i="12" s="1"/>
  <c r="K1080" i="12" s="1"/>
  <c r="K1104" i="12" s="1"/>
  <c r="K1128" i="12" s="1"/>
  <c r="K1152" i="12" s="1"/>
  <c r="K1176" i="12" s="1"/>
  <c r="K1200" i="12" s="1"/>
  <c r="K1224" i="12" s="1"/>
  <c r="K1248" i="12" s="1"/>
  <c r="K1272" i="12" s="1"/>
  <c r="K1296" i="12" s="1"/>
  <c r="K1320" i="12" s="1"/>
  <c r="K1344" i="12" s="1"/>
  <c r="K1368" i="12" s="1"/>
  <c r="K1392" i="12" s="1"/>
  <c r="K1416" i="12" s="1"/>
  <c r="K1440" i="12" s="1"/>
  <c r="K1464" i="12" s="1"/>
  <c r="K1488" i="12" s="1"/>
  <c r="K1512" i="12" s="1"/>
  <c r="K1536" i="12" s="1"/>
  <c r="K1560" i="12" s="1"/>
  <c r="K1584" i="12" s="1"/>
  <c r="K1608" i="12" s="1"/>
  <c r="K1632" i="12" s="1"/>
  <c r="K1656" i="12" s="1"/>
  <c r="K1680" i="12" s="1"/>
  <c r="K1704" i="12" s="1"/>
  <c r="K1728" i="12" s="1"/>
  <c r="K1752" i="12" s="1"/>
  <c r="K1776" i="12" s="1"/>
  <c r="K1800" i="12" s="1"/>
  <c r="K1824" i="12" s="1"/>
  <c r="K1848" i="12" s="1"/>
  <c r="K1872" i="12" s="1"/>
  <c r="K1896" i="12" s="1"/>
  <c r="K1920" i="12" s="1"/>
  <c r="K1944" i="12" s="1"/>
  <c r="K1968" i="12" s="1"/>
  <c r="K1992" i="12" s="1"/>
  <c r="K2016" i="12" s="1"/>
  <c r="K2040" i="12" s="1"/>
  <c r="K2064" i="12" s="1"/>
  <c r="K2088" i="12" s="1"/>
  <c r="K2112" i="12" s="1"/>
  <c r="K2136" i="12" s="1"/>
  <c r="K2160" i="12" s="1"/>
  <c r="K2184" i="12" s="1"/>
  <c r="K2208" i="12" s="1"/>
  <c r="K2232" i="12" s="1"/>
  <c r="K2256" i="12" s="1"/>
  <c r="K2280" i="12" s="1"/>
  <c r="K2304" i="12" s="1"/>
  <c r="K2328" i="12" s="1"/>
  <c r="K2352" i="12" s="1"/>
  <c r="K2376" i="12" s="1"/>
  <c r="K2400" i="12" s="1"/>
  <c r="K2424" i="12" s="1"/>
  <c r="K2448" i="12" s="1"/>
  <c r="K2472" i="12" s="1"/>
  <c r="K2496" i="12" s="1"/>
  <c r="K2520" i="12" s="1"/>
  <c r="K2544" i="12" s="1"/>
  <c r="K2568" i="12" s="1"/>
  <c r="K2592" i="12" s="1"/>
  <c r="K2616" i="12" s="1"/>
  <c r="K2640" i="12" s="1"/>
  <c r="K2664" i="12" s="1"/>
  <c r="K2688" i="12" s="1"/>
  <c r="K2712" i="12" s="1"/>
  <c r="K2736" i="12" s="1"/>
  <c r="K2760" i="12" s="1"/>
  <c r="K2784" i="12" s="1"/>
  <c r="K2808" i="12" s="1"/>
  <c r="K2832" i="12" s="1"/>
  <c r="K2856" i="12" s="1"/>
  <c r="K2880" i="12" s="1"/>
  <c r="K2904" i="12" s="1"/>
  <c r="K2928" i="12" s="1"/>
  <c r="K2952" i="12" s="1"/>
  <c r="K2976" i="12" s="1"/>
  <c r="K3000" i="12" s="1"/>
  <c r="K3024" i="12" s="1"/>
  <c r="K3048" i="12" s="1"/>
  <c r="K3072" i="12" s="1"/>
  <c r="K3096" i="12" s="1"/>
  <c r="K3120" i="12" s="1"/>
  <c r="K3144" i="12" s="1"/>
  <c r="K3168" i="12" s="1"/>
  <c r="K3192" i="12" s="1"/>
  <c r="K3216" i="12" s="1"/>
  <c r="K3240" i="12" s="1"/>
  <c r="K3264" i="12" s="1"/>
  <c r="K3288" i="12" s="1"/>
  <c r="K3312" i="12" s="1"/>
  <c r="K3336" i="12" s="1"/>
  <c r="K3360" i="12" s="1"/>
  <c r="K3384" i="12" s="1"/>
  <c r="K3408" i="12" s="1"/>
  <c r="K3432" i="12" s="1"/>
  <c r="K3456" i="12" s="1"/>
  <c r="K3480" i="12" s="1"/>
  <c r="K3504" i="12" s="1"/>
  <c r="K3528" i="12" s="1"/>
  <c r="K3552" i="12" s="1"/>
  <c r="K3576" i="12" s="1"/>
  <c r="K3600" i="12" s="1"/>
  <c r="K3624" i="12" s="1"/>
  <c r="K3648" i="12" s="1"/>
  <c r="K3672" i="12" s="1"/>
  <c r="K3696" i="12" s="1"/>
  <c r="K3720" i="12" s="1"/>
  <c r="K3744" i="12" s="1"/>
  <c r="K3768" i="12" s="1"/>
  <c r="K3792" i="12" s="1"/>
  <c r="K3816" i="12" s="1"/>
  <c r="K3840" i="12" s="1"/>
  <c r="K3864" i="12" s="1"/>
  <c r="K3888" i="12" s="1"/>
  <c r="K3912" i="12" s="1"/>
  <c r="K3936" i="12" s="1"/>
  <c r="K3960" i="12" s="1"/>
  <c r="K3984" i="12" s="1"/>
  <c r="K4008" i="12" s="1"/>
  <c r="K4032" i="12" s="1"/>
  <c r="K4056" i="12" s="1"/>
  <c r="K4080" i="12" s="1"/>
  <c r="K4104" i="12" s="1"/>
  <c r="K4128" i="12" s="1"/>
  <c r="K4152" i="12" s="1"/>
  <c r="K4176" i="12" s="1"/>
  <c r="K4200" i="12" s="1"/>
  <c r="K4224" i="12" s="1"/>
  <c r="K4248" i="12" s="1"/>
  <c r="K4272" i="12" s="1"/>
  <c r="K4296" i="12" s="1"/>
  <c r="K4320" i="12" s="1"/>
  <c r="K4344" i="12" s="1"/>
  <c r="K4368" i="12" s="1"/>
  <c r="K4392" i="12" s="1"/>
  <c r="K4416" i="12" s="1"/>
  <c r="K4440" i="12" s="1"/>
  <c r="K4464" i="12" s="1"/>
  <c r="K4488" i="12" s="1"/>
  <c r="K4512" i="12" s="1"/>
  <c r="K4536" i="12" s="1"/>
  <c r="K4560" i="12" s="1"/>
  <c r="K4584" i="12" s="1"/>
  <c r="K4608" i="12" s="1"/>
  <c r="K4632" i="12" s="1"/>
  <c r="K4656" i="12" s="1"/>
  <c r="K4680" i="12" s="1"/>
  <c r="K4704" i="12" s="1"/>
  <c r="K4728" i="12" s="1"/>
  <c r="K4752" i="12" s="1"/>
  <c r="K4776" i="12" s="1"/>
  <c r="K4800" i="12" s="1"/>
  <c r="K4824" i="12" s="1"/>
  <c r="K4848" i="12" s="1"/>
  <c r="K4872" i="12" s="1"/>
  <c r="K4896" i="12" s="1"/>
  <c r="K4920" i="12" s="1"/>
  <c r="K4944" i="12" s="1"/>
  <c r="K4968" i="12" s="1"/>
  <c r="K4992" i="12" s="1"/>
  <c r="K5016" i="12" s="1"/>
  <c r="K5040" i="12" s="1"/>
  <c r="K5064" i="12" s="1"/>
  <c r="K5088" i="12" s="1"/>
  <c r="K5112" i="12" s="1"/>
  <c r="K5136" i="12" s="1"/>
  <c r="K5160" i="12" s="1"/>
  <c r="K5184" i="12" s="1"/>
  <c r="K5208" i="12" s="1"/>
  <c r="K5232" i="12" s="1"/>
  <c r="K5256" i="12" s="1"/>
  <c r="K5280" i="12" s="1"/>
  <c r="K5304" i="12" s="1"/>
  <c r="K5328" i="12" s="1"/>
  <c r="K5352" i="12" s="1"/>
  <c r="K5376" i="12" s="1"/>
  <c r="K5400" i="12" s="1"/>
  <c r="K5424" i="12" s="1"/>
  <c r="K5448" i="12" s="1"/>
  <c r="K5472" i="12" s="1"/>
  <c r="K5496" i="12" s="1"/>
  <c r="K5520" i="12" s="1"/>
  <c r="K5544" i="12" s="1"/>
  <c r="K5568" i="12" s="1"/>
  <c r="K5592" i="12" s="1"/>
  <c r="K5616" i="12" s="1"/>
  <c r="K5640" i="12" s="1"/>
  <c r="K5664" i="12" s="1"/>
  <c r="K5688" i="12" s="1"/>
  <c r="K5712" i="12" s="1"/>
  <c r="K5736" i="12" s="1"/>
  <c r="K5760" i="12" s="1"/>
  <c r="K5784" i="12" s="1"/>
  <c r="K5808" i="12" s="1"/>
  <c r="K5832" i="12" s="1"/>
  <c r="K5856" i="12" s="1"/>
  <c r="K5880" i="12" s="1"/>
  <c r="K5904" i="12" s="1"/>
  <c r="K5928" i="12" s="1"/>
  <c r="K5952" i="12" s="1"/>
  <c r="K5976" i="12" s="1"/>
  <c r="K6000" i="12" s="1"/>
  <c r="K6024" i="12" s="1"/>
  <c r="K6048" i="12" s="1"/>
  <c r="K6072" i="12" s="1"/>
  <c r="K6096" i="12" s="1"/>
  <c r="K6120" i="12" s="1"/>
  <c r="K6144" i="12" s="1"/>
  <c r="K6168" i="12" s="1"/>
  <c r="K6192" i="12" s="1"/>
  <c r="K6216" i="12" s="1"/>
  <c r="K6240" i="12" s="1"/>
  <c r="K6264" i="12" s="1"/>
  <c r="K6288" i="12" s="1"/>
  <c r="K6312" i="12" s="1"/>
  <c r="K6336" i="12" s="1"/>
  <c r="K6360" i="12" s="1"/>
  <c r="K6384" i="12" s="1"/>
  <c r="K6408" i="12" s="1"/>
  <c r="K6432" i="12" s="1"/>
  <c r="K6456" i="12" s="1"/>
  <c r="K6480" i="12" s="1"/>
  <c r="K6504" i="12" s="1"/>
  <c r="K6528" i="12" s="1"/>
  <c r="K6552" i="12" s="1"/>
  <c r="K6576" i="12" s="1"/>
  <c r="K6600" i="12" s="1"/>
  <c r="K6624" i="12" s="1"/>
  <c r="K6648" i="12" s="1"/>
  <c r="K6672" i="12" s="1"/>
  <c r="K6696" i="12" s="1"/>
  <c r="K6720" i="12" s="1"/>
  <c r="K6744" i="12" s="1"/>
  <c r="K6768" i="12" s="1"/>
  <c r="K6792" i="12" s="1"/>
  <c r="K6816" i="12" s="1"/>
  <c r="K6840" i="12" s="1"/>
  <c r="K6864" i="12" s="1"/>
  <c r="K6888" i="12" s="1"/>
  <c r="K6912" i="12" s="1"/>
  <c r="K6936" i="12" s="1"/>
  <c r="K6960" i="12" s="1"/>
  <c r="K6984" i="12" s="1"/>
  <c r="K7008" i="12" s="1"/>
  <c r="K7032" i="12" s="1"/>
  <c r="K7056" i="12" s="1"/>
  <c r="K7080" i="12" s="1"/>
  <c r="K7104" i="12" s="1"/>
  <c r="K7128" i="12" s="1"/>
  <c r="K7152" i="12" s="1"/>
  <c r="K7176" i="12" s="1"/>
  <c r="K7200" i="12" s="1"/>
  <c r="K7224" i="12" s="1"/>
  <c r="K7248" i="12" s="1"/>
  <c r="K7272" i="12" s="1"/>
  <c r="K7296" i="12" s="1"/>
  <c r="K7320" i="12" s="1"/>
  <c r="K7344" i="12" s="1"/>
  <c r="K7368" i="12" s="1"/>
  <c r="K7392" i="12" s="1"/>
  <c r="K7416" i="12" s="1"/>
  <c r="K7440" i="12" s="1"/>
  <c r="K7464" i="12" s="1"/>
  <c r="K7488" i="12" s="1"/>
  <c r="K7512" i="12" s="1"/>
  <c r="K7536" i="12" s="1"/>
  <c r="K7560" i="12" s="1"/>
  <c r="K7584" i="12" s="1"/>
  <c r="K7608" i="12" s="1"/>
  <c r="K7632" i="12" s="1"/>
  <c r="K7656" i="12" s="1"/>
  <c r="K7680" i="12" s="1"/>
  <c r="K7704" i="12" s="1"/>
  <c r="K7728" i="12" s="1"/>
  <c r="K7752" i="12" s="1"/>
  <c r="K7776" i="12" s="1"/>
  <c r="K7800" i="12" s="1"/>
  <c r="K7824" i="12" s="1"/>
  <c r="K7848" i="12" s="1"/>
  <c r="K7872" i="12" s="1"/>
  <c r="K7896" i="12" s="1"/>
  <c r="K7920" i="12" s="1"/>
  <c r="K7944" i="12" s="1"/>
  <c r="K7968" i="12" s="1"/>
  <c r="K7992" i="12" s="1"/>
  <c r="K8016" i="12" s="1"/>
  <c r="K8040" i="12" s="1"/>
  <c r="K8064" i="12" s="1"/>
  <c r="K8088" i="12" s="1"/>
  <c r="K8112" i="12" s="1"/>
  <c r="K8136" i="12" s="1"/>
  <c r="K8160" i="12" s="1"/>
  <c r="K8184" i="12" s="1"/>
  <c r="K8208" i="12" s="1"/>
  <c r="K8232" i="12" s="1"/>
  <c r="K8256" i="12" s="1"/>
  <c r="K8280" i="12" s="1"/>
  <c r="K8304" i="12" s="1"/>
  <c r="K8328" i="12" s="1"/>
  <c r="K8352" i="12" s="1"/>
  <c r="K8376" i="12" s="1"/>
  <c r="K8400" i="12" s="1"/>
  <c r="K8424" i="12" s="1"/>
  <c r="K8448" i="12" s="1"/>
  <c r="K8472" i="12" s="1"/>
  <c r="K8496" i="12" s="1"/>
  <c r="K8520" i="12" s="1"/>
  <c r="K8544" i="12" s="1"/>
  <c r="K8568" i="12" s="1"/>
  <c r="K8592" i="12" s="1"/>
  <c r="K8616" i="12" s="1"/>
  <c r="K8640" i="12" s="1"/>
  <c r="K8664" i="12" s="1"/>
  <c r="K8688" i="12" s="1"/>
  <c r="K8712" i="12" s="1"/>
  <c r="K8736" i="12" s="1"/>
  <c r="K47" i="12"/>
  <c r="K71" i="12" s="1"/>
  <c r="K95" i="12" s="1"/>
  <c r="K119" i="12" s="1"/>
  <c r="K143" i="12" s="1"/>
  <c r="K167" i="12" s="1"/>
  <c r="K191" i="12" s="1"/>
  <c r="K215" i="12" s="1"/>
  <c r="K239" i="12" s="1"/>
  <c r="K263" i="12" s="1"/>
  <c r="K287" i="12" s="1"/>
  <c r="K311" i="12" s="1"/>
  <c r="K335" i="12" s="1"/>
  <c r="K359" i="12" s="1"/>
  <c r="K383" i="12" s="1"/>
  <c r="K407" i="12" s="1"/>
  <c r="K431" i="12" s="1"/>
  <c r="K455" i="12" s="1"/>
  <c r="K479" i="12" s="1"/>
  <c r="K503" i="12" s="1"/>
  <c r="K527" i="12" s="1"/>
  <c r="K551" i="12" s="1"/>
  <c r="K575" i="12" s="1"/>
  <c r="K599" i="12" s="1"/>
  <c r="K623" i="12" s="1"/>
  <c r="K647" i="12" s="1"/>
  <c r="K671" i="12" s="1"/>
  <c r="K695" i="12" s="1"/>
  <c r="K719" i="12" s="1"/>
  <c r="K743" i="12" s="1"/>
  <c r="K767" i="12" s="1"/>
  <c r="K791" i="12" s="1"/>
  <c r="K815" i="12" s="1"/>
  <c r="K839" i="12" s="1"/>
  <c r="K863" i="12" s="1"/>
  <c r="K887" i="12" s="1"/>
  <c r="K911" i="12" s="1"/>
  <c r="K935" i="12" s="1"/>
  <c r="K959" i="12" s="1"/>
  <c r="K983" i="12" s="1"/>
  <c r="K1007" i="12" s="1"/>
  <c r="K1031" i="12" s="1"/>
  <c r="K1055" i="12" s="1"/>
  <c r="K1079" i="12" s="1"/>
  <c r="K1103" i="12" s="1"/>
  <c r="K1127" i="12" s="1"/>
  <c r="K1151" i="12" s="1"/>
  <c r="K1175" i="12" s="1"/>
  <c r="K1199" i="12" s="1"/>
  <c r="K1223" i="12" s="1"/>
  <c r="K1247" i="12" s="1"/>
  <c r="K1271" i="12" s="1"/>
  <c r="K1295" i="12" s="1"/>
  <c r="K1319" i="12" s="1"/>
  <c r="K1343" i="12" s="1"/>
  <c r="K1367" i="12" s="1"/>
  <c r="K1391" i="12" s="1"/>
  <c r="K1415" i="12" s="1"/>
  <c r="K1439" i="12" s="1"/>
  <c r="K1463" i="12" s="1"/>
  <c r="K1487" i="12" s="1"/>
  <c r="K1511" i="12" s="1"/>
  <c r="K1535" i="12" s="1"/>
  <c r="K1559" i="12" s="1"/>
  <c r="K1583" i="12" s="1"/>
  <c r="K1607" i="12" s="1"/>
  <c r="K1631" i="12" s="1"/>
  <c r="K1655" i="12" s="1"/>
  <c r="K1679" i="12" s="1"/>
  <c r="K1703" i="12" s="1"/>
  <c r="K1727" i="12" s="1"/>
  <c r="K1751" i="12" s="1"/>
  <c r="K1775" i="12" s="1"/>
  <c r="K1799" i="12" s="1"/>
  <c r="K1823" i="12" s="1"/>
  <c r="K1847" i="12" s="1"/>
  <c r="K1871" i="12" s="1"/>
  <c r="K1895" i="12" s="1"/>
  <c r="K1919" i="12" s="1"/>
  <c r="K1943" i="12" s="1"/>
  <c r="K1967" i="12" s="1"/>
  <c r="K1991" i="12" s="1"/>
  <c r="K2015" i="12" s="1"/>
  <c r="K2039" i="12" s="1"/>
  <c r="K2063" i="12" s="1"/>
  <c r="K2087" i="12" s="1"/>
  <c r="K2111" i="12" s="1"/>
  <c r="K2135" i="12" s="1"/>
  <c r="K2159" i="12" s="1"/>
  <c r="K2183" i="12" s="1"/>
  <c r="K2207" i="12" s="1"/>
  <c r="K2231" i="12" s="1"/>
  <c r="K2255" i="12" s="1"/>
  <c r="K2279" i="12" s="1"/>
  <c r="K2303" i="12" s="1"/>
  <c r="K2327" i="12" s="1"/>
  <c r="K2351" i="12" s="1"/>
  <c r="K2375" i="12" s="1"/>
  <c r="K2399" i="12" s="1"/>
  <c r="K2423" i="12" s="1"/>
  <c r="K2447" i="12" s="1"/>
  <c r="K2471" i="12" s="1"/>
  <c r="K2495" i="12" s="1"/>
  <c r="K2519" i="12" s="1"/>
  <c r="K2543" i="12" s="1"/>
  <c r="K2567" i="12" s="1"/>
  <c r="K2591" i="12" s="1"/>
  <c r="K2615" i="12" s="1"/>
  <c r="K2639" i="12" s="1"/>
  <c r="K2663" i="12" s="1"/>
  <c r="K2687" i="12" s="1"/>
  <c r="K2711" i="12" s="1"/>
  <c r="K2735" i="12" s="1"/>
  <c r="K2759" i="12" s="1"/>
  <c r="K2783" i="12" s="1"/>
  <c r="K2807" i="12" s="1"/>
  <c r="K2831" i="12" s="1"/>
  <c r="K2855" i="12" s="1"/>
  <c r="K2879" i="12" s="1"/>
  <c r="K2903" i="12" s="1"/>
  <c r="K2927" i="12" s="1"/>
  <c r="K2951" i="12" s="1"/>
  <c r="K2975" i="12" s="1"/>
  <c r="K2999" i="12" s="1"/>
  <c r="K3023" i="12" s="1"/>
  <c r="K3047" i="12" s="1"/>
  <c r="K3071" i="12" s="1"/>
  <c r="K3095" i="12" s="1"/>
  <c r="K3119" i="12" s="1"/>
  <c r="K3143" i="12" s="1"/>
  <c r="K3167" i="12" s="1"/>
  <c r="K3191" i="12" s="1"/>
  <c r="K3215" i="12" s="1"/>
  <c r="K3239" i="12" s="1"/>
  <c r="K3263" i="12" s="1"/>
  <c r="K3287" i="12" s="1"/>
  <c r="K3311" i="12" s="1"/>
  <c r="K3335" i="12" s="1"/>
  <c r="K3359" i="12" s="1"/>
  <c r="K3383" i="12" s="1"/>
  <c r="K3407" i="12" s="1"/>
  <c r="K3431" i="12" s="1"/>
  <c r="K3455" i="12" s="1"/>
  <c r="K3479" i="12" s="1"/>
  <c r="K3503" i="12" s="1"/>
  <c r="K3527" i="12" s="1"/>
  <c r="K3551" i="12" s="1"/>
  <c r="K3575" i="12" s="1"/>
  <c r="K3599" i="12" s="1"/>
  <c r="K3623" i="12" s="1"/>
  <c r="K3647" i="12" s="1"/>
  <c r="K3671" i="12" s="1"/>
  <c r="K3695" i="12" s="1"/>
  <c r="K3719" i="12" s="1"/>
  <c r="K3743" i="12" s="1"/>
  <c r="K3767" i="12" s="1"/>
  <c r="K3791" i="12" s="1"/>
  <c r="K3815" i="12" s="1"/>
  <c r="K3839" i="12" s="1"/>
  <c r="K3863" i="12" s="1"/>
  <c r="K3887" i="12" s="1"/>
  <c r="K3911" i="12" s="1"/>
  <c r="K3935" i="12" s="1"/>
  <c r="K3959" i="12" s="1"/>
  <c r="K3983" i="12" s="1"/>
  <c r="K4007" i="12" s="1"/>
  <c r="K4031" i="12" s="1"/>
  <c r="K4055" i="12" s="1"/>
  <c r="K4079" i="12" s="1"/>
  <c r="K4103" i="12" s="1"/>
  <c r="K4127" i="12" s="1"/>
  <c r="K4151" i="12" s="1"/>
  <c r="K4175" i="12" s="1"/>
  <c r="K4199" i="12" s="1"/>
  <c r="K4223" i="12" s="1"/>
  <c r="K4247" i="12" s="1"/>
  <c r="K4271" i="12" s="1"/>
  <c r="K4295" i="12" s="1"/>
  <c r="K4319" i="12" s="1"/>
  <c r="K4343" i="12" s="1"/>
  <c r="K4367" i="12" s="1"/>
  <c r="K4391" i="12" s="1"/>
  <c r="K4415" i="12" s="1"/>
  <c r="K4439" i="12" s="1"/>
  <c r="K4463" i="12" s="1"/>
  <c r="K4487" i="12" s="1"/>
  <c r="K4511" i="12" s="1"/>
  <c r="K4535" i="12" s="1"/>
  <c r="K4559" i="12" s="1"/>
  <c r="K4583" i="12" s="1"/>
  <c r="K4607" i="12" s="1"/>
  <c r="K4631" i="12" s="1"/>
  <c r="K4655" i="12" s="1"/>
  <c r="K4679" i="12" s="1"/>
  <c r="K4703" i="12" s="1"/>
  <c r="K4727" i="12" s="1"/>
  <c r="K4751" i="12" s="1"/>
  <c r="K4775" i="12" s="1"/>
  <c r="K4799" i="12" s="1"/>
  <c r="K4823" i="12" s="1"/>
  <c r="K4847" i="12" s="1"/>
  <c r="K4871" i="12" s="1"/>
  <c r="K4895" i="12" s="1"/>
  <c r="K4919" i="12" s="1"/>
  <c r="K4943" i="12" s="1"/>
  <c r="K4967" i="12" s="1"/>
  <c r="K4991" i="12" s="1"/>
  <c r="K5015" i="12" s="1"/>
  <c r="K5039" i="12" s="1"/>
  <c r="K5063" i="12" s="1"/>
  <c r="K5087" i="12" s="1"/>
  <c r="K5111" i="12" s="1"/>
  <c r="K5135" i="12" s="1"/>
  <c r="K5159" i="12" s="1"/>
  <c r="K5183" i="12" s="1"/>
  <c r="K5207" i="12" s="1"/>
  <c r="K5231" i="12" s="1"/>
  <c r="K5255" i="12" s="1"/>
  <c r="K5279" i="12" s="1"/>
  <c r="K5303" i="12" s="1"/>
  <c r="K5327" i="12" s="1"/>
  <c r="K5351" i="12" s="1"/>
  <c r="K5375" i="12" s="1"/>
  <c r="K5399" i="12" s="1"/>
  <c r="K5423" i="12" s="1"/>
  <c r="K5447" i="12" s="1"/>
  <c r="K5471" i="12" s="1"/>
  <c r="K5495" i="12" s="1"/>
  <c r="K5519" i="12" s="1"/>
  <c r="K5543" i="12" s="1"/>
  <c r="K5567" i="12" s="1"/>
  <c r="K5591" i="12" s="1"/>
  <c r="K5615" i="12" s="1"/>
  <c r="K5639" i="12" s="1"/>
  <c r="K5663" i="12" s="1"/>
  <c r="K5687" i="12" s="1"/>
  <c r="K5711" i="12" s="1"/>
  <c r="K5735" i="12" s="1"/>
  <c r="K5759" i="12" s="1"/>
  <c r="K5783" i="12" s="1"/>
  <c r="K5807" i="12" s="1"/>
  <c r="K5831" i="12" s="1"/>
  <c r="K5855" i="12" s="1"/>
  <c r="K5879" i="12" s="1"/>
  <c r="K5903" i="12" s="1"/>
  <c r="K5927" i="12" s="1"/>
  <c r="K5951" i="12" s="1"/>
  <c r="K5975" i="12" s="1"/>
  <c r="K5999" i="12" s="1"/>
  <c r="K6023" i="12" s="1"/>
  <c r="K6047" i="12" s="1"/>
  <c r="K6071" i="12" s="1"/>
  <c r="K6095" i="12" s="1"/>
  <c r="K6119" i="12" s="1"/>
  <c r="K6143" i="12" s="1"/>
  <c r="K6167" i="12" s="1"/>
  <c r="K6191" i="12" s="1"/>
  <c r="K6215" i="12" s="1"/>
  <c r="K6239" i="12" s="1"/>
  <c r="K6263" i="12" s="1"/>
  <c r="K6287" i="12" s="1"/>
  <c r="K6311" i="12" s="1"/>
  <c r="K6335" i="12" s="1"/>
  <c r="K6359" i="12" s="1"/>
  <c r="K6383" i="12" s="1"/>
  <c r="K6407" i="12" s="1"/>
  <c r="K6431" i="12" s="1"/>
  <c r="K6455" i="12" s="1"/>
  <c r="K6479" i="12" s="1"/>
  <c r="K6503" i="12" s="1"/>
  <c r="K6527" i="12" s="1"/>
  <c r="K6551" i="12" s="1"/>
  <c r="K6575" i="12" s="1"/>
  <c r="K6599" i="12" s="1"/>
  <c r="K6623" i="12" s="1"/>
  <c r="K6647" i="12" s="1"/>
  <c r="K6671" i="12" s="1"/>
  <c r="K6695" i="12" s="1"/>
  <c r="K6719" i="12" s="1"/>
  <c r="K6743" i="12" s="1"/>
  <c r="K6767" i="12" s="1"/>
  <c r="K6791" i="12" s="1"/>
  <c r="K6815" i="12" s="1"/>
  <c r="K6839" i="12" s="1"/>
  <c r="K6863" i="12" s="1"/>
  <c r="K6887" i="12" s="1"/>
  <c r="K6911" i="12" s="1"/>
  <c r="K6935" i="12" s="1"/>
  <c r="K6959" i="12" s="1"/>
  <c r="K6983" i="12" s="1"/>
  <c r="K7007" i="12" s="1"/>
  <c r="K7031" i="12" s="1"/>
  <c r="K7055" i="12" s="1"/>
  <c r="K7079" i="12" s="1"/>
  <c r="K7103" i="12" s="1"/>
  <c r="K7127" i="12" s="1"/>
  <c r="K7151" i="12" s="1"/>
  <c r="K7175" i="12" s="1"/>
  <c r="K7199" i="12" s="1"/>
  <c r="K7223" i="12" s="1"/>
  <c r="K7247" i="12" s="1"/>
  <c r="K7271" i="12" s="1"/>
  <c r="K7295" i="12" s="1"/>
  <c r="K7319" i="12" s="1"/>
  <c r="K7343" i="12" s="1"/>
  <c r="K7367" i="12" s="1"/>
  <c r="K7391" i="12" s="1"/>
  <c r="K7415" i="12" s="1"/>
  <c r="K7439" i="12" s="1"/>
  <c r="K7463" i="12" s="1"/>
  <c r="K7487" i="12" s="1"/>
  <c r="K7511" i="12" s="1"/>
  <c r="K7535" i="12" s="1"/>
  <c r="K7559" i="12" s="1"/>
  <c r="K7583" i="12" s="1"/>
  <c r="K7607" i="12" s="1"/>
  <c r="K7631" i="12" s="1"/>
  <c r="K7655" i="12" s="1"/>
  <c r="K7679" i="12" s="1"/>
  <c r="K7703" i="12" s="1"/>
  <c r="K7727" i="12" s="1"/>
  <c r="K7751" i="12" s="1"/>
  <c r="K7775" i="12" s="1"/>
  <c r="K7799" i="12" s="1"/>
  <c r="K7823" i="12" s="1"/>
  <c r="K7847" i="12" s="1"/>
  <c r="K7871" i="12" s="1"/>
  <c r="K7895" i="12" s="1"/>
  <c r="K7919" i="12" s="1"/>
  <c r="K7943" i="12" s="1"/>
  <c r="K7967" i="12" s="1"/>
  <c r="K7991" i="12" s="1"/>
  <c r="K8015" i="12" s="1"/>
  <c r="K8039" i="12" s="1"/>
  <c r="K8063" i="12" s="1"/>
  <c r="K8087" i="12" s="1"/>
  <c r="K8111" i="12" s="1"/>
  <c r="K8135" i="12" s="1"/>
  <c r="K8159" i="12" s="1"/>
  <c r="K8183" i="12" s="1"/>
  <c r="K8207" i="12" s="1"/>
  <c r="K8231" i="12" s="1"/>
  <c r="K8255" i="12" s="1"/>
  <c r="K8279" i="12" s="1"/>
  <c r="K8303" i="12" s="1"/>
  <c r="K8327" i="12" s="1"/>
  <c r="K8351" i="12" s="1"/>
  <c r="K8375" i="12" s="1"/>
  <c r="K8399" i="12" s="1"/>
  <c r="K8423" i="12" s="1"/>
  <c r="K8447" i="12" s="1"/>
  <c r="K8471" i="12" s="1"/>
  <c r="K8495" i="12" s="1"/>
  <c r="K8519" i="12" s="1"/>
  <c r="K8543" i="12" s="1"/>
  <c r="K8567" i="12" s="1"/>
  <c r="K8591" i="12" s="1"/>
  <c r="K8615" i="12" s="1"/>
  <c r="K8639" i="12" s="1"/>
  <c r="K8663" i="12" s="1"/>
  <c r="K8687" i="12" s="1"/>
  <c r="K8711" i="12" s="1"/>
  <c r="K8735" i="12" s="1"/>
  <c r="K46" i="12"/>
  <c r="K70" i="12" s="1"/>
  <c r="K94" i="12" s="1"/>
  <c r="K118" i="12" s="1"/>
  <c r="K142" i="12" s="1"/>
  <c r="K166" i="12" s="1"/>
  <c r="K190" i="12" s="1"/>
  <c r="K214" i="12" s="1"/>
  <c r="K238" i="12" s="1"/>
  <c r="K262" i="12" s="1"/>
  <c r="K286" i="12" s="1"/>
  <c r="K310" i="12" s="1"/>
  <c r="K334" i="12" s="1"/>
  <c r="K358" i="12" s="1"/>
  <c r="K382" i="12" s="1"/>
  <c r="K406" i="12" s="1"/>
  <c r="K430" i="12" s="1"/>
  <c r="K454" i="12" s="1"/>
  <c r="K478" i="12" s="1"/>
  <c r="K502" i="12" s="1"/>
  <c r="K526" i="12" s="1"/>
  <c r="K550" i="12" s="1"/>
  <c r="K574" i="12" s="1"/>
  <c r="K598" i="12" s="1"/>
  <c r="K622" i="12" s="1"/>
  <c r="K646" i="12" s="1"/>
  <c r="K670" i="12" s="1"/>
  <c r="K694" i="12" s="1"/>
  <c r="K718" i="12" s="1"/>
  <c r="K742" i="12" s="1"/>
  <c r="K766" i="12" s="1"/>
  <c r="K790" i="12" s="1"/>
  <c r="K814" i="12" s="1"/>
  <c r="K838" i="12" s="1"/>
  <c r="K862" i="12" s="1"/>
  <c r="K886" i="12" s="1"/>
  <c r="K910" i="12" s="1"/>
  <c r="K934" i="12" s="1"/>
  <c r="K958" i="12" s="1"/>
  <c r="K982" i="12" s="1"/>
  <c r="K1006" i="12" s="1"/>
  <c r="K1030" i="12" s="1"/>
  <c r="K1054" i="12" s="1"/>
  <c r="K1078" i="12" s="1"/>
  <c r="K1102" i="12" s="1"/>
  <c r="K1126" i="12" s="1"/>
  <c r="K1150" i="12" s="1"/>
  <c r="K1174" i="12" s="1"/>
  <c r="K1198" i="12" s="1"/>
  <c r="K1222" i="12" s="1"/>
  <c r="K1246" i="12" s="1"/>
  <c r="K1270" i="12" s="1"/>
  <c r="K1294" i="12" s="1"/>
  <c r="K1318" i="12" s="1"/>
  <c r="K1342" i="12" s="1"/>
  <c r="K1366" i="12" s="1"/>
  <c r="K1390" i="12" s="1"/>
  <c r="K1414" i="12" s="1"/>
  <c r="K1438" i="12" s="1"/>
  <c r="K1462" i="12" s="1"/>
  <c r="K1486" i="12" s="1"/>
  <c r="K1510" i="12" s="1"/>
  <c r="K1534" i="12" s="1"/>
  <c r="K1558" i="12" s="1"/>
  <c r="K1582" i="12" s="1"/>
  <c r="K1606" i="12" s="1"/>
  <c r="K1630" i="12" s="1"/>
  <c r="K1654" i="12" s="1"/>
  <c r="K1678" i="12" s="1"/>
  <c r="K1702" i="12" s="1"/>
  <c r="K1726" i="12" s="1"/>
  <c r="K1750" i="12" s="1"/>
  <c r="K1774" i="12" s="1"/>
  <c r="K1798" i="12" s="1"/>
  <c r="K1822" i="12" s="1"/>
  <c r="K1846" i="12" s="1"/>
  <c r="K1870" i="12" s="1"/>
  <c r="K1894" i="12" s="1"/>
  <c r="K1918" i="12" s="1"/>
  <c r="K1942" i="12" s="1"/>
  <c r="K1966" i="12" s="1"/>
  <c r="K1990" i="12" s="1"/>
  <c r="K2014" i="12" s="1"/>
  <c r="K2038" i="12" s="1"/>
  <c r="K2062" i="12" s="1"/>
  <c r="K2086" i="12" s="1"/>
  <c r="K2110" i="12" s="1"/>
  <c r="K2134" i="12" s="1"/>
  <c r="K2158" i="12" s="1"/>
  <c r="K2182" i="12" s="1"/>
  <c r="K2206" i="12" s="1"/>
  <c r="K2230" i="12" s="1"/>
  <c r="K2254" i="12" s="1"/>
  <c r="K2278" i="12" s="1"/>
  <c r="K2302" i="12" s="1"/>
  <c r="K2326" i="12" s="1"/>
  <c r="K2350" i="12" s="1"/>
  <c r="K2374" i="12" s="1"/>
  <c r="K2398" i="12" s="1"/>
  <c r="K2422" i="12" s="1"/>
  <c r="K2446" i="12" s="1"/>
  <c r="K2470" i="12" s="1"/>
  <c r="K2494" i="12" s="1"/>
  <c r="K2518" i="12" s="1"/>
  <c r="K2542" i="12" s="1"/>
  <c r="K2566" i="12" s="1"/>
  <c r="K2590" i="12" s="1"/>
  <c r="K2614" i="12" s="1"/>
  <c r="K2638" i="12" s="1"/>
  <c r="K2662" i="12" s="1"/>
  <c r="K2686" i="12" s="1"/>
  <c r="K2710" i="12" s="1"/>
  <c r="K2734" i="12" s="1"/>
  <c r="K2758" i="12" s="1"/>
  <c r="K2782" i="12" s="1"/>
  <c r="K2806" i="12" s="1"/>
  <c r="K2830" i="12" s="1"/>
  <c r="K2854" i="12" s="1"/>
  <c r="K2878" i="12" s="1"/>
  <c r="K2902" i="12" s="1"/>
  <c r="K2926" i="12" s="1"/>
  <c r="K2950" i="12" s="1"/>
  <c r="K2974" i="12" s="1"/>
  <c r="K2998" i="12" s="1"/>
  <c r="K3022" i="12" s="1"/>
  <c r="K3046" i="12" s="1"/>
  <c r="K3070" i="12" s="1"/>
  <c r="K3094" i="12" s="1"/>
  <c r="K3118" i="12" s="1"/>
  <c r="K3142" i="12" s="1"/>
  <c r="K3166" i="12" s="1"/>
  <c r="K3190" i="12" s="1"/>
  <c r="K3214" i="12" s="1"/>
  <c r="K3238" i="12" s="1"/>
  <c r="K3262" i="12" s="1"/>
  <c r="K3286" i="12" s="1"/>
  <c r="K3310" i="12" s="1"/>
  <c r="K3334" i="12" s="1"/>
  <c r="K3358" i="12" s="1"/>
  <c r="K3382" i="12" s="1"/>
  <c r="K3406" i="12" s="1"/>
  <c r="K3430" i="12" s="1"/>
  <c r="K3454" i="12" s="1"/>
  <c r="K3478" i="12" s="1"/>
  <c r="K3502" i="12" s="1"/>
  <c r="K3526" i="12" s="1"/>
  <c r="K3550" i="12" s="1"/>
  <c r="K3574" i="12" s="1"/>
  <c r="K3598" i="12" s="1"/>
  <c r="K3622" i="12" s="1"/>
  <c r="K3646" i="12" s="1"/>
  <c r="K3670" i="12" s="1"/>
  <c r="K3694" i="12" s="1"/>
  <c r="K3718" i="12" s="1"/>
  <c r="K3742" i="12" s="1"/>
  <c r="K3766" i="12" s="1"/>
  <c r="K3790" i="12" s="1"/>
  <c r="K3814" i="12" s="1"/>
  <c r="K3838" i="12" s="1"/>
  <c r="K3862" i="12" s="1"/>
  <c r="K3886" i="12" s="1"/>
  <c r="K3910" i="12" s="1"/>
  <c r="K3934" i="12" s="1"/>
  <c r="K3958" i="12" s="1"/>
  <c r="K3982" i="12" s="1"/>
  <c r="K4006" i="12" s="1"/>
  <c r="K4030" i="12" s="1"/>
  <c r="K4054" i="12" s="1"/>
  <c r="K4078" i="12" s="1"/>
  <c r="K4102" i="12" s="1"/>
  <c r="K4126" i="12" s="1"/>
  <c r="K4150" i="12" s="1"/>
  <c r="K4174" i="12" s="1"/>
  <c r="K4198" i="12" s="1"/>
  <c r="K4222" i="12" s="1"/>
  <c r="K4246" i="12" s="1"/>
  <c r="K4270" i="12" s="1"/>
  <c r="K4294" i="12" s="1"/>
  <c r="K4318" i="12" s="1"/>
  <c r="K4342" i="12" s="1"/>
  <c r="K4366" i="12" s="1"/>
  <c r="K4390" i="12" s="1"/>
  <c r="K4414" i="12" s="1"/>
  <c r="K4438" i="12" s="1"/>
  <c r="K4462" i="12" s="1"/>
  <c r="K4486" i="12" s="1"/>
  <c r="K4510" i="12" s="1"/>
  <c r="K4534" i="12" s="1"/>
  <c r="K4558" i="12" s="1"/>
  <c r="K4582" i="12" s="1"/>
  <c r="K4606" i="12" s="1"/>
  <c r="K4630" i="12" s="1"/>
  <c r="K4654" i="12" s="1"/>
  <c r="K4678" i="12" s="1"/>
  <c r="K4702" i="12" s="1"/>
  <c r="K4726" i="12" s="1"/>
  <c r="K4750" i="12" s="1"/>
  <c r="K4774" i="12" s="1"/>
  <c r="K4798" i="12" s="1"/>
  <c r="K4822" i="12" s="1"/>
  <c r="K4846" i="12" s="1"/>
  <c r="K4870" i="12" s="1"/>
  <c r="K4894" i="12" s="1"/>
  <c r="K4918" i="12" s="1"/>
  <c r="K4942" i="12" s="1"/>
  <c r="K4966" i="12" s="1"/>
  <c r="K4990" i="12" s="1"/>
  <c r="K5014" i="12" s="1"/>
  <c r="K5038" i="12" s="1"/>
  <c r="K5062" i="12" s="1"/>
  <c r="K5086" i="12" s="1"/>
  <c r="K5110" i="12" s="1"/>
  <c r="K5134" i="12" s="1"/>
  <c r="K5158" i="12" s="1"/>
  <c r="K5182" i="12" s="1"/>
  <c r="K5206" i="12" s="1"/>
  <c r="K5230" i="12" s="1"/>
  <c r="K5254" i="12" s="1"/>
  <c r="K5278" i="12" s="1"/>
  <c r="K5302" i="12" s="1"/>
  <c r="K5326" i="12" s="1"/>
  <c r="K5350" i="12" s="1"/>
  <c r="K5374" i="12" s="1"/>
  <c r="K5398" i="12" s="1"/>
  <c r="K5422" i="12" s="1"/>
  <c r="K5446" i="12" s="1"/>
  <c r="K5470" i="12" s="1"/>
  <c r="K5494" i="12" s="1"/>
  <c r="K5518" i="12" s="1"/>
  <c r="K5542" i="12" s="1"/>
  <c r="K5566" i="12" s="1"/>
  <c r="K5590" i="12" s="1"/>
  <c r="K5614" i="12" s="1"/>
  <c r="K5638" i="12" s="1"/>
  <c r="K5662" i="12" s="1"/>
  <c r="K5686" i="12" s="1"/>
  <c r="K5710" i="12" s="1"/>
  <c r="K5734" i="12" s="1"/>
  <c r="K5758" i="12" s="1"/>
  <c r="K5782" i="12" s="1"/>
  <c r="K5806" i="12" s="1"/>
  <c r="K5830" i="12" s="1"/>
  <c r="K5854" i="12" s="1"/>
  <c r="K5878" i="12" s="1"/>
  <c r="K5902" i="12" s="1"/>
  <c r="K5926" i="12" s="1"/>
  <c r="K5950" i="12" s="1"/>
  <c r="K5974" i="12" s="1"/>
  <c r="K5998" i="12" s="1"/>
  <c r="K6022" i="12" s="1"/>
  <c r="K6046" i="12" s="1"/>
  <c r="K6070" i="12" s="1"/>
  <c r="K6094" i="12" s="1"/>
  <c r="K6118" i="12" s="1"/>
  <c r="K6142" i="12" s="1"/>
  <c r="K6166" i="12" s="1"/>
  <c r="K6190" i="12" s="1"/>
  <c r="K6214" i="12" s="1"/>
  <c r="K6238" i="12" s="1"/>
  <c r="K6262" i="12" s="1"/>
  <c r="K6286" i="12" s="1"/>
  <c r="K6310" i="12" s="1"/>
  <c r="K6334" i="12" s="1"/>
  <c r="K6358" i="12" s="1"/>
  <c r="K6382" i="12" s="1"/>
  <c r="K6406" i="12" s="1"/>
  <c r="K6430" i="12" s="1"/>
  <c r="K6454" i="12" s="1"/>
  <c r="K6478" i="12" s="1"/>
  <c r="K6502" i="12" s="1"/>
  <c r="K6526" i="12" s="1"/>
  <c r="K6550" i="12" s="1"/>
  <c r="K6574" i="12" s="1"/>
  <c r="K6598" i="12" s="1"/>
  <c r="K6622" i="12" s="1"/>
  <c r="K6646" i="12" s="1"/>
  <c r="K6670" i="12" s="1"/>
  <c r="K6694" i="12" s="1"/>
  <c r="K6718" i="12" s="1"/>
  <c r="K6742" i="12" s="1"/>
  <c r="K6766" i="12" s="1"/>
  <c r="K6790" i="12" s="1"/>
  <c r="K6814" i="12" s="1"/>
  <c r="K6838" i="12" s="1"/>
  <c r="K6862" i="12" s="1"/>
  <c r="K6886" i="12" s="1"/>
  <c r="K6910" i="12" s="1"/>
  <c r="K6934" i="12" s="1"/>
  <c r="K6958" i="12" s="1"/>
  <c r="K6982" i="12" s="1"/>
  <c r="K7006" i="12" s="1"/>
  <c r="K7030" i="12" s="1"/>
  <c r="K7054" i="12" s="1"/>
  <c r="K7078" i="12" s="1"/>
  <c r="K7102" i="12" s="1"/>
  <c r="K7126" i="12" s="1"/>
  <c r="K7150" i="12" s="1"/>
  <c r="K7174" i="12" s="1"/>
  <c r="K7198" i="12" s="1"/>
  <c r="K7222" i="12" s="1"/>
  <c r="K7246" i="12" s="1"/>
  <c r="K7270" i="12" s="1"/>
  <c r="K7294" i="12" s="1"/>
  <c r="K7318" i="12" s="1"/>
  <c r="K7342" i="12" s="1"/>
  <c r="K7366" i="12" s="1"/>
  <c r="K7390" i="12" s="1"/>
  <c r="K7414" i="12" s="1"/>
  <c r="K7438" i="12" s="1"/>
  <c r="K7462" i="12" s="1"/>
  <c r="K7486" i="12" s="1"/>
  <c r="K7510" i="12" s="1"/>
  <c r="K7534" i="12" s="1"/>
  <c r="K7558" i="12" s="1"/>
  <c r="K7582" i="12" s="1"/>
  <c r="K7606" i="12" s="1"/>
  <c r="K7630" i="12" s="1"/>
  <c r="K7654" i="12" s="1"/>
  <c r="K7678" i="12" s="1"/>
  <c r="K7702" i="12" s="1"/>
  <c r="K7726" i="12" s="1"/>
  <c r="K7750" i="12" s="1"/>
  <c r="K7774" i="12" s="1"/>
  <c r="K7798" i="12" s="1"/>
  <c r="K7822" i="12" s="1"/>
  <c r="K7846" i="12" s="1"/>
  <c r="K7870" i="12" s="1"/>
  <c r="K7894" i="12" s="1"/>
  <c r="K7918" i="12" s="1"/>
  <c r="K7942" i="12" s="1"/>
  <c r="K7966" i="12" s="1"/>
  <c r="K7990" i="12" s="1"/>
  <c r="K8014" i="12" s="1"/>
  <c r="K8038" i="12" s="1"/>
  <c r="K8062" i="12" s="1"/>
  <c r="K8086" i="12" s="1"/>
  <c r="K8110" i="12" s="1"/>
  <c r="K8134" i="12" s="1"/>
  <c r="K8158" i="12" s="1"/>
  <c r="K8182" i="12" s="1"/>
  <c r="K8206" i="12" s="1"/>
  <c r="K8230" i="12" s="1"/>
  <c r="K8254" i="12" s="1"/>
  <c r="K8278" i="12" s="1"/>
  <c r="K8302" i="12" s="1"/>
  <c r="K8326" i="12" s="1"/>
  <c r="K8350" i="12" s="1"/>
  <c r="K8374" i="12" s="1"/>
  <c r="K8398" i="12" s="1"/>
  <c r="K8422" i="12" s="1"/>
  <c r="K8446" i="12" s="1"/>
  <c r="K8470" i="12" s="1"/>
  <c r="K8494" i="12" s="1"/>
  <c r="K8518" i="12" s="1"/>
  <c r="K8542" i="12" s="1"/>
  <c r="K8566" i="12" s="1"/>
  <c r="K8590" i="12" s="1"/>
  <c r="K8614" i="12" s="1"/>
  <c r="K8638" i="12" s="1"/>
  <c r="K8662" i="12" s="1"/>
  <c r="K8686" i="12" s="1"/>
  <c r="K8710" i="12" s="1"/>
  <c r="K8734" i="12" s="1"/>
  <c r="K45" i="12"/>
  <c r="K69" i="12" s="1"/>
  <c r="K93" i="12" s="1"/>
  <c r="K117" i="12" s="1"/>
  <c r="K141" i="12" s="1"/>
  <c r="K165" i="12" s="1"/>
  <c r="K189" i="12" s="1"/>
  <c r="K213" i="12" s="1"/>
  <c r="K237" i="12" s="1"/>
  <c r="K261" i="12" s="1"/>
  <c r="K285" i="12" s="1"/>
  <c r="K309" i="12" s="1"/>
  <c r="K333" i="12" s="1"/>
  <c r="K357" i="12" s="1"/>
  <c r="K381" i="12" s="1"/>
  <c r="K405" i="12" s="1"/>
  <c r="K429" i="12" s="1"/>
  <c r="K453" i="12" s="1"/>
  <c r="K477" i="12" s="1"/>
  <c r="K501" i="12" s="1"/>
  <c r="K525" i="12" s="1"/>
  <c r="K549" i="12" s="1"/>
  <c r="K573" i="12" s="1"/>
  <c r="K597" i="12" s="1"/>
  <c r="K621" i="12" s="1"/>
  <c r="K645" i="12" s="1"/>
  <c r="K669" i="12" s="1"/>
  <c r="K693" i="12" s="1"/>
  <c r="K717" i="12" s="1"/>
  <c r="K741" i="12" s="1"/>
  <c r="K765" i="12" s="1"/>
  <c r="K789" i="12" s="1"/>
  <c r="K813" i="12" s="1"/>
  <c r="K837" i="12" s="1"/>
  <c r="K861" i="12" s="1"/>
  <c r="K885" i="12" s="1"/>
  <c r="K909" i="12" s="1"/>
  <c r="K933" i="12" s="1"/>
  <c r="K957" i="12" s="1"/>
  <c r="K981" i="12" s="1"/>
  <c r="K1005" i="12" s="1"/>
  <c r="K1029" i="12" s="1"/>
  <c r="K1053" i="12" s="1"/>
  <c r="K1077" i="12" s="1"/>
  <c r="K1101" i="12" s="1"/>
  <c r="K1125" i="12" s="1"/>
  <c r="K1149" i="12" s="1"/>
  <c r="K1173" i="12" s="1"/>
  <c r="K1197" i="12" s="1"/>
  <c r="K1221" i="12" s="1"/>
  <c r="K1245" i="12" s="1"/>
  <c r="K1269" i="12" s="1"/>
  <c r="K1293" i="12" s="1"/>
  <c r="K1317" i="12" s="1"/>
  <c r="K1341" i="12" s="1"/>
  <c r="K1365" i="12" s="1"/>
  <c r="K1389" i="12" s="1"/>
  <c r="K1413" i="12" s="1"/>
  <c r="K1437" i="12" s="1"/>
  <c r="K1461" i="12" s="1"/>
  <c r="K1485" i="12" s="1"/>
  <c r="K1509" i="12" s="1"/>
  <c r="K1533" i="12" s="1"/>
  <c r="K1557" i="12" s="1"/>
  <c r="K1581" i="12" s="1"/>
  <c r="K1605" i="12" s="1"/>
  <c r="K1629" i="12" s="1"/>
  <c r="K1653" i="12" s="1"/>
  <c r="K1677" i="12" s="1"/>
  <c r="K1701" i="12" s="1"/>
  <c r="K1725" i="12" s="1"/>
  <c r="K1749" i="12" s="1"/>
  <c r="K1773" i="12" s="1"/>
  <c r="K1797" i="12" s="1"/>
  <c r="K1821" i="12" s="1"/>
  <c r="K1845" i="12" s="1"/>
  <c r="K1869" i="12" s="1"/>
  <c r="K1893" i="12" s="1"/>
  <c r="K1917" i="12" s="1"/>
  <c r="K1941" i="12" s="1"/>
  <c r="K1965" i="12" s="1"/>
  <c r="K1989" i="12" s="1"/>
  <c r="K2013" i="12" s="1"/>
  <c r="K2037" i="12" s="1"/>
  <c r="K2061" i="12" s="1"/>
  <c r="K2085" i="12" s="1"/>
  <c r="K2109" i="12" s="1"/>
  <c r="K2133" i="12" s="1"/>
  <c r="K2157" i="12" s="1"/>
  <c r="K2181" i="12" s="1"/>
  <c r="K2205" i="12" s="1"/>
  <c r="K2229" i="12" s="1"/>
  <c r="K2253" i="12" s="1"/>
  <c r="K2277" i="12" s="1"/>
  <c r="K2301" i="12" s="1"/>
  <c r="K2325" i="12" s="1"/>
  <c r="K2349" i="12" s="1"/>
  <c r="K2373" i="12" s="1"/>
  <c r="K2397" i="12" s="1"/>
  <c r="K2421" i="12" s="1"/>
  <c r="K2445" i="12" s="1"/>
  <c r="K2469" i="12" s="1"/>
  <c r="K2493" i="12" s="1"/>
  <c r="K2517" i="12" s="1"/>
  <c r="K2541" i="12" s="1"/>
  <c r="K2565" i="12" s="1"/>
  <c r="K2589" i="12" s="1"/>
  <c r="K2613" i="12" s="1"/>
  <c r="K2637" i="12" s="1"/>
  <c r="K2661" i="12" s="1"/>
  <c r="K2685" i="12" s="1"/>
  <c r="K2709" i="12" s="1"/>
  <c r="K2733" i="12" s="1"/>
  <c r="K2757" i="12" s="1"/>
  <c r="K2781" i="12" s="1"/>
  <c r="K2805" i="12" s="1"/>
  <c r="K2829" i="12" s="1"/>
  <c r="K2853" i="12" s="1"/>
  <c r="K2877" i="12" s="1"/>
  <c r="K2901" i="12" s="1"/>
  <c r="K2925" i="12" s="1"/>
  <c r="K2949" i="12" s="1"/>
  <c r="K2973" i="12" s="1"/>
  <c r="K2997" i="12" s="1"/>
  <c r="K3021" i="12" s="1"/>
  <c r="K3045" i="12" s="1"/>
  <c r="K3069" i="12" s="1"/>
  <c r="K3093" i="12" s="1"/>
  <c r="K3117" i="12" s="1"/>
  <c r="K3141" i="12" s="1"/>
  <c r="K3165" i="12" s="1"/>
  <c r="K3189" i="12" s="1"/>
  <c r="K3213" i="12" s="1"/>
  <c r="K3237" i="12" s="1"/>
  <c r="K3261" i="12" s="1"/>
  <c r="K3285" i="12" s="1"/>
  <c r="K3309" i="12" s="1"/>
  <c r="K3333" i="12" s="1"/>
  <c r="K3357" i="12" s="1"/>
  <c r="K3381" i="12" s="1"/>
  <c r="K3405" i="12" s="1"/>
  <c r="K3429" i="12" s="1"/>
  <c r="K3453" i="12" s="1"/>
  <c r="K3477" i="12" s="1"/>
  <c r="K3501" i="12" s="1"/>
  <c r="K3525" i="12" s="1"/>
  <c r="K3549" i="12" s="1"/>
  <c r="K3573" i="12" s="1"/>
  <c r="K3597" i="12" s="1"/>
  <c r="K3621" i="12" s="1"/>
  <c r="K3645" i="12" s="1"/>
  <c r="K3669" i="12" s="1"/>
  <c r="K3693" i="12" s="1"/>
  <c r="K3717" i="12" s="1"/>
  <c r="K3741" i="12" s="1"/>
  <c r="K3765" i="12" s="1"/>
  <c r="K3789" i="12" s="1"/>
  <c r="K3813" i="12" s="1"/>
  <c r="K3837" i="12" s="1"/>
  <c r="K3861" i="12" s="1"/>
  <c r="K3885" i="12" s="1"/>
  <c r="K3909" i="12" s="1"/>
  <c r="K3933" i="12" s="1"/>
  <c r="K3957" i="12" s="1"/>
  <c r="K3981" i="12" s="1"/>
  <c r="K4005" i="12" s="1"/>
  <c r="K4029" i="12" s="1"/>
  <c r="K4053" i="12" s="1"/>
  <c r="K4077" i="12" s="1"/>
  <c r="K4101" i="12" s="1"/>
  <c r="K4125" i="12" s="1"/>
  <c r="K4149" i="12" s="1"/>
  <c r="K4173" i="12" s="1"/>
  <c r="K4197" i="12" s="1"/>
  <c r="K4221" i="12" s="1"/>
  <c r="K4245" i="12" s="1"/>
  <c r="K4269" i="12" s="1"/>
  <c r="K4293" i="12" s="1"/>
  <c r="K4317" i="12" s="1"/>
  <c r="K4341" i="12" s="1"/>
  <c r="K4365" i="12" s="1"/>
  <c r="K4389" i="12" s="1"/>
  <c r="K4413" i="12" s="1"/>
  <c r="K4437" i="12" s="1"/>
  <c r="K4461" i="12" s="1"/>
  <c r="K4485" i="12" s="1"/>
  <c r="K4509" i="12" s="1"/>
  <c r="K4533" i="12" s="1"/>
  <c r="K4557" i="12" s="1"/>
  <c r="K4581" i="12" s="1"/>
  <c r="K4605" i="12" s="1"/>
  <c r="K4629" i="12" s="1"/>
  <c r="K4653" i="12" s="1"/>
  <c r="K4677" i="12" s="1"/>
  <c r="K4701" i="12" s="1"/>
  <c r="K4725" i="12" s="1"/>
  <c r="K4749" i="12" s="1"/>
  <c r="K4773" i="12" s="1"/>
  <c r="K4797" i="12" s="1"/>
  <c r="K4821" i="12" s="1"/>
  <c r="K4845" i="12" s="1"/>
  <c r="K4869" i="12" s="1"/>
  <c r="K4893" i="12" s="1"/>
  <c r="K4917" i="12" s="1"/>
  <c r="K4941" i="12" s="1"/>
  <c r="K4965" i="12" s="1"/>
  <c r="K4989" i="12" s="1"/>
  <c r="K5013" i="12" s="1"/>
  <c r="K5037" i="12" s="1"/>
  <c r="K5061" i="12" s="1"/>
  <c r="K5085" i="12" s="1"/>
  <c r="K5109" i="12" s="1"/>
  <c r="K5133" i="12" s="1"/>
  <c r="K5157" i="12" s="1"/>
  <c r="K5181" i="12" s="1"/>
  <c r="K5205" i="12" s="1"/>
  <c r="K5229" i="12" s="1"/>
  <c r="K5253" i="12" s="1"/>
  <c r="K5277" i="12" s="1"/>
  <c r="K5301" i="12" s="1"/>
  <c r="K5325" i="12" s="1"/>
  <c r="K5349" i="12" s="1"/>
  <c r="K5373" i="12" s="1"/>
  <c r="K5397" i="12" s="1"/>
  <c r="K5421" i="12" s="1"/>
  <c r="K5445" i="12" s="1"/>
  <c r="K5469" i="12" s="1"/>
  <c r="K5493" i="12" s="1"/>
  <c r="K5517" i="12" s="1"/>
  <c r="K5541" i="12" s="1"/>
  <c r="K5565" i="12" s="1"/>
  <c r="K5589" i="12" s="1"/>
  <c r="K5613" i="12" s="1"/>
  <c r="K5637" i="12" s="1"/>
  <c r="K5661" i="12" s="1"/>
  <c r="K5685" i="12" s="1"/>
  <c r="K5709" i="12" s="1"/>
  <c r="K5733" i="12" s="1"/>
  <c r="K5757" i="12" s="1"/>
  <c r="K5781" i="12" s="1"/>
  <c r="K5805" i="12" s="1"/>
  <c r="K5829" i="12" s="1"/>
  <c r="K5853" i="12" s="1"/>
  <c r="K5877" i="12" s="1"/>
  <c r="K5901" i="12" s="1"/>
  <c r="K5925" i="12" s="1"/>
  <c r="K5949" i="12" s="1"/>
  <c r="K5973" i="12" s="1"/>
  <c r="K5997" i="12" s="1"/>
  <c r="K6021" i="12" s="1"/>
  <c r="K6045" i="12" s="1"/>
  <c r="K6069" i="12" s="1"/>
  <c r="K6093" i="12" s="1"/>
  <c r="K6117" i="12" s="1"/>
  <c r="K6141" i="12" s="1"/>
  <c r="K6165" i="12" s="1"/>
  <c r="K6189" i="12" s="1"/>
  <c r="K6213" i="12" s="1"/>
  <c r="K6237" i="12" s="1"/>
  <c r="K6261" i="12" s="1"/>
  <c r="K6285" i="12" s="1"/>
  <c r="K6309" i="12" s="1"/>
  <c r="K6333" i="12" s="1"/>
  <c r="K6357" i="12" s="1"/>
  <c r="K6381" i="12" s="1"/>
  <c r="K6405" i="12" s="1"/>
  <c r="K6429" i="12" s="1"/>
  <c r="K6453" i="12" s="1"/>
  <c r="K6477" i="12" s="1"/>
  <c r="K6501" i="12" s="1"/>
  <c r="K6525" i="12" s="1"/>
  <c r="K6549" i="12" s="1"/>
  <c r="K6573" i="12" s="1"/>
  <c r="K6597" i="12" s="1"/>
  <c r="K6621" i="12" s="1"/>
  <c r="K6645" i="12" s="1"/>
  <c r="K6669" i="12" s="1"/>
  <c r="K6693" i="12" s="1"/>
  <c r="K6717" i="12" s="1"/>
  <c r="K6741" i="12" s="1"/>
  <c r="K6765" i="12" s="1"/>
  <c r="K6789" i="12" s="1"/>
  <c r="K6813" i="12" s="1"/>
  <c r="K6837" i="12" s="1"/>
  <c r="K6861" i="12" s="1"/>
  <c r="K6885" i="12" s="1"/>
  <c r="K6909" i="12" s="1"/>
  <c r="K6933" i="12" s="1"/>
  <c r="K6957" i="12" s="1"/>
  <c r="K6981" i="12" s="1"/>
  <c r="K7005" i="12" s="1"/>
  <c r="K7029" i="12" s="1"/>
  <c r="K7053" i="12" s="1"/>
  <c r="K7077" i="12" s="1"/>
  <c r="K7101" i="12" s="1"/>
  <c r="K7125" i="12" s="1"/>
  <c r="K7149" i="12" s="1"/>
  <c r="K7173" i="12" s="1"/>
  <c r="K7197" i="12" s="1"/>
  <c r="K7221" i="12" s="1"/>
  <c r="K7245" i="12" s="1"/>
  <c r="K7269" i="12" s="1"/>
  <c r="K7293" i="12" s="1"/>
  <c r="K7317" i="12" s="1"/>
  <c r="K7341" i="12" s="1"/>
  <c r="K7365" i="12" s="1"/>
  <c r="K7389" i="12" s="1"/>
  <c r="K7413" i="12" s="1"/>
  <c r="K7437" i="12" s="1"/>
  <c r="K7461" i="12" s="1"/>
  <c r="K7485" i="12" s="1"/>
  <c r="K7509" i="12" s="1"/>
  <c r="K7533" i="12" s="1"/>
  <c r="K7557" i="12" s="1"/>
  <c r="K7581" i="12" s="1"/>
  <c r="K7605" i="12" s="1"/>
  <c r="K7629" i="12" s="1"/>
  <c r="K7653" i="12" s="1"/>
  <c r="K7677" i="12" s="1"/>
  <c r="K7701" i="12" s="1"/>
  <c r="K7725" i="12" s="1"/>
  <c r="K7749" i="12" s="1"/>
  <c r="K7773" i="12" s="1"/>
  <c r="K7797" i="12" s="1"/>
  <c r="K7821" i="12" s="1"/>
  <c r="K7845" i="12" s="1"/>
  <c r="K7869" i="12" s="1"/>
  <c r="K7893" i="12" s="1"/>
  <c r="K7917" i="12" s="1"/>
  <c r="K7941" i="12" s="1"/>
  <c r="K7965" i="12" s="1"/>
  <c r="K7989" i="12" s="1"/>
  <c r="K8013" i="12" s="1"/>
  <c r="K8037" i="12" s="1"/>
  <c r="K8061" i="12" s="1"/>
  <c r="K8085" i="12" s="1"/>
  <c r="K8109" i="12" s="1"/>
  <c r="K8133" i="12" s="1"/>
  <c r="K8157" i="12" s="1"/>
  <c r="K8181" i="12" s="1"/>
  <c r="K8205" i="12" s="1"/>
  <c r="K8229" i="12" s="1"/>
  <c r="K8253" i="12" s="1"/>
  <c r="K8277" i="12" s="1"/>
  <c r="K8301" i="12" s="1"/>
  <c r="K8325" i="12" s="1"/>
  <c r="K8349" i="12" s="1"/>
  <c r="K8373" i="12" s="1"/>
  <c r="K8397" i="12" s="1"/>
  <c r="K8421" i="12" s="1"/>
  <c r="K8445" i="12" s="1"/>
  <c r="K8469" i="12" s="1"/>
  <c r="K8493" i="12" s="1"/>
  <c r="K8517" i="12" s="1"/>
  <c r="K8541" i="12" s="1"/>
  <c r="K8565" i="12" s="1"/>
  <c r="K8589" i="12" s="1"/>
  <c r="K8613" i="12" s="1"/>
  <c r="K8637" i="12" s="1"/>
  <c r="K8661" i="12" s="1"/>
  <c r="K8685" i="12" s="1"/>
  <c r="K8709" i="12" s="1"/>
  <c r="K8733" i="12" s="1"/>
  <c r="K44" i="12"/>
  <c r="K68" i="12" s="1"/>
  <c r="K92" i="12" s="1"/>
  <c r="K116" i="12" s="1"/>
  <c r="K140" i="12" s="1"/>
  <c r="K164" i="12" s="1"/>
  <c r="K188" i="12" s="1"/>
  <c r="K212" i="12" s="1"/>
  <c r="K236" i="12" s="1"/>
  <c r="K260" i="12" s="1"/>
  <c r="K284" i="12" s="1"/>
  <c r="K308" i="12" s="1"/>
  <c r="K332" i="12" s="1"/>
  <c r="K356" i="12" s="1"/>
  <c r="K380" i="12" s="1"/>
  <c r="K404" i="12" s="1"/>
  <c r="K428" i="12" s="1"/>
  <c r="K452" i="12" s="1"/>
  <c r="K476" i="12" s="1"/>
  <c r="K500" i="12" s="1"/>
  <c r="K524" i="12" s="1"/>
  <c r="K548" i="12" s="1"/>
  <c r="K572" i="12" s="1"/>
  <c r="K596" i="12" s="1"/>
  <c r="K620" i="12" s="1"/>
  <c r="K644" i="12" s="1"/>
  <c r="K668" i="12" s="1"/>
  <c r="K692" i="12" s="1"/>
  <c r="K716" i="12" s="1"/>
  <c r="K740" i="12" s="1"/>
  <c r="K764" i="12" s="1"/>
  <c r="K788" i="12" s="1"/>
  <c r="K812" i="12" s="1"/>
  <c r="K836" i="12" s="1"/>
  <c r="K860" i="12" s="1"/>
  <c r="K884" i="12" s="1"/>
  <c r="K908" i="12" s="1"/>
  <c r="K932" i="12" s="1"/>
  <c r="K956" i="12" s="1"/>
  <c r="K980" i="12" s="1"/>
  <c r="K1004" i="12" s="1"/>
  <c r="K1028" i="12" s="1"/>
  <c r="K1052" i="12" s="1"/>
  <c r="K1076" i="12" s="1"/>
  <c r="K1100" i="12" s="1"/>
  <c r="K1124" i="12" s="1"/>
  <c r="K1148" i="12" s="1"/>
  <c r="K1172" i="12" s="1"/>
  <c r="K1196" i="12" s="1"/>
  <c r="K1220" i="12" s="1"/>
  <c r="K1244" i="12" s="1"/>
  <c r="K1268" i="12" s="1"/>
  <c r="K1292" i="12" s="1"/>
  <c r="K1316" i="12" s="1"/>
  <c r="K1340" i="12" s="1"/>
  <c r="K1364" i="12" s="1"/>
  <c r="K1388" i="12" s="1"/>
  <c r="K1412" i="12" s="1"/>
  <c r="K1436" i="12" s="1"/>
  <c r="K1460" i="12" s="1"/>
  <c r="K1484" i="12" s="1"/>
  <c r="K1508" i="12" s="1"/>
  <c r="K1532" i="12" s="1"/>
  <c r="K1556" i="12" s="1"/>
  <c r="K1580" i="12" s="1"/>
  <c r="K1604" i="12" s="1"/>
  <c r="K1628" i="12" s="1"/>
  <c r="K1652" i="12" s="1"/>
  <c r="K1676" i="12" s="1"/>
  <c r="K1700" i="12" s="1"/>
  <c r="K1724" i="12" s="1"/>
  <c r="K1748" i="12" s="1"/>
  <c r="K1772" i="12" s="1"/>
  <c r="K1796" i="12" s="1"/>
  <c r="K1820" i="12" s="1"/>
  <c r="K1844" i="12" s="1"/>
  <c r="K1868" i="12" s="1"/>
  <c r="K1892" i="12" s="1"/>
  <c r="K1916" i="12" s="1"/>
  <c r="K1940" i="12" s="1"/>
  <c r="K1964" i="12" s="1"/>
  <c r="K1988" i="12" s="1"/>
  <c r="K2012" i="12" s="1"/>
  <c r="K2036" i="12" s="1"/>
  <c r="K2060" i="12" s="1"/>
  <c r="K2084" i="12" s="1"/>
  <c r="K2108" i="12" s="1"/>
  <c r="K2132" i="12" s="1"/>
  <c r="K2156" i="12" s="1"/>
  <c r="K2180" i="12" s="1"/>
  <c r="K2204" i="12" s="1"/>
  <c r="K2228" i="12" s="1"/>
  <c r="K2252" i="12" s="1"/>
  <c r="K2276" i="12" s="1"/>
  <c r="K2300" i="12" s="1"/>
  <c r="K2324" i="12" s="1"/>
  <c r="K2348" i="12" s="1"/>
  <c r="K2372" i="12" s="1"/>
  <c r="K2396" i="12" s="1"/>
  <c r="K2420" i="12" s="1"/>
  <c r="K2444" i="12" s="1"/>
  <c r="K2468" i="12" s="1"/>
  <c r="K2492" i="12" s="1"/>
  <c r="K2516" i="12" s="1"/>
  <c r="K2540" i="12" s="1"/>
  <c r="K2564" i="12" s="1"/>
  <c r="K2588" i="12" s="1"/>
  <c r="K2612" i="12" s="1"/>
  <c r="K2636" i="12" s="1"/>
  <c r="K2660" i="12" s="1"/>
  <c r="K2684" i="12" s="1"/>
  <c r="K2708" i="12" s="1"/>
  <c r="K2732" i="12" s="1"/>
  <c r="K2756" i="12" s="1"/>
  <c r="K2780" i="12" s="1"/>
  <c r="K2804" i="12" s="1"/>
  <c r="K2828" i="12" s="1"/>
  <c r="K2852" i="12" s="1"/>
  <c r="K2876" i="12" s="1"/>
  <c r="K2900" i="12" s="1"/>
  <c r="K2924" i="12" s="1"/>
  <c r="K2948" i="12" s="1"/>
  <c r="K2972" i="12" s="1"/>
  <c r="K2996" i="12" s="1"/>
  <c r="K3020" i="12" s="1"/>
  <c r="K3044" i="12" s="1"/>
  <c r="K3068" i="12" s="1"/>
  <c r="K3092" i="12" s="1"/>
  <c r="K3116" i="12" s="1"/>
  <c r="K3140" i="12" s="1"/>
  <c r="K3164" i="12" s="1"/>
  <c r="K3188" i="12" s="1"/>
  <c r="K3212" i="12" s="1"/>
  <c r="K3236" i="12" s="1"/>
  <c r="K3260" i="12" s="1"/>
  <c r="K3284" i="12" s="1"/>
  <c r="K3308" i="12" s="1"/>
  <c r="K3332" i="12" s="1"/>
  <c r="K3356" i="12" s="1"/>
  <c r="K3380" i="12" s="1"/>
  <c r="K3404" i="12" s="1"/>
  <c r="K3428" i="12" s="1"/>
  <c r="K3452" i="12" s="1"/>
  <c r="K3476" i="12" s="1"/>
  <c r="K3500" i="12" s="1"/>
  <c r="K3524" i="12" s="1"/>
  <c r="K3548" i="12" s="1"/>
  <c r="K3572" i="12" s="1"/>
  <c r="K3596" i="12" s="1"/>
  <c r="K3620" i="12" s="1"/>
  <c r="K3644" i="12" s="1"/>
  <c r="K3668" i="12" s="1"/>
  <c r="K3692" i="12" s="1"/>
  <c r="K3716" i="12" s="1"/>
  <c r="K3740" i="12" s="1"/>
  <c r="K3764" i="12" s="1"/>
  <c r="K3788" i="12" s="1"/>
  <c r="K3812" i="12" s="1"/>
  <c r="K3836" i="12" s="1"/>
  <c r="K3860" i="12" s="1"/>
  <c r="K3884" i="12" s="1"/>
  <c r="K3908" i="12" s="1"/>
  <c r="K3932" i="12" s="1"/>
  <c r="K3956" i="12" s="1"/>
  <c r="K3980" i="12" s="1"/>
  <c r="K4004" i="12" s="1"/>
  <c r="K4028" i="12" s="1"/>
  <c r="K4052" i="12" s="1"/>
  <c r="K4076" i="12" s="1"/>
  <c r="K4100" i="12" s="1"/>
  <c r="K4124" i="12" s="1"/>
  <c r="K4148" i="12" s="1"/>
  <c r="K4172" i="12" s="1"/>
  <c r="K4196" i="12" s="1"/>
  <c r="K4220" i="12" s="1"/>
  <c r="K4244" i="12" s="1"/>
  <c r="K4268" i="12" s="1"/>
  <c r="K4292" i="12" s="1"/>
  <c r="K4316" i="12" s="1"/>
  <c r="K4340" i="12" s="1"/>
  <c r="K4364" i="12" s="1"/>
  <c r="K4388" i="12" s="1"/>
  <c r="K4412" i="12" s="1"/>
  <c r="K4436" i="12" s="1"/>
  <c r="K4460" i="12" s="1"/>
  <c r="K4484" i="12" s="1"/>
  <c r="K4508" i="12" s="1"/>
  <c r="K4532" i="12" s="1"/>
  <c r="K4556" i="12" s="1"/>
  <c r="K4580" i="12" s="1"/>
  <c r="K4604" i="12" s="1"/>
  <c r="K4628" i="12" s="1"/>
  <c r="K4652" i="12" s="1"/>
  <c r="K4676" i="12" s="1"/>
  <c r="K4700" i="12" s="1"/>
  <c r="K4724" i="12" s="1"/>
  <c r="K4748" i="12" s="1"/>
  <c r="K4772" i="12" s="1"/>
  <c r="K4796" i="12" s="1"/>
  <c r="K4820" i="12" s="1"/>
  <c r="K4844" i="12" s="1"/>
  <c r="K4868" i="12" s="1"/>
  <c r="K4892" i="12" s="1"/>
  <c r="K4916" i="12" s="1"/>
  <c r="K4940" i="12" s="1"/>
  <c r="K4964" i="12" s="1"/>
  <c r="K4988" i="12" s="1"/>
  <c r="K5012" i="12" s="1"/>
  <c r="K5036" i="12" s="1"/>
  <c r="K5060" i="12" s="1"/>
  <c r="K5084" i="12" s="1"/>
  <c r="K5108" i="12" s="1"/>
  <c r="K5132" i="12" s="1"/>
  <c r="K5156" i="12" s="1"/>
  <c r="K5180" i="12" s="1"/>
  <c r="K5204" i="12" s="1"/>
  <c r="K5228" i="12" s="1"/>
  <c r="K5252" i="12" s="1"/>
  <c r="K5276" i="12" s="1"/>
  <c r="K5300" i="12" s="1"/>
  <c r="K5324" i="12" s="1"/>
  <c r="K5348" i="12" s="1"/>
  <c r="K5372" i="12" s="1"/>
  <c r="K5396" i="12" s="1"/>
  <c r="K5420" i="12" s="1"/>
  <c r="K5444" i="12" s="1"/>
  <c r="K5468" i="12" s="1"/>
  <c r="K5492" i="12" s="1"/>
  <c r="K5516" i="12" s="1"/>
  <c r="K5540" i="12" s="1"/>
  <c r="K5564" i="12" s="1"/>
  <c r="K5588" i="12" s="1"/>
  <c r="K5612" i="12" s="1"/>
  <c r="K5636" i="12" s="1"/>
  <c r="K5660" i="12" s="1"/>
  <c r="K5684" i="12" s="1"/>
  <c r="K5708" i="12" s="1"/>
  <c r="K5732" i="12" s="1"/>
  <c r="K5756" i="12" s="1"/>
  <c r="K5780" i="12" s="1"/>
  <c r="K5804" i="12" s="1"/>
  <c r="K5828" i="12" s="1"/>
  <c r="K5852" i="12" s="1"/>
  <c r="K5876" i="12" s="1"/>
  <c r="K5900" i="12" s="1"/>
  <c r="K5924" i="12" s="1"/>
  <c r="K5948" i="12" s="1"/>
  <c r="K5972" i="12" s="1"/>
  <c r="K5996" i="12" s="1"/>
  <c r="K6020" i="12" s="1"/>
  <c r="K6044" i="12" s="1"/>
  <c r="K6068" i="12" s="1"/>
  <c r="K6092" i="12" s="1"/>
  <c r="K6116" i="12" s="1"/>
  <c r="K6140" i="12" s="1"/>
  <c r="K6164" i="12" s="1"/>
  <c r="K6188" i="12" s="1"/>
  <c r="K6212" i="12" s="1"/>
  <c r="K6236" i="12" s="1"/>
  <c r="K6260" i="12" s="1"/>
  <c r="K6284" i="12" s="1"/>
  <c r="K6308" i="12" s="1"/>
  <c r="K6332" i="12" s="1"/>
  <c r="K6356" i="12" s="1"/>
  <c r="K6380" i="12" s="1"/>
  <c r="K6404" i="12" s="1"/>
  <c r="K6428" i="12" s="1"/>
  <c r="K6452" i="12" s="1"/>
  <c r="K6476" i="12" s="1"/>
  <c r="K6500" i="12" s="1"/>
  <c r="K6524" i="12" s="1"/>
  <c r="K6548" i="12" s="1"/>
  <c r="K6572" i="12" s="1"/>
  <c r="K6596" i="12" s="1"/>
  <c r="K6620" i="12" s="1"/>
  <c r="K6644" i="12" s="1"/>
  <c r="K6668" i="12" s="1"/>
  <c r="K6692" i="12" s="1"/>
  <c r="K6716" i="12" s="1"/>
  <c r="K6740" i="12" s="1"/>
  <c r="K6764" i="12" s="1"/>
  <c r="K6788" i="12" s="1"/>
  <c r="K6812" i="12" s="1"/>
  <c r="K6836" i="12" s="1"/>
  <c r="K6860" i="12" s="1"/>
  <c r="K6884" i="12" s="1"/>
  <c r="K6908" i="12" s="1"/>
  <c r="K6932" i="12" s="1"/>
  <c r="K6956" i="12" s="1"/>
  <c r="K6980" i="12" s="1"/>
  <c r="K7004" i="12" s="1"/>
  <c r="K7028" i="12" s="1"/>
  <c r="K7052" i="12" s="1"/>
  <c r="K7076" i="12" s="1"/>
  <c r="K7100" i="12" s="1"/>
  <c r="K7124" i="12" s="1"/>
  <c r="K7148" i="12" s="1"/>
  <c r="K7172" i="12" s="1"/>
  <c r="K7196" i="12" s="1"/>
  <c r="K7220" i="12" s="1"/>
  <c r="K7244" i="12" s="1"/>
  <c r="K7268" i="12" s="1"/>
  <c r="K7292" i="12" s="1"/>
  <c r="K7316" i="12" s="1"/>
  <c r="K7340" i="12" s="1"/>
  <c r="K7364" i="12" s="1"/>
  <c r="K7388" i="12" s="1"/>
  <c r="K7412" i="12" s="1"/>
  <c r="K7436" i="12" s="1"/>
  <c r="K7460" i="12" s="1"/>
  <c r="K7484" i="12" s="1"/>
  <c r="K7508" i="12" s="1"/>
  <c r="K7532" i="12" s="1"/>
  <c r="K7556" i="12" s="1"/>
  <c r="K7580" i="12" s="1"/>
  <c r="K7604" i="12" s="1"/>
  <c r="K7628" i="12" s="1"/>
  <c r="K7652" i="12" s="1"/>
  <c r="K7676" i="12" s="1"/>
  <c r="K7700" i="12" s="1"/>
  <c r="K7724" i="12" s="1"/>
  <c r="K7748" i="12" s="1"/>
  <c r="K7772" i="12" s="1"/>
  <c r="K7796" i="12" s="1"/>
  <c r="K7820" i="12" s="1"/>
  <c r="K7844" i="12" s="1"/>
  <c r="K7868" i="12" s="1"/>
  <c r="K7892" i="12" s="1"/>
  <c r="K7916" i="12" s="1"/>
  <c r="K7940" i="12" s="1"/>
  <c r="K7964" i="12" s="1"/>
  <c r="K7988" i="12" s="1"/>
  <c r="K8012" i="12" s="1"/>
  <c r="K8036" i="12" s="1"/>
  <c r="K8060" i="12" s="1"/>
  <c r="K8084" i="12" s="1"/>
  <c r="K8108" i="12" s="1"/>
  <c r="K8132" i="12" s="1"/>
  <c r="K8156" i="12" s="1"/>
  <c r="K8180" i="12" s="1"/>
  <c r="K8204" i="12" s="1"/>
  <c r="K8228" i="12" s="1"/>
  <c r="K8252" i="12" s="1"/>
  <c r="K8276" i="12" s="1"/>
  <c r="K8300" i="12" s="1"/>
  <c r="K8324" i="12" s="1"/>
  <c r="K8348" i="12" s="1"/>
  <c r="K8372" i="12" s="1"/>
  <c r="K8396" i="12" s="1"/>
  <c r="K8420" i="12" s="1"/>
  <c r="K8444" i="12" s="1"/>
  <c r="K8468" i="12" s="1"/>
  <c r="K8492" i="12" s="1"/>
  <c r="K8516" i="12" s="1"/>
  <c r="K8540" i="12" s="1"/>
  <c r="K8564" i="12" s="1"/>
  <c r="K8588" i="12" s="1"/>
  <c r="K8612" i="12" s="1"/>
  <c r="K8636" i="12" s="1"/>
  <c r="K8660" i="12" s="1"/>
  <c r="K8684" i="12" s="1"/>
  <c r="K8708" i="12" s="1"/>
  <c r="K8732" i="12" s="1"/>
  <c r="K43" i="12"/>
  <c r="K67" i="12" s="1"/>
  <c r="K91" i="12" s="1"/>
  <c r="K115" i="12" s="1"/>
  <c r="K139" i="12" s="1"/>
  <c r="K163" i="12" s="1"/>
  <c r="K187" i="12" s="1"/>
  <c r="K211" i="12" s="1"/>
  <c r="K235" i="12" s="1"/>
  <c r="K259" i="12" s="1"/>
  <c r="K283" i="12" s="1"/>
  <c r="K307" i="12" s="1"/>
  <c r="K331" i="12" s="1"/>
  <c r="K355" i="12" s="1"/>
  <c r="K379" i="12" s="1"/>
  <c r="K403" i="12" s="1"/>
  <c r="K427" i="12" s="1"/>
  <c r="K451" i="12" s="1"/>
  <c r="K475" i="12" s="1"/>
  <c r="K499" i="12" s="1"/>
  <c r="K523" i="12" s="1"/>
  <c r="K547" i="12" s="1"/>
  <c r="K571" i="12" s="1"/>
  <c r="K595" i="12" s="1"/>
  <c r="K619" i="12" s="1"/>
  <c r="K643" i="12" s="1"/>
  <c r="K667" i="12" s="1"/>
  <c r="K691" i="12" s="1"/>
  <c r="K715" i="12" s="1"/>
  <c r="K739" i="12" s="1"/>
  <c r="K763" i="12" s="1"/>
  <c r="K787" i="12" s="1"/>
  <c r="K811" i="12" s="1"/>
  <c r="K835" i="12" s="1"/>
  <c r="K859" i="12" s="1"/>
  <c r="K883" i="12" s="1"/>
  <c r="K907" i="12" s="1"/>
  <c r="K931" i="12" s="1"/>
  <c r="K955" i="12" s="1"/>
  <c r="K979" i="12" s="1"/>
  <c r="K1003" i="12" s="1"/>
  <c r="K1027" i="12" s="1"/>
  <c r="K1051" i="12" s="1"/>
  <c r="K1075" i="12" s="1"/>
  <c r="K1099" i="12" s="1"/>
  <c r="K1123" i="12" s="1"/>
  <c r="K1147" i="12" s="1"/>
  <c r="K1171" i="12" s="1"/>
  <c r="K1195" i="12" s="1"/>
  <c r="K1219" i="12" s="1"/>
  <c r="K1243" i="12" s="1"/>
  <c r="K1267" i="12" s="1"/>
  <c r="K1291" i="12" s="1"/>
  <c r="K1315" i="12" s="1"/>
  <c r="K1339" i="12" s="1"/>
  <c r="K1363" i="12" s="1"/>
  <c r="K1387" i="12" s="1"/>
  <c r="K1411" i="12" s="1"/>
  <c r="K1435" i="12" s="1"/>
  <c r="K1459" i="12" s="1"/>
  <c r="K1483" i="12" s="1"/>
  <c r="K1507" i="12" s="1"/>
  <c r="K1531" i="12" s="1"/>
  <c r="K1555" i="12" s="1"/>
  <c r="K1579" i="12" s="1"/>
  <c r="K1603" i="12" s="1"/>
  <c r="K1627" i="12" s="1"/>
  <c r="K1651" i="12" s="1"/>
  <c r="K1675" i="12" s="1"/>
  <c r="K1699" i="12" s="1"/>
  <c r="K1723" i="12" s="1"/>
  <c r="K1747" i="12" s="1"/>
  <c r="K1771" i="12" s="1"/>
  <c r="K1795" i="12" s="1"/>
  <c r="K1819" i="12" s="1"/>
  <c r="K1843" i="12" s="1"/>
  <c r="K1867" i="12" s="1"/>
  <c r="K1891" i="12" s="1"/>
  <c r="K1915" i="12" s="1"/>
  <c r="K1939" i="12" s="1"/>
  <c r="K1963" i="12" s="1"/>
  <c r="K1987" i="12" s="1"/>
  <c r="K2011" i="12" s="1"/>
  <c r="K2035" i="12" s="1"/>
  <c r="K2059" i="12" s="1"/>
  <c r="K2083" i="12" s="1"/>
  <c r="K2107" i="12" s="1"/>
  <c r="K2131" i="12" s="1"/>
  <c r="K2155" i="12" s="1"/>
  <c r="K2179" i="12" s="1"/>
  <c r="K2203" i="12" s="1"/>
  <c r="K2227" i="12" s="1"/>
  <c r="K2251" i="12" s="1"/>
  <c r="K2275" i="12" s="1"/>
  <c r="K2299" i="12" s="1"/>
  <c r="K2323" i="12" s="1"/>
  <c r="K2347" i="12" s="1"/>
  <c r="K2371" i="12" s="1"/>
  <c r="K2395" i="12" s="1"/>
  <c r="K2419" i="12" s="1"/>
  <c r="K2443" i="12" s="1"/>
  <c r="K2467" i="12" s="1"/>
  <c r="K2491" i="12" s="1"/>
  <c r="K2515" i="12" s="1"/>
  <c r="K2539" i="12" s="1"/>
  <c r="K2563" i="12" s="1"/>
  <c r="K2587" i="12" s="1"/>
  <c r="K2611" i="12" s="1"/>
  <c r="K2635" i="12" s="1"/>
  <c r="K2659" i="12" s="1"/>
  <c r="K2683" i="12" s="1"/>
  <c r="K2707" i="12" s="1"/>
  <c r="K2731" i="12" s="1"/>
  <c r="K2755" i="12" s="1"/>
  <c r="K2779" i="12" s="1"/>
  <c r="K2803" i="12" s="1"/>
  <c r="K2827" i="12" s="1"/>
  <c r="K2851" i="12" s="1"/>
  <c r="K2875" i="12" s="1"/>
  <c r="K2899" i="12" s="1"/>
  <c r="K2923" i="12" s="1"/>
  <c r="K2947" i="12" s="1"/>
  <c r="K2971" i="12" s="1"/>
  <c r="K2995" i="12" s="1"/>
  <c r="K3019" i="12" s="1"/>
  <c r="K3043" i="12" s="1"/>
  <c r="K3067" i="12" s="1"/>
  <c r="K3091" i="12" s="1"/>
  <c r="K3115" i="12" s="1"/>
  <c r="K3139" i="12" s="1"/>
  <c r="K3163" i="12" s="1"/>
  <c r="K3187" i="12" s="1"/>
  <c r="K3211" i="12" s="1"/>
  <c r="K3235" i="12" s="1"/>
  <c r="K3259" i="12" s="1"/>
  <c r="K3283" i="12" s="1"/>
  <c r="K3307" i="12" s="1"/>
  <c r="K3331" i="12" s="1"/>
  <c r="K3355" i="12" s="1"/>
  <c r="K3379" i="12" s="1"/>
  <c r="K3403" i="12" s="1"/>
  <c r="K3427" i="12" s="1"/>
  <c r="K3451" i="12" s="1"/>
  <c r="K3475" i="12" s="1"/>
  <c r="K3499" i="12" s="1"/>
  <c r="K3523" i="12" s="1"/>
  <c r="K3547" i="12" s="1"/>
  <c r="K3571" i="12" s="1"/>
  <c r="K3595" i="12" s="1"/>
  <c r="K3619" i="12" s="1"/>
  <c r="K3643" i="12" s="1"/>
  <c r="K3667" i="12" s="1"/>
  <c r="K3691" i="12" s="1"/>
  <c r="K3715" i="12" s="1"/>
  <c r="K3739" i="12" s="1"/>
  <c r="K3763" i="12" s="1"/>
  <c r="K3787" i="12" s="1"/>
  <c r="K3811" i="12" s="1"/>
  <c r="K3835" i="12" s="1"/>
  <c r="K3859" i="12" s="1"/>
  <c r="K3883" i="12" s="1"/>
  <c r="K3907" i="12" s="1"/>
  <c r="K3931" i="12" s="1"/>
  <c r="K3955" i="12" s="1"/>
  <c r="K3979" i="12" s="1"/>
  <c r="K4003" i="12" s="1"/>
  <c r="K4027" i="12" s="1"/>
  <c r="K4051" i="12" s="1"/>
  <c r="K4075" i="12" s="1"/>
  <c r="K4099" i="12" s="1"/>
  <c r="K4123" i="12" s="1"/>
  <c r="K4147" i="12" s="1"/>
  <c r="K4171" i="12" s="1"/>
  <c r="K4195" i="12" s="1"/>
  <c r="K4219" i="12" s="1"/>
  <c r="K4243" i="12" s="1"/>
  <c r="K4267" i="12" s="1"/>
  <c r="K4291" i="12" s="1"/>
  <c r="K4315" i="12" s="1"/>
  <c r="K4339" i="12" s="1"/>
  <c r="K4363" i="12" s="1"/>
  <c r="K4387" i="12" s="1"/>
  <c r="K4411" i="12" s="1"/>
  <c r="K4435" i="12" s="1"/>
  <c r="K4459" i="12" s="1"/>
  <c r="K4483" i="12" s="1"/>
  <c r="K4507" i="12" s="1"/>
  <c r="K4531" i="12" s="1"/>
  <c r="K4555" i="12" s="1"/>
  <c r="K4579" i="12" s="1"/>
  <c r="K4603" i="12" s="1"/>
  <c r="K4627" i="12" s="1"/>
  <c r="K4651" i="12" s="1"/>
  <c r="K4675" i="12" s="1"/>
  <c r="K4699" i="12" s="1"/>
  <c r="K4723" i="12" s="1"/>
  <c r="K4747" i="12" s="1"/>
  <c r="K4771" i="12" s="1"/>
  <c r="K4795" i="12" s="1"/>
  <c r="K4819" i="12" s="1"/>
  <c r="K4843" i="12" s="1"/>
  <c r="K4867" i="12" s="1"/>
  <c r="K4891" i="12" s="1"/>
  <c r="K4915" i="12" s="1"/>
  <c r="K4939" i="12" s="1"/>
  <c r="K4963" i="12" s="1"/>
  <c r="K4987" i="12" s="1"/>
  <c r="K5011" i="12" s="1"/>
  <c r="K5035" i="12" s="1"/>
  <c r="K5059" i="12" s="1"/>
  <c r="K5083" i="12" s="1"/>
  <c r="K5107" i="12" s="1"/>
  <c r="K5131" i="12" s="1"/>
  <c r="K5155" i="12" s="1"/>
  <c r="K5179" i="12" s="1"/>
  <c r="K5203" i="12" s="1"/>
  <c r="K5227" i="12" s="1"/>
  <c r="K5251" i="12" s="1"/>
  <c r="K5275" i="12" s="1"/>
  <c r="K5299" i="12" s="1"/>
  <c r="K5323" i="12" s="1"/>
  <c r="K5347" i="12" s="1"/>
  <c r="K5371" i="12" s="1"/>
  <c r="K5395" i="12" s="1"/>
  <c r="K5419" i="12" s="1"/>
  <c r="K5443" i="12" s="1"/>
  <c r="K5467" i="12" s="1"/>
  <c r="K5491" i="12" s="1"/>
  <c r="K5515" i="12" s="1"/>
  <c r="K5539" i="12" s="1"/>
  <c r="K5563" i="12" s="1"/>
  <c r="K5587" i="12" s="1"/>
  <c r="K5611" i="12" s="1"/>
  <c r="K5635" i="12" s="1"/>
  <c r="K5659" i="12" s="1"/>
  <c r="K5683" i="12" s="1"/>
  <c r="K5707" i="12" s="1"/>
  <c r="K5731" i="12" s="1"/>
  <c r="K5755" i="12" s="1"/>
  <c r="K5779" i="12" s="1"/>
  <c r="K5803" i="12" s="1"/>
  <c r="K5827" i="12" s="1"/>
  <c r="K5851" i="12" s="1"/>
  <c r="K5875" i="12" s="1"/>
  <c r="K5899" i="12" s="1"/>
  <c r="K5923" i="12" s="1"/>
  <c r="K5947" i="12" s="1"/>
  <c r="K5971" i="12" s="1"/>
  <c r="K5995" i="12" s="1"/>
  <c r="K6019" i="12" s="1"/>
  <c r="K6043" i="12" s="1"/>
  <c r="K6067" i="12" s="1"/>
  <c r="K6091" i="12" s="1"/>
  <c r="K6115" i="12" s="1"/>
  <c r="K6139" i="12" s="1"/>
  <c r="K6163" i="12" s="1"/>
  <c r="K6187" i="12" s="1"/>
  <c r="K6211" i="12" s="1"/>
  <c r="K6235" i="12" s="1"/>
  <c r="K6259" i="12" s="1"/>
  <c r="K6283" i="12" s="1"/>
  <c r="K6307" i="12" s="1"/>
  <c r="K6331" i="12" s="1"/>
  <c r="K6355" i="12" s="1"/>
  <c r="K6379" i="12" s="1"/>
  <c r="K6403" i="12" s="1"/>
  <c r="K6427" i="12" s="1"/>
  <c r="K6451" i="12" s="1"/>
  <c r="K6475" i="12" s="1"/>
  <c r="K6499" i="12" s="1"/>
  <c r="K6523" i="12" s="1"/>
  <c r="K6547" i="12" s="1"/>
  <c r="K6571" i="12" s="1"/>
  <c r="K6595" i="12" s="1"/>
  <c r="K6619" i="12" s="1"/>
  <c r="K6643" i="12" s="1"/>
  <c r="K6667" i="12" s="1"/>
  <c r="K6691" i="12" s="1"/>
  <c r="K6715" i="12" s="1"/>
  <c r="K6739" i="12" s="1"/>
  <c r="K6763" i="12" s="1"/>
  <c r="K6787" i="12" s="1"/>
  <c r="K6811" i="12" s="1"/>
  <c r="K6835" i="12" s="1"/>
  <c r="K6859" i="12" s="1"/>
  <c r="K6883" i="12" s="1"/>
  <c r="K6907" i="12" s="1"/>
  <c r="K6931" i="12" s="1"/>
  <c r="K6955" i="12" s="1"/>
  <c r="K6979" i="12" s="1"/>
  <c r="K7003" i="12" s="1"/>
  <c r="K7027" i="12" s="1"/>
  <c r="K7051" i="12" s="1"/>
  <c r="K7075" i="12" s="1"/>
  <c r="K7099" i="12" s="1"/>
  <c r="K7123" i="12" s="1"/>
  <c r="K7147" i="12" s="1"/>
  <c r="K7171" i="12" s="1"/>
  <c r="K7195" i="12" s="1"/>
  <c r="K7219" i="12" s="1"/>
  <c r="K7243" i="12" s="1"/>
  <c r="K7267" i="12" s="1"/>
  <c r="K7291" i="12" s="1"/>
  <c r="K7315" i="12" s="1"/>
  <c r="K7339" i="12" s="1"/>
  <c r="K7363" i="12" s="1"/>
  <c r="K7387" i="12" s="1"/>
  <c r="K7411" i="12" s="1"/>
  <c r="K7435" i="12" s="1"/>
  <c r="K7459" i="12" s="1"/>
  <c r="K7483" i="12" s="1"/>
  <c r="K7507" i="12" s="1"/>
  <c r="K7531" i="12" s="1"/>
  <c r="K7555" i="12" s="1"/>
  <c r="K7579" i="12" s="1"/>
  <c r="K7603" i="12" s="1"/>
  <c r="K7627" i="12" s="1"/>
  <c r="K7651" i="12" s="1"/>
  <c r="K7675" i="12" s="1"/>
  <c r="K7699" i="12" s="1"/>
  <c r="K7723" i="12" s="1"/>
  <c r="K7747" i="12" s="1"/>
  <c r="K7771" i="12" s="1"/>
  <c r="K7795" i="12" s="1"/>
  <c r="K7819" i="12" s="1"/>
  <c r="K7843" i="12" s="1"/>
  <c r="K7867" i="12" s="1"/>
  <c r="K7891" i="12" s="1"/>
  <c r="K7915" i="12" s="1"/>
  <c r="K7939" i="12" s="1"/>
  <c r="K7963" i="12" s="1"/>
  <c r="K7987" i="12" s="1"/>
  <c r="K8011" i="12" s="1"/>
  <c r="K8035" i="12" s="1"/>
  <c r="K8059" i="12" s="1"/>
  <c r="K8083" i="12" s="1"/>
  <c r="K8107" i="12" s="1"/>
  <c r="K8131" i="12" s="1"/>
  <c r="K8155" i="12" s="1"/>
  <c r="K8179" i="12" s="1"/>
  <c r="K8203" i="12" s="1"/>
  <c r="K8227" i="12" s="1"/>
  <c r="K8251" i="12" s="1"/>
  <c r="K8275" i="12" s="1"/>
  <c r="K8299" i="12" s="1"/>
  <c r="K8323" i="12" s="1"/>
  <c r="K8347" i="12" s="1"/>
  <c r="K8371" i="12" s="1"/>
  <c r="K8395" i="12" s="1"/>
  <c r="K8419" i="12" s="1"/>
  <c r="K8443" i="12" s="1"/>
  <c r="K8467" i="12" s="1"/>
  <c r="K8491" i="12" s="1"/>
  <c r="K8515" i="12" s="1"/>
  <c r="K8539" i="12" s="1"/>
  <c r="K8563" i="12" s="1"/>
  <c r="K8587" i="12" s="1"/>
  <c r="K8611" i="12" s="1"/>
  <c r="K8635" i="12" s="1"/>
  <c r="K8659" i="12" s="1"/>
  <c r="K8683" i="12" s="1"/>
  <c r="K8707" i="12" s="1"/>
  <c r="K8731" i="12" s="1"/>
  <c r="K42" i="12"/>
  <c r="K66" i="12" s="1"/>
  <c r="K90" i="12" s="1"/>
  <c r="K114" i="12" s="1"/>
  <c r="K138" i="12" s="1"/>
  <c r="K162" i="12" s="1"/>
  <c r="K186" i="12" s="1"/>
  <c r="K210" i="12" s="1"/>
  <c r="K234" i="12" s="1"/>
  <c r="K258" i="12" s="1"/>
  <c r="K282" i="12" s="1"/>
  <c r="K306" i="12" s="1"/>
  <c r="K330" i="12" s="1"/>
  <c r="K354" i="12" s="1"/>
  <c r="K378" i="12" s="1"/>
  <c r="K402" i="12" s="1"/>
  <c r="K426" i="12" s="1"/>
  <c r="K450" i="12" s="1"/>
  <c r="K474" i="12" s="1"/>
  <c r="K498" i="12" s="1"/>
  <c r="K522" i="12" s="1"/>
  <c r="K546" i="12" s="1"/>
  <c r="K570" i="12" s="1"/>
  <c r="K594" i="12" s="1"/>
  <c r="K618" i="12" s="1"/>
  <c r="K642" i="12" s="1"/>
  <c r="K666" i="12" s="1"/>
  <c r="K690" i="12" s="1"/>
  <c r="K714" i="12" s="1"/>
  <c r="K738" i="12" s="1"/>
  <c r="K762" i="12" s="1"/>
  <c r="K786" i="12" s="1"/>
  <c r="K810" i="12" s="1"/>
  <c r="K834" i="12" s="1"/>
  <c r="K858" i="12" s="1"/>
  <c r="K882" i="12" s="1"/>
  <c r="K906" i="12" s="1"/>
  <c r="K930" i="12" s="1"/>
  <c r="K954" i="12" s="1"/>
  <c r="K978" i="12" s="1"/>
  <c r="K1002" i="12" s="1"/>
  <c r="K1026" i="12" s="1"/>
  <c r="K1050" i="12" s="1"/>
  <c r="K1074" i="12" s="1"/>
  <c r="K1098" i="12" s="1"/>
  <c r="K1122" i="12" s="1"/>
  <c r="K1146" i="12" s="1"/>
  <c r="K1170" i="12" s="1"/>
  <c r="K1194" i="12" s="1"/>
  <c r="K1218" i="12" s="1"/>
  <c r="K1242" i="12" s="1"/>
  <c r="K1266" i="12" s="1"/>
  <c r="K1290" i="12" s="1"/>
  <c r="K1314" i="12" s="1"/>
  <c r="K1338" i="12" s="1"/>
  <c r="K1362" i="12" s="1"/>
  <c r="K1386" i="12" s="1"/>
  <c r="K1410" i="12" s="1"/>
  <c r="K1434" i="12" s="1"/>
  <c r="K1458" i="12" s="1"/>
  <c r="K1482" i="12" s="1"/>
  <c r="K1506" i="12" s="1"/>
  <c r="K1530" i="12" s="1"/>
  <c r="K1554" i="12" s="1"/>
  <c r="K1578" i="12" s="1"/>
  <c r="K1602" i="12" s="1"/>
  <c r="K1626" i="12" s="1"/>
  <c r="K1650" i="12" s="1"/>
  <c r="K1674" i="12" s="1"/>
  <c r="K1698" i="12" s="1"/>
  <c r="K1722" i="12" s="1"/>
  <c r="K1746" i="12" s="1"/>
  <c r="K1770" i="12" s="1"/>
  <c r="K1794" i="12" s="1"/>
  <c r="K1818" i="12" s="1"/>
  <c r="K1842" i="12" s="1"/>
  <c r="K1866" i="12" s="1"/>
  <c r="K1890" i="12" s="1"/>
  <c r="K1914" i="12" s="1"/>
  <c r="K1938" i="12" s="1"/>
  <c r="K1962" i="12" s="1"/>
  <c r="K1986" i="12" s="1"/>
  <c r="K2010" i="12" s="1"/>
  <c r="K2034" i="12" s="1"/>
  <c r="K2058" i="12" s="1"/>
  <c r="K2082" i="12" s="1"/>
  <c r="K2106" i="12" s="1"/>
  <c r="K2130" i="12" s="1"/>
  <c r="K2154" i="12" s="1"/>
  <c r="K2178" i="12" s="1"/>
  <c r="K2202" i="12" s="1"/>
  <c r="K2226" i="12" s="1"/>
  <c r="K2250" i="12" s="1"/>
  <c r="K2274" i="12" s="1"/>
  <c r="K2298" i="12" s="1"/>
  <c r="K2322" i="12" s="1"/>
  <c r="K2346" i="12" s="1"/>
  <c r="K2370" i="12" s="1"/>
  <c r="K2394" i="12" s="1"/>
  <c r="K2418" i="12" s="1"/>
  <c r="K2442" i="12" s="1"/>
  <c r="K2466" i="12" s="1"/>
  <c r="K2490" i="12" s="1"/>
  <c r="K2514" i="12" s="1"/>
  <c r="K2538" i="12" s="1"/>
  <c r="K2562" i="12" s="1"/>
  <c r="K2586" i="12" s="1"/>
  <c r="K2610" i="12" s="1"/>
  <c r="K2634" i="12" s="1"/>
  <c r="K2658" i="12" s="1"/>
  <c r="K2682" i="12" s="1"/>
  <c r="K2706" i="12" s="1"/>
  <c r="K2730" i="12" s="1"/>
  <c r="K2754" i="12" s="1"/>
  <c r="K2778" i="12" s="1"/>
  <c r="K2802" i="12" s="1"/>
  <c r="K2826" i="12" s="1"/>
  <c r="K2850" i="12" s="1"/>
  <c r="K2874" i="12" s="1"/>
  <c r="K2898" i="12" s="1"/>
  <c r="K2922" i="12" s="1"/>
  <c r="K2946" i="12" s="1"/>
  <c r="K2970" i="12" s="1"/>
  <c r="K2994" i="12" s="1"/>
  <c r="K3018" i="12" s="1"/>
  <c r="K3042" i="12" s="1"/>
  <c r="K3066" i="12" s="1"/>
  <c r="K3090" i="12" s="1"/>
  <c r="K3114" i="12" s="1"/>
  <c r="K3138" i="12" s="1"/>
  <c r="K3162" i="12" s="1"/>
  <c r="K3186" i="12" s="1"/>
  <c r="K3210" i="12" s="1"/>
  <c r="K3234" i="12" s="1"/>
  <c r="K3258" i="12" s="1"/>
  <c r="K3282" i="12" s="1"/>
  <c r="K3306" i="12" s="1"/>
  <c r="K3330" i="12" s="1"/>
  <c r="K3354" i="12" s="1"/>
  <c r="K3378" i="12" s="1"/>
  <c r="K3402" i="12" s="1"/>
  <c r="K3426" i="12" s="1"/>
  <c r="K3450" i="12" s="1"/>
  <c r="K3474" i="12" s="1"/>
  <c r="K3498" i="12" s="1"/>
  <c r="K3522" i="12" s="1"/>
  <c r="K3546" i="12" s="1"/>
  <c r="K3570" i="12" s="1"/>
  <c r="K3594" i="12" s="1"/>
  <c r="K3618" i="12" s="1"/>
  <c r="K3642" i="12" s="1"/>
  <c r="K3666" i="12" s="1"/>
  <c r="K3690" i="12" s="1"/>
  <c r="K3714" i="12" s="1"/>
  <c r="K3738" i="12" s="1"/>
  <c r="K3762" i="12" s="1"/>
  <c r="K3786" i="12" s="1"/>
  <c r="K3810" i="12" s="1"/>
  <c r="K3834" i="12" s="1"/>
  <c r="K3858" i="12" s="1"/>
  <c r="K3882" i="12" s="1"/>
  <c r="K3906" i="12" s="1"/>
  <c r="K3930" i="12" s="1"/>
  <c r="K3954" i="12" s="1"/>
  <c r="K3978" i="12" s="1"/>
  <c r="K4002" i="12" s="1"/>
  <c r="K4026" i="12" s="1"/>
  <c r="K4050" i="12" s="1"/>
  <c r="K4074" i="12" s="1"/>
  <c r="K4098" i="12" s="1"/>
  <c r="K4122" i="12" s="1"/>
  <c r="K4146" i="12" s="1"/>
  <c r="K4170" i="12" s="1"/>
  <c r="K4194" i="12" s="1"/>
  <c r="K4218" i="12" s="1"/>
  <c r="K4242" i="12" s="1"/>
  <c r="K4266" i="12" s="1"/>
  <c r="K4290" i="12" s="1"/>
  <c r="K4314" i="12" s="1"/>
  <c r="K4338" i="12" s="1"/>
  <c r="K4362" i="12" s="1"/>
  <c r="K4386" i="12" s="1"/>
  <c r="K4410" i="12" s="1"/>
  <c r="K4434" i="12" s="1"/>
  <c r="K4458" i="12" s="1"/>
  <c r="K4482" i="12" s="1"/>
  <c r="K4506" i="12" s="1"/>
  <c r="K4530" i="12" s="1"/>
  <c r="K4554" i="12" s="1"/>
  <c r="K4578" i="12" s="1"/>
  <c r="K4602" i="12" s="1"/>
  <c r="K4626" i="12" s="1"/>
  <c r="K4650" i="12" s="1"/>
  <c r="K4674" i="12" s="1"/>
  <c r="K4698" i="12" s="1"/>
  <c r="K4722" i="12" s="1"/>
  <c r="K4746" i="12" s="1"/>
  <c r="K4770" i="12" s="1"/>
  <c r="K4794" i="12" s="1"/>
  <c r="K4818" i="12" s="1"/>
  <c r="K4842" i="12" s="1"/>
  <c r="K4866" i="12" s="1"/>
  <c r="K4890" i="12" s="1"/>
  <c r="K4914" i="12" s="1"/>
  <c r="K4938" i="12" s="1"/>
  <c r="K4962" i="12" s="1"/>
  <c r="K4986" i="12" s="1"/>
  <c r="K5010" i="12" s="1"/>
  <c r="K5034" i="12" s="1"/>
  <c r="K5058" i="12" s="1"/>
  <c r="K5082" i="12" s="1"/>
  <c r="K5106" i="12" s="1"/>
  <c r="K5130" i="12" s="1"/>
  <c r="K5154" i="12" s="1"/>
  <c r="K5178" i="12" s="1"/>
  <c r="K5202" i="12" s="1"/>
  <c r="K5226" i="12" s="1"/>
  <c r="K5250" i="12" s="1"/>
  <c r="K5274" i="12" s="1"/>
  <c r="K5298" i="12" s="1"/>
  <c r="K5322" i="12" s="1"/>
  <c r="K5346" i="12" s="1"/>
  <c r="K5370" i="12" s="1"/>
  <c r="K5394" i="12" s="1"/>
  <c r="K5418" i="12" s="1"/>
  <c r="K5442" i="12" s="1"/>
  <c r="K5466" i="12" s="1"/>
  <c r="K5490" i="12" s="1"/>
  <c r="K5514" i="12" s="1"/>
  <c r="K5538" i="12" s="1"/>
  <c r="K5562" i="12" s="1"/>
  <c r="K5586" i="12" s="1"/>
  <c r="K5610" i="12" s="1"/>
  <c r="K5634" i="12" s="1"/>
  <c r="K5658" i="12" s="1"/>
  <c r="K5682" i="12" s="1"/>
  <c r="K5706" i="12" s="1"/>
  <c r="K5730" i="12" s="1"/>
  <c r="K5754" i="12" s="1"/>
  <c r="K5778" i="12" s="1"/>
  <c r="K5802" i="12" s="1"/>
  <c r="K5826" i="12" s="1"/>
  <c r="K5850" i="12" s="1"/>
  <c r="K5874" i="12" s="1"/>
  <c r="K5898" i="12" s="1"/>
  <c r="K5922" i="12" s="1"/>
  <c r="K5946" i="12" s="1"/>
  <c r="K5970" i="12" s="1"/>
  <c r="K5994" i="12" s="1"/>
  <c r="K6018" i="12" s="1"/>
  <c r="K6042" i="12" s="1"/>
  <c r="K6066" i="12" s="1"/>
  <c r="K6090" i="12" s="1"/>
  <c r="K6114" i="12" s="1"/>
  <c r="K6138" i="12" s="1"/>
  <c r="K6162" i="12" s="1"/>
  <c r="K6186" i="12" s="1"/>
  <c r="K6210" i="12" s="1"/>
  <c r="K6234" i="12" s="1"/>
  <c r="K6258" i="12" s="1"/>
  <c r="K6282" i="12" s="1"/>
  <c r="K6306" i="12" s="1"/>
  <c r="K6330" i="12" s="1"/>
  <c r="K6354" i="12" s="1"/>
  <c r="K6378" i="12" s="1"/>
  <c r="K6402" i="12" s="1"/>
  <c r="K6426" i="12" s="1"/>
  <c r="K6450" i="12" s="1"/>
  <c r="K6474" i="12" s="1"/>
  <c r="K6498" i="12" s="1"/>
  <c r="K6522" i="12" s="1"/>
  <c r="K6546" i="12" s="1"/>
  <c r="K6570" i="12" s="1"/>
  <c r="K6594" i="12" s="1"/>
  <c r="K6618" i="12" s="1"/>
  <c r="K6642" i="12" s="1"/>
  <c r="K6666" i="12" s="1"/>
  <c r="K6690" i="12" s="1"/>
  <c r="K6714" i="12" s="1"/>
  <c r="K6738" i="12" s="1"/>
  <c r="K6762" i="12" s="1"/>
  <c r="K6786" i="12" s="1"/>
  <c r="K6810" i="12" s="1"/>
  <c r="K6834" i="12" s="1"/>
  <c r="K6858" i="12" s="1"/>
  <c r="K6882" i="12" s="1"/>
  <c r="K6906" i="12" s="1"/>
  <c r="K6930" i="12" s="1"/>
  <c r="K6954" i="12" s="1"/>
  <c r="K6978" i="12" s="1"/>
  <c r="K7002" i="12" s="1"/>
  <c r="K7026" i="12" s="1"/>
  <c r="K7050" i="12" s="1"/>
  <c r="K7074" i="12" s="1"/>
  <c r="K7098" i="12" s="1"/>
  <c r="K7122" i="12" s="1"/>
  <c r="K7146" i="12" s="1"/>
  <c r="K7170" i="12" s="1"/>
  <c r="K7194" i="12" s="1"/>
  <c r="K7218" i="12" s="1"/>
  <c r="K7242" i="12" s="1"/>
  <c r="K7266" i="12" s="1"/>
  <c r="K7290" i="12" s="1"/>
  <c r="K7314" i="12" s="1"/>
  <c r="K7338" i="12" s="1"/>
  <c r="K7362" i="12" s="1"/>
  <c r="K7386" i="12" s="1"/>
  <c r="K7410" i="12" s="1"/>
  <c r="K7434" i="12" s="1"/>
  <c r="K7458" i="12" s="1"/>
  <c r="K7482" i="12" s="1"/>
  <c r="K7506" i="12" s="1"/>
  <c r="K7530" i="12" s="1"/>
  <c r="K7554" i="12" s="1"/>
  <c r="K7578" i="12" s="1"/>
  <c r="K7602" i="12" s="1"/>
  <c r="K7626" i="12" s="1"/>
  <c r="K7650" i="12" s="1"/>
  <c r="K7674" i="12" s="1"/>
  <c r="K7698" i="12" s="1"/>
  <c r="K7722" i="12" s="1"/>
  <c r="K7746" i="12" s="1"/>
  <c r="K7770" i="12" s="1"/>
  <c r="K7794" i="12" s="1"/>
  <c r="K7818" i="12" s="1"/>
  <c r="K7842" i="12" s="1"/>
  <c r="K7866" i="12" s="1"/>
  <c r="K7890" i="12" s="1"/>
  <c r="K7914" i="12" s="1"/>
  <c r="K7938" i="12" s="1"/>
  <c r="K7962" i="12" s="1"/>
  <c r="K7986" i="12" s="1"/>
  <c r="K8010" i="12" s="1"/>
  <c r="K8034" i="12" s="1"/>
  <c r="K8058" i="12" s="1"/>
  <c r="K8082" i="12" s="1"/>
  <c r="K8106" i="12" s="1"/>
  <c r="K8130" i="12" s="1"/>
  <c r="K8154" i="12" s="1"/>
  <c r="K8178" i="12" s="1"/>
  <c r="K8202" i="12" s="1"/>
  <c r="K8226" i="12" s="1"/>
  <c r="K8250" i="12" s="1"/>
  <c r="K8274" i="12" s="1"/>
  <c r="K8298" i="12" s="1"/>
  <c r="K8322" i="12" s="1"/>
  <c r="K8346" i="12" s="1"/>
  <c r="K8370" i="12" s="1"/>
  <c r="K8394" i="12" s="1"/>
  <c r="K8418" i="12" s="1"/>
  <c r="K8442" i="12" s="1"/>
  <c r="K8466" i="12" s="1"/>
  <c r="K8490" i="12" s="1"/>
  <c r="K8514" i="12" s="1"/>
  <c r="K8538" i="12" s="1"/>
  <c r="K8562" i="12" s="1"/>
  <c r="K8586" i="12" s="1"/>
  <c r="K8610" i="12" s="1"/>
  <c r="K8634" i="12" s="1"/>
  <c r="K8658" i="12" s="1"/>
  <c r="K8682" i="12" s="1"/>
  <c r="K8706" i="12" s="1"/>
  <c r="K8730" i="12" s="1"/>
  <c r="K41" i="12"/>
  <c r="K65" i="12" s="1"/>
  <c r="K89" i="12" s="1"/>
  <c r="K113" i="12" s="1"/>
  <c r="K137" i="12" s="1"/>
  <c r="K161" i="12" s="1"/>
  <c r="K185" i="12" s="1"/>
  <c r="K209" i="12" s="1"/>
  <c r="K233" i="12" s="1"/>
  <c r="K257" i="12" s="1"/>
  <c r="K281" i="12" s="1"/>
  <c r="K305" i="12" s="1"/>
  <c r="K329" i="12" s="1"/>
  <c r="K353" i="12" s="1"/>
  <c r="K377" i="12" s="1"/>
  <c r="K401" i="12" s="1"/>
  <c r="K425" i="12" s="1"/>
  <c r="K449" i="12" s="1"/>
  <c r="K473" i="12" s="1"/>
  <c r="K497" i="12" s="1"/>
  <c r="K521" i="12" s="1"/>
  <c r="K545" i="12" s="1"/>
  <c r="K569" i="12" s="1"/>
  <c r="K593" i="12" s="1"/>
  <c r="K617" i="12" s="1"/>
  <c r="K641" i="12" s="1"/>
  <c r="K665" i="12" s="1"/>
  <c r="K689" i="12" s="1"/>
  <c r="K713" i="12" s="1"/>
  <c r="K737" i="12" s="1"/>
  <c r="K761" i="12" s="1"/>
  <c r="K785" i="12" s="1"/>
  <c r="K809" i="12" s="1"/>
  <c r="K833" i="12" s="1"/>
  <c r="K857" i="12" s="1"/>
  <c r="K881" i="12" s="1"/>
  <c r="K905" i="12" s="1"/>
  <c r="K929" i="12" s="1"/>
  <c r="K953" i="12" s="1"/>
  <c r="K977" i="12" s="1"/>
  <c r="K1001" i="12" s="1"/>
  <c r="K1025" i="12" s="1"/>
  <c r="K1049" i="12" s="1"/>
  <c r="K1073" i="12" s="1"/>
  <c r="K1097" i="12" s="1"/>
  <c r="K1121" i="12" s="1"/>
  <c r="K1145" i="12" s="1"/>
  <c r="K1169" i="12" s="1"/>
  <c r="K1193" i="12" s="1"/>
  <c r="K1217" i="12" s="1"/>
  <c r="K1241" i="12" s="1"/>
  <c r="K1265" i="12" s="1"/>
  <c r="K1289" i="12" s="1"/>
  <c r="K1313" i="12" s="1"/>
  <c r="K1337" i="12" s="1"/>
  <c r="K1361" i="12" s="1"/>
  <c r="K1385" i="12" s="1"/>
  <c r="K1409" i="12" s="1"/>
  <c r="K1433" i="12" s="1"/>
  <c r="K1457" i="12" s="1"/>
  <c r="K1481" i="12" s="1"/>
  <c r="K1505" i="12" s="1"/>
  <c r="K1529" i="12" s="1"/>
  <c r="K1553" i="12" s="1"/>
  <c r="K1577" i="12" s="1"/>
  <c r="K1601" i="12" s="1"/>
  <c r="K1625" i="12" s="1"/>
  <c r="K1649" i="12" s="1"/>
  <c r="K1673" i="12" s="1"/>
  <c r="K1697" i="12" s="1"/>
  <c r="K1721" i="12" s="1"/>
  <c r="K1745" i="12" s="1"/>
  <c r="K1769" i="12" s="1"/>
  <c r="K1793" i="12" s="1"/>
  <c r="K1817" i="12" s="1"/>
  <c r="K1841" i="12" s="1"/>
  <c r="K1865" i="12" s="1"/>
  <c r="K1889" i="12" s="1"/>
  <c r="K1913" i="12" s="1"/>
  <c r="K1937" i="12" s="1"/>
  <c r="K1961" i="12" s="1"/>
  <c r="K1985" i="12" s="1"/>
  <c r="K2009" i="12" s="1"/>
  <c r="K2033" i="12" s="1"/>
  <c r="K2057" i="12" s="1"/>
  <c r="K2081" i="12" s="1"/>
  <c r="K2105" i="12" s="1"/>
  <c r="K2129" i="12" s="1"/>
  <c r="K2153" i="12" s="1"/>
  <c r="K2177" i="12" s="1"/>
  <c r="K2201" i="12" s="1"/>
  <c r="K2225" i="12" s="1"/>
  <c r="K2249" i="12" s="1"/>
  <c r="K2273" i="12" s="1"/>
  <c r="K2297" i="12" s="1"/>
  <c r="K2321" i="12" s="1"/>
  <c r="K2345" i="12" s="1"/>
  <c r="K2369" i="12" s="1"/>
  <c r="K2393" i="12" s="1"/>
  <c r="K2417" i="12" s="1"/>
  <c r="K2441" i="12" s="1"/>
  <c r="K2465" i="12" s="1"/>
  <c r="K2489" i="12" s="1"/>
  <c r="K2513" i="12" s="1"/>
  <c r="K2537" i="12" s="1"/>
  <c r="K2561" i="12" s="1"/>
  <c r="K2585" i="12" s="1"/>
  <c r="K2609" i="12" s="1"/>
  <c r="K2633" i="12" s="1"/>
  <c r="K2657" i="12" s="1"/>
  <c r="K2681" i="12" s="1"/>
  <c r="K2705" i="12" s="1"/>
  <c r="K2729" i="12" s="1"/>
  <c r="K2753" i="12" s="1"/>
  <c r="K2777" i="12" s="1"/>
  <c r="K2801" i="12" s="1"/>
  <c r="K2825" i="12" s="1"/>
  <c r="K2849" i="12" s="1"/>
  <c r="K2873" i="12" s="1"/>
  <c r="K2897" i="12" s="1"/>
  <c r="K2921" i="12" s="1"/>
  <c r="K2945" i="12" s="1"/>
  <c r="K2969" i="12" s="1"/>
  <c r="K2993" i="12" s="1"/>
  <c r="K3017" i="12" s="1"/>
  <c r="K3041" i="12" s="1"/>
  <c r="K3065" i="12" s="1"/>
  <c r="K3089" i="12" s="1"/>
  <c r="K3113" i="12" s="1"/>
  <c r="K3137" i="12" s="1"/>
  <c r="K3161" i="12" s="1"/>
  <c r="K3185" i="12" s="1"/>
  <c r="K3209" i="12" s="1"/>
  <c r="K3233" i="12" s="1"/>
  <c r="K3257" i="12" s="1"/>
  <c r="K3281" i="12" s="1"/>
  <c r="K3305" i="12" s="1"/>
  <c r="K3329" i="12" s="1"/>
  <c r="K3353" i="12" s="1"/>
  <c r="K3377" i="12" s="1"/>
  <c r="K3401" i="12" s="1"/>
  <c r="K3425" i="12" s="1"/>
  <c r="K3449" i="12" s="1"/>
  <c r="K3473" i="12" s="1"/>
  <c r="K3497" i="12" s="1"/>
  <c r="K3521" i="12" s="1"/>
  <c r="K3545" i="12" s="1"/>
  <c r="K3569" i="12" s="1"/>
  <c r="K3593" i="12" s="1"/>
  <c r="K3617" i="12" s="1"/>
  <c r="K3641" i="12" s="1"/>
  <c r="K3665" i="12" s="1"/>
  <c r="K3689" i="12" s="1"/>
  <c r="K3713" i="12" s="1"/>
  <c r="K3737" i="12" s="1"/>
  <c r="K3761" i="12" s="1"/>
  <c r="K3785" i="12" s="1"/>
  <c r="K3809" i="12" s="1"/>
  <c r="K3833" i="12" s="1"/>
  <c r="K3857" i="12" s="1"/>
  <c r="K3881" i="12" s="1"/>
  <c r="K3905" i="12" s="1"/>
  <c r="K3929" i="12" s="1"/>
  <c r="K3953" i="12" s="1"/>
  <c r="K3977" i="12" s="1"/>
  <c r="K4001" i="12" s="1"/>
  <c r="K4025" i="12" s="1"/>
  <c r="K4049" i="12" s="1"/>
  <c r="K4073" i="12" s="1"/>
  <c r="K4097" i="12" s="1"/>
  <c r="K4121" i="12" s="1"/>
  <c r="K4145" i="12" s="1"/>
  <c r="K4169" i="12" s="1"/>
  <c r="K4193" i="12" s="1"/>
  <c r="K4217" i="12" s="1"/>
  <c r="K4241" i="12" s="1"/>
  <c r="K4265" i="12" s="1"/>
  <c r="K4289" i="12" s="1"/>
  <c r="K4313" i="12" s="1"/>
  <c r="K4337" i="12" s="1"/>
  <c r="K4361" i="12" s="1"/>
  <c r="K4385" i="12" s="1"/>
  <c r="K4409" i="12" s="1"/>
  <c r="K4433" i="12" s="1"/>
  <c r="K4457" i="12" s="1"/>
  <c r="K4481" i="12" s="1"/>
  <c r="K4505" i="12" s="1"/>
  <c r="K4529" i="12" s="1"/>
  <c r="K4553" i="12" s="1"/>
  <c r="K4577" i="12" s="1"/>
  <c r="K4601" i="12" s="1"/>
  <c r="K4625" i="12" s="1"/>
  <c r="K4649" i="12" s="1"/>
  <c r="K4673" i="12" s="1"/>
  <c r="K4697" i="12" s="1"/>
  <c r="K4721" i="12" s="1"/>
  <c r="K4745" i="12" s="1"/>
  <c r="K4769" i="12" s="1"/>
  <c r="K4793" i="12" s="1"/>
  <c r="K4817" i="12" s="1"/>
  <c r="K4841" i="12" s="1"/>
  <c r="K4865" i="12" s="1"/>
  <c r="K4889" i="12" s="1"/>
  <c r="K4913" i="12" s="1"/>
  <c r="K4937" i="12" s="1"/>
  <c r="K4961" i="12" s="1"/>
  <c r="K4985" i="12" s="1"/>
  <c r="K5009" i="12" s="1"/>
  <c r="K5033" i="12" s="1"/>
  <c r="K5057" i="12" s="1"/>
  <c r="K5081" i="12" s="1"/>
  <c r="K5105" i="12" s="1"/>
  <c r="K5129" i="12" s="1"/>
  <c r="K5153" i="12" s="1"/>
  <c r="K5177" i="12" s="1"/>
  <c r="K5201" i="12" s="1"/>
  <c r="K5225" i="12" s="1"/>
  <c r="K5249" i="12" s="1"/>
  <c r="K5273" i="12" s="1"/>
  <c r="K5297" i="12" s="1"/>
  <c r="K5321" i="12" s="1"/>
  <c r="K5345" i="12" s="1"/>
  <c r="K5369" i="12" s="1"/>
  <c r="K5393" i="12" s="1"/>
  <c r="K5417" i="12" s="1"/>
  <c r="K5441" i="12" s="1"/>
  <c r="K5465" i="12" s="1"/>
  <c r="K5489" i="12" s="1"/>
  <c r="K5513" i="12" s="1"/>
  <c r="K5537" i="12" s="1"/>
  <c r="K5561" i="12" s="1"/>
  <c r="K5585" i="12" s="1"/>
  <c r="K5609" i="12" s="1"/>
  <c r="K5633" i="12" s="1"/>
  <c r="K5657" i="12" s="1"/>
  <c r="K5681" i="12" s="1"/>
  <c r="K5705" i="12" s="1"/>
  <c r="K5729" i="12" s="1"/>
  <c r="K5753" i="12" s="1"/>
  <c r="K5777" i="12" s="1"/>
  <c r="K5801" i="12" s="1"/>
  <c r="K5825" i="12" s="1"/>
  <c r="K5849" i="12" s="1"/>
  <c r="K5873" i="12" s="1"/>
  <c r="K5897" i="12" s="1"/>
  <c r="K5921" i="12" s="1"/>
  <c r="K5945" i="12" s="1"/>
  <c r="K5969" i="12" s="1"/>
  <c r="K5993" i="12" s="1"/>
  <c r="K6017" i="12" s="1"/>
  <c r="K6041" i="12" s="1"/>
  <c r="K6065" i="12" s="1"/>
  <c r="K6089" i="12" s="1"/>
  <c r="K6113" i="12" s="1"/>
  <c r="K6137" i="12" s="1"/>
  <c r="K6161" i="12" s="1"/>
  <c r="K6185" i="12" s="1"/>
  <c r="K6209" i="12" s="1"/>
  <c r="K6233" i="12" s="1"/>
  <c r="K6257" i="12" s="1"/>
  <c r="K6281" i="12" s="1"/>
  <c r="K6305" i="12" s="1"/>
  <c r="K6329" i="12" s="1"/>
  <c r="K6353" i="12" s="1"/>
  <c r="K6377" i="12" s="1"/>
  <c r="K6401" i="12" s="1"/>
  <c r="K6425" i="12" s="1"/>
  <c r="K6449" i="12" s="1"/>
  <c r="K6473" i="12" s="1"/>
  <c r="K6497" i="12" s="1"/>
  <c r="K6521" i="12" s="1"/>
  <c r="K6545" i="12" s="1"/>
  <c r="K6569" i="12" s="1"/>
  <c r="K6593" i="12" s="1"/>
  <c r="K6617" i="12" s="1"/>
  <c r="K6641" i="12" s="1"/>
  <c r="K6665" i="12" s="1"/>
  <c r="K6689" i="12" s="1"/>
  <c r="K6713" i="12" s="1"/>
  <c r="K6737" i="12" s="1"/>
  <c r="K6761" i="12" s="1"/>
  <c r="K6785" i="12" s="1"/>
  <c r="K6809" i="12" s="1"/>
  <c r="K6833" i="12" s="1"/>
  <c r="K6857" i="12" s="1"/>
  <c r="K6881" i="12" s="1"/>
  <c r="K6905" i="12" s="1"/>
  <c r="K6929" i="12" s="1"/>
  <c r="K6953" i="12" s="1"/>
  <c r="K6977" i="12" s="1"/>
  <c r="K7001" i="12" s="1"/>
  <c r="K7025" i="12" s="1"/>
  <c r="K7049" i="12" s="1"/>
  <c r="K7073" i="12" s="1"/>
  <c r="K7097" i="12" s="1"/>
  <c r="K7121" i="12" s="1"/>
  <c r="K7145" i="12" s="1"/>
  <c r="K7169" i="12" s="1"/>
  <c r="K7193" i="12" s="1"/>
  <c r="K7217" i="12" s="1"/>
  <c r="K7241" i="12" s="1"/>
  <c r="K7265" i="12" s="1"/>
  <c r="K7289" i="12" s="1"/>
  <c r="K7313" i="12" s="1"/>
  <c r="K7337" i="12" s="1"/>
  <c r="K7361" i="12" s="1"/>
  <c r="K7385" i="12" s="1"/>
  <c r="K7409" i="12" s="1"/>
  <c r="K7433" i="12" s="1"/>
  <c r="K7457" i="12" s="1"/>
  <c r="K7481" i="12" s="1"/>
  <c r="K7505" i="12" s="1"/>
  <c r="K7529" i="12" s="1"/>
  <c r="K7553" i="12" s="1"/>
  <c r="K7577" i="12" s="1"/>
  <c r="K7601" i="12" s="1"/>
  <c r="K7625" i="12" s="1"/>
  <c r="K7649" i="12" s="1"/>
  <c r="K7673" i="12" s="1"/>
  <c r="K7697" i="12" s="1"/>
  <c r="K7721" i="12" s="1"/>
  <c r="K7745" i="12" s="1"/>
  <c r="K7769" i="12" s="1"/>
  <c r="K7793" i="12" s="1"/>
  <c r="K7817" i="12" s="1"/>
  <c r="K7841" i="12" s="1"/>
  <c r="K7865" i="12" s="1"/>
  <c r="K7889" i="12" s="1"/>
  <c r="K7913" i="12" s="1"/>
  <c r="K7937" i="12" s="1"/>
  <c r="K7961" i="12" s="1"/>
  <c r="K7985" i="12" s="1"/>
  <c r="K8009" i="12" s="1"/>
  <c r="K8033" i="12" s="1"/>
  <c r="K8057" i="12" s="1"/>
  <c r="K8081" i="12" s="1"/>
  <c r="K8105" i="12" s="1"/>
  <c r="K8129" i="12" s="1"/>
  <c r="K8153" i="12" s="1"/>
  <c r="K8177" i="12" s="1"/>
  <c r="K8201" i="12" s="1"/>
  <c r="K8225" i="12" s="1"/>
  <c r="K8249" i="12" s="1"/>
  <c r="K8273" i="12" s="1"/>
  <c r="K8297" i="12" s="1"/>
  <c r="K8321" i="12" s="1"/>
  <c r="K8345" i="12" s="1"/>
  <c r="K8369" i="12" s="1"/>
  <c r="K8393" i="12" s="1"/>
  <c r="K8417" i="12" s="1"/>
  <c r="K8441" i="12" s="1"/>
  <c r="K8465" i="12" s="1"/>
  <c r="K8489" i="12" s="1"/>
  <c r="K8513" i="12" s="1"/>
  <c r="K8537" i="12" s="1"/>
  <c r="K8561" i="12" s="1"/>
  <c r="K8585" i="12" s="1"/>
  <c r="K8609" i="12" s="1"/>
  <c r="K8633" i="12" s="1"/>
  <c r="K8657" i="12" s="1"/>
  <c r="K8681" i="12" s="1"/>
  <c r="K8705" i="12" s="1"/>
  <c r="K8729" i="12" s="1"/>
  <c r="K40" i="12"/>
  <c r="K64" i="12" s="1"/>
  <c r="K88" i="12" s="1"/>
  <c r="K112" i="12" s="1"/>
  <c r="K136" i="12" s="1"/>
  <c r="K160" i="12" s="1"/>
  <c r="K184" i="12" s="1"/>
  <c r="K208" i="12" s="1"/>
  <c r="K232" i="12" s="1"/>
  <c r="K256" i="12" s="1"/>
  <c r="K280" i="12" s="1"/>
  <c r="K304" i="12" s="1"/>
  <c r="K328" i="12" s="1"/>
  <c r="K352" i="12" s="1"/>
  <c r="K376" i="12" s="1"/>
  <c r="K400" i="12" s="1"/>
  <c r="K424" i="12" s="1"/>
  <c r="K448" i="12" s="1"/>
  <c r="K472" i="12" s="1"/>
  <c r="K496" i="12" s="1"/>
  <c r="K520" i="12" s="1"/>
  <c r="K544" i="12" s="1"/>
  <c r="K568" i="12" s="1"/>
  <c r="K592" i="12" s="1"/>
  <c r="K616" i="12" s="1"/>
  <c r="K640" i="12" s="1"/>
  <c r="K664" i="12" s="1"/>
  <c r="K688" i="12" s="1"/>
  <c r="K712" i="12" s="1"/>
  <c r="K736" i="12" s="1"/>
  <c r="K760" i="12" s="1"/>
  <c r="K784" i="12" s="1"/>
  <c r="K808" i="12" s="1"/>
  <c r="K832" i="12" s="1"/>
  <c r="K856" i="12" s="1"/>
  <c r="K880" i="12" s="1"/>
  <c r="K904" i="12" s="1"/>
  <c r="K928" i="12" s="1"/>
  <c r="K952" i="12" s="1"/>
  <c r="K976" i="12" s="1"/>
  <c r="K1000" i="12" s="1"/>
  <c r="K1024" i="12" s="1"/>
  <c r="K1048" i="12" s="1"/>
  <c r="K1072" i="12" s="1"/>
  <c r="K1096" i="12" s="1"/>
  <c r="K1120" i="12" s="1"/>
  <c r="K1144" i="12" s="1"/>
  <c r="K1168" i="12" s="1"/>
  <c r="K1192" i="12" s="1"/>
  <c r="K1216" i="12" s="1"/>
  <c r="K1240" i="12" s="1"/>
  <c r="K1264" i="12" s="1"/>
  <c r="K1288" i="12" s="1"/>
  <c r="K1312" i="12" s="1"/>
  <c r="K1336" i="12" s="1"/>
  <c r="K1360" i="12" s="1"/>
  <c r="K1384" i="12" s="1"/>
  <c r="K1408" i="12" s="1"/>
  <c r="K1432" i="12" s="1"/>
  <c r="K1456" i="12" s="1"/>
  <c r="K1480" i="12" s="1"/>
  <c r="K1504" i="12" s="1"/>
  <c r="K1528" i="12" s="1"/>
  <c r="K1552" i="12" s="1"/>
  <c r="K1576" i="12" s="1"/>
  <c r="K1600" i="12" s="1"/>
  <c r="K1624" i="12" s="1"/>
  <c r="K1648" i="12" s="1"/>
  <c r="K1672" i="12" s="1"/>
  <c r="K1696" i="12" s="1"/>
  <c r="K1720" i="12" s="1"/>
  <c r="K1744" i="12" s="1"/>
  <c r="K1768" i="12" s="1"/>
  <c r="K1792" i="12" s="1"/>
  <c r="K1816" i="12" s="1"/>
  <c r="K1840" i="12" s="1"/>
  <c r="K1864" i="12" s="1"/>
  <c r="K1888" i="12" s="1"/>
  <c r="K1912" i="12" s="1"/>
  <c r="K1936" i="12" s="1"/>
  <c r="K1960" i="12" s="1"/>
  <c r="K1984" i="12" s="1"/>
  <c r="K2008" i="12" s="1"/>
  <c r="K2032" i="12" s="1"/>
  <c r="K2056" i="12" s="1"/>
  <c r="K2080" i="12" s="1"/>
  <c r="K2104" i="12" s="1"/>
  <c r="K2128" i="12" s="1"/>
  <c r="K2152" i="12" s="1"/>
  <c r="K2176" i="12" s="1"/>
  <c r="K2200" i="12" s="1"/>
  <c r="K2224" i="12" s="1"/>
  <c r="K2248" i="12" s="1"/>
  <c r="K2272" i="12" s="1"/>
  <c r="K2296" i="12" s="1"/>
  <c r="K2320" i="12" s="1"/>
  <c r="K2344" i="12" s="1"/>
  <c r="K2368" i="12" s="1"/>
  <c r="K2392" i="12" s="1"/>
  <c r="K2416" i="12" s="1"/>
  <c r="K2440" i="12" s="1"/>
  <c r="K2464" i="12" s="1"/>
  <c r="K2488" i="12" s="1"/>
  <c r="K2512" i="12" s="1"/>
  <c r="K2536" i="12" s="1"/>
  <c r="K2560" i="12" s="1"/>
  <c r="K2584" i="12" s="1"/>
  <c r="K2608" i="12" s="1"/>
  <c r="K2632" i="12" s="1"/>
  <c r="K2656" i="12" s="1"/>
  <c r="K2680" i="12" s="1"/>
  <c r="K2704" i="12" s="1"/>
  <c r="K2728" i="12" s="1"/>
  <c r="K2752" i="12" s="1"/>
  <c r="K2776" i="12" s="1"/>
  <c r="K2800" i="12" s="1"/>
  <c r="K2824" i="12" s="1"/>
  <c r="K2848" i="12" s="1"/>
  <c r="K2872" i="12" s="1"/>
  <c r="K2896" i="12" s="1"/>
  <c r="K2920" i="12" s="1"/>
  <c r="K2944" i="12" s="1"/>
  <c r="K2968" i="12" s="1"/>
  <c r="K2992" i="12" s="1"/>
  <c r="K3016" i="12" s="1"/>
  <c r="K3040" i="12" s="1"/>
  <c r="K3064" i="12" s="1"/>
  <c r="K3088" i="12" s="1"/>
  <c r="K3112" i="12" s="1"/>
  <c r="K3136" i="12" s="1"/>
  <c r="K3160" i="12" s="1"/>
  <c r="K3184" i="12" s="1"/>
  <c r="K3208" i="12" s="1"/>
  <c r="K3232" i="12" s="1"/>
  <c r="K3256" i="12" s="1"/>
  <c r="K3280" i="12" s="1"/>
  <c r="K3304" i="12" s="1"/>
  <c r="K3328" i="12" s="1"/>
  <c r="K3352" i="12" s="1"/>
  <c r="K3376" i="12" s="1"/>
  <c r="K3400" i="12" s="1"/>
  <c r="K3424" i="12" s="1"/>
  <c r="K3448" i="12" s="1"/>
  <c r="K3472" i="12" s="1"/>
  <c r="K3496" i="12" s="1"/>
  <c r="K3520" i="12" s="1"/>
  <c r="K3544" i="12" s="1"/>
  <c r="K3568" i="12" s="1"/>
  <c r="K3592" i="12" s="1"/>
  <c r="K3616" i="12" s="1"/>
  <c r="K3640" i="12" s="1"/>
  <c r="K3664" i="12" s="1"/>
  <c r="K3688" i="12" s="1"/>
  <c r="K3712" i="12" s="1"/>
  <c r="K3736" i="12" s="1"/>
  <c r="K3760" i="12" s="1"/>
  <c r="K3784" i="12" s="1"/>
  <c r="K3808" i="12" s="1"/>
  <c r="K3832" i="12" s="1"/>
  <c r="K3856" i="12" s="1"/>
  <c r="K3880" i="12" s="1"/>
  <c r="K3904" i="12" s="1"/>
  <c r="K3928" i="12" s="1"/>
  <c r="K3952" i="12" s="1"/>
  <c r="K3976" i="12" s="1"/>
  <c r="K4000" i="12" s="1"/>
  <c r="K4024" i="12" s="1"/>
  <c r="K4048" i="12" s="1"/>
  <c r="K4072" i="12" s="1"/>
  <c r="K4096" i="12" s="1"/>
  <c r="K4120" i="12" s="1"/>
  <c r="K4144" i="12" s="1"/>
  <c r="K4168" i="12" s="1"/>
  <c r="K4192" i="12" s="1"/>
  <c r="K4216" i="12" s="1"/>
  <c r="K4240" i="12" s="1"/>
  <c r="K4264" i="12" s="1"/>
  <c r="K4288" i="12" s="1"/>
  <c r="K4312" i="12" s="1"/>
  <c r="K4336" i="12" s="1"/>
  <c r="K4360" i="12" s="1"/>
  <c r="K4384" i="12" s="1"/>
  <c r="K4408" i="12" s="1"/>
  <c r="K4432" i="12" s="1"/>
  <c r="K4456" i="12" s="1"/>
  <c r="K4480" i="12" s="1"/>
  <c r="K4504" i="12" s="1"/>
  <c r="K4528" i="12" s="1"/>
  <c r="K4552" i="12" s="1"/>
  <c r="K4576" i="12" s="1"/>
  <c r="K4600" i="12" s="1"/>
  <c r="K4624" i="12" s="1"/>
  <c r="K4648" i="12" s="1"/>
  <c r="K4672" i="12" s="1"/>
  <c r="K4696" i="12" s="1"/>
  <c r="K4720" i="12" s="1"/>
  <c r="K4744" i="12" s="1"/>
  <c r="K4768" i="12" s="1"/>
  <c r="K4792" i="12" s="1"/>
  <c r="K4816" i="12" s="1"/>
  <c r="K4840" i="12" s="1"/>
  <c r="K4864" i="12" s="1"/>
  <c r="K4888" i="12" s="1"/>
  <c r="K4912" i="12" s="1"/>
  <c r="K4936" i="12" s="1"/>
  <c r="K4960" i="12" s="1"/>
  <c r="K4984" i="12" s="1"/>
  <c r="K5008" i="12" s="1"/>
  <c r="K5032" i="12" s="1"/>
  <c r="K5056" i="12" s="1"/>
  <c r="K5080" i="12" s="1"/>
  <c r="K5104" i="12" s="1"/>
  <c r="K5128" i="12" s="1"/>
  <c r="K5152" i="12" s="1"/>
  <c r="K5176" i="12" s="1"/>
  <c r="K5200" i="12" s="1"/>
  <c r="K5224" i="12" s="1"/>
  <c r="K5248" i="12" s="1"/>
  <c r="K5272" i="12" s="1"/>
  <c r="K5296" i="12" s="1"/>
  <c r="K5320" i="12" s="1"/>
  <c r="K5344" i="12" s="1"/>
  <c r="K5368" i="12" s="1"/>
  <c r="K5392" i="12" s="1"/>
  <c r="K5416" i="12" s="1"/>
  <c r="K5440" i="12" s="1"/>
  <c r="K5464" i="12" s="1"/>
  <c r="K5488" i="12" s="1"/>
  <c r="K5512" i="12" s="1"/>
  <c r="K5536" i="12" s="1"/>
  <c r="K5560" i="12" s="1"/>
  <c r="K5584" i="12" s="1"/>
  <c r="K5608" i="12" s="1"/>
  <c r="K5632" i="12" s="1"/>
  <c r="K5656" i="12" s="1"/>
  <c r="K5680" i="12" s="1"/>
  <c r="K5704" i="12" s="1"/>
  <c r="K5728" i="12" s="1"/>
  <c r="K5752" i="12" s="1"/>
  <c r="K5776" i="12" s="1"/>
  <c r="K5800" i="12" s="1"/>
  <c r="K5824" i="12" s="1"/>
  <c r="K5848" i="12" s="1"/>
  <c r="K5872" i="12" s="1"/>
  <c r="K5896" i="12" s="1"/>
  <c r="K5920" i="12" s="1"/>
  <c r="K5944" i="12" s="1"/>
  <c r="K5968" i="12" s="1"/>
  <c r="K5992" i="12" s="1"/>
  <c r="K6016" i="12" s="1"/>
  <c r="K6040" i="12" s="1"/>
  <c r="K6064" i="12" s="1"/>
  <c r="K6088" i="12" s="1"/>
  <c r="K6112" i="12" s="1"/>
  <c r="K6136" i="12" s="1"/>
  <c r="K6160" i="12" s="1"/>
  <c r="K6184" i="12" s="1"/>
  <c r="K6208" i="12" s="1"/>
  <c r="K6232" i="12" s="1"/>
  <c r="K6256" i="12" s="1"/>
  <c r="K6280" i="12" s="1"/>
  <c r="K6304" i="12" s="1"/>
  <c r="K6328" i="12" s="1"/>
  <c r="K6352" i="12" s="1"/>
  <c r="K6376" i="12" s="1"/>
  <c r="K6400" i="12" s="1"/>
  <c r="K6424" i="12" s="1"/>
  <c r="K6448" i="12" s="1"/>
  <c r="K6472" i="12" s="1"/>
  <c r="K6496" i="12" s="1"/>
  <c r="K6520" i="12" s="1"/>
  <c r="K6544" i="12" s="1"/>
  <c r="K6568" i="12" s="1"/>
  <c r="K6592" i="12" s="1"/>
  <c r="K6616" i="12" s="1"/>
  <c r="K6640" i="12" s="1"/>
  <c r="K6664" i="12" s="1"/>
  <c r="K6688" i="12" s="1"/>
  <c r="K6712" i="12" s="1"/>
  <c r="K6736" i="12" s="1"/>
  <c r="K6760" i="12" s="1"/>
  <c r="K6784" i="12" s="1"/>
  <c r="K6808" i="12" s="1"/>
  <c r="K6832" i="12" s="1"/>
  <c r="K6856" i="12" s="1"/>
  <c r="K6880" i="12" s="1"/>
  <c r="K6904" i="12" s="1"/>
  <c r="K6928" i="12" s="1"/>
  <c r="K6952" i="12" s="1"/>
  <c r="K6976" i="12" s="1"/>
  <c r="K7000" i="12" s="1"/>
  <c r="K7024" i="12" s="1"/>
  <c r="K7048" i="12" s="1"/>
  <c r="K7072" i="12" s="1"/>
  <c r="K7096" i="12" s="1"/>
  <c r="K7120" i="12" s="1"/>
  <c r="K7144" i="12" s="1"/>
  <c r="K7168" i="12" s="1"/>
  <c r="K7192" i="12" s="1"/>
  <c r="K7216" i="12" s="1"/>
  <c r="K7240" i="12" s="1"/>
  <c r="K7264" i="12" s="1"/>
  <c r="K7288" i="12" s="1"/>
  <c r="K7312" i="12" s="1"/>
  <c r="K7336" i="12" s="1"/>
  <c r="K7360" i="12" s="1"/>
  <c r="K7384" i="12" s="1"/>
  <c r="K7408" i="12" s="1"/>
  <c r="K7432" i="12" s="1"/>
  <c r="K7456" i="12" s="1"/>
  <c r="K7480" i="12" s="1"/>
  <c r="K7504" i="12" s="1"/>
  <c r="K7528" i="12" s="1"/>
  <c r="K7552" i="12" s="1"/>
  <c r="K7576" i="12" s="1"/>
  <c r="K7600" i="12" s="1"/>
  <c r="K7624" i="12" s="1"/>
  <c r="K7648" i="12" s="1"/>
  <c r="K7672" i="12" s="1"/>
  <c r="K7696" i="12" s="1"/>
  <c r="K7720" i="12" s="1"/>
  <c r="K7744" i="12" s="1"/>
  <c r="K7768" i="12" s="1"/>
  <c r="K7792" i="12" s="1"/>
  <c r="K7816" i="12" s="1"/>
  <c r="K7840" i="12" s="1"/>
  <c r="K7864" i="12" s="1"/>
  <c r="K7888" i="12" s="1"/>
  <c r="K7912" i="12" s="1"/>
  <c r="K7936" i="12" s="1"/>
  <c r="K7960" i="12" s="1"/>
  <c r="K7984" i="12" s="1"/>
  <c r="K8008" i="12" s="1"/>
  <c r="K8032" i="12" s="1"/>
  <c r="K8056" i="12" s="1"/>
  <c r="K8080" i="12" s="1"/>
  <c r="K8104" i="12" s="1"/>
  <c r="K8128" i="12" s="1"/>
  <c r="K8152" i="12" s="1"/>
  <c r="K8176" i="12" s="1"/>
  <c r="K8200" i="12" s="1"/>
  <c r="K8224" i="12" s="1"/>
  <c r="K8248" i="12" s="1"/>
  <c r="K8272" i="12" s="1"/>
  <c r="K8296" i="12" s="1"/>
  <c r="K8320" i="12" s="1"/>
  <c r="K8344" i="12" s="1"/>
  <c r="K8368" i="12" s="1"/>
  <c r="K8392" i="12" s="1"/>
  <c r="K8416" i="12" s="1"/>
  <c r="K8440" i="12" s="1"/>
  <c r="K8464" i="12" s="1"/>
  <c r="K8488" i="12" s="1"/>
  <c r="K8512" i="12" s="1"/>
  <c r="K8536" i="12" s="1"/>
  <c r="K8560" i="12" s="1"/>
  <c r="K8584" i="12" s="1"/>
  <c r="K8608" i="12" s="1"/>
  <c r="K8632" i="12" s="1"/>
  <c r="K8656" i="12" s="1"/>
  <c r="K8680" i="12" s="1"/>
  <c r="K8704" i="12" s="1"/>
  <c r="K8728" i="12" s="1"/>
  <c r="K39" i="12"/>
  <c r="K63" i="12" s="1"/>
  <c r="K87" i="12" s="1"/>
  <c r="K111" i="12" s="1"/>
  <c r="K135" i="12" s="1"/>
  <c r="K159" i="12" s="1"/>
  <c r="K183" i="12" s="1"/>
  <c r="K207" i="12" s="1"/>
  <c r="K231" i="12" s="1"/>
  <c r="K255" i="12" s="1"/>
  <c r="K279" i="12" s="1"/>
  <c r="K303" i="12" s="1"/>
  <c r="K327" i="12" s="1"/>
  <c r="K351" i="12" s="1"/>
  <c r="K375" i="12" s="1"/>
  <c r="K399" i="12" s="1"/>
  <c r="K423" i="12" s="1"/>
  <c r="K447" i="12" s="1"/>
  <c r="K471" i="12" s="1"/>
  <c r="K495" i="12" s="1"/>
  <c r="K519" i="12" s="1"/>
  <c r="K543" i="12" s="1"/>
  <c r="K567" i="12" s="1"/>
  <c r="K591" i="12" s="1"/>
  <c r="K615" i="12" s="1"/>
  <c r="K639" i="12" s="1"/>
  <c r="K663" i="12" s="1"/>
  <c r="K687" i="12" s="1"/>
  <c r="K711" i="12" s="1"/>
  <c r="K735" i="12" s="1"/>
  <c r="K759" i="12" s="1"/>
  <c r="K783" i="12" s="1"/>
  <c r="K807" i="12" s="1"/>
  <c r="K831" i="12" s="1"/>
  <c r="K855" i="12" s="1"/>
  <c r="K879" i="12" s="1"/>
  <c r="K903" i="12" s="1"/>
  <c r="K927" i="12" s="1"/>
  <c r="K951" i="12" s="1"/>
  <c r="K975" i="12" s="1"/>
  <c r="K999" i="12" s="1"/>
  <c r="K1023" i="12" s="1"/>
  <c r="K1047" i="12" s="1"/>
  <c r="K1071" i="12" s="1"/>
  <c r="K1095" i="12" s="1"/>
  <c r="K1119" i="12" s="1"/>
  <c r="K1143" i="12" s="1"/>
  <c r="K1167" i="12" s="1"/>
  <c r="K1191" i="12" s="1"/>
  <c r="K1215" i="12" s="1"/>
  <c r="K1239" i="12" s="1"/>
  <c r="K1263" i="12" s="1"/>
  <c r="K1287" i="12" s="1"/>
  <c r="K1311" i="12" s="1"/>
  <c r="K1335" i="12" s="1"/>
  <c r="K1359" i="12" s="1"/>
  <c r="K1383" i="12" s="1"/>
  <c r="K1407" i="12" s="1"/>
  <c r="K1431" i="12" s="1"/>
  <c r="K1455" i="12" s="1"/>
  <c r="K1479" i="12" s="1"/>
  <c r="K1503" i="12" s="1"/>
  <c r="K1527" i="12" s="1"/>
  <c r="K1551" i="12" s="1"/>
  <c r="K1575" i="12" s="1"/>
  <c r="K1599" i="12" s="1"/>
  <c r="K1623" i="12" s="1"/>
  <c r="K1647" i="12" s="1"/>
  <c r="K1671" i="12" s="1"/>
  <c r="K1695" i="12" s="1"/>
  <c r="K1719" i="12" s="1"/>
  <c r="K1743" i="12" s="1"/>
  <c r="K1767" i="12" s="1"/>
  <c r="K1791" i="12" s="1"/>
  <c r="K1815" i="12" s="1"/>
  <c r="K1839" i="12" s="1"/>
  <c r="K1863" i="12" s="1"/>
  <c r="K1887" i="12" s="1"/>
  <c r="K1911" i="12" s="1"/>
  <c r="K1935" i="12" s="1"/>
  <c r="K1959" i="12" s="1"/>
  <c r="K1983" i="12" s="1"/>
  <c r="K2007" i="12" s="1"/>
  <c r="K2031" i="12" s="1"/>
  <c r="K2055" i="12" s="1"/>
  <c r="K2079" i="12" s="1"/>
  <c r="K2103" i="12" s="1"/>
  <c r="K2127" i="12" s="1"/>
  <c r="K2151" i="12" s="1"/>
  <c r="K2175" i="12" s="1"/>
  <c r="K2199" i="12" s="1"/>
  <c r="K2223" i="12" s="1"/>
  <c r="K2247" i="12" s="1"/>
  <c r="K2271" i="12" s="1"/>
  <c r="K2295" i="12" s="1"/>
  <c r="K2319" i="12" s="1"/>
  <c r="K2343" i="12" s="1"/>
  <c r="K2367" i="12" s="1"/>
  <c r="K2391" i="12" s="1"/>
  <c r="K2415" i="12" s="1"/>
  <c r="K2439" i="12" s="1"/>
  <c r="K2463" i="12" s="1"/>
  <c r="K2487" i="12" s="1"/>
  <c r="K2511" i="12" s="1"/>
  <c r="K2535" i="12" s="1"/>
  <c r="K2559" i="12" s="1"/>
  <c r="K2583" i="12" s="1"/>
  <c r="K2607" i="12" s="1"/>
  <c r="K2631" i="12" s="1"/>
  <c r="K2655" i="12" s="1"/>
  <c r="K2679" i="12" s="1"/>
  <c r="K2703" i="12" s="1"/>
  <c r="K2727" i="12" s="1"/>
  <c r="K2751" i="12" s="1"/>
  <c r="K2775" i="12" s="1"/>
  <c r="K2799" i="12" s="1"/>
  <c r="K2823" i="12" s="1"/>
  <c r="K2847" i="12" s="1"/>
  <c r="K2871" i="12" s="1"/>
  <c r="K2895" i="12" s="1"/>
  <c r="K2919" i="12" s="1"/>
  <c r="K2943" i="12" s="1"/>
  <c r="K2967" i="12" s="1"/>
  <c r="K2991" i="12" s="1"/>
  <c r="K3015" i="12" s="1"/>
  <c r="K3039" i="12" s="1"/>
  <c r="K3063" i="12" s="1"/>
  <c r="K3087" i="12" s="1"/>
  <c r="K3111" i="12" s="1"/>
  <c r="K3135" i="12" s="1"/>
  <c r="K3159" i="12" s="1"/>
  <c r="K3183" i="12" s="1"/>
  <c r="K3207" i="12" s="1"/>
  <c r="K3231" i="12" s="1"/>
  <c r="K3255" i="12" s="1"/>
  <c r="K3279" i="12" s="1"/>
  <c r="K3303" i="12" s="1"/>
  <c r="K3327" i="12" s="1"/>
  <c r="K3351" i="12" s="1"/>
  <c r="K3375" i="12" s="1"/>
  <c r="K3399" i="12" s="1"/>
  <c r="K3423" i="12" s="1"/>
  <c r="K3447" i="12" s="1"/>
  <c r="K3471" i="12" s="1"/>
  <c r="K3495" i="12" s="1"/>
  <c r="K3519" i="12" s="1"/>
  <c r="K3543" i="12" s="1"/>
  <c r="K3567" i="12" s="1"/>
  <c r="K3591" i="12" s="1"/>
  <c r="K3615" i="12" s="1"/>
  <c r="K3639" i="12" s="1"/>
  <c r="K3663" i="12" s="1"/>
  <c r="K3687" i="12" s="1"/>
  <c r="K3711" i="12" s="1"/>
  <c r="K3735" i="12" s="1"/>
  <c r="K3759" i="12" s="1"/>
  <c r="K3783" i="12" s="1"/>
  <c r="K3807" i="12" s="1"/>
  <c r="K3831" i="12" s="1"/>
  <c r="K3855" i="12" s="1"/>
  <c r="K3879" i="12" s="1"/>
  <c r="K3903" i="12" s="1"/>
  <c r="K3927" i="12" s="1"/>
  <c r="K3951" i="12" s="1"/>
  <c r="K3975" i="12" s="1"/>
  <c r="K3999" i="12" s="1"/>
  <c r="K4023" i="12" s="1"/>
  <c r="K4047" i="12" s="1"/>
  <c r="K4071" i="12" s="1"/>
  <c r="K4095" i="12" s="1"/>
  <c r="K4119" i="12" s="1"/>
  <c r="K4143" i="12" s="1"/>
  <c r="K4167" i="12" s="1"/>
  <c r="K4191" i="12" s="1"/>
  <c r="K4215" i="12" s="1"/>
  <c r="K4239" i="12" s="1"/>
  <c r="K4263" i="12" s="1"/>
  <c r="K4287" i="12" s="1"/>
  <c r="K4311" i="12" s="1"/>
  <c r="K4335" i="12" s="1"/>
  <c r="K4359" i="12" s="1"/>
  <c r="K4383" i="12" s="1"/>
  <c r="K4407" i="12" s="1"/>
  <c r="K4431" i="12" s="1"/>
  <c r="K4455" i="12" s="1"/>
  <c r="K4479" i="12" s="1"/>
  <c r="K4503" i="12" s="1"/>
  <c r="K4527" i="12" s="1"/>
  <c r="K4551" i="12" s="1"/>
  <c r="K4575" i="12" s="1"/>
  <c r="K4599" i="12" s="1"/>
  <c r="K4623" i="12" s="1"/>
  <c r="K4647" i="12" s="1"/>
  <c r="K4671" i="12" s="1"/>
  <c r="K4695" i="12" s="1"/>
  <c r="K4719" i="12" s="1"/>
  <c r="K4743" i="12" s="1"/>
  <c r="K4767" i="12" s="1"/>
  <c r="K4791" i="12" s="1"/>
  <c r="K4815" i="12" s="1"/>
  <c r="K4839" i="12" s="1"/>
  <c r="K4863" i="12" s="1"/>
  <c r="K4887" i="12" s="1"/>
  <c r="K4911" i="12" s="1"/>
  <c r="K4935" i="12" s="1"/>
  <c r="K4959" i="12" s="1"/>
  <c r="K4983" i="12" s="1"/>
  <c r="K5007" i="12" s="1"/>
  <c r="K5031" i="12" s="1"/>
  <c r="K5055" i="12" s="1"/>
  <c r="K5079" i="12" s="1"/>
  <c r="K5103" i="12" s="1"/>
  <c r="K5127" i="12" s="1"/>
  <c r="K5151" i="12" s="1"/>
  <c r="K5175" i="12" s="1"/>
  <c r="K5199" i="12" s="1"/>
  <c r="K5223" i="12" s="1"/>
  <c r="K5247" i="12" s="1"/>
  <c r="K5271" i="12" s="1"/>
  <c r="K5295" i="12" s="1"/>
  <c r="K5319" i="12" s="1"/>
  <c r="K5343" i="12" s="1"/>
  <c r="K5367" i="12" s="1"/>
  <c r="K5391" i="12" s="1"/>
  <c r="K5415" i="12" s="1"/>
  <c r="K5439" i="12" s="1"/>
  <c r="K5463" i="12" s="1"/>
  <c r="K5487" i="12" s="1"/>
  <c r="K5511" i="12" s="1"/>
  <c r="K5535" i="12" s="1"/>
  <c r="K5559" i="12" s="1"/>
  <c r="K5583" i="12" s="1"/>
  <c r="K5607" i="12" s="1"/>
  <c r="K5631" i="12" s="1"/>
  <c r="K5655" i="12" s="1"/>
  <c r="K5679" i="12" s="1"/>
  <c r="K5703" i="12" s="1"/>
  <c r="K5727" i="12" s="1"/>
  <c r="K5751" i="12" s="1"/>
  <c r="K5775" i="12" s="1"/>
  <c r="K5799" i="12" s="1"/>
  <c r="K5823" i="12" s="1"/>
  <c r="K5847" i="12" s="1"/>
  <c r="K5871" i="12" s="1"/>
  <c r="K5895" i="12" s="1"/>
  <c r="K5919" i="12" s="1"/>
  <c r="K5943" i="12" s="1"/>
  <c r="K5967" i="12" s="1"/>
  <c r="K5991" i="12" s="1"/>
  <c r="K6015" i="12" s="1"/>
  <c r="K6039" i="12" s="1"/>
  <c r="K6063" i="12" s="1"/>
  <c r="K6087" i="12" s="1"/>
  <c r="K6111" i="12" s="1"/>
  <c r="K6135" i="12" s="1"/>
  <c r="K6159" i="12" s="1"/>
  <c r="K6183" i="12" s="1"/>
  <c r="K6207" i="12" s="1"/>
  <c r="K6231" i="12" s="1"/>
  <c r="K6255" i="12" s="1"/>
  <c r="K6279" i="12" s="1"/>
  <c r="K6303" i="12" s="1"/>
  <c r="K6327" i="12" s="1"/>
  <c r="K6351" i="12" s="1"/>
  <c r="K6375" i="12" s="1"/>
  <c r="K6399" i="12" s="1"/>
  <c r="K6423" i="12" s="1"/>
  <c r="K6447" i="12" s="1"/>
  <c r="K6471" i="12" s="1"/>
  <c r="K6495" i="12" s="1"/>
  <c r="K6519" i="12" s="1"/>
  <c r="K6543" i="12" s="1"/>
  <c r="K6567" i="12" s="1"/>
  <c r="K6591" i="12" s="1"/>
  <c r="K6615" i="12" s="1"/>
  <c r="K6639" i="12" s="1"/>
  <c r="K6663" i="12" s="1"/>
  <c r="K6687" i="12" s="1"/>
  <c r="K6711" i="12" s="1"/>
  <c r="K6735" i="12" s="1"/>
  <c r="K6759" i="12" s="1"/>
  <c r="K6783" i="12" s="1"/>
  <c r="K6807" i="12" s="1"/>
  <c r="K6831" i="12" s="1"/>
  <c r="K6855" i="12" s="1"/>
  <c r="K6879" i="12" s="1"/>
  <c r="K6903" i="12" s="1"/>
  <c r="K6927" i="12" s="1"/>
  <c r="K6951" i="12" s="1"/>
  <c r="K6975" i="12" s="1"/>
  <c r="K6999" i="12" s="1"/>
  <c r="K7023" i="12" s="1"/>
  <c r="K7047" i="12" s="1"/>
  <c r="K7071" i="12" s="1"/>
  <c r="K7095" i="12" s="1"/>
  <c r="K7119" i="12" s="1"/>
  <c r="K7143" i="12" s="1"/>
  <c r="K7167" i="12" s="1"/>
  <c r="K7191" i="12" s="1"/>
  <c r="K7215" i="12" s="1"/>
  <c r="K7239" i="12" s="1"/>
  <c r="K7263" i="12" s="1"/>
  <c r="K7287" i="12" s="1"/>
  <c r="K7311" i="12" s="1"/>
  <c r="K7335" i="12" s="1"/>
  <c r="K7359" i="12" s="1"/>
  <c r="K7383" i="12" s="1"/>
  <c r="K7407" i="12" s="1"/>
  <c r="K7431" i="12" s="1"/>
  <c r="K7455" i="12" s="1"/>
  <c r="K7479" i="12" s="1"/>
  <c r="K7503" i="12" s="1"/>
  <c r="K7527" i="12" s="1"/>
  <c r="K7551" i="12" s="1"/>
  <c r="K7575" i="12" s="1"/>
  <c r="K7599" i="12" s="1"/>
  <c r="K7623" i="12" s="1"/>
  <c r="K7647" i="12" s="1"/>
  <c r="K7671" i="12" s="1"/>
  <c r="K7695" i="12" s="1"/>
  <c r="K7719" i="12" s="1"/>
  <c r="K7743" i="12" s="1"/>
  <c r="K7767" i="12" s="1"/>
  <c r="K7791" i="12" s="1"/>
  <c r="K7815" i="12" s="1"/>
  <c r="K7839" i="12" s="1"/>
  <c r="K7863" i="12" s="1"/>
  <c r="K7887" i="12" s="1"/>
  <c r="K7911" i="12" s="1"/>
  <c r="K7935" i="12" s="1"/>
  <c r="K7959" i="12" s="1"/>
  <c r="K7983" i="12" s="1"/>
  <c r="K8007" i="12" s="1"/>
  <c r="K8031" i="12" s="1"/>
  <c r="K8055" i="12" s="1"/>
  <c r="K8079" i="12" s="1"/>
  <c r="K8103" i="12" s="1"/>
  <c r="K8127" i="12" s="1"/>
  <c r="K8151" i="12" s="1"/>
  <c r="K8175" i="12" s="1"/>
  <c r="K8199" i="12" s="1"/>
  <c r="K8223" i="12" s="1"/>
  <c r="K8247" i="12" s="1"/>
  <c r="K8271" i="12" s="1"/>
  <c r="K8295" i="12" s="1"/>
  <c r="K8319" i="12" s="1"/>
  <c r="K8343" i="12" s="1"/>
  <c r="K8367" i="12" s="1"/>
  <c r="K8391" i="12" s="1"/>
  <c r="K8415" i="12" s="1"/>
  <c r="K8439" i="12" s="1"/>
  <c r="K8463" i="12" s="1"/>
  <c r="K8487" i="12" s="1"/>
  <c r="K8511" i="12" s="1"/>
  <c r="K8535" i="12" s="1"/>
  <c r="K8559" i="12" s="1"/>
  <c r="K8583" i="12" s="1"/>
  <c r="K8607" i="12" s="1"/>
  <c r="K8631" i="12" s="1"/>
  <c r="K8655" i="12" s="1"/>
  <c r="K8679" i="12" s="1"/>
  <c r="K8703" i="12" s="1"/>
  <c r="K8727" i="12" s="1"/>
  <c r="K38" i="12"/>
  <c r="K62" i="12" s="1"/>
  <c r="K86" i="12" s="1"/>
  <c r="K110" i="12" s="1"/>
  <c r="K134" i="12" s="1"/>
  <c r="K158" i="12" s="1"/>
  <c r="K182" i="12" s="1"/>
  <c r="K206" i="12" s="1"/>
  <c r="K230" i="12" s="1"/>
  <c r="K254" i="12" s="1"/>
  <c r="K278" i="12" s="1"/>
  <c r="K302" i="12" s="1"/>
  <c r="K326" i="12" s="1"/>
  <c r="K350" i="12" s="1"/>
  <c r="K374" i="12" s="1"/>
  <c r="K398" i="12" s="1"/>
  <c r="K422" i="12" s="1"/>
  <c r="K446" i="12" s="1"/>
  <c r="K470" i="12" s="1"/>
  <c r="K494" i="12" s="1"/>
  <c r="K518" i="12" s="1"/>
  <c r="K542" i="12" s="1"/>
  <c r="K566" i="12" s="1"/>
  <c r="K590" i="12" s="1"/>
  <c r="K614" i="12" s="1"/>
  <c r="K638" i="12" s="1"/>
  <c r="K662" i="12" s="1"/>
  <c r="K686" i="12" s="1"/>
  <c r="K710" i="12" s="1"/>
  <c r="K734" i="12" s="1"/>
  <c r="K758" i="12" s="1"/>
  <c r="K782" i="12" s="1"/>
  <c r="K806" i="12" s="1"/>
  <c r="K830" i="12" s="1"/>
  <c r="K854" i="12" s="1"/>
  <c r="K878" i="12" s="1"/>
  <c r="K902" i="12" s="1"/>
  <c r="K926" i="12" s="1"/>
  <c r="K950" i="12" s="1"/>
  <c r="K974" i="12" s="1"/>
  <c r="K998" i="12" s="1"/>
  <c r="K1022" i="12" s="1"/>
  <c r="K1046" i="12" s="1"/>
  <c r="K1070" i="12" s="1"/>
  <c r="K1094" i="12" s="1"/>
  <c r="K1118" i="12" s="1"/>
  <c r="K1142" i="12" s="1"/>
  <c r="K1166" i="12" s="1"/>
  <c r="K1190" i="12" s="1"/>
  <c r="K1214" i="12" s="1"/>
  <c r="K1238" i="12" s="1"/>
  <c r="K1262" i="12" s="1"/>
  <c r="K1286" i="12" s="1"/>
  <c r="K1310" i="12" s="1"/>
  <c r="K1334" i="12" s="1"/>
  <c r="K1358" i="12" s="1"/>
  <c r="K1382" i="12" s="1"/>
  <c r="K1406" i="12" s="1"/>
  <c r="K1430" i="12" s="1"/>
  <c r="K1454" i="12" s="1"/>
  <c r="K1478" i="12" s="1"/>
  <c r="K1502" i="12" s="1"/>
  <c r="K1526" i="12" s="1"/>
  <c r="K1550" i="12" s="1"/>
  <c r="K1574" i="12" s="1"/>
  <c r="K1598" i="12" s="1"/>
  <c r="K1622" i="12" s="1"/>
  <c r="K1646" i="12" s="1"/>
  <c r="K1670" i="12" s="1"/>
  <c r="K1694" i="12" s="1"/>
  <c r="K1718" i="12" s="1"/>
  <c r="K1742" i="12" s="1"/>
  <c r="K1766" i="12" s="1"/>
  <c r="K1790" i="12" s="1"/>
  <c r="K1814" i="12" s="1"/>
  <c r="K1838" i="12" s="1"/>
  <c r="K1862" i="12" s="1"/>
  <c r="K1886" i="12" s="1"/>
  <c r="K1910" i="12" s="1"/>
  <c r="K1934" i="12" s="1"/>
  <c r="K1958" i="12" s="1"/>
  <c r="K1982" i="12" s="1"/>
  <c r="K2006" i="12" s="1"/>
  <c r="K2030" i="12" s="1"/>
  <c r="K2054" i="12" s="1"/>
  <c r="K2078" i="12" s="1"/>
  <c r="K2102" i="12" s="1"/>
  <c r="K2126" i="12" s="1"/>
  <c r="K2150" i="12" s="1"/>
  <c r="K2174" i="12" s="1"/>
  <c r="K2198" i="12" s="1"/>
  <c r="K2222" i="12" s="1"/>
  <c r="K2246" i="12" s="1"/>
  <c r="K2270" i="12" s="1"/>
  <c r="K2294" i="12" s="1"/>
  <c r="K2318" i="12" s="1"/>
  <c r="K2342" i="12" s="1"/>
  <c r="K2366" i="12" s="1"/>
  <c r="K2390" i="12" s="1"/>
  <c r="K2414" i="12" s="1"/>
  <c r="K2438" i="12" s="1"/>
  <c r="K2462" i="12" s="1"/>
  <c r="K2486" i="12" s="1"/>
  <c r="K2510" i="12" s="1"/>
  <c r="K2534" i="12" s="1"/>
  <c r="K2558" i="12" s="1"/>
  <c r="K2582" i="12" s="1"/>
  <c r="K2606" i="12" s="1"/>
  <c r="K2630" i="12" s="1"/>
  <c r="K2654" i="12" s="1"/>
  <c r="K2678" i="12" s="1"/>
  <c r="K2702" i="12" s="1"/>
  <c r="K2726" i="12" s="1"/>
  <c r="K2750" i="12" s="1"/>
  <c r="K2774" i="12" s="1"/>
  <c r="K2798" i="12" s="1"/>
  <c r="K2822" i="12" s="1"/>
  <c r="K2846" i="12" s="1"/>
  <c r="K2870" i="12" s="1"/>
  <c r="K2894" i="12" s="1"/>
  <c r="K2918" i="12" s="1"/>
  <c r="K2942" i="12" s="1"/>
  <c r="K2966" i="12" s="1"/>
  <c r="K2990" i="12" s="1"/>
  <c r="K3014" i="12" s="1"/>
  <c r="K3038" i="12" s="1"/>
  <c r="K3062" i="12" s="1"/>
  <c r="K3086" i="12" s="1"/>
  <c r="K3110" i="12" s="1"/>
  <c r="K3134" i="12" s="1"/>
  <c r="K3158" i="12" s="1"/>
  <c r="K3182" i="12" s="1"/>
  <c r="K3206" i="12" s="1"/>
  <c r="K3230" i="12" s="1"/>
  <c r="K3254" i="12" s="1"/>
  <c r="K3278" i="12" s="1"/>
  <c r="K3302" i="12" s="1"/>
  <c r="K3326" i="12" s="1"/>
  <c r="K3350" i="12" s="1"/>
  <c r="K3374" i="12" s="1"/>
  <c r="K3398" i="12" s="1"/>
  <c r="K3422" i="12" s="1"/>
  <c r="K3446" i="12" s="1"/>
  <c r="K3470" i="12" s="1"/>
  <c r="K3494" i="12" s="1"/>
  <c r="K3518" i="12" s="1"/>
  <c r="K3542" i="12" s="1"/>
  <c r="K3566" i="12" s="1"/>
  <c r="K3590" i="12" s="1"/>
  <c r="K3614" i="12" s="1"/>
  <c r="K3638" i="12" s="1"/>
  <c r="K3662" i="12" s="1"/>
  <c r="K3686" i="12" s="1"/>
  <c r="K3710" i="12" s="1"/>
  <c r="K3734" i="12" s="1"/>
  <c r="K3758" i="12" s="1"/>
  <c r="K3782" i="12" s="1"/>
  <c r="K3806" i="12" s="1"/>
  <c r="K3830" i="12" s="1"/>
  <c r="K3854" i="12" s="1"/>
  <c r="K3878" i="12" s="1"/>
  <c r="K3902" i="12" s="1"/>
  <c r="K3926" i="12" s="1"/>
  <c r="K3950" i="12" s="1"/>
  <c r="K3974" i="12" s="1"/>
  <c r="K3998" i="12" s="1"/>
  <c r="K4022" i="12" s="1"/>
  <c r="K4046" i="12" s="1"/>
  <c r="K4070" i="12" s="1"/>
  <c r="K4094" i="12" s="1"/>
  <c r="K4118" i="12" s="1"/>
  <c r="K4142" i="12" s="1"/>
  <c r="K4166" i="12" s="1"/>
  <c r="K4190" i="12" s="1"/>
  <c r="K4214" i="12" s="1"/>
  <c r="K4238" i="12" s="1"/>
  <c r="K4262" i="12" s="1"/>
  <c r="K4286" i="12" s="1"/>
  <c r="K4310" i="12" s="1"/>
  <c r="K4334" i="12" s="1"/>
  <c r="K4358" i="12" s="1"/>
  <c r="K4382" i="12" s="1"/>
  <c r="K4406" i="12" s="1"/>
  <c r="K4430" i="12" s="1"/>
  <c r="K4454" i="12" s="1"/>
  <c r="K4478" i="12" s="1"/>
  <c r="K4502" i="12" s="1"/>
  <c r="K4526" i="12" s="1"/>
  <c r="K4550" i="12" s="1"/>
  <c r="K4574" i="12" s="1"/>
  <c r="K4598" i="12" s="1"/>
  <c r="K4622" i="12" s="1"/>
  <c r="K4646" i="12" s="1"/>
  <c r="K4670" i="12" s="1"/>
  <c r="K4694" i="12" s="1"/>
  <c r="K4718" i="12" s="1"/>
  <c r="K4742" i="12" s="1"/>
  <c r="K4766" i="12" s="1"/>
  <c r="K4790" i="12" s="1"/>
  <c r="K4814" i="12" s="1"/>
  <c r="K4838" i="12" s="1"/>
  <c r="K4862" i="12" s="1"/>
  <c r="K4886" i="12" s="1"/>
  <c r="K4910" i="12" s="1"/>
  <c r="K4934" i="12" s="1"/>
  <c r="K4958" i="12" s="1"/>
  <c r="K4982" i="12" s="1"/>
  <c r="K5006" i="12" s="1"/>
  <c r="K5030" i="12" s="1"/>
  <c r="K5054" i="12" s="1"/>
  <c r="K5078" i="12" s="1"/>
  <c r="K5102" i="12" s="1"/>
  <c r="K5126" i="12" s="1"/>
  <c r="K5150" i="12" s="1"/>
  <c r="K5174" i="12" s="1"/>
  <c r="K5198" i="12" s="1"/>
  <c r="K5222" i="12" s="1"/>
  <c r="K5246" i="12" s="1"/>
  <c r="K5270" i="12" s="1"/>
  <c r="K5294" i="12" s="1"/>
  <c r="K5318" i="12" s="1"/>
  <c r="K5342" i="12" s="1"/>
  <c r="K5366" i="12" s="1"/>
  <c r="K5390" i="12" s="1"/>
  <c r="K5414" i="12" s="1"/>
  <c r="K5438" i="12" s="1"/>
  <c r="K5462" i="12" s="1"/>
  <c r="K5486" i="12" s="1"/>
  <c r="K5510" i="12" s="1"/>
  <c r="K5534" i="12" s="1"/>
  <c r="K5558" i="12" s="1"/>
  <c r="K5582" i="12" s="1"/>
  <c r="K5606" i="12" s="1"/>
  <c r="K5630" i="12" s="1"/>
  <c r="K5654" i="12" s="1"/>
  <c r="K5678" i="12" s="1"/>
  <c r="K5702" i="12" s="1"/>
  <c r="K5726" i="12" s="1"/>
  <c r="K5750" i="12" s="1"/>
  <c r="K5774" i="12" s="1"/>
  <c r="K5798" i="12" s="1"/>
  <c r="K5822" i="12" s="1"/>
  <c r="K5846" i="12" s="1"/>
  <c r="K5870" i="12" s="1"/>
  <c r="K5894" i="12" s="1"/>
  <c r="K5918" i="12" s="1"/>
  <c r="K5942" i="12" s="1"/>
  <c r="K5966" i="12" s="1"/>
  <c r="K5990" i="12" s="1"/>
  <c r="K6014" i="12" s="1"/>
  <c r="K6038" i="12" s="1"/>
  <c r="K6062" i="12" s="1"/>
  <c r="K6086" i="12" s="1"/>
  <c r="K6110" i="12" s="1"/>
  <c r="K6134" i="12" s="1"/>
  <c r="K6158" i="12" s="1"/>
  <c r="K6182" i="12" s="1"/>
  <c r="K6206" i="12" s="1"/>
  <c r="K6230" i="12" s="1"/>
  <c r="K6254" i="12" s="1"/>
  <c r="K6278" i="12" s="1"/>
  <c r="K6302" i="12" s="1"/>
  <c r="K6326" i="12" s="1"/>
  <c r="K6350" i="12" s="1"/>
  <c r="K6374" i="12" s="1"/>
  <c r="K6398" i="12" s="1"/>
  <c r="K6422" i="12" s="1"/>
  <c r="K6446" i="12" s="1"/>
  <c r="K6470" i="12" s="1"/>
  <c r="K6494" i="12" s="1"/>
  <c r="K6518" i="12" s="1"/>
  <c r="K6542" i="12" s="1"/>
  <c r="K6566" i="12" s="1"/>
  <c r="K6590" i="12" s="1"/>
  <c r="K6614" i="12" s="1"/>
  <c r="K6638" i="12" s="1"/>
  <c r="K6662" i="12" s="1"/>
  <c r="K6686" i="12" s="1"/>
  <c r="K6710" i="12" s="1"/>
  <c r="K6734" i="12" s="1"/>
  <c r="K6758" i="12" s="1"/>
  <c r="K6782" i="12" s="1"/>
  <c r="K6806" i="12" s="1"/>
  <c r="K6830" i="12" s="1"/>
  <c r="K6854" i="12" s="1"/>
  <c r="K6878" i="12" s="1"/>
  <c r="K6902" i="12" s="1"/>
  <c r="K6926" i="12" s="1"/>
  <c r="K6950" i="12" s="1"/>
  <c r="K6974" i="12" s="1"/>
  <c r="K6998" i="12" s="1"/>
  <c r="K7022" i="12" s="1"/>
  <c r="K7046" i="12" s="1"/>
  <c r="K7070" i="12" s="1"/>
  <c r="K7094" i="12" s="1"/>
  <c r="K7118" i="12" s="1"/>
  <c r="K7142" i="12" s="1"/>
  <c r="K7166" i="12" s="1"/>
  <c r="K7190" i="12" s="1"/>
  <c r="K7214" i="12" s="1"/>
  <c r="K7238" i="12" s="1"/>
  <c r="K7262" i="12" s="1"/>
  <c r="K7286" i="12" s="1"/>
  <c r="K7310" i="12" s="1"/>
  <c r="K7334" i="12" s="1"/>
  <c r="K7358" i="12" s="1"/>
  <c r="K7382" i="12" s="1"/>
  <c r="K7406" i="12" s="1"/>
  <c r="K7430" i="12" s="1"/>
  <c r="K7454" i="12" s="1"/>
  <c r="K7478" i="12" s="1"/>
  <c r="K7502" i="12" s="1"/>
  <c r="K7526" i="12" s="1"/>
  <c r="K7550" i="12" s="1"/>
  <c r="K7574" i="12" s="1"/>
  <c r="K7598" i="12" s="1"/>
  <c r="K7622" i="12" s="1"/>
  <c r="K7646" i="12" s="1"/>
  <c r="K7670" i="12" s="1"/>
  <c r="K7694" i="12" s="1"/>
  <c r="K7718" i="12" s="1"/>
  <c r="K7742" i="12" s="1"/>
  <c r="K7766" i="12" s="1"/>
  <c r="K7790" i="12" s="1"/>
  <c r="K7814" i="12" s="1"/>
  <c r="K7838" i="12" s="1"/>
  <c r="K7862" i="12" s="1"/>
  <c r="K7886" i="12" s="1"/>
  <c r="K7910" i="12" s="1"/>
  <c r="K7934" i="12" s="1"/>
  <c r="K7958" i="12" s="1"/>
  <c r="K7982" i="12" s="1"/>
  <c r="K8006" i="12" s="1"/>
  <c r="K8030" i="12" s="1"/>
  <c r="K8054" i="12" s="1"/>
  <c r="K8078" i="12" s="1"/>
  <c r="K8102" i="12" s="1"/>
  <c r="K8126" i="12" s="1"/>
  <c r="K8150" i="12" s="1"/>
  <c r="K8174" i="12" s="1"/>
  <c r="K8198" i="12" s="1"/>
  <c r="K8222" i="12" s="1"/>
  <c r="K8246" i="12" s="1"/>
  <c r="K8270" i="12" s="1"/>
  <c r="K8294" i="12" s="1"/>
  <c r="K8318" i="12" s="1"/>
  <c r="K8342" i="12" s="1"/>
  <c r="K8366" i="12" s="1"/>
  <c r="K8390" i="12" s="1"/>
  <c r="K8414" i="12" s="1"/>
  <c r="K8438" i="12" s="1"/>
  <c r="K8462" i="12" s="1"/>
  <c r="K8486" i="12" s="1"/>
  <c r="K8510" i="12" s="1"/>
  <c r="K8534" i="12" s="1"/>
  <c r="K8558" i="12" s="1"/>
  <c r="K8582" i="12" s="1"/>
  <c r="K8606" i="12" s="1"/>
  <c r="K8630" i="12" s="1"/>
  <c r="K8654" i="12" s="1"/>
  <c r="K8678" i="12" s="1"/>
  <c r="K8702" i="12" s="1"/>
  <c r="K8726" i="12" s="1"/>
  <c r="K37" i="12"/>
  <c r="K61" i="12" s="1"/>
  <c r="K85" i="12" s="1"/>
  <c r="K109" i="12" s="1"/>
  <c r="K133" i="12" s="1"/>
  <c r="K157" i="12" s="1"/>
  <c r="K181" i="12" s="1"/>
  <c r="K205" i="12" s="1"/>
  <c r="K229" i="12" s="1"/>
  <c r="K253" i="12" s="1"/>
  <c r="K277" i="12" s="1"/>
  <c r="K301" i="12" s="1"/>
  <c r="K325" i="12" s="1"/>
  <c r="K349" i="12" s="1"/>
  <c r="K373" i="12" s="1"/>
  <c r="K397" i="12" s="1"/>
  <c r="K421" i="12" s="1"/>
  <c r="K445" i="12" s="1"/>
  <c r="K469" i="12" s="1"/>
  <c r="K493" i="12" s="1"/>
  <c r="K517" i="12" s="1"/>
  <c r="K541" i="12" s="1"/>
  <c r="K565" i="12" s="1"/>
  <c r="K589" i="12" s="1"/>
  <c r="K613" i="12" s="1"/>
  <c r="K637" i="12" s="1"/>
  <c r="K661" i="12" s="1"/>
  <c r="K685" i="12" s="1"/>
  <c r="K709" i="12" s="1"/>
  <c r="K733" i="12" s="1"/>
  <c r="K757" i="12" s="1"/>
  <c r="K781" i="12" s="1"/>
  <c r="K805" i="12" s="1"/>
  <c r="K829" i="12" s="1"/>
  <c r="K853" i="12" s="1"/>
  <c r="K877" i="12" s="1"/>
  <c r="K901" i="12" s="1"/>
  <c r="K925" i="12" s="1"/>
  <c r="K949" i="12" s="1"/>
  <c r="K973" i="12" s="1"/>
  <c r="K997" i="12" s="1"/>
  <c r="K1021" i="12" s="1"/>
  <c r="K1045" i="12" s="1"/>
  <c r="K1069" i="12" s="1"/>
  <c r="K1093" i="12" s="1"/>
  <c r="K1117" i="12" s="1"/>
  <c r="K1141" i="12" s="1"/>
  <c r="K1165" i="12" s="1"/>
  <c r="K1189" i="12" s="1"/>
  <c r="K1213" i="12" s="1"/>
  <c r="K1237" i="12" s="1"/>
  <c r="K1261" i="12" s="1"/>
  <c r="K1285" i="12" s="1"/>
  <c r="K1309" i="12" s="1"/>
  <c r="K1333" i="12" s="1"/>
  <c r="K1357" i="12" s="1"/>
  <c r="K1381" i="12" s="1"/>
  <c r="K1405" i="12" s="1"/>
  <c r="K1429" i="12" s="1"/>
  <c r="K1453" i="12" s="1"/>
  <c r="K1477" i="12" s="1"/>
  <c r="K1501" i="12" s="1"/>
  <c r="K1525" i="12" s="1"/>
  <c r="K1549" i="12" s="1"/>
  <c r="K1573" i="12" s="1"/>
  <c r="K1597" i="12" s="1"/>
  <c r="K1621" i="12" s="1"/>
  <c r="K1645" i="12" s="1"/>
  <c r="K1669" i="12" s="1"/>
  <c r="K1693" i="12" s="1"/>
  <c r="K1717" i="12" s="1"/>
  <c r="K1741" i="12" s="1"/>
  <c r="K1765" i="12" s="1"/>
  <c r="K1789" i="12" s="1"/>
  <c r="K1813" i="12" s="1"/>
  <c r="K1837" i="12" s="1"/>
  <c r="K1861" i="12" s="1"/>
  <c r="K1885" i="12" s="1"/>
  <c r="K1909" i="12" s="1"/>
  <c r="K1933" i="12" s="1"/>
  <c r="K1957" i="12" s="1"/>
  <c r="K1981" i="12" s="1"/>
  <c r="K2005" i="12" s="1"/>
  <c r="K2029" i="12" s="1"/>
  <c r="K2053" i="12" s="1"/>
  <c r="K2077" i="12" s="1"/>
  <c r="K2101" i="12" s="1"/>
  <c r="K2125" i="12" s="1"/>
  <c r="K2149" i="12" s="1"/>
  <c r="K2173" i="12" s="1"/>
  <c r="K2197" i="12" s="1"/>
  <c r="K2221" i="12" s="1"/>
  <c r="K2245" i="12" s="1"/>
  <c r="K2269" i="12" s="1"/>
  <c r="K2293" i="12" s="1"/>
  <c r="K2317" i="12" s="1"/>
  <c r="K2341" i="12" s="1"/>
  <c r="K2365" i="12" s="1"/>
  <c r="K2389" i="12" s="1"/>
  <c r="K2413" i="12" s="1"/>
  <c r="K2437" i="12" s="1"/>
  <c r="K2461" i="12" s="1"/>
  <c r="K2485" i="12" s="1"/>
  <c r="K2509" i="12" s="1"/>
  <c r="K2533" i="12" s="1"/>
  <c r="K2557" i="12" s="1"/>
  <c r="K2581" i="12" s="1"/>
  <c r="K2605" i="12" s="1"/>
  <c r="K2629" i="12" s="1"/>
  <c r="K2653" i="12" s="1"/>
  <c r="K2677" i="12" s="1"/>
  <c r="K2701" i="12" s="1"/>
  <c r="K2725" i="12" s="1"/>
  <c r="K2749" i="12" s="1"/>
  <c r="K2773" i="12" s="1"/>
  <c r="K2797" i="12" s="1"/>
  <c r="K2821" i="12" s="1"/>
  <c r="K2845" i="12" s="1"/>
  <c r="K2869" i="12" s="1"/>
  <c r="K2893" i="12" s="1"/>
  <c r="K2917" i="12" s="1"/>
  <c r="K2941" i="12" s="1"/>
  <c r="K2965" i="12" s="1"/>
  <c r="K2989" i="12" s="1"/>
  <c r="K3013" i="12" s="1"/>
  <c r="K3037" i="12" s="1"/>
  <c r="K3061" i="12" s="1"/>
  <c r="K3085" i="12" s="1"/>
  <c r="K3109" i="12" s="1"/>
  <c r="K3133" i="12" s="1"/>
  <c r="K3157" i="12" s="1"/>
  <c r="K3181" i="12" s="1"/>
  <c r="K3205" i="12" s="1"/>
  <c r="K3229" i="12" s="1"/>
  <c r="K3253" i="12" s="1"/>
  <c r="K3277" i="12" s="1"/>
  <c r="K3301" i="12" s="1"/>
  <c r="K3325" i="12" s="1"/>
  <c r="K3349" i="12" s="1"/>
  <c r="K3373" i="12" s="1"/>
  <c r="K3397" i="12" s="1"/>
  <c r="K3421" i="12" s="1"/>
  <c r="K3445" i="12" s="1"/>
  <c r="K3469" i="12" s="1"/>
  <c r="K3493" i="12" s="1"/>
  <c r="K3517" i="12" s="1"/>
  <c r="K3541" i="12" s="1"/>
  <c r="K3565" i="12" s="1"/>
  <c r="K3589" i="12" s="1"/>
  <c r="K3613" i="12" s="1"/>
  <c r="K3637" i="12" s="1"/>
  <c r="K3661" i="12" s="1"/>
  <c r="K3685" i="12" s="1"/>
  <c r="K3709" i="12" s="1"/>
  <c r="K3733" i="12" s="1"/>
  <c r="K3757" i="12" s="1"/>
  <c r="K3781" i="12" s="1"/>
  <c r="K3805" i="12" s="1"/>
  <c r="K3829" i="12" s="1"/>
  <c r="K3853" i="12" s="1"/>
  <c r="K3877" i="12" s="1"/>
  <c r="K3901" i="12" s="1"/>
  <c r="K3925" i="12" s="1"/>
  <c r="K3949" i="12" s="1"/>
  <c r="K3973" i="12" s="1"/>
  <c r="K3997" i="12" s="1"/>
  <c r="K4021" i="12" s="1"/>
  <c r="K4045" i="12" s="1"/>
  <c r="K4069" i="12" s="1"/>
  <c r="K4093" i="12" s="1"/>
  <c r="K4117" i="12" s="1"/>
  <c r="K4141" i="12" s="1"/>
  <c r="K4165" i="12" s="1"/>
  <c r="K4189" i="12" s="1"/>
  <c r="K4213" i="12" s="1"/>
  <c r="K4237" i="12" s="1"/>
  <c r="K4261" i="12" s="1"/>
  <c r="K4285" i="12" s="1"/>
  <c r="K4309" i="12" s="1"/>
  <c r="K4333" i="12" s="1"/>
  <c r="K4357" i="12" s="1"/>
  <c r="K4381" i="12" s="1"/>
  <c r="K4405" i="12" s="1"/>
  <c r="K4429" i="12" s="1"/>
  <c r="K4453" i="12" s="1"/>
  <c r="K4477" i="12" s="1"/>
  <c r="K4501" i="12" s="1"/>
  <c r="K4525" i="12" s="1"/>
  <c r="K4549" i="12" s="1"/>
  <c r="K4573" i="12" s="1"/>
  <c r="K4597" i="12" s="1"/>
  <c r="K4621" i="12" s="1"/>
  <c r="K4645" i="12" s="1"/>
  <c r="K4669" i="12" s="1"/>
  <c r="K4693" i="12" s="1"/>
  <c r="K4717" i="12" s="1"/>
  <c r="K4741" i="12" s="1"/>
  <c r="K4765" i="12" s="1"/>
  <c r="K4789" i="12" s="1"/>
  <c r="K4813" i="12" s="1"/>
  <c r="K4837" i="12" s="1"/>
  <c r="K4861" i="12" s="1"/>
  <c r="K4885" i="12" s="1"/>
  <c r="K4909" i="12" s="1"/>
  <c r="K4933" i="12" s="1"/>
  <c r="K4957" i="12" s="1"/>
  <c r="K4981" i="12" s="1"/>
  <c r="K5005" i="12" s="1"/>
  <c r="K5029" i="12" s="1"/>
  <c r="K5053" i="12" s="1"/>
  <c r="K5077" i="12" s="1"/>
  <c r="K5101" i="12" s="1"/>
  <c r="K5125" i="12" s="1"/>
  <c r="K5149" i="12" s="1"/>
  <c r="K5173" i="12" s="1"/>
  <c r="K5197" i="12" s="1"/>
  <c r="K5221" i="12" s="1"/>
  <c r="K5245" i="12" s="1"/>
  <c r="K5269" i="12" s="1"/>
  <c r="K5293" i="12" s="1"/>
  <c r="K5317" i="12" s="1"/>
  <c r="K5341" i="12" s="1"/>
  <c r="K5365" i="12" s="1"/>
  <c r="K5389" i="12" s="1"/>
  <c r="K5413" i="12" s="1"/>
  <c r="K5437" i="12" s="1"/>
  <c r="K5461" i="12" s="1"/>
  <c r="K5485" i="12" s="1"/>
  <c r="K5509" i="12" s="1"/>
  <c r="K5533" i="12" s="1"/>
  <c r="K5557" i="12" s="1"/>
  <c r="K5581" i="12" s="1"/>
  <c r="K5605" i="12" s="1"/>
  <c r="K5629" i="12" s="1"/>
  <c r="K5653" i="12" s="1"/>
  <c r="K5677" i="12" s="1"/>
  <c r="K5701" i="12" s="1"/>
  <c r="K5725" i="12" s="1"/>
  <c r="K5749" i="12" s="1"/>
  <c r="K5773" i="12" s="1"/>
  <c r="K5797" i="12" s="1"/>
  <c r="K5821" i="12" s="1"/>
  <c r="K5845" i="12" s="1"/>
  <c r="K5869" i="12" s="1"/>
  <c r="K5893" i="12" s="1"/>
  <c r="K5917" i="12" s="1"/>
  <c r="K5941" i="12" s="1"/>
  <c r="K5965" i="12" s="1"/>
  <c r="K5989" i="12" s="1"/>
  <c r="K6013" i="12" s="1"/>
  <c r="K6037" i="12" s="1"/>
  <c r="K6061" i="12" s="1"/>
  <c r="K6085" i="12" s="1"/>
  <c r="K6109" i="12" s="1"/>
  <c r="K6133" i="12" s="1"/>
  <c r="K6157" i="12" s="1"/>
  <c r="K6181" i="12" s="1"/>
  <c r="K6205" i="12" s="1"/>
  <c r="K6229" i="12" s="1"/>
  <c r="K6253" i="12" s="1"/>
  <c r="K6277" i="12" s="1"/>
  <c r="K6301" i="12" s="1"/>
  <c r="K6325" i="12" s="1"/>
  <c r="K6349" i="12" s="1"/>
  <c r="K6373" i="12" s="1"/>
  <c r="K6397" i="12" s="1"/>
  <c r="K6421" i="12" s="1"/>
  <c r="K6445" i="12" s="1"/>
  <c r="K6469" i="12" s="1"/>
  <c r="K6493" i="12" s="1"/>
  <c r="K6517" i="12" s="1"/>
  <c r="K6541" i="12" s="1"/>
  <c r="K6565" i="12" s="1"/>
  <c r="K6589" i="12" s="1"/>
  <c r="K6613" i="12" s="1"/>
  <c r="K6637" i="12" s="1"/>
  <c r="K6661" i="12" s="1"/>
  <c r="K6685" i="12" s="1"/>
  <c r="K6709" i="12" s="1"/>
  <c r="K6733" i="12" s="1"/>
  <c r="K6757" i="12" s="1"/>
  <c r="K6781" i="12" s="1"/>
  <c r="K6805" i="12" s="1"/>
  <c r="K6829" i="12" s="1"/>
  <c r="K6853" i="12" s="1"/>
  <c r="K6877" i="12" s="1"/>
  <c r="K6901" i="12" s="1"/>
  <c r="K6925" i="12" s="1"/>
  <c r="K6949" i="12" s="1"/>
  <c r="K6973" i="12" s="1"/>
  <c r="K6997" i="12" s="1"/>
  <c r="K7021" i="12" s="1"/>
  <c r="K7045" i="12" s="1"/>
  <c r="K7069" i="12" s="1"/>
  <c r="K7093" i="12" s="1"/>
  <c r="K7117" i="12" s="1"/>
  <c r="K7141" i="12" s="1"/>
  <c r="K7165" i="12" s="1"/>
  <c r="K7189" i="12" s="1"/>
  <c r="K7213" i="12" s="1"/>
  <c r="K7237" i="12" s="1"/>
  <c r="K7261" i="12" s="1"/>
  <c r="K7285" i="12" s="1"/>
  <c r="K7309" i="12" s="1"/>
  <c r="K7333" i="12" s="1"/>
  <c r="K7357" i="12" s="1"/>
  <c r="K7381" i="12" s="1"/>
  <c r="K7405" i="12" s="1"/>
  <c r="K7429" i="12" s="1"/>
  <c r="K7453" i="12" s="1"/>
  <c r="K7477" i="12" s="1"/>
  <c r="K7501" i="12" s="1"/>
  <c r="K7525" i="12" s="1"/>
  <c r="K7549" i="12" s="1"/>
  <c r="K7573" i="12" s="1"/>
  <c r="K7597" i="12" s="1"/>
  <c r="K7621" i="12" s="1"/>
  <c r="K7645" i="12" s="1"/>
  <c r="K7669" i="12" s="1"/>
  <c r="K7693" i="12" s="1"/>
  <c r="K7717" i="12" s="1"/>
  <c r="K7741" i="12" s="1"/>
  <c r="K7765" i="12" s="1"/>
  <c r="K7789" i="12" s="1"/>
  <c r="K7813" i="12" s="1"/>
  <c r="K7837" i="12" s="1"/>
  <c r="K7861" i="12" s="1"/>
  <c r="K7885" i="12" s="1"/>
  <c r="K7909" i="12" s="1"/>
  <c r="K7933" i="12" s="1"/>
  <c r="K7957" i="12" s="1"/>
  <c r="K7981" i="12" s="1"/>
  <c r="K8005" i="12" s="1"/>
  <c r="K8029" i="12" s="1"/>
  <c r="K8053" i="12" s="1"/>
  <c r="K8077" i="12" s="1"/>
  <c r="K8101" i="12" s="1"/>
  <c r="K8125" i="12" s="1"/>
  <c r="K8149" i="12" s="1"/>
  <c r="K8173" i="12" s="1"/>
  <c r="K8197" i="12" s="1"/>
  <c r="K8221" i="12" s="1"/>
  <c r="K8245" i="12" s="1"/>
  <c r="K8269" i="12" s="1"/>
  <c r="K8293" i="12" s="1"/>
  <c r="K8317" i="12" s="1"/>
  <c r="K8341" i="12" s="1"/>
  <c r="K8365" i="12" s="1"/>
  <c r="K8389" i="12" s="1"/>
  <c r="K8413" i="12" s="1"/>
  <c r="K8437" i="12" s="1"/>
  <c r="K8461" i="12" s="1"/>
  <c r="K8485" i="12" s="1"/>
  <c r="K8509" i="12" s="1"/>
  <c r="K8533" i="12" s="1"/>
  <c r="K8557" i="12" s="1"/>
  <c r="K8581" i="12" s="1"/>
  <c r="K8605" i="12" s="1"/>
  <c r="K8629" i="12" s="1"/>
  <c r="K8653" i="12" s="1"/>
  <c r="K8677" i="12" s="1"/>
  <c r="K8701" i="12" s="1"/>
  <c r="K8725" i="12" s="1"/>
  <c r="K36" i="12"/>
  <c r="K60" i="12" s="1"/>
  <c r="K84" i="12" s="1"/>
  <c r="K108" i="12" s="1"/>
  <c r="K132" i="12" s="1"/>
  <c r="K156" i="12" s="1"/>
  <c r="K180" i="12" s="1"/>
  <c r="K204" i="12" s="1"/>
  <c r="K228" i="12" s="1"/>
  <c r="K252" i="12" s="1"/>
  <c r="K276" i="12" s="1"/>
  <c r="K300" i="12" s="1"/>
  <c r="K324" i="12" s="1"/>
  <c r="K348" i="12" s="1"/>
  <c r="K372" i="12" s="1"/>
  <c r="K396" i="12" s="1"/>
  <c r="K420" i="12" s="1"/>
  <c r="K444" i="12" s="1"/>
  <c r="K468" i="12" s="1"/>
  <c r="K492" i="12" s="1"/>
  <c r="K516" i="12" s="1"/>
  <c r="K540" i="12" s="1"/>
  <c r="K564" i="12" s="1"/>
  <c r="K588" i="12" s="1"/>
  <c r="K612" i="12" s="1"/>
  <c r="K636" i="12" s="1"/>
  <c r="K660" i="12" s="1"/>
  <c r="K684" i="12" s="1"/>
  <c r="K708" i="12" s="1"/>
  <c r="K732" i="12" s="1"/>
  <c r="K756" i="12" s="1"/>
  <c r="K780" i="12" s="1"/>
  <c r="K804" i="12" s="1"/>
  <c r="K828" i="12" s="1"/>
  <c r="K852" i="12" s="1"/>
  <c r="K876" i="12" s="1"/>
  <c r="K900" i="12" s="1"/>
  <c r="K924" i="12" s="1"/>
  <c r="K948" i="12" s="1"/>
  <c r="K972" i="12" s="1"/>
  <c r="K996" i="12" s="1"/>
  <c r="K1020" i="12" s="1"/>
  <c r="K1044" i="12" s="1"/>
  <c r="K1068" i="12" s="1"/>
  <c r="K1092" i="12" s="1"/>
  <c r="K1116" i="12" s="1"/>
  <c r="K1140" i="12" s="1"/>
  <c r="K1164" i="12" s="1"/>
  <c r="K1188" i="12" s="1"/>
  <c r="K1212" i="12" s="1"/>
  <c r="K1236" i="12" s="1"/>
  <c r="K1260" i="12" s="1"/>
  <c r="K1284" i="12" s="1"/>
  <c r="K1308" i="12" s="1"/>
  <c r="K1332" i="12" s="1"/>
  <c r="K1356" i="12" s="1"/>
  <c r="K1380" i="12" s="1"/>
  <c r="K1404" i="12" s="1"/>
  <c r="K1428" i="12" s="1"/>
  <c r="K1452" i="12" s="1"/>
  <c r="K1476" i="12" s="1"/>
  <c r="K1500" i="12" s="1"/>
  <c r="K1524" i="12" s="1"/>
  <c r="K1548" i="12" s="1"/>
  <c r="K1572" i="12" s="1"/>
  <c r="K1596" i="12" s="1"/>
  <c r="K1620" i="12" s="1"/>
  <c r="K1644" i="12" s="1"/>
  <c r="K1668" i="12" s="1"/>
  <c r="K1692" i="12" s="1"/>
  <c r="K1716" i="12" s="1"/>
  <c r="K1740" i="12" s="1"/>
  <c r="K1764" i="12" s="1"/>
  <c r="K1788" i="12" s="1"/>
  <c r="K1812" i="12" s="1"/>
  <c r="K1836" i="12" s="1"/>
  <c r="K1860" i="12" s="1"/>
  <c r="K1884" i="12" s="1"/>
  <c r="K1908" i="12" s="1"/>
  <c r="K1932" i="12" s="1"/>
  <c r="K1956" i="12" s="1"/>
  <c r="K1980" i="12" s="1"/>
  <c r="K2004" i="12" s="1"/>
  <c r="K2028" i="12" s="1"/>
  <c r="K2052" i="12" s="1"/>
  <c r="K2076" i="12" s="1"/>
  <c r="K2100" i="12" s="1"/>
  <c r="K2124" i="12" s="1"/>
  <c r="K2148" i="12" s="1"/>
  <c r="K2172" i="12" s="1"/>
  <c r="K2196" i="12" s="1"/>
  <c r="K2220" i="12" s="1"/>
  <c r="K2244" i="12" s="1"/>
  <c r="K2268" i="12" s="1"/>
  <c r="K2292" i="12" s="1"/>
  <c r="K2316" i="12" s="1"/>
  <c r="K2340" i="12" s="1"/>
  <c r="K2364" i="12" s="1"/>
  <c r="K2388" i="12" s="1"/>
  <c r="K2412" i="12" s="1"/>
  <c r="K2436" i="12" s="1"/>
  <c r="K2460" i="12" s="1"/>
  <c r="K2484" i="12" s="1"/>
  <c r="K2508" i="12" s="1"/>
  <c r="K2532" i="12" s="1"/>
  <c r="K2556" i="12" s="1"/>
  <c r="K2580" i="12" s="1"/>
  <c r="K2604" i="12" s="1"/>
  <c r="K2628" i="12" s="1"/>
  <c r="K2652" i="12" s="1"/>
  <c r="K2676" i="12" s="1"/>
  <c r="K2700" i="12" s="1"/>
  <c r="K2724" i="12" s="1"/>
  <c r="K2748" i="12" s="1"/>
  <c r="K2772" i="12" s="1"/>
  <c r="K2796" i="12" s="1"/>
  <c r="K2820" i="12" s="1"/>
  <c r="K2844" i="12" s="1"/>
  <c r="K2868" i="12" s="1"/>
  <c r="K2892" i="12" s="1"/>
  <c r="K2916" i="12" s="1"/>
  <c r="K2940" i="12" s="1"/>
  <c r="K2964" i="12" s="1"/>
  <c r="K2988" i="12" s="1"/>
  <c r="K3012" i="12" s="1"/>
  <c r="K3036" i="12" s="1"/>
  <c r="K3060" i="12" s="1"/>
  <c r="K3084" i="12" s="1"/>
  <c r="K3108" i="12" s="1"/>
  <c r="K3132" i="12" s="1"/>
  <c r="K3156" i="12" s="1"/>
  <c r="K3180" i="12" s="1"/>
  <c r="K3204" i="12" s="1"/>
  <c r="K3228" i="12" s="1"/>
  <c r="K3252" i="12" s="1"/>
  <c r="K3276" i="12" s="1"/>
  <c r="K3300" i="12" s="1"/>
  <c r="K3324" i="12" s="1"/>
  <c r="K3348" i="12" s="1"/>
  <c r="K3372" i="12" s="1"/>
  <c r="K3396" i="12" s="1"/>
  <c r="K3420" i="12" s="1"/>
  <c r="K3444" i="12" s="1"/>
  <c r="K3468" i="12" s="1"/>
  <c r="K3492" i="12" s="1"/>
  <c r="K3516" i="12" s="1"/>
  <c r="K3540" i="12" s="1"/>
  <c r="K3564" i="12" s="1"/>
  <c r="K3588" i="12" s="1"/>
  <c r="K3612" i="12" s="1"/>
  <c r="K3636" i="12" s="1"/>
  <c r="K3660" i="12" s="1"/>
  <c r="K3684" i="12" s="1"/>
  <c r="K3708" i="12" s="1"/>
  <c r="K3732" i="12" s="1"/>
  <c r="K3756" i="12" s="1"/>
  <c r="K3780" i="12" s="1"/>
  <c r="K3804" i="12" s="1"/>
  <c r="K3828" i="12" s="1"/>
  <c r="K3852" i="12" s="1"/>
  <c r="K3876" i="12" s="1"/>
  <c r="K3900" i="12" s="1"/>
  <c r="K3924" i="12" s="1"/>
  <c r="K3948" i="12" s="1"/>
  <c r="K3972" i="12" s="1"/>
  <c r="K3996" i="12" s="1"/>
  <c r="K4020" i="12" s="1"/>
  <c r="K4044" i="12" s="1"/>
  <c r="K4068" i="12" s="1"/>
  <c r="K4092" i="12" s="1"/>
  <c r="K4116" i="12" s="1"/>
  <c r="K4140" i="12" s="1"/>
  <c r="K4164" i="12" s="1"/>
  <c r="K4188" i="12" s="1"/>
  <c r="K4212" i="12" s="1"/>
  <c r="K4236" i="12" s="1"/>
  <c r="K4260" i="12" s="1"/>
  <c r="K4284" i="12" s="1"/>
  <c r="K4308" i="12" s="1"/>
  <c r="K4332" i="12" s="1"/>
  <c r="K4356" i="12" s="1"/>
  <c r="K4380" i="12" s="1"/>
  <c r="K4404" i="12" s="1"/>
  <c r="K4428" i="12" s="1"/>
  <c r="K4452" i="12" s="1"/>
  <c r="K4476" i="12" s="1"/>
  <c r="K4500" i="12" s="1"/>
  <c r="K4524" i="12" s="1"/>
  <c r="K4548" i="12" s="1"/>
  <c r="K4572" i="12" s="1"/>
  <c r="K4596" i="12" s="1"/>
  <c r="K4620" i="12" s="1"/>
  <c r="K4644" i="12" s="1"/>
  <c r="K4668" i="12" s="1"/>
  <c r="K4692" i="12" s="1"/>
  <c r="K4716" i="12" s="1"/>
  <c r="K4740" i="12" s="1"/>
  <c r="K4764" i="12" s="1"/>
  <c r="K4788" i="12" s="1"/>
  <c r="K4812" i="12" s="1"/>
  <c r="K4836" i="12" s="1"/>
  <c r="K4860" i="12" s="1"/>
  <c r="K4884" i="12" s="1"/>
  <c r="K4908" i="12" s="1"/>
  <c r="K4932" i="12" s="1"/>
  <c r="K4956" i="12" s="1"/>
  <c r="K4980" i="12" s="1"/>
  <c r="K5004" i="12" s="1"/>
  <c r="K5028" i="12" s="1"/>
  <c r="K5052" i="12" s="1"/>
  <c r="K5076" i="12" s="1"/>
  <c r="K5100" i="12" s="1"/>
  <c r="K5124" i="12" s="1"/>
  <c r="K5148" i="12" s="1"/>
  <c r="K5172" i="12" s="1"/>
  <c r="K5196" i="12" s="1"/>
  <c r="K5220" i="12" s="1"/>
  <c r="K5244" i="12" s="1"/>
  <c r="K5268" i="12" s="1"/>
  <c r="K5292" i="12" s="1"/>
  <c r="K5316" i="12" s="1"/>
  <c r="K5340" i="12" s="1"/>
  <c r="K5364" i="12" s="1"/>
  <c r="K5388" i="12" s="1"/>
  <c r="K5412" i="12" s="1"/>
  <c r="K5436" i="12" s="1"/>
  <c r="K5460" i="12" s="1"/>
  <c r="K5484" i="12" s="1"/>
  <c r="K5508" i="12" s="1"/>
  <c r="K5532" i="12" s="1"/>
  <c r="K5556" i="12" s="1"/>
  <c r="K5580" i="12" s="1"/>
  <c r="K5604" i="12" s="1"/>
  <c r="K5628" i="12" s="1"/>
  <c r="K5652" i="12" s="1"/>
  <c r="K5676" i="12" s="1"/>
  <c r="K5700" i="12" s="1"/>
  <c r="K5724" i="12" s="1"/>
  <c r="K5748" i="12" s="1"/>
  <c r="K5772" i="12" s="1"/>
  <c r="K5796" i="12" s="1"/>
  <c r="K5820" i="12" s="1"/>
  <c r="K5844" i="12" s="1"/>
  <c r="K5868" i="12" s="1"/>
  <c r="K5892" i="12" s="1"/>
  <c r="K5916" i="12" s="1"/>
  <c r="K5940" i="12" s="1"/>
  <c r="K5964" i="12" s="1"/>
  <c r="K5988" i="12" s="1"/>
  <c r="K6012" i="12" s="1"/>
  <c r="K6036" i="12" s="1"/>
  <c r="K6060" i="12" s="1"/>
  <c r="K6084" i="12" s="1"/>
  <c r="K6108" i="12" s="1"/>
  <c r="K6132" i="12" s="1"/>
  <c r="K6156" i="12" s="1"/>
  <c r="K6180" i="12" s="1"/>
  <c r="K6204" i="12" s="1"/>
  <c r="K6228" i="12" s="1"/>
  <c r="K6252" i="12" s="1"/>
  <c r="K6276" i="12" s="1"/>
  <c r="K6300" i="12" s="1"/>
  <c r="K6324" i="12" s="1"/>
  <c r="K6348" i="12" s="1"/>
  <c r="K6372" i="12" s="1"/>
  <c r="K6396" i="12" s="1"/>
  <c r="K6420" i="12" s="1"/>
  <c r="K6444" i="12" s="1"/>
  <c r="K6468" i="12" s="1"/>
  <c r="K6492" i="12" s="1"/>
  <c r="K6516" i="12" s="1"/>
  <c r="K6540" i="12" s="1"/>
  <c r="K6564" i="12" s="1"/>
  <c r="K6588" i="12" s="1"/>
  <c r="K6612" i="12" s="1"/>
  <c r="K6636" i="12" s="1"/>
  <c r="K6660" i="12" s="1"/>
  <c r="K6684" i="12" s="1"/>
  <c r="K6708" i="12" s="1"/>
  <c r="K6732" i="12" s="1"/>
  <c r="K6756" i="12" s="1"/>
  <c r="K6780" i="12" s="1"/>
  <c r="K6804" i="12" s="1"/>
  <c r="K6828" i="12" s="1"/>
  <c r="K6852" i="12" s="1"/>
  <c r="K6876" i="12" s="1"/>
  <c r="K6900" i="12" s="1"/>
  <c r="K6924" i="12" s="1"/>
  <c r="K6948" i="12" s="1"/>
  <c r="K6972" i="12" s="1"/>
  <c r="K6996" i="12" s="1"/>
  <c r="K7020" i="12" s="1"/>
  <c r="K7044" i="12" s="1"/>
  <c r="K7068" i="12" s="1"/>
  <c r="K7092" i="12" s="1"/>
  <c r="K7116" i="12" s="1"/>
  <c r="K7140" i="12" s="1"/>
  <c r="K7164" i="12" s="1"/>
  <c r="K7188" i="12" s="1"/>
  <c r="K7212" i="12" s="1"/>
  <c r="K7236" i="12" s="1"/>
  <c r="K7260" i="12" s="1"/>
  <c r="K7284" i="12" s="1"/>
  <c r="K7308" i="12" s="1"/>
  <c r="K7332" i="12" s="1"/>
  <c r="K7356" i="12" s="1"/>
  <c r="K7380" i="12" s="1"/>
  <c r="K7404" i="12" s="1"/>
  <c r="K7428" i="12" s="1"/>
  <c r="K7452" i="12" s="1"/>
  <c r="K7476" i="12" s="1"/>
  <c r="K7500" i="12" s="1"/>
  <c r="K7524" i="12" s="1"/>
  <c r="K7548" i="12" s="1"/>
  <c r="K7572" i="12" s="1"/>
  <c r="K7596" i="12" s="1"/>
  <c r="K7620" i="12" s="1"/>
  <c r="K7644" i="12" s="1"/>
  <c r="K7668" i="12" s="1"/>
  <c r="K7692" i="12" s="1"/>
  <c r="K7716" i="12" s="1"/>
  <c r="K7740" i="12" s="1"/>
  <c r="K7764" i="12" s="1"/>
  <c r="K7788" i="12" s="1"/>
  <c r="K7812" i="12" s="1"/>
  <c r="K7836" i="12" s="1"/>
  <c r="K7860" i="12" s="1"/>
  <c r="K7884" i="12" s="1"/>
  <c r="K7908" i="12" s="1"/>
  <c r="K7932" i="12" s="1"/>
  <c r="K7956" i="12" s="1"/>
  <c r="K7980" i="12" s="1"/>
  <c r="K8004" i="12" s="1"/>
  <c r="K8028" i="12" s="1"/>
  <c r="K8052" i="12" s="1"/>
  <c r="K8076" i="12" s="1"/>
  <c r="K8100" i="12" s="1"/>
  <c r="K8124" i="12" s="1"/>
  <c r="K8148" i="12" s="1"/>
  <c r="K8172" i="12" s="1"/>
  <c r="K8196" i="12" s="1"/>
  <c r="K8220" i="12" s="1"/>
  <c r="K8244" i="12" s="1"/>
  <c r="K8268" i="12" s="1"/>
  <c r="K8292" i="12" s="1"/>
  <c r="K8316" i="12" s="1"/>
  <c r="K8340" i="12" s="1"/>
  <c r="K8364" i="12" s="1"/>
  <c r="K8388" i="12" s="1"/>
  <c r="K8412" i="12" s="1"/>
  <c r="K8436" i="12" s="1"/>
  <c r="K8460" i="12" s="1"/>
  <c r="K8484" i="12" s="1"/>
  <c r="K8508" i="12" s="1"/>
  <c r="K8532" i="12" s="1"/>
  <c r="K8556" i="12" s="1"/>
  <c r="K8580" i="12" s="1"/>
  <c r="K8604" i="12" s="1"/>
  <c r="K8628" i="12" s="1"/>
  <c r="K8652" i="12" s="1"/>
  <c r="K8676" i="12" s="1"/>
  <c r="K8700" i="12" s="1"/>
  <c r="K8724" i="12" s="1"/>
  <c r="K35" i="12"/>
  <c r="K59" i="12" s="1"/>
  <c r="K83" i="12" s="1"/>
  <c r="K107" i="12" s="1"/>
  <c r="K131" i="12" s="1"/>
  <c r="K155" i="12" s="1"/>
  <c r="K179" i="12" s="1"/>
  <c r="K203" i="12" s="1"/>
  <c r="K227" i="12" s="1"/>
  <c r="K251" i="12" s="1"/>
  <c r="K275" i="12" s="1"/>
  <c r="K299" i="12" s="1"/>
  <c r="K323" i="12" s="1"/>
  <c r="K347" i="12" s="1"/>
  <c r="K371" i="12" s="1"/>
  <c r="K395" i="12" s="1"/>
  <c r="K419" i="12" s="1"/>
  <c r="K443" i="12" s="1"/>
  <c r="K467" i="12" s="1"/>
  <c r="K491" i="12" s="1"/>
  <c r="K515" i="12" s="1"/>
  <c r="K539" i="12" s="1"/>
  <c r="K563" i="12" s="1"/>
  <c r="K587" i="12" s="1"/>
  <c r="K611" i="12" s="1"/>
  <c r="K635" i="12" s="1"/>
  <c r="K659" i="12" s="1"/>
  <c r="K683" i="12" s="1"/>
  <c r="K707" i="12" s="1"/>
  <c r="K731" i="12" s="1"/>
  <c r="K755" i="12" s="1"/>
  <c r="K779" i="12" s="1"/>
  <c r="K803" i="12" s="1"/>
  <c r="K827" i="12" s="1"/>
  <c r="K851" i="12" s="1"/>
  <c r="K875" i="12" s="1"/>
  <c r="K899" i="12" s="1"/>
  <c r="K923" i="12" s="1"/>
  <c r="K947" i="12" s="1"/>
  <c r="K971" i="12" s="1"/>
  <c r="K995" i="12" s="1"/>
  <c r="K1019" i="12" s="1"/>
  <c r="K1043" i="12" s="1"/>
  <c r="K1067" i="12" s="1"/>
  <c r="K1091" i="12" s="1"/>
  <c r="K1115" i="12" s="1"/>
  <c r="K1139" i="12" s="1"/>
  <c r="K1163" i="12" s="1"/>
  <c r="K1187" i="12" s="1"/>
  <c r="K1211" i="12" s="1"/>
  <c r="K1235" i="12" s="1"/>
  <c r="K1259" i="12" s="1"/>
  <c r="K1283" i="12" s="1"/>
  <c r="K1307" i="12" s="1"/>
  <c r="K1331" i="12" s="1"/>
  <c r="K1355" i="12" s="1"/>
  <c r="K1379" i="12" s="1"/>
  <c r="K1403" i="12" s="1"/>
  <c r="K1427" i="12" s="1"/>
  <c r="K1451" i="12" s="1"/>
  <c r="K1475" i="12" s="1"/>
  <c r="K1499" i="12" s="1"/>
  <c r="K1523" i="12" s="1"/>
  <c r="K1547" i="12" s="1"/>
  <c r="K1571" i="12" s="1"/>
  <c r="K1595" i="12" s="1"/>
  <c r="K1619" i="12" s="1"/>
  <c r="K1643" i="12" s="1"/>
  <c r="K1667" i="12" s="1"/>
  <c r="K1691" i="12" s="1"/>
  <c r="K1715" i="12" s="1"/>
  <c r="K1739" i="12" s="1"/>
  <c r="K1763" i="12" s="1"/>
  <c r="K1787" i="12" s="1"/>
  <c r="K1811" i="12" s="1"/>
  <c r="K1835" i="12" s="1"/>
  <c r="K1859" i="12" s="1"/>
  <c r="K1883" i="12" s="1"/>
  <c r="K1907" i="12" s="1"/>
  <c r="K1931" i="12" s="1"/>
  <c r="K1955" i="12" s="1"/>
  <c r="K1979" i="12" s="1"/>
  <c r="K2003" i="12" s="1"/>
  <c r="K2027" i="12" s="1"/>
  <c r="K2051" i="12" s="1"/>
  <c r="K2075" i="12" s="1"/>
  <c r="K2099" i="12" s="1"/>
  <c r="K2123" i="12" s="1"/>
  <c r="K2147" i="12" s="1"/>
  <c r="K2171" i="12" s="1"/>
  <c r="K2195" i="12" s="1"/>
  <c r="K2219" i="12" s="1"/>
  <c r="K2243" i="12" s="1"/>
  <c r="K2267" i="12" s="1"/>
  <c r="K2291" i="12" s="1"/>
  <c r="K2315" i="12" s="1"/>
  <c r="K2339" i="12" s="1"/>
  <c r="K2363" i="12" s="1"/>
  <c r="K2387" i="12" s="1"/>
  <c r="K2411" i="12" s="1"/>
  <c r="K2435" i="12" s="1"/>
  <c r="K2459" i="12" s="1"/>
  <c r="K2483" i="12" s="1"/>
  <c r="K2507" i="12" s="1"/>
  <c r="K2531" i="12" s="1"/>
  <c r="K2555" i="12" s="1"/>
  <c r="K2579" i="12" s="1"/>
  <c r="K2603" i="12" s="1"/>
  <c r="K2627" i="12" s="1"/>
  <c r="K2651" i="12" s="1"/>
  <c r="K2675" i="12" s="1"/>
  <c r="K2699" i="12" s="1"/>
  <c r="K2723" i="12" s="1"/>
  <c r="K2747" i="12" s="1"/>
  <c r="K2771" i="12" s="1"/>
  <c r="K2795" i="12" s="1"/>
  <c r="K2819" i="12" s="1"/>
  <c r="K2843" i="12" s="1"/>
  <c r="K2867" i="12" s="1"/>
  <c r="K2891" i="12" s="1"/>
  <c r="K2915" i="12" s="1"/>
  <c r="K2939" i="12" s="1"/>
  <c r="K2963" i="12" s="1"/>
  <c r="K2987" i="12" s="1"/>
  <c r="K3011" i="12" s="1"/>
  <c r="K3035" i="12" s="1"/>
  <c r="K3059" i="12" s="1"/>
  <c r="K3083" i="12" s="1"/>
  <c r="K3107" i="12" s="1"/>
  <c r="K3131" i="12" s="1"/>
  <c r="K3155" i="12" s="1"/>
  <c r="K3179" i="12" s="1"/>
  <c r="K3203" i="12" s="1"/>
  <c r="K3227" i="12" s="1"/>
  <c r="K3251" i="12" s="1"/>
  <c r="K3275" i="12" s="1"/>
  <c r="K3299" i="12" s="1"/>
  <c r="K3323" i="12" s="1"/>
  <c r="K3347" i="12" s="1"/>
  <c r="K3371" i="12" s="1"/>
  <c r="K3395" i="12" s="1"/>
  <c r="K3419" i="12" s="1"/>
  <c r="K3443" i="12" s="1"/>
  <c r="K3467" i="12" s="1"/>
  <c r="K3491" i="12" s="1"/>
  <c r="K3515" i="12" s="1"/>
  <c r="K3539" i="12" s="1"/>
  <c r="K3563" i="12" s="1"/>
  <c r="K3587" i="12" s="1"/>
  <c r="K3611" i="12" s="1"/>
  <c r="K3635" i="12" s="1"/>
  <c r="K3659" i="12" s="1"/>
  <c r="K3683" i="12" s="1"/>
  <c r="K3707" i="12" s="1"/>
  <c r="K3731" i="12" s="1"/>
  <c r="K3755" i="12" s="1"/>
  <c r="K3779" i="12" s="1"/>
  <c r="K3803" i="12" s="1"/>
  <c r="K3827" i="12" s="1"/>
  <c r="K3851" i="12" s="1"/>
  <c r="K3875" i="12" s="1"/>
  <c r="K3899" i="12" s="1"/>
  <c r="K3923" i="12" s="1"/>
  <c r="K3947" i="12" s="1"/>
  <c r="K3971" i="12" s="1"/>
  <c r="K3995" i="12" s="1"/>
  <c r="K4019" i="12" s="1"/>
  <c r="K4043" i="12" s="1"/>
  <c r="K4067" i="12" s="1"/>
  <c r="K4091" i="12" s="1"/>
  <c r="K4115" i="12" s="1"/>
  <c r="K4139" i="12" s="1"/>
  <c r="K4163" i="12" s="1"/>
  <c r="K4187" i="12" s="1"/>
  <c r="K4211" i="12" s="1"/>
  <c r="K4235" i="12" s="1"/>
  <c r="K4259" i="12" s="1"/>
  <c r="K4283" i="12" s="1"/>
  <c r="K4307" i="12" s="1"/>
  <c r="K4331" i="12" s="1"/>
  <c r="K4355" i="12" s="1"/>
  <c r="K4379" i="12" s="1"/>
  <c r="K4403" i="12" s="1"/>
  <c r="K4427" i="12" s="1"/>
  <c r="K4451" i="12" s="1"/>
  <c r="K4475" i="12" s="1"/>
  <c r="K4499" i="12" s="1"/>
  <c r="K4523" i="12" s="1"/>
  <c r="K4547" i="12" s="1"/>
  <c r="K4571" i="12" s="1"/>
  <c r="K4595" i="12" s="1"/>
  <c r="K4619" i="12" s="1"/>
  <c r="K4643" i="12" s="1"/>
  <c r="K4667" i="12" s="1"/>
  <c r="K4691" i="12" s="1"/>
  <c r="K4715" i="12" s="1"/>
  <c r="K4739" i="12" s="1"/>
  <c r="K4763" i="12" s="1"/>
  <c r="K4787" i="12" s="1"/>
  <c r="K4811" i="12" s="1"/>
  <c r="K4835" i="12" s="1"/>
  <c r="K4859" i="12" s="1"/>
  <c r="K4883" i="12" s="1"/>
  <c r="K4907" i="12" s="1"/>
  <c r="K4931" i="12" s="1"/>
  <c r="K4955" i="12" s="1"/>
  <c r="K4979" i="12" s="1"/>
  <c r="K5003" i="12" s="1"/>
  <c r="K5027" i="12" s="1"/>
  <c r="K5051" i="12" s="1"/>
  <c r="K5075" i="12" s="1"/>
  <c r="K5099" i="12" s="1"/>
  <c r="K5123" i="12" s="1"/>
  <c r="K5147" i="12" s="1"/>
  <c r="K5171" i="12" s="1"/>
  <c r="K5195" i="12" s="1"/>
  <c r="K5219" i="12" s="1"/>
  <c r="K5243" i="12" s="1"/>
  <c r="K5267" i="12" s="1"/>
  <c r="K5291" i="12" s="1"/>
  <c r="K5315" i="12" s="1"/>
  <c r="K5339" i="12" s="1"/>
  <c r="K5363" i="12" s="1"/>
  <c r="K5387" i="12" s="1"/>
  <c r="K5411" i="12" s="1"/>
  <c r="K5435" i="12" s="1"/>
  <c r="K5459" i="12" s="1"/>
  <c r="K5483" i="12" s="1"/>
  <c r="K5507" i="12" s="1"/>
  <c r="K5531" i="12" s="1"/>
  <c r="K5555" i="12" s="1"/>
  <c r="K5579" i="12" s="1"/>
  <c r="K5603" i="12" s="1"/>
  <c r="K5627" i="12" s="1"/>
  <c r="K5651" i="12" s="1"/>
  <c r="K5675" i="12" s="1"/>
  <c r="K5699" i="12" s="1"/>
  <c r="K5723" i="12" s="1"/>
  <c r="K5747" i="12" s="1"/>
  <c r="K5771" i="12" s="1"/>
  <c r="K5795" i="12" s="1"/>
  <c r="K5819" i="12" s="1"/>
  <c r="K5843" i="12" s="1"/>
  <c r="K5867" i="12" s="1"/>
  <c r="K5891" i="12" s="1"/>
  <c r="K5915" i="12" s="1"/>
  <c r="K5939" i="12" s="1"/>
  <c r="K5963" i="12" s="1"/>
  <c r="K5987" i="12" s="1"/>
  <c r="K6011" i="12" s="1"/>
  <c r="K6035" i="12" s="1"/>
  <c r="K6059" i="12" s="1"/>
  <c r="K6083" i="12" s="1"/>
  <c r="K6107" i="12" s="1"/>
  <c r="K6131" i="12" s="1"/>
  <c r="K6155" i="12" s="1"/>
  <c r="K6179" i="12" s="1"/>
  <c r="K6203" i="12" s="1"/>
  <c r="K6227" i="12" s="1"/>
  <c r="K6251" i="12" s="1"/>
  <c r="K6275" i="12" s="1"/>
  <c r="K6299" i="12" s="1"/>
  <c r="K6323" i="12" s="1"/>
  <c r="K6347" i="12" s="1"/>
  <c r="K6371" i="12" s="1"/>
  <c r="K6395" i="12" s="1"/>
  <c r="K6419" i="12" s="1"/>
  <c r="K6443" i="12" s="1"/>
  <c r="K6467" i="12" s="1"/>
  <c r="K6491" i="12" s="1"/>
  <c r="K6515" i="12" s="1"/>
  <c r="K6539" i="12" s="1"/>
  <c r="K6563" i="12" s="1"/>
  <c r="K6587" i="12" s="1"/>
  <c r="K6611" i="12" s="1"/>
  <c r="K6635" i="12" s="1"/>
  <c r="K6659" i="12" s="1"/>
  <c r="K6683" i="12" s="1"/>
  <c r="K6707" i="12" s="1"/>
  <c r="K6731" i="12" s="1"/>
  <c r="K6755" i="12" s="1"/>
  <c r="K6779" i="12" s="1"/>
  <c r="K6803" i="12" s="1"/>
  <c r="K6827" i="12" s="1"/>
  <c r="K6851" i="12" s="1"/>
  <c r="K6875" i="12" s="1"/>
  <c r="K6899" i="12" s="1"/>
  <c r="K6923" i="12" s="1"/>
  <c r="K6947" i="12" s="1"/>
  <c r="K6971" i="12" s="1"/>
  <c r="K6995" i="12" s="1"/>
  <c r="K7019" i="12" s="1"/>
  <c r="K7043" i="12" s="1"/>
  <c r="K7067" i="12" s="1"/>
  <c r="K7091" i="12" s="1"/>
  <c r="K7115" i="12" s="1"/>
  <c r="K7139" i="12" s="1"/>
  <c r="K7163" i="12" s="1"/>
  <c r="K7187" i="12" s="1"/>
  <c r="K7211" i="12" s="1"/>
  <c r="K7235" i="12" s="1"/>
  <c r="K7259" i="12" s="1"/>
  <c r="K7283" i="12" s="1"/>
  <c r="K7307" i="12" s="1"/>
  <c r="K7331" i="12" s="1"/>
  <c r="K7355" i="12" s="1"/>
  <c r="K7379" i="12" s="1"/>
  <c r="K7403" i="12" s="1"/>
  <c r="K7427" i="12" s="1"/>
  <c r="K7451" i="12" s="1"/>
  <c r="K7475" i="12" s="1"/>
  <c r="K7499" i="12" s="1"/>
  <c r="K7523" i="12" s="1"/>
  <c r="K7547" i="12" s="1"/>
  <c r="K7571" i="12" s="1"/>
  <c r="K7595" i="12" s="1"/>
  <c r="K7619" i="12" s="1"/>
  <c r="K7643" i="12" s="1"/>
  <c r="K7667" i="12" s="1"/>
  <c r="K7691" i="12" s="1"/>
  <c r="K7715" i="12" s="1"/>
  <c r="K7739" i="12" s="1"/>
  <c r="K7763" i="12" s="1"/>
  <c r="K7787" i="12" s="1"/>
  <c r="K7811" i="12" s="1"/>
  <c r="K7835" i="12" s="1"/>
  <c r="K7859" i="12" s="1"/>
  <c r="K7883" i="12" s="1"/>
  <c r="K7907" i="12" s="1"/>
  <c r="K7931" i="12" s="1"/>
  <c r="K7955" i="12" s="1"/>
  <c r="K7979" i="12" s="1"/>
  <c r="K8003" i="12" s="1"/>
  <c r="K8027" i="12" s="1"/>
  <c r="K8051" i="12" s="1"/>
  <c r="K8075" i="12" s="1"/>
  <c r="K8099" i="12" s="1"/>
  <c r="K8123" i="12" s="1"/>
  <c r="K8147" i="12" s="1"/>
  <c r="K8171" i="12" s="1"/>
  <c r="K8195" i="12" s="1"/>
  <c r="K8219" i="12" s="1"/>
  <c r="K8243" i="12" s="1"/>
  <c r="K8267" i="12" s="1"/>
  <c r="K8291" i="12" s="1"/>
  <c r="K8315" i="12" s="1"/>
  <c r="K8339" i="12" s="1"/>
  <c r="K8363" i="12" s="1"/>
  <c r="K8387" i="12" s="1"/>
  <c r="K8411" i="12" s="1"/>
  <c r="K8435" i="12" s="1"/>
  <c r="K8459" i="12" s="1"/>
  <c r="K8483" i="12" s="1"/>
  <c r="K8507" i="12" s="1"/>
  <c r="K8531" i="12" s="1"/>
  <c r="K8555" i="12" s="1"/>
  <c r="K8579" i="12" s="1"/>
  <c r="K8603" i="12" s="1"/>
  <c r="K8627" i="12" s="1"/>
  <c r="K8651" i="12" s="1"/>
  <c r="K8675" i="12" s="1"/>
  <c r="K8699" i="12" s="1"/>
  <c r="K8723" i="12" s="1"/>
  <c r="K34" i="12"/>
  <c r="K58" i="12" s="1"/>
  <c r="K82" i="12" s="1"/>
  <c r="K106" i="12" s="1"/>
  <c r="K130" i="12" s="1"/>
  <c r="K154" i="12" s="1"/>
  <c r="K178" i="12" s="1"/>
  <c r="K202" i="12" s="1"/>
  <c r="K226" i="12" s="1"/>
  <c r="K250" i="12" s="1"/>
  <c r="K274" i="12" s="1"/>
  <c r="K298" i="12" s="1"/>
  <c r="K322" i="12" s="1"/>
  <c r="K346" i="12" s="1"/>
  <c r="K370" i="12" s="1"/>
  <c r="K394" i="12" s="1"/>
  <c r="K418" i="12" s="1"/>
  <c r="K442" i="12" s="1"/>
  <c r="K466" i="12" s="1"/>
  <c r="K490" i="12" s="1"/>
  <c r="K514" i="12" s="1"/>
  <c r="K538" i="12" s="1"/>
  <c r="K562" i="12" s="1"/>
  <c r="K586" i="12" s="1"/>
  <c r="K610" i="12" s="1"/>
  <c r="K634" i="12" s="1"/>
  <c r="K658" i="12" s="1"/>
  <c r="K682" i="12" s="1"/>
  <c r="K706" i="12" s="1"/>
  <c r="K730" i="12" s="1"/>
  <c r="K754" i="12" s="1"/>
  <c r="K778" i="12" s="1"/>
  <c r="K802" i="12" s="1"/>
  <c r="K826" i="12" s="1"/>
  <c r="K850" i="12" s="1"/>
  <c r="K874" i="12" s="1"/>
  <c r="K898" i="12" s="1"/>
  <c r="K922" i="12" s="1"/>
  <c r="K946" i="12" s="1"/>
  <c r="K970" i="12" s="1"/>
  <c r="K994" i="12" s="1"/>
  <c r="K1018" i="12" s="1"/>
  <c r="K1042" i="12" s="1"/>
  <c r="K1066" i="12" s="1"/>
  <c r="K1090" i="12" s="1"/>
  <c r="K1114" i="12" s="1"/>
  <c r="K1138" i="12" s="1"/>
  <c r="K1162" i="12" s="1"/>
  <c r="K1186" i="12" s="1"/>
  <c r="K1210" i="12" s="1"/>
  <c r="K1234" i="12" s="1"/>
  <c r="K1258" i="12" s="1"/>
  <c r="K1282" i="12" s="1"/>
  <c r="K1306" i="12" s="1"/>
  <c r="K1330" i="12" s="1"/>
  <c r="K1354" i="12" s="1"/>
  <c r="K1378" i="12" s="1"/>
  <c r="K1402" i="12" s="1"/>
  <c r="K1426" i="12" s="1"/>
  <c r="K1450" i="12" s="1"/>
  <c r="K1474" i="12" s="1"/>
  <c r="K1498" i="12" s="1"/>
  <c r="K1522" i="12" s="1"/>
  <c r="K1546" i="12" s="1"/>
  <c r="K1570" i="12" s="1"/>
  <c r="K1594" i="12" s="1"/>
  <c r="K1618" i="12" s="1"/>
  <c r="K1642" i="12" s="1"/>
  <c r="K1666" i="12" s="1"/>
  <c r="K1690" i="12" s="1"/>
  <c r="K1714" i="12" s="1"/>
  <c r="K1738" i="12" s="1"/>
  <c r="K1762" i="12" s="1"/>
  <c r="K1786" i="12" s="1"/>
  <c r="K1810" i="12" s="1"/>
  <c r="K1834" i="12" s="1"/>
  <c r="K1858" i="12" s="1"/>
  <c r="K1882" i="12" s="1"/>
  <c r="K1906" i="12" s="1"/>
  <c r="K1930" i="12" s="1"/>
  <c r="K1954" i="12" s="1"/>
  <c r="K1978" i="12" s="1"/>
  <c r="K2002" i="12" s="1"/>
  <c r="K2026" i="12" s="1"/>
  <c r="K2050" i="12" s="1"/>
  <c r="K2074" i="12" s="1"/>
  <c r="K2098" i="12" s="1"/>
  <c r="K2122" i="12" s="1"/>
  <c r="K2146" i="12" s="1"/>
  <c r="K2170" i="12" s="1"/>
  <c r="K2194" i="12" s="1"/>
  <c r="K2218" i="12" s="1"/>
  <c r="K2242" i="12" s="1"/>
  <c r="K2266" i="12" s="1"/>
  <c r="K2290" i="12" s="1"/>
  <c r="K2314" i="12" s="1"/>
  <c r="K2338" i="12" s="1"/>
  <c r="K2362" i="12" s="1"/>
  <c r="K2386" i="12" s="1"/>
  <c r="K2410" i="12" s="1"/>
  <c r="K2434" i="12" s="1"/>
  <c r="K2458" i="12" s="1"/>
  <c r="K2482" i="12" s="1"/>
  <c r="K2506" i="12" s="1"/>
  <c r="K2530" i="12" s="1"/>
  <c r="K2554" i="12" s="1"/>
  <c r="K2578" i="12" s="1"/>
  <c r="K2602" i="12" s="1"/>
  <c r="K2626" i="12" s="1"/>
  <c r="K2650" i="12" s="1"/>
  <c r="K2674" i="12" s="1"/>
  <c r="K2698" i="12" s="1"/>
  <c r="K2722" i="12" s="1"/>
  <c r="K2746" i="12" s="1"/>
  <c r="K2770" i="12" s="1"/>
  <c r="K2794" i="12" s="1"/>
  <c r="K2818" i="12" s="1"/>
  <c r="K2842" i="12" s="1"/>
  <c r="K2866" i="12" s="1"/>
  <c r="K2890" i="12" s="1"/>
  <c r="K2914" i="12" s="1"/>
  <c r="K2938" i="12" s="1"/>
  <c r="K2962" i="12" s="1"/>
  <c r="K2986" i="12" s="1"/>
  <c r="K3010" i="12" s="1"/>
  <c r="K3034" i="12" s="1"/>
  <c r="K3058" i="12" s="1"/>
  <c r="K3082" i="12" s="1"/>
  <c r="K3106" i="12" s="1"/>
  <c r="K3130" i="12" s="1"/>
  <c r="K3154" i="12" s="1"/>
  <c r="K3178" i="12" s="1"/>
  <c r="K3202" i="12" s="1"/>
  <c r="K3226" i="12" s="1"/>
  <c r="K3250" i="12" s="1"/>
  <c r="K3274" i="12" s="1"/>
  <c r="K3298" i="12" s="1"/>
  <c r="K3322" i="12" s="1"/>
  <c r="K3346" i="12" s="1"/>
  <c r="K3370" i="12" s="1"/>
  <c r="K3394" i="12" s="1"/>
  <c r="K3418" i="12" s="1"/>
  <c r="K3442" i="12" s="1"/>
  <c r="K3466" i="12" s="1"/>
  <c r="K3490" i="12" s="1"/>
  <c r="K3514" i="12" s="1"/>
  <c r="K3538" i="12" s="1"/>
  <c r="K3562" i="12" s="1"/>
  <c r="K3586" i="12" s="1"/>
  <c r="K3610" i="12" s="1"/>
  <c r="K3634" i="12" s="1"/>
  <c r="K3658" i="12" s="1"/>
  <c r="K3682" i="12" s="1"/>
  <c r="K3706" i="12" s="1"/>
  <c r="K3730" i="12" s="1"/>
  <c r="K3754" i="12" s="1"/>
  <c r="K3778" i="12" s="1"/>
  <c r="K3802" i="12" s="1"/>
  <c r="K3826" i="12" s="1"/>
  <c r="K3850" i="12" s="1"/>
  <c r="K3874" i="12" s="1"/>
  <c r="K3898" i="12" s="1"/>
  <c r="K3922" i="12" s="1"/>
  <c r="K3946" i="12" s="1"/>
  <c r="K3970" i="12" s="1"/>
  <c r="K3994" i="12" s="1"/>
  <c r="K4018" i="12" s="1"/>
  <c r="K4042" i="12" s="1"/>
  <c r="K4066" i="12" s="1"/>
  <c r="K4090" i="12" s="1"/>
  <c r="K4114" i="12" s="1"/>
  <c r="K4138" i="12" s="1"/>
  <c r="K4162" i="12" s="1"/>
  <c r="K4186" i="12" s="1"/>
  <c r="K4210" i="12" s="1"/>
  <c r="K4234" i="12" s="1"/>
  <c r="K4258" i="12" s="1"/>
  <c r="K4282" i="12" s="1"/>
  <c r="K4306" i="12" s="1"/>
  <c r="K4330" i="12" s="1"/>
  <c r="K4354" i="12" s="1"/>
  <c r="K4378" i="12" s="1"/>
  <c r="K4402" i="12" s="1"/>
  <c r="K4426" i="12" s="1"/>
  <c r="K4450" i="12" s="1"/>
  <c r="K4474" i="12" s="1"/>
  <c r="K4498" i="12" s="1"/>
  <c r="K4522" i="12" s="1"/>
  <c r="K4546" i="12" s="1"/>
  <c r="K4570" i="12" s="1"/>
  <c r="K4594" i="12" s="1"/>
  <c r="K4618" i="12" s="1"/>
  <c r="K4642" i="12" s="1"/>
  <c r="K4666" i="12" s="1"/>
  <c r="K4690" i="12" s="1"/>
  <c r="K4714" i="12" s="1"/>
  <c r="K4738" i="12" s="1"/>
  <c r="K4762" i="12" s="1"/>
  <c r="K4786" i="12" s="1"/>
  <c r="K4810" i="12" s="1"/>
  <c r="K4834" i="12" s="1"/>
  <c r="K4858" i="12" s="1"/>
  <c r="K4882" i="12" s="1"/>
  <c r="K4906" i="12" s="1"/>
  <c r="K4930" i="12" s="1"/>
  <c r="K4954" i="12" s="1"/>
  <c r="K4978" i="12" s="1"/>
  <c r="K5002" i="12" s="1"/>
  <c r="K5026" i="12" s="1"/>
  <c r="K5050" i="12" s="1"/>
  <c r="K5074" i="12" s="1"/>
  <c r="K5098" i="12" s="1"/>
  <c r="K5122" i="12" s="1"/>
  <c r="K5146" i="12" s="1"/>
  <c r="K5170" i="12" s="1"/>
  <c r="K5194" i="12" s="1"/>
  <c r="K5218" i="12" s="1"/>
  <c r="K5242" i="12" s="1"/>
  <c r="K5266" i="12" s="1"/>
  <c r="K5290" i="12" s="1"/>
  <c r="K5314" i="12" s="1"/>
  <c r="K5338" i="12" s="1"/>
  <c r="K5362" i="12" s="1"/>
  <c r="K5386" i="12" s="1"/>
  <c r="K5410" i="12" s="1"/>
  <c r="K5434" i="12" s="1"/>
  <c r="K5458" i="12" s="1"/>
  <c r="K5482" i="12" s="1"/>
  <c r="K5506" i="12" s="1"/>
  <c r="K5530" i="12" s="1"/>
  <c r="K5554" i="12" s="1"/>
  <c r="K5578" i="12" s="1"/>
  <c r="K5602" i="12" s="1"/>
  <c r="K5626" i="12" s="1"/>
  <c r="K5650" i="12" s="1"/>
  <c r="K5674" i="12" s="1"/>
  <c r="K5698" i="12" s="1"/>
  <c r="K5722" i="12" s="1"/>
  <c r="K5746" i="12" s="1"/>
  <c r="K5770" i="12" s="1"/>
  <c r="K5794" i="12" s="1"/>
  <c r="K5818" i="12" s="1"/>
  <c r="K5842" i="12" s="1"/>
  <c r="K5866" i="12" s="1"/>
  <c r="K5890" i="12" s="1"/>
  <c r="K5914" i="12" s="1"/>
  <c r="K5938" i="12" s="1"/>
  <c r="K5962" i="12" s="1"/>
  <c r="K5986" i="12" s="1"/>
  <c r="K6010" i="12" s="1"/>
  <c r="K6034" i="12" s="1"/>
  <c r="K6058" i="12" s="1"/>
  <c r="K6082" i="12" s="1"/>
  <c r="K6106" i="12" s="1"/>
  <c r="K6130" i="12" s="1"/>
  <c r="K6154" i="12" s="1"/>
  <c r="K6178" i="12" s="1"/>
  <c r="K6202" i="12" s="1"/>
  <c r="K6226" i="12" s="1"/>
  <c r="K6250" i="12" s="1"/>
  <c r="K6274" i="12" s="1"/>
  <c r="K6298" i="12" s="1"/>
  <c r="K6322" i="12" s="1"/>
  <c r="K6346" i="12" s="1"/>
  <c r="K6370" i="12" s="1"/>
  <c r="K6394" i="12" s="1"/>
  <c r="K6418" i="12" s="1"/>
  <c r="K6442" i="12" s="1"/>
  <c r="K6466" i="12" s="1"/>
  <c r="K6490" i="12" s="1"/>
  <c r="K6514" i="12" s="1"/>
  <c r="K6538" i="12" s="1"/>
  <c r="K6562" i="12" s="1"/>
  <c r="K6586" i="12" s="1"/>
  <c r="K6610" i="12" s="1"/>
  <c r="K6634" i="12" s="1"/>
  <c r="K6658" i="12" s="1"/>
  <c r="K6682" i="12" s="1"/>
  <c r="K6706" i="12" s="1"/>
  <c r="K6730" i="12" s="1"/>
  <c r="K6754" i="12" s="1"/>
  <c r="K6778" i="12" s="1"/>
  <c r="K6802" i="12" s="1"/>
  <c r="K6826" i="12" s="1"/>
  <c r="K6850" i="12" s="1"/>
  <c r="K6874" i="12" s="1"/>
  <c r="K6898" i="12" s="1"/>
  <c r="K6922" i="12" s="1"/>
  <c r="K6946" i="12" s="1"/>
  <c r="K6970" i="12" s="1"/>
  <c r="K6994" i="12" s="1"/>
  <c r="K7018" i="12" s="1"/>
  <c r="K7042" i="12" s="1"/>
  <c r="K7066" i="12" s="1"/>
  <c r="K7090" i="12" s="1"/>
  <c r="K7114" i="12" s="1"/>
  <c r="K7138" i="12" s="1"/>
  <c r="K7162" i="12" s="1"/>
  <c r="K7186" i="12" s="1"/>
  <c r="K7210" i="12" s="1"/>
  <c r="K7234" i="12" s="1"/>
  <c r="K7258" i="12" s="1"/>
  <c r="K7282" i="12" s="1"/>
  <c r="K7306" i="12" s="1"/>
  <c r="K7330" i="12" s="1"/>
  <c r="K7354" i="12" s="1"/>
  <c r="K7378" i="12" s="1"/>
  <c r="K7402" i="12" s="1"/>
  <c r="K7426" i="12" s="1"/>
  <c r="K7450" i="12" s="1"/>
  <c r="K7474" i="12" s="1"/>
  <c r="K7498" i="12" s="1"/>
  <c r="K7522" i="12" s="1"/>
  <c r="K7546" i="12" s="1"/>
  <c r="K7570" i="12" s="1"/>
  <c r="K7594" i="12" s="1"/>
  <c r="K7618" i="12" s="1"/>
  <c r="K7642" i="12" s="1"/>
  <c r="K7666" i="12" s="1"/>
  <c r="K7690" i="12" s="1"/>
  <c r="K7714" i="12" s="1"/>
  <c r="K7738" i="12" s="1"/>
  <c r="K7762" i="12" s="1"/>
  <c r="K7786" i="12" s="1"/>
  <c r="K7810" i="12" s="1"/>
  <c r="K7834" i="12" s="1"/>
  <c r="K7858" i="12" s="1"/>
  <c r="K7882" i="12" s="1"/>
  <c r="K7906" i="12" s="1"/>
  <c r="K7930" i="12" s="1"/>
  <c r="K7954" i="12" s="1"/>
  <c r="K7978" i="12" s="1"/>
  <c r="K8002" i="12" s="1"/>
  <c r="K8026" i="12" s="1"/>
  <c r="K8050" i="12" s="1"/>
  <c r="K8074" i="12" s="1"/>
  <c r="K8098" i="12" s="1"/>
  <c r="K8122" i="12" s="1"/>
  <c r="K8146" i="12" s="1"/>
  <c r="K8170" i="12" s="1"/>
  <c r="K8194" i="12" s="1"/>
  <c r="K8218" i="12" s="1"/>
  <c r="K8242" i="12" s="1"/>
  <c r="K8266" i="12" s="1"/>
  <c r="K8290" i="12" s="1"/>
  <c r="K8314" i="12" s="1"/>
  <c r="K8338" i="12" s="1"/>
  <c r="K8362" i="12" s="1"/>
  <c r="K8386" i="12" s="1"/>
  <c r="K8410" i="12" s="1"/>
  <c r="K8434" i="12" s="1"/>
  <c r="K8458" i="12" s="1"/>
  <c r="K8482" i="12" s="1"/>
  <c r="K8506" i="12" s="1"/>
  <c r="K8530" i="12" s="1"/>
  <c r="K8554" i="12" s="1"/>
  <c r="K8578" i="12" s="1"/>
  <c r="K8602" i="12" s="1"/>
  <c r="K8626" i="12" s="1"/>
  <c r="K8650" i="12" s="1"/>
  <c r="K8674" i="12" s="1"/>
  <c r="K8698" i="12" s="1"/>
  <c r="K8722" i="12" s="1"/>
  <c r="K33" i="12"/>
  <c r="K57" i="12" s="1"/>
  <c r="K81" i="12" s="1"/>
  <c r="K105" i="12" s="1"/>
  <c r="K129" i="12" s="1"/>
  <c r="K153" i="12" s="1"/>
  <c r="K177" i="12" s="1"/>
  <c r="K201" i="12" s="1"/>
  <c r="K225" i="12" s="1"/>
  <c r="K249" i="12" s="1"/>
  <c r="K273" i="12" s="1"/>
  <c r="K297" i="12" s="1"/>
  <c r="K321" i="12" s="1"/>
  <c r="K345" i="12" s="1"/>
  <c r="K369" i="12" s="1"/>
  <c r="K393" i="12" s="1"/>
  <c r="K417" i="12" s="1"/>
  <c r="K441" i="12" s="1"/>
  <c r="K465" i="12" s="1"/>
  <c r="K489" i="12" s="1"/>
  <c r="K513" i="12" s="1"/>
  <c r="K537" i="12" s="1"/>
  <c r="K561" i="12" s="1"/>
  <c r="K585" i="12" s="1"/>
  <c r="K609" i="12" s="1"/>
  <c r="K633" i="12" s="1"/>
  <c r="K657" i="12" s="1"/>
  <c r="K681" i="12" s="1"/>
  <c r="K705" i="12" s="1"/>
  <c r="K729" i="12" s="1"/>
  <c r="K753" i="12" s="1"/>
  <c r="K777" i="12" s="1"/>
  <c r="K801" i="12" s="1"/>
  <c r="K825" i="12" s="1"/>
  <c r="K849" i="12" s="1"/>
  <c r="K873" i="12" s="1"/>
  <c r="K897" i="12" s="1"/>
  <c r="K921" i="12" s="1"/>
  <c r="K945" i="12" s="1"/>
  <c r="K969" i="12" s="1"/>
  <c r="K993" i="12" s="1"/>
  <c r="K1017" i="12" s="1"/>
  <c r="K1041" i="12" s="1"/>
  <c r="K1065" i="12" s="1"/>
  <c r="K1089" i="12" s="1"/>
  <c r="K1113" i="12" s="1"/>
  <c r="K1137" i="12" s="1"/>
  <c r="K1161" i="12" s="1"/>
  <c r="K1185" i="12" s="1"/>
  <c r="K1209" i="12" s="1"/>
  <c r="K1233" i="12" s="1"/>
  <c r="K1257" i="12" s="1"/>
  <c r="K1281" i="12" s="1"/>
  <c r="K1305" i="12" s="1"/>
  <c r="K1329" i="12" s="1"/>
  <c r="K1353" i="12" s="1"/>
  <c r="K1377" i="12" s="1"/>
  <c r="K1401" i="12" s="1"/>
  <c r="K1425" i="12" s="1"/>
  <c r="K1449" i="12" s="1"/>
  <c r="K1473" i="12" s="1"/>
  <c r="K1497" i="12" s="1"/>
  <c r="K1521" i="12" s="1"/>
  <c r="K1545" i="12" s="1"/>
  <c r="K1569" i="12" s="1"/>
  <c r="K1593" i="12" s="1"/>
  <c r="K1617" i="12" s="1"/>
  <c r="K1641" i="12" s="1"/>
  <c r="K1665" i="12" s="1"/>
  <c r="K1689" i="12" s="1"/>
  <c r="K1713" i="12" s="1"/>
  <c r="K1737" i="12" s="1"/>
  <c r="K1761" i="12" s="1"/>
  <c r="K1785" i="12" s="1"/>
  <c r="K1809" i="12" s="1"/>
  <c r="K1833" i="12" s="1"/>
  <c r="K1857" i="12" s="1"/>
  <c r="K1881" i="12" s="1"/>
  <c r="K1905" i="12" s="1"/>
  <c r="K1929" i="12" s="1"/>
  <c r="K1953" i="12" s="1"/>
  <c r="K1977" i="12" s="1"/>
  <c r="K2001" i="12" s="1"/>
  <c r="K2025" i="12" s="1"/>
  <c r="K2049" i="12" s="1"/>
  <c r="K2073" i="12" s="1"/>
  <c r="K2097" i="12" s="1"/>
  <c r="K2121" i="12" s="1"/>
  <c r="K2145" i="12" s="1"/>
  <c r="K2169" i="12" s="1"/>
  <c r="K2193" i="12" s="1"/>
  <c r="K2217" i="12" s="1"/>
  <c r="K2241" i="12" s="1"/>
  <c r="K2265" i="12" s="1"/>
  <c r="K2289" i="12" s="1"/>
  <c r="K2313" i="12" s="1"/>
  <c r="K2337" i="12" s="1"/>
  <c r="K2361" i="12" s="1"/>
  <c r="K2385" i="12" s="1"/>
  <c r="K2409" i="12" s="1"/>
  <c r="K2433" i="12" s="1"/>
  <c r="K2457" i="12" s="1"/>
  <c r="K2481" i="12" s="1"/>
  <c r="K2505" i="12" s="1"/>
  <c r="K2529" i="12" s="1"/>
  <c r="K2553" i="12" s="1"/>
  <c r="K2577" i="12" s="1"/>
  <c r="K2601" i="12" s="1"/>
  <c r="K2625" i="12" s="1"/>
  <c r="K2649" i="12" s="1"/>
  <c r="K2673" i="12" s="1"/>
  <c r="K2697" i="12" s="1"/>
  <c r="K2721" i="12" s="1"/>
  <c r="K2745" i="12" s="1"/>
  <c r="K2769" i="12" s="1"/>
  <c r="K2793" i="12" s="1"/>
  <c r="K2817" i="12" s="1"/>
  <c r="K2841" i="12" s="1"/>
  <c r="K2865" i="12" s="1"/>
  <c r="K2889" i="12" s="1"/>
  <c r="K2913" i="12" s="1"/>
  <c r="K2937" i="12" s="1"/>
  <c r="K2961" i="12" s="1"/>
  <c r="K2985" i="12" s="1"/>
  <c r="K3009" i="12" s="1"/>
  <c r="K3033" i="12" s="1"/>
  <c r="K3057" i="12" s="1"/>
  <c r="K3081" i="12" s="1"/>
  <c r="K3105" i="12" s="1"/>
  <c r="K3129" i="12" s="1"/>
  <c r="K3153" i="12" s="1"/>
  <c r="K3177" i="12" s="1"/>
  <c r="K3201" i="12" s="1"/>
  <c r="K3225" i="12" s="1"/>
  <c r="K3249" i="12" s="1"/>
  <c r="K3273" i="12" s="1"/>
  <c r="K3297" i="12" s="1"/>
  <c r="K3321" i="12" s="1"/>
  <c r="K3345" i="12" s="1"/>
  <c r="K3369" i="12" s="1"/>
  <c r="K3393" i="12" s="1"/>
  <c r="K3417" i="12" s="1"/>
  <c r="K3441" i="12" s="1"/>
  <c r="K3465" i="12" s="1"/>
  <c r="K3489" i="12" s="1"/>
  <c r="K3513" i="12" s="1"/>
  <c r="K3537" i="12" s="1"/>
  <c r="K3561" i="12" s="1"/>
  <c r="K3585" i="12" s="1"/>
  <c r="K3609" i="12" s="1"/>
  <c r="K3633" i="12" s="1"/>
  <c r="K3657" i="12" s="1"/>
  <c r="K3681" i="12" s="1"/>
  <c r="K3705" i="12" s="1"/>
  <c r="K3729" i="12" s="1"/>
  <c r="K3753" i="12" s="1"/>
  <c r="K3777" i="12" s="1"/>
  <c r="K3801" i="12" s="1"/>
  <c r="K3825" i="12" s="1"/>
  <c r="K3849" i="12" s="1"/>
  <c r="K3873" i="12" s="1"/>
  <c r="K3897" i="12" s="1"/>
  <c r="K3921" i="12" s="1"/>
  <c r="K3945" i="12" s="1"/>
  <c r="K3969" i="12" s="1"/>
  <c r="K3993" i="12" s="1"/>
  <c r="K4017" i="12" s="1"/>
  <c r="K4041" i="12" s="1"/>
  <c r="K4065" i="12" s="1"/>
  <c r="K4089" i="12" s="1"/>
  <c r="K4113" i="12" s="1"/>
  <c r="K4137" i="12" s="1"/>
  <c r="K4161" i="12" s="1"/>
  <c r="K4185" i="12" s="1"/>
  <c r="K4209" i="12" s="1"/>
  <c r="K4233" i="12" s="1"/>
  <c r="K4257" i="12" s="1"/>
  <c r="K4281" i="12" s="1"/>
  <c r="K4305" i="12" s="1"/>
  <c r="K4329" i="12" s="1"/>
  <c r="K4353" i="12" s="1"/>
  <c r="K4377" i="12" s="1"/>
  <c r="K4401" i="12" s="1"/>
  <c r="K4425" i="12" s="1"/>
  <c r="K4449" i="12" s="1"/>
  <c r="K4473" i="12" s="1"/>
  <c r="K4497" i="12" s="1"/>
  <c r="K4521" i="12" s="1"/>
  <c r="K4545" i="12" s="1"/>
  <c r="K4569" i="12" s="1"/>
  <c r="K4593" i="12" s="1"/>
  <c r="K4617" i="12" s="1"/>
  <c r="K4641" i="12" s="1"/>
  <c r="K4665" i="12" s="1"/>
  <c r="K4689" i="12" s="1"/>
  <c r="K4713" i="12" s="1"/>
  <c r="K4737" i="12" s="1"/>
  <c r="K4761" i="12" s="1"/>
  <c r="K4785" i="12" s="1"/>
  <c r="K4809" i="12" s="1"/>
  <c r="K4833" i="12" s="1"/>
  <c r="K4857" i="12" s="1"/>
  <c r="K4881" i="12" s="1"/>
  <c r="K4905" i="12" s="1"/>
  <c r="K4929" i="12" s="1"/>
  <c r="K4953" i="12" s="1"/>
  <c r="K4977" i="12" s="1"/>
  <c r="K5001" i="12" s="1"/>
  <c r="K5025" i="12" s="1"/>
  <c r="K5049" i="12" s="1"/>
  <c r="K5073" i="12" s="1"/>
  <c r="K5097" i="12" s="1"/>
  <c r="K5121" i="12" s="1"/>
  <c r="K5145" i="12" s="1"/>
  <c r="K5169" i="12" s="1"/>
  <c r="K5193" i="12" s="1"/>
  <c r="K5217" i="12" s="1"/>
  <c r="K5241" i="12" s="1"/>
  <c r="K5265" i="12" s="1"/>
  <c r="K5289" i="12" s="1"/>
  <c r="K5313" i="12" s="1"/>
  <c r="K5337" i="12" s="1"/>
  <c r="K5361" i="12" s="1"/>
  <c r="K5385" i="12" s="1"/>
  <c r="K5409" i="12" s="1"/>
  <c r="K5433" i="12" s="1"/>
  <c r="K5457" i="12" s="1"/>
  <c r="K5481" i="12" s="1"/>
  <c r="K5505" i="12" s="1"/>
  <c r="K5529" i="12" s="1"/>
  <c r="K5553" i="12" s="1"/>
  <c r="K5577" i="12" s="1"/>
  <c r="K5601" i="12" s="1"/>
  <c r="K5625" i="12" s="1"/>
  <c r="K5649" i="12" s="1"/>
  <c r="K5673" i="12" s="1"/>
  <c r="K5697" i="12" s="1"/>
  <c r="K5721" i="12" s="1"/>
  <c r="K5745" i="12" s="1"/>
  <c r="K5769" i="12" s="1"/>
  <c r="K5793" i="12" s="1"/>
  <c r="K5817" i="12" s="1"/>
  <c r="K5841" i="12" s="1"/>
  <c r="K5865" i="12" s="1"/>
  <c r="K5889" i="12" s="1"/>
  <c r="K5913" i="12" s="1"/>
  <c r="K5937" i="12" s="1"/>
  <c r="K5961" i="12" s="1"/>
  <c r="K5985" i="12" s="1"/>
  <c r="K6009" i="12" s="1"/>
  <c r="K6033" i="12" s="1"/>
  <c r="K6057" i="12" s="1"/>
  <c r="K6081" i="12" s="1"/>
  <c r="K6105" i="12" s="1"/>
  <c r="K6129" i="12" s="1"/>
  <c r="K6153" i="12" s="1"/>
  <c r="K6177" i="12" s="1"/>
  <c r="K6201" i="12" s="1"/>
  <c r="K6225" i="12" s="1"/>
  <c r="K6249" i="12" s="1"/>
  <c r="K6273" i="12" s="1"/>
  <c r="K6297" i="12" s="1"/>
  <c r="K6321" i="12" s="1"/>
  <c r="K6345" i="12" s="1"/>
  <c r="K6369" i="12" s="1"/>
  <c r="K6393" i="12" s="1"/>
  <c r="K6417" i="12" s="1"/>
  <c r="K6441" i="12" s="1"/>
  <c r="K6465" i="12" s="1"/>
  <c r="K6489" i="12" s="1"/>
  <c r="K6513" i="12" s="1"/>
  <c r="K6537" i="12" s="1"/>
  <c r="K6561" i="12" s="1"/>
  <c r="K6585" i="12" s="1"/>
  <c r="K6609" i="12" s="1"/>
  <c r="K6633" i="12" s="1"/>
  <c r="K6657" i="12" s="1"/>
  <c r="K6681" i="12" s="1"/>
  <c r="K6705" i="12" s="1"/>
  <c r="K6729" i="12" s="1"/>
  <c r="K6753" i="12" s="1"/>
  <c r="K6777" i="12" s="1"/>
  <c r="K6801" i="12" s="1"/>
  <c r="K6825" i="12" s="1"/>
  <c r="K6849" i="12" s="1"/>
  <c r="K6873" i="12" s="1"/>
  <c r="K6897" i="12" s="1"/>
  <c r="K6921" i="12" s="1"/>
  <c r="K6945" i="12" s="1"/>
  <c r="K6969" i="12" s="1"/>
  <c r="K6993" i="12" s="1"/>
  <c r="K7017" i="12" s="1"/>
  <c r="K7041" i="12" s="1"/>
  <c r="K7065" i="12" s="1"/>
  <c r="K7089" i="12" s="1"/>
  <c r="K7113" i="12" s="1"/>
  <c r="K7137" i="12" s="1"/>
  <c r="K7161" i="12" s="1"/>
  <c r="K7185" i="12" s="1"/>
  <c r="K7209" i="12" s="1"/>
  <c r="K7233" i="12" s="1"/>
  <c r="K7257" i="12" s="1"/>
  <c r="K7281" i="12" s="1"/>
  <c r="K7305" i="12" s="1"/>
  <c r="K7329" i="12" s="1"/>
  <c r="K7353" i="12" s="1"/>
  <c r="K7377" i="12" s="1"/>
  <c r="K7401" i="12" s="1"/>
  <c r="K7425" i="12" s="1"/>
  <c r="K7449" i="12" s="1"/>
  <c r="K7473" i="12" s="1"/>
  <c r="K7497" i="12" s="1"/>
  <c r="K7521" i="12" s="1"/>
  <c r="K7545" i="12" s="1"/>
  <c r="K7569" i="12" s="1"/>
  <c r="K7593" i="12" s="1"/>
  <c r="K7617" i="12" s="1"/>
  <c r="K7641" i="12" s="1"/>
  <c r="K7665" i="12" s="1"/>
  <c r="K7689" i="12" s="1"/>
  <c r="K7713" i="12" s="1"/>
  <c r="K7737" i="12" s="1"/>
  <c r="K7761" i="12" s="1"/>
  <c r="K7785" i="12" s="1"/>
  <c r="K7809" i="12" s="1"/>
  <c r="K7833" i="12" s="1"/>
  <c r="K7857" i="12" s="1"/>
  <c r="K7881" i="12" s="1"/>
  <c r="K7905" i="12" s="1"/>
  <c r="K7929" i="12" s="1"/>
  <c r="K7953" i="12" s="1"/>
  <c r="K7977" i="12" s="1"/>
  <c r="K8001" i="12" s="1"/>
  <c r="K8025" i="12" s="1"/>
  <c r="K8049" i="12" s="1"/>
  <c r="K8073" i="12" s="1"/>
  <c r="K8097" i="12" s="1"/>
  <c r="K8121" i="12" s="1"/>
  <c r="K8145" i="12" s="1"/>
  <c r="K8169" i="12" s="1"/>
  <c r="K8193" i="12" s="1"/>
  <c r="K8217" i="12" s="1"/>
  <c r="K8241" i="12" s="1"/>
  <c r="K8265" i="12" s="1"/>
  <c r="K8289" i="12" s="1"/>
  <c r="K8313" i="12" s="1"/>
  <c r="K8337" i="12" s="1"/>
  <c r="K8361" i="12" s="1"/>
  <c r="K8385" i="12" s="1"/>
  <c r="K8409" i="12" s="1"/>
  <c r="K8433" i="12" s="1"/>
  <c r="K8457" i="12" s="1"/>
  <c r="K8481" i="12" s="1"/>
  <c r="K8505" i="12" s="1"/>
  <c r="K8529" i="12" s="1"/>
  <c r="K8553" i="12" s="1"/>
  <c r="K8577" i="12" s="1"/>
  <c r="K8601" i="12" s="1"/>
  <c r="K8625" i="12" s="1"/>
  <c r="K8649" i="12" s="1"/>
  <c r="K8673" i="12" s="1"/>
  <c r="K8697" i="12" s="1"/>
  <c r="K8721" i="12" s="1"/>
  <c r="K32" i="12"/>
  <c r="K56" i="12" s="1"/>
  <c r="K80" i="12" s="1"/>
  <c r="K104" i="12" s="1"/>
  <c r="K128" i="12" s="1"/>
  <c r="K152" i="12" s="1"/>
  <c r="K176" i="12" s="1"/>
  <c r="K200" i="12" s="1"/>
  <c r="K224" i="12" s="1"/>
  <c r="K248" i="12" s="1"/>
  <c r="K272" i="12" s="1"/>
  <c r="K296" i="12" s="1"/>
  <c r="K320" i="12" s="1"/>
  <c r="K344" i="12" s="1"/>
  <c r="K368" i="12" s="1"/>
  <c r="K392" i="12" s="1"/>
  <c r="K416" i="12" s="1"/>
  <c r="K440" i="12" s="1"/>
  <c r="K464" i="12" s="1"/>
  <c r="K488" i="12" s="1"/>
  <c r="K512" i="12" s="1"/>
  <c r="K536" i="12" s="1"/>
  <c r="K560" i="12" s="1"/>
  <c r="K584" i="12" s="1"/>
  <c r="K608" i="12" s="1"/>
  <c r="K632" i="12" s="1"/>
  <c r="K656" i="12" s="1"/>
  <c r="K680" i="12" s="1"/>
  <c r="K704" i="12" s="1"/>
  <c r="K728" i="12" s="1"/>
  <c r="K752" i="12" s="1"/>
  <c r="K776" i="12" s="1"/>
  <c r="K800" i="12" s="1"/>
  <c r="K824" i="12" s="1"/>
  <c r="K848" i="12" s="1"/>
  <c r="K872" i="12" s="1"/>
  <c r="K896" i="12" s="1"/>
  <c r="K920" i="12" s="1"/>
  <c r="K944" i="12" s="1"/>
  <c r="K968" i="12" s="1"/>
  <c r="K992" i="12" s="1"/>
  <c r="K1016" i="12" s="1"/>
  <c r="K1040" i="12" s="1"/>
  <c r="K1064" i="12" s="1"/>
  <c r="K1088" i="12" s="1"/>
  <c r="K1112" i="12" s="1"/>
  <c r="K1136" i="12" s="1"/>
  <c r="K1160" i="12" s="1"/>
  <c r="K1184" i="12" s="1"/>
  <c r="K1208" i="12" s="1"/>
  <c r="K1232" i="12" s="1"/>
  <c r="K1256" i="12" s="1"/>
  <c r="K1280" i="12" s="1"/>
  <c r="K1304" i="12" s="1"/>
  <c r="K1328" i="12" s="1"/>
  <c r="K1352" i="12" s="1"/>
  <c r="K1376" i="12" s="1"/>
  <c r="K1400" i="12" s="1"/>
  <c r="K1424" i="12" s="1"/>
  <c r="K1448" i="12" s="1"/>
  <c r="K1472" i="12" s="1"/>
  <c r="K1496" i="12" s="1"/>
  <c r="K1520" i="12" s="1"/>
  <c r="K1544" i="12" s="1"/>
  <c r="K1568" i="12" s="1"/>
  <c r="K1592" i="12" s="1"/>
  <c r="K1616" i="12" s="1"/>
  <c r="K1640" i="12" s="1"/>
  <c r="K1664" i="12" s="1"/>
  <c r="K1688" i="12" s="1"/>
  <c r="K1712" i="12" s="1"/>
  <c r="K1736" i="12" s="1"/>
  <c r="K1760" i="12" s="1"/>
  <c r="K1784" i="12" s="1"/>
  <c r="K1808" i="12" s="1"/>
  <c r="K1832" i="12" s="1"/>
  <c r="K1856" i="12" s="1"/>
  <c r="K1880" i="12" s="1"/>
  <c r="K1904" i="12" s="1"/>
  <c r="K1928" i="12" s="1"/>
  <c r="K1952" i="12" s="1"/>
  <c r="K1976" i="12" s="1"/>
  <c r="K2000" i="12" s="1"/>
  <c r="K2024" i="12" s="1"/>
  <c r="K2048" i="12" s="1"/>
  <c r="K2072" i="12" s="1"/>
  <c r="K2096" i="12" s="1"/>
  <c r="K2120" i="12" s="1"/>
  <c r="K2144" i="12" s="1"/>
  <c r="K2168" i="12" s="1"/>
  <c r="K2192" i="12" s="1"/>
  <c r="K2216" i="12" s="1"/>
  <c r="K2240" i="12" s="1"/>
  <c r="K2264" i="12" s="1"/>
  <c r="K2288" i="12" s="1"/>
  <c r="K2312" i="12" s="1"/>
  <c r="K2336" i="12" s="1"/>
  <c r="K2360" i="12" s="1"/>
  <c r="K2384" i="12" s="1"/>
  <c r="K2408" i="12" s="1"/>
  <c r="K2432" i="12" s="1"/>
  <c r="K2456" i="12" s="1"/>
  <c r="K2480" i="12" s="1"/>
  <c r="K2504" i="12" s="1"/>
  <c r="K2528" i="12" s="1"/>
  <c r="K2552" i="12" s="1"/>
  <c r="K2576" i="12" s="1"/>
  <c r="K2600" i="12" s="1"/>
  <c r="K2624" i="12" s="1"/>
  <c r="K2648" i="12" s="1"/>
  <c r="K2672" i="12" s="1"/>
  <c r="K2696" i="12" s="1"/>
  <c r="K2720" i="12" s="1"/>
  <c r="K2744" i="12" s="1"/>
  <c r="K2768" i="12" s="1"/>
  <c r="K2792" i="12" s="1"/>
  <c r="K2816" i="12" s="1"/>
  <c r="K2840" i="12" s="1"/>
  <c r="K2864" i="12" s="1"/>
  <c r="K2888" i="12" s="1"/>
  <c r="K2912" i="12" s="1"/>
  <c r="K2936" i="12" s="1"/>
  <c r="K2960" i="12" s="1"/>
  <c r="K2984" i="12" s="1"/>
  <c r="K3008" i="12" s="1"/>
  <c r="K3032" i="12" s="1"/>
  <c r="K3056" i="12" s="1"/>
  <c r="K3080" i="12" s="1"/>
  <c r="K3104" i="12" s="1"/>
  <c r="K3128" i="12" s="1"/>
  <c r="K3152" i="12" s="1"/>
  <c r="K3176" i="12" s="1"/>
  <c r="K3200" i="12" s="1"/>
  <c r="K3224" i="12" s="1"/>
  <c r="K3248" i="12" s="1"/>
  <c r="K3272" i="12" s="1"/>
  <c r="K3296" i="12" s="1"/>
  <c r="K3320" i="12" s="1"/>
  <c r="K3344" i="12" s="1"/>
  <c r="K3368" i="12" s="1"/>
  <c r="K3392" i="12" s="1"/>
  <c r="K3416" i="12" s="1"/>
  <c r="K3440" i="12" s="1"/>
  <c r="K3464" i="12" s="1"/>
  <c r="K3488" i="12" s="1"/>
  <c r="K3512" i="12" s="1"/>
  <c r="K3536" i="12" s="1"/>
  <c r="K3560" i="12" s="1"/>
  <c r="K3584" i="12" s="1"/>
  <c r="K3608" i="12" s="1"/>
  <c r="K3632" i="12" s="1"/>
  <c r="K3656" i="12" s="1"/>
  <c r="K3680" i="12" s="1"/>
  <c r="K3704" i="12" s="1"/>
  <c r="K3728" i="12" s="1"/>
  <c r="K3752" i="12" s="1"/>
  <c r="K3776" i="12" s="1"/>
  <c r="K3800" i="12" s="1"/>
  <c r="K3824" i="12" s="1"/>
  <c r="K3848" i="12" s="1"/>
  <c r="K3872" i="12" s="1"/>
  <c r="K3896" i="12" s="1"/>
  <c r="K3920" i="12" s="1"/>
  <c r="K3944" i="12" s="1"/>
  <c r="K3968" i="12" s="1"/>
  <c r="K3992" i="12" s="1"/>
  <c r="K4016" i="12" s="1"/>
  <c r="K4040" i="12" s="1"/>
  <c r="K4064" i="12" s="1"/>
  <c r="K4088" i="12" s="1"/>
  <c r="K4112" i="12" s="1"/>
  <c r="K4136" i="12" s="1"/>
  <c r="K4160" i="12" s="1"/>
  <c r="K4184" i="12" s="1"/>
  <c r="K4208" i="12" s="1"/>
  <c r="K4232" i="12" s="1"/>
  <c r="K4256" i="12" s="1"/>
  <c r="K4280" i="12" s="1"/>
  <c r="K4304" i="12" s="1"/>
  <c r="K4328" i="12" s="1"/>
  <c r="K4352" i="12" s="1"/>
  <c r="K4376" i="12" s="1"/>
  <c r="K4400" i="12" s="1"/>
  <c r="K4424" i="12" s="1"/>
  <c r="K4448" i="12" s="1"/>
  <c r="K4472" i="12" s="1"/>
  <c r="K4496" i="12" s="1"/>
  <c r="K4520" i="12" s="1"/>
  <c r="K4544" i="12" s="1"/>
  <c r="K4568" i="12" s="1"/>
  <c r="K4592" i="12" s="1"/>
  <c r="K4616" i="12" s="1"/>
  <c r="K4640" i="12" s="1"/>
  <c r="K4664" i="12" s="1"/>
  <c r="K4688" i="12" s="1"/>
  <c r="K4712" i="12" s="1"/>
  <c r="K4736" i="12" s="1"/>
  <c r="K4760" i="12" s="1"/>
  <c r="K4784" i="12" s="1"/>
  <c r="K4808" i="12" s="1"/>
  <c r="K4832" i="12" s="1"/>
  <c r="K4856" i="12" s="1"/>
  <c r="K4880" i="12" s="1"/>
  <c r="K4904" i="12" s="1"/>
  <c r="K4928" i="12" s="1"/>
  <c r="K4952" i="12" s="1"/>
  <c r="K4976" i="12" s="1"/>
  <c r="K5000" i="12" s="1"/>
  <c r="K5024" i="12" s="1"/>
  <c r="K5048" i="12" s="1"/>
  <c r="K5072" i="12" s="1"/>
  <c r="K5096" i="12" s="1"/>
  <c r="K5120" i="12" s="1"/>
  <c r="K5144" i="12" s="1"/>
  <c r="K5168" i="12" s="1"/>
  <c r="K5192" i="12" s="1"/>
  <c r="K5216" i="12" s="1"/>
  <c r="K5240" i="12" s="1"/>
  <c r="K5264" i="12" s="1"/>
  <c r="K5288" i="12" s="1"/>
  <c r="K5312" i="12" s="1"/>
  <c r="K5336" i="12" s="1"/>
  <c r="K5360" i="12" s="1"/>
  <c r="K5384" i="12" s="1"/>
  <c r="K5408" i="12" s="1"/>
  <c r="K5432" i="12" s="1"/>
  <c r="K5456" i="12" s="1"/>
  <c r="K5480" i="12" s="1"/>
  <c r="K5504" i="12" s="1"/>
  <c r="K5528" i="12" s="1"/>
  <c r="K5552" i="12" s="1"/>
  <c r="K5576" i="12" s="1"/>
  <c r="K5600" i="12" s="1"/>
  <c r="K5624" i="12" s="1"/>
  <c r="K5648" i="12" s="1"/>
  <c r="K5672" i="12" s="1"/>
  <c r="K5696" i="12" s="1"/>
  <c r="K5720" i="12" s="1"/>
  <c r="K5744" i="12" s="1"/>
  <c r="K5768" i="12" s="1"/>
  <c r="K5792" i="12" s="1"/>
  <c r="K5816" i="12" s="1"/>
  <c r="K5840" i="12" s="1"/>
  <c r="K5864" i="12" s="1"/>
  <c r="K5888" i="12" s="1"/>
  <c r="K5912" i="12" s="1"/>
  <c r="K5936" i="12" s="1"/>
  <c r="K5960" i="12" s="1"/>
  <c r="K5984" i="12" s="1"/>
  <c r="K6008" i="12" s="1"/>
  <c r="K6032" i="12" s="1"/>
  <c r="K6056" i="12" s="1"/>
  <c r="K6080" i="12" s="1"/>
  <c r="K6104" i="12" s="1"/>
  <c r="K6128" i="12" s="1"/>
  <c r="K6152" i="12" s="1"/>
  <c r="K6176" i="12" s="1"/>
  <c r="K6200" i="12" s="1"/>
  <c r="K6224" i="12" s="1"/>
  <c r="K6248" i="12" s="1"/>
  <c r="K6272" i="12" s="1"/>
  <c r="K6296" i="12" s="1"/>
  <c r="K6320" i="12" s="1"/>
  <c r="K6344" i="12" s="1"/>
  <c r="K6368" i="12" s="1"/>
  <c r="K6392" i="12" s="1"/>
  <c r="K6416" i="12" s="1"/>
  <c r="K6440" i="12" s="1"/>
  <c r="K6464" i="12" s="1"/>
  <c r="K6488" i="12" s="1"/>
  <c r="K6512" i="12" s="1"/>
  <c r="K6536" i="12" s="1"/>
  <c r="K6560" i="12" s="1"/>
  <c r="K6584" i="12" s="1"/>
  <c r="K6608" i="12" s="1"/>
  <c r="K6632" i="12" s="1"/>
  <c r="K6656" i="12" s="1"/>
  <c r="K6680" i="12" s="1"/>
  <c r="K6704" i="12" s="1"/>
  <c r="K6728" i="12" s="1"/>
  <c r="K6752" i="12" s="1"/>
  <c r="K6776" i="12" s="1"/>
  <c r="K6800" i="12" s="1"/>
  <c r="K6824" i="12" s="1"/>
  <c r="K6848" i="12" s="1"/>
  <c r="K6872" i="12" s="1"/>
  <c r="K6896" i="12" s="1"/>
  <c r="K6920" i="12" s="1"/>
  <c r="K6944" i="12" s="1"/>
  <c r="K6968" i="12" s="1"/>
  <c r="K6992" i="12" s="1"/>
  <c r="K7016" i="12" s="1"/>
  <c r="K7040" i="12" s="1"/>
  <c r="K7064" i="12" s="1"/>
  <c r="K7088" i="12" s="1"/>
  <c r="K7112" i="12" s="1"/>
  <c r="K7136" i="12" s="1"/>
  <c r="K7160" i="12" s="1"/>
  <c r="K7184" i="12" s="1"/>
  <c r="K7208" i="12" s="1"/>
  <c r="K7232" i="12" s="1"/>
  <c r="K7256" i="12" s="1"/>
  <c r="K7280" i="12" s="1"/>
  <c r="K7304" i="12" s="1"/>
  <c r="K7328" i="12" s="1"/>
  <c r="K7352" i="12" s="1"/>
  <c r="K7376" i="12" s="1"/>
  <c r="K7400" i="12" s="1"/>
  <c r="K7424" i="12" s="1"/>
  <c r="K7448" i="12" s="1"/>
  <c r="K7472" i="12" s="1"/>
  <c r="K7496" i="12" s="1"/>
  <c r="K7520" i="12" s="1"/>
  <c r="K7544" i="12" s="1"/>
  <c r="K7568" i="12" s="1"/>
  <c r="K7592" i="12" s="1"/>
  <c r="K7616" i="12" s="1"/>
  <c r="K7640" i="12" s="1"/>
  <c r="K7664" i="12" s="1"/>
  <c r="K7688" i="12" s="1"/>
  <c r="K7712" i="12" s="1"/>
  <c r="K7736" i="12" s="1"/>
  <c r="K7760" i="12" s="1"/>
  <c r="K7784" i="12" s="1"/>
  <c r="K7808" i="12" s="1"/>
  <c r="K7832" i="12" s="1"/>
  <c r="K7856" i="12" s="1"/>
  <c r="K7880" i="12" s="1"/>
  <c r="K7904" i="12" s="1"/>
  <c r="K7928" i="12" s="1"/>
  <c r="K7952" i="12" s="1"/>
  <c r="K7976" i="12" s="1"/>
  <c r="K8000" i="12" s="1"/>
  <c r="K8024" i="12" s="1"/>
  <c r="K8048" i="12" s="1"/>
  <c r="K8072" i="12" s="1"/>
  <c r="K8096" i="12" s="1"/>
  <c r="K8120" i="12" s="1"/>
  <c r="K8144" i="12" s="1"/>
  <c r="K8168" i="12" s="1"/>
  <c r="K8192" i="12" s="1"/>
  <c r="K8216" i="12" s="1"/>
  <c r="K8240" i="12" s="1"/>
  <c r="K8264" i="12" s="1"/>
  <c r="K8288" i="12" s="1"/>
  <c r="K8312" i="12" s="1"/>
  <c r="K8336" i="12" s="1"/>
  <c r="K8360" i="12" s="1"/>
  <c r="K8384" i="12" s="1"/>
  <c r="K8408" i="12" s="1"/>
  <c r="K8432" i="12" s="1"/>
  <c r="K8456" i="12" s="1"/>
  <c r="K8480" i="12" s="1"/>
  <c r="K8504" i="12" s="1"/>
  <c r="K8528" i="12" s="1"/>
  <c r="K8552" i="12" s="1"/>
  <c r="K8576" i="12" s="1"/>
  <c r="K8600" i="12" s="1"/>
  <c r="K8624" i="12" s="1"/>
  <c r="K8648" i="12" s="1"/>
  <c r="K8672" i="12" s="1"/>
  <c r="K8696" i="12" s="1"/>
  <c r="K8720" i="12" s="1"/>
  <c r="K31" i="12"/>
  <c r="K55" i="12" s="1"/>
  <c r="K79" i="12" s="1"/>
  <c r="K103" i="12" s="1"/>
  <c r="K127" i="12" s="1"/>
  <c r="K151" i="12" s="1"/>
  <c r="K175" i="12" s="1"/>
  <c r="K199" i="12" s="1"/>
  <c r="K223" i="12" s="1"/>
  <c r="K247" i="12" s="1"/>
  <c r="K271" i="12" s="1"/>
  <c r="K295" i="12" s="1"/>
  <c r="K319" i="12" s="1"/>
  <c r="K343" i="12" s="1"/>
  <c r="K367" i="12" s="1"/>
  <c r="K391" i="12" s="1"/>
  <c r="K415" i="12" s="1"/>
  <c r="K439" i="12" s="1"/>
  <c r="K463" i="12" s="1"/>
  <c r="K487" i="12" s="1"/>
  <c r="K511" i="12" s="1"/>
  <c r="K535" i="12" s="1"/>
  <c r="K559" i="12" s="1"/>
  <c r="K583" i="12" s="1"/>
  <c r="K607" i="12" s="1"/>
  <c r="K631" i="12" s="1"/>
  <c r="K655" i="12" s="1"/>
  <c r="K679" i="12" s="1"/>
  <c r="K703" i="12" s="1"/>
  <c r="K727" i="12" s="1"/>
  <c r="K751" i="12" s="1"/>
  <c r="K775" i="12" s="1"/>
  <c r="K799" i="12" s="1"/>
  <c r="K823" i="12" s="1"/>
  <c r="K847" i="12" s="1"/>
  <c r="K871" i="12" s="1"/>
  <c r="K895" i="12" s="1"/>
  <c r="K919" i="12" s="1"/>
  <c r="K943" i="12" s="1"/>
  <c r="K967" i="12" s="1"/>
  <c r="K991" i="12" s="1"/>
  <c r="K1015" i="12" s="1"/>
  <c r="K1039" i="12" s="1"/>
  <c r="K1063" i="12" s="1"/>
  <c r="K1087" i="12" s="1"/>
  <c r="K1111" i="12" s="1"/>
  <c r="K1135" i="12" s="1"/>
  <c r="K1159" i="12" s="1"/>
  <c r="K1183" i="12" s="1"/>
  <c r="K1207" i="12" s="1"/>
  <c r="K1231" i="12" s="1"/>
  <c r="K1255" i="12" s="1"/>
  <c r="K1279" i="12" s="1"/>
  <c r="K1303" i="12" s="1"/>
  <c r="K1327" i="12" s="1"/>
  <c r="K1351" i="12" s="1"/>
  <c r="K1375" i="12" s="1"/>
  <c r="K1399" i="12" s="1"/>
  <c r="K1423" i="12" s="1"/>
  <c r="K1447" i="12" s="1"/>
  <c r="K1471" i="12" s="1"/>
  <c r="K1495" i="12" s="1"/>
  <c r="K1519" i="12" s="1"/>
  <c r="K1543" i="12" s="1"/>
  <c r="K1567" i="12" s="1"/>
  <c r="K1591" i="12" s="1"/>
  <c r="K1615" i="12" s="1"/>
  <c r="K1639" i="12" s="1"/>
  <c r="K1663" i="12" s="1"/>
  <c r="K1687" i="12" s="1"/>
  <c r="K1711" i="12" s="1"/>
  <c r="K1735" i="12" s="1"/>
  <c r="K1759" i="12" s="1"/>
  <c r="K1783" i="12" s="1"/>
  <c r="K1807" i="12" s="1"/>
  <c r="K1831" i="12" s="1"/>
  <c r="K1855" i="12" s="1"/>
  <c r="K1879" i="12" s="1"/>
  <c r="K1903" i="12" s="1"/>
  <c r="K1927" i="12" s="1"/>
  <c r="K1951" i="12" s="1"/>
  <c r="K1975" i="12" s="1"/>
  <c r="K1999" i="12" s="1"/>
  <c r="K2023" i="12" s="1"/>
  <c r="K2047" i="12" s="1"/>
  <c r="K2071" i="12" s="1"/>
  <c r="K2095" i="12" s="1"/>
  <c r="K2119" i="12" s="1"/>
  <c r="K2143" i="12" s="1"/>
  <c r="K2167" i="12" s="1"/>
  <c r="K2191" i="12" s="1"/>
  <c r="K2215" i="12" s="1"/>
  <c r="K2239" i="12" s="1"/>
  <c r="K2263" i="12" s="1"/>
  <c r="K2287" i="12" s="1"/>
  <c r="K2311" i="12" s="1"/>
  <c r="K2335" i="12" s="1"/>
  <c r="K2359" i="12" s="1"/>
  <c r="K2383" i="12" s="1"/>
  <c r="K2407" i="12" s="1"/>
  <c r="K2431" i="12" s="1"/>
  <c r="K2455" i="12" s="1"/>
  <c r="K2479" i="12" s="1"/>
  <c r="K2503" i="12" s="1"/>
  <c r="K2527" i="12" s="1"/>
  <c r="K2551" i="12" s="1"/>
  <c r="K2575" i="12" s="1"/>
  <c r="K2599" i="12" s="1"/>
  <c r="K2623" i="12" s="1"/>
  <c r="K2647" i="12" s="1"/>
  <c r="K2671" i="12" s="1"/>
  <c r="K2695" i="12" s="1"/>
  <c r="K2719" i="12" s="1"/>
  <c r="K2743" i="12" s="1"/>
  <c r="K2767" i="12" s="1"/>
  <c r="K2791" i="12" s="1"/>
  <c r="K2815" i="12" s="1"/>
  <c r="K2839" i="12" s="1"/>
  <c r="K2863" i="12" s="1"/>
  <c r="K2887" i="12" s="1"/>
  <c r="K2911" i="12" s="1"/>
  <c r="K2935" i="12" s="1"/>
  <c r="K2959" i="12" s="1"/>
  <c r="K2983" i="12" s="1"/>
  <c r="K3007" i="12" s="1"/>
  <c r="K3031" i="12" s="1"/>
  <c r="K3055" i="12" s="1"/>
  <c r="K3079" i="12" s="1"/>
  <c r="K3103" i="12" s="1"/>
  <c r="K3127" i="12" s="1"/>
  <c r="K3151" i="12" s="1"/>
  <c r="K3175" i="12" s="1"/>
  <c r="K3199" i="12" s="1"/>
  <c r="K3223" i="12" s="1"/>
  <c r="K3247" i="12" s="1"/>
  <c r="K3271" i="12" s="1"/>
  <c r="K3295" i="12" s="1"/>
  <c r="K3319" i="12" s="1"/>
  <c r="K3343" i="12" s="1"/>
  <c r="K3367" i="12" s="1"/>
  <c r="K3391" i="12" s="1"/>
  <c r="K3415" i="12" s="1"/>
  <c r="K3439" i="12" s="1"/>
  <c r="K3463" i="12" s="1"/>
  <c r="K3487" i="12" s="1"/>
  <c r="K3511" i="12" s="1"/>
  <c r="K3535" i="12" s="1"/>
  <c r="K3559" i="12" s="1"/>
  <c r="K3583" i="12" s="1"/>
  <c r="K3607" i="12" s="1"/>
  <c r="K3631" i="12" s="1"/>
  <c r="K3655" i="12" s="1"/>
  <c r="K3679" i="12" s="1"/>
  <c r="K3703" i="12" s="1"/>
  <c r="K3727" i="12" s="1"/>
  <c r="K3751" i="12" s="1"/>
  <c r="K3775" i="12" s="1"/>
  <c r="K3799" i="12" s="1"/>
  <c r="K3823" i="12" s="1"/>
  <c r="K3847" i="12" s="1"/>
  <c r="K3871" i="12" s="1"/>
  <c r="K3895" i="12" s="1"/>
  <c r="K3919" i="12" s="1"/>
  <c r="K3943" i="12" s="1"/>
  <c r="K3967" i="12" s="1"/>
  <c r="K3991" i="12" s="1"/>
  <c r="K4015" i="12" s="1"/>
  <c r="K4039" i="12" s="1"/>
  <c r="K4063" i="12" s="1"/>
  <c r="K4087" i="12" s="1"/>
  <c r="K4111" i="12" s="1"/>
  <c r="K4135" i="12" s="1"/>
  <c r="K4159" i="12" s="1"/>
  <c r="K4183" i="12" s="1"/>
  <c r="K4207" i="12" s="1"/>
  <c r="K4231" i="12" s="1"/>
  <c r="K4255" i="12" s="1"/>
  <c r="K4279" i="12" s="1"/>
  <c r="K4303" i="12" s="1"/>
  <c r="K4327" i="12" s="1"/>
  <c r="K4351" i="12" s="1"/>
  <c r="K4375" i="12" s="1"/>
  <c r="K4399" i="12" s="1"/>
  <c r="K4423" i="12" s="1"/>
  <c r="K4447" i="12" s="1"/>
  <c r="K4471" i="12" s="1"/>
  <c r="K4495" i="12" s="1"/>
  <c r="K4519" i="12" s="1"/>
  <c r="K4543" i="12" s="1"/>
  <c r="K4567" i="12" s="1"/>
  <c r="K4591" i="12" s="1"/>
  <c r="K4615" i="12" s="1"/>
  <c r="K4639" i="12" s="1"/>
  <c r="K4663" i="12" s="1"/>
  <c r="K4687" i="12" s="1"/>
  <c r="K4711" i="12" s="1"/>
  <c r="K4735" i="12" s="1"/>
  <c r="K4759" i="12" s="1"/>
  <c r="K4783" i="12" s="1"/>
  <c r="K4807" i="12" s="1"/>
  <c r="K4831" i="12" s="1"/>
  <c r="K4855" i="12" s="1"/>
  <c r="K4879" i="12" s="1"/>
  <c r="K4903" i="12" s="1"/>
  <c r="K4927" i="12" s="1"/>
  <c r="K4951" i="12" s="1"/>
  <c r="K4975" i="12" s="1"/>
  <c r="K4999" i="12" s="1"/>
  <c r="K5023" i="12" s="1"/>
  <c r="K5047" i="12" s="1"/>
  <c r="K5071" i="12" s="1"/>
  <c r="K5095" i="12" s="1"/>
  <c r="K5119" i="12" s="1"/>
  <c r="K5143" i="12" s="1"/>
  <c r="K5167" i="12" s="1"/>
  <c r="K5191" i="12" s="1"/>
  <c r="K5215" i="12" s="1"/>
  <c r="K5239" i="12" s="1"/>
  <c r="K5263" i="12" s="1"/>
  <c r="K5287" i="12" s="1"/>
  <c r="K5311" i="12" s="1"/>
  <c r="K5335" i="12" s="1"/>
  <c r="K5359" i="12" s="1"/>
  <c r="K5383" i="12" s="1"/>
  <c r="K5407" i="12" s="1"/>
  <c r="K5431" i="12" s="1"/>
  <c r="K5455" i="12" s="1"/>
  <c r="K5479" i="12" s="1"/>
  <c r="K5503" i="12" s="1"/>
  <c r="K5527" i="12" s="1"/>
  <c r="K5551" i="12" s="1"/>
  <c r="K5575" i="12" s="1"/>
  <c r="K5599" i="12" s="1"/>
  <c r="K5623" i="12" s="1"/>
  <c r="K5647" i="12" s="1"/>
  <c r="K5671" i="12" s="1"/>
  <c r="K5695" i="12" s="1"/>
  <c r="K5719" i="12" s="1"/>
  <c r="K5743" i="12" s="1"/>
  <c r="K5767" i="12" s="1"/>
  <c r="K5791" i="12" s="1"/>
  <c r="K5815" i="12" s="1"/>
  <c r="K5839" i="12" s="1"/>
  <c r="K5863" i="12" s="1"/>
  <c r="K5887" i="12" s="1"/>
  <c r="K5911" i="12" s="1"/>
  <c r="K5935" i="12" s="1"/>
  <c r="K5959" i="12" s="1"/>
  <c r="K5983" i="12" s="1"/>
  <c r="K6007" i="12" s="1"/>
  <c r="K6031" i="12" s="1"/>
  <c r="K6055" i="12" s="1"/>
  <c r="K6079" i="12" s="1"/>
  <c r="K6103" i="12" s="1"/>
  <c r="K6127" i="12" s="1"/>
  <c r="K6151" i="12" s="1"/>
  <c r="K6175" i="12" s="1"/>
  <c r="K6199" i="12" s="1"/>
  <c r="K6223" i="12" s="1"/>
  <c r="K6247" i="12" s="1"/>
  <c r="K6271" i="12" s="1"/>
  <c r="K6295" i="12" s="1"/>
  <c r="K6319" i="12" s="1"/>
  <c r="K6343" i="12" s="1"/>
  <c r="K6367" i="12" s="1"/>
  <c r="K6391" i="12" s="1"/>
  <c r="K6415" i="12" s="1"/>
  <c r="K6439" i="12" s="1"/>
  <c r="K6463" i="12" s="1"/>
  <c r="K6487" i="12" s="1"/>
  <c r="K6511" i="12" s="1"/>
  <c r="K6535" i="12" s="1"/>
  <c r="K6559" i="12" s="1"/>
  <c r="K6583" i="12" s="1"/>
  <c r="K6607" i="12" s="1"/>
  <c r="K6631" i="12" s="1"/>
  <c r="K6655" i="12" s="1"/>
  <c r="K6679" i="12" s="1"/>
  <c r="K6703" i="12" s="1"/>
  <c r="K6727" i="12" s="1"/>
  <c r="K6751" i="12" s="1"/>
  <c r="K6775" i="12" s="1"/>
  <c r="K6799" i="12" s="1"/>
  <c r="K6823" i="12" s="1"/>
  <c r="K6847" i="12" s="1"/>
  <c r="K6871" i="12" s="1"/>
  <c r="K6895" i="12" s="1"/>
  <c r="K6919" i="12" s="1"/>
  <c r="K6943" i="12" s="1"/>
  <c r="K6967" i="12" s="1"/>
  <c r="K6991" i="12" s="1"/>
  <c r="K7015" i="12" s="1"/>
  <c r="K7039" i="12" s="1"/>
  <c r="K7063" i="12" s="1"/>
  <c r="K7087" i="12" s="1"/>
  <c r="K7111" i="12" s="1"/>
  <c r="K7135" i="12" s="1"/>
  <c r="K7159" i="12" s="1"/>
  <c r="K7183" i="12" s="1"/>
  <c r="K7207" i="12" s="1"/>
  <c r="K7231" i="12" s="1"/>
  <c r="K7255" i="12" s="1"/>
  <c r="K7279" i="12" s="1"/>
  <c r="K7303" i="12" s="1"/>
  <c r="K7327" i="12" s="1"/>
  <c r="K7351" i="12" s="1"/>
  <c r="K7375" i="12" s="1"/>
  <c r="K7399" i="12" s="1"/>
  <c r="K7423" i="12" s="1"/>
  <c r="K7447" i="12" s="1"/>
  <c r="K7471" i="12" s="1"/>
  <c r="K7495" i="12" s="1"/>
  <c r="K7519" i="12" s="1"/>
  <c r="K7543" i="12" s="1"/>
  <c r="K7567" i="12" s="1"/>
  <c r="K7591" i="12" s="1"/>
  <c r="K7615" i="12" s="1"/>
  <c r="K7639" i="12" s="1"/>
  <c r="K7663" i="12" s="1"/>
  <c r="K7687" i="12" s="1"/>
  <c r="K7711" i="12" s="1"/>
  <c r="K7735" i="12" s="1"/>
  <c r="K7759" i="12" s="1"/>
  <c r="K7783" i="12" s="1"/>
  <c r="K7807" i="12" s="1"/>
  <c r="K7831" i="12" s="1"/>
  <c r="K7855" i="12" s="1"/>
  <c r="K7879" i="12" s="1"/>
  <c r="K7903" i="12" s="1"/>
  <c r="K7927" i="12" s="1"/>
  <c r="K7951" i="12" s="1"/>
  <c r="K7975" i="12" s="1"/>
  <c r="K7999" i="12" s="1"/>
  <c r="K8023" i="12" s="1"/>
  <c r="K8047" i="12" s="1"/>
  <c r="K8071" i="12" s="1"/>
  <c r="K8095" i="12" s="1"/>
  <c r="K8119" i="12" s="1"/>
  <c r="K8143" i="12" s="1"/>
  <c r="K8167" i="12" s="1"/>
  <c r="K8191" i="12" s="1"/>
  <c r="K8215" i="12" s="1"/>
  <c r="K8239" i="12" s="1"/>
  <c r="K8263" i="12" s="1"/>
  <c r="K8287" i="12" s="1"/>
  <c r="K8311" i="12" s="1"/>
  <c r="K8335" i="12" s="1"/>
  <c r="K8359" i="12" s="1"/>
  <c r="K8383" i="12" s="1"/>
  <c r="K8407" i="12" s="1"/>
  <c r="K8431" i="12" s="1"/>
  <c r="K8455" i="12" s="1"/>
  <c r="K8479" i="12" s="1"/>
  <c r="K8503" i="12" s="1"/>
  <c r="K8527" i="12" s="1"/>
  <c r="K8551" i="12" s="1"/>
  <c r="K8575" i="12" s="1"/>
  <c r="K8599" i="12" s="1"/>
  <c r="K8623" i="12" s="1"/>
  <c r="K8647" i="12" s="1"/>
  <c r="K8671" i="12" s="1"/>
  <c r="K8695" i="12" s="1"/>
  <c r="K8719" i="12" s="1"/>
  <c r="K30" i="12"/>
  <c r="K54" i="12" s="1"/>
  <c r="K78" i="12" s="1"/>
  <c r="K102" i="12" s="1"/>
  <c r="K126" i="12" s="1"/>
  <c r="K150" i="12" s="1"/>
  <c r="K174" i="12" s="1"/>
  <c r="K198" i="12" s="1"/>
  <c r="K222" i="12" s="1"/>
  <c r="K246" i="12" s="1"/>
  <c r="K270" i="12" s="1"/>
  <c r="K294" i="12" s="1"/>
  <c r="K318" i="12" s="1"/>
  <c r="K342" i="12" s="1"/>
  <c r="K366" i="12" s="1"/>
  <c r="K390" i="12" s="1"/>
  <c r="K414" i="12" s="1"/>
  <c r="K438" i="12" s="1"/>
  <c r="K462" i="12" s="1"/>
  <c r="K486" i="12" s="1"/>
  <c r="K510" i="12" s="1"/>
  <c r="K534" i="12" s="1"/>
  <c r="K558" i="12" s="1"/>
  <c r="K582" i="12" s="1"/>
  <c r="K606" i="12" s="1"/>
  <c r="K630" i="12" s="1"/>
  <c r="K654" i="12" s="1"/>
  <c r="K678" i="12" s="1"/>
  <c r="K702" i="12" s="1"/>
  <c r="K726" i="12" s="1"/>
  <c r="K750" i="12" s="1"/>
  <c r="K774" i="12" s="1"/>
  <c r="K798" i="12" s="1"/>
  <c r="K822" i="12" s="1"/>
  <c r="K846" i="12" s="1"/>
  <c r="K870" i="12" s="1"/>
  <c r="K894" i="12" s="1"/>
  <c r="K918" i="12" s="1"/>
  <c r="K942" i="12" s="1"/>
  <c r="K966" i="12" s="1"/>
  <c r="K990" i="12" s="1"/>
  <c r="K1014" i="12" s="1"/>
  <c r="K1038" i="12" s="1"/>
  <c r="K1062" i="12" s="1"/>
  <c r="K1086" i="12" s="1"/>
  <c r="K1110" i="12" s="1"/>
  <c r="K1134" i="12" s="1"/>
  <c r="K1158" i="12" s="1"/>
  <c r="K1182" i="12" s="1"/>
  <c r="K1206" i="12" s="1"/>
  <c r="K1230" i="12" s="1"/>
  <c r="K1254" i="12" s="1"/>
  <c r="K1278" i="12" s="1"/>
  <c r="K1302" i="12" s="1"/>
  <c r="K1326" i="12" s="1"/>
  <c r="K1350" i="12" s="1"/>
  <c r="K1374" i="12" s="1"/>
  <c r="K1398" i="12" s="1"/>
  <c r="K1422" i="12" s="1"/>
  <c r="K1446" i="12" s="1"/>
  <c r="K1470" i="12" s="1"/>
  <c r="K1494" i="12" s="1"/>
  <c r="K1518" i="12" s="1"/>
  <c r="K1542" i="12" s="1"/>
  <c r="K1566" i="12" s="1"/>
  <c r="K1590" i="12" s="1"/>
  <c r="K1614" i="12" s="1"/>
  <c r="K1638" i="12" s="1"/>
  <c r="K1662" i="12" s="1"/>
  <c r="K1686" i="12" s="1"/>
  <c r="K1710" i="12" s="1"/>
  <c r="K1734" i="12" s="1"/>
  <c r="K1758" i="12" s="1"/>
  <c r="K1782" i="12" s="1"/>
  <c r="K1806" i="12" s="1"/>
  <c r="K1830" i="12" s="1"/>
  <c r="K1854" i="12" s="1"/>
  <c r="K1878" i="12" s="1"/>
  <c r="K1902" i="12" s="1"/>
  <c r="K1926" i="12" s="1"/>
  <c r="K1950" i="12" s="1"/>
  <c r="K1974" i="12" s="1"/>
  <c r="K1998" i="12" s="1"/>
  <c r="K2022" i="12" s="1"/>
  <c r="K2046" i="12" s="1"/>
  <c r="K2070" i="12" s="1"/>
  <c r="K2094" i="12" s="1"/>
  <c r="K2118" i="12" s="1"/>
  <c r="K2142" i="12" s="1"/>
  <c r="K2166" i="12" s="1"/>
  <c r="K2190" i="12" s="1"/>
  <c r="K2214" i="12" s="1"/>
  <c r="K2238" i="12" s="1"/>
  <c r="K2262" i="12" s="1"/>
  <c r="K2286" i="12" s="1"/>
  <c r="K2310" i="12" s="1"/>
  <c r="K2334" i="12" s="1"/>
  <c r="K2358" i="12" s="1"/>
  <c r="K2382" i="12" s="1"/>
  <c r="K2406" i="12" s="1"/>
  <c r="K2430" i="12" s="1"/>
  <c r="K2454" i="12" s="1"/>
  <c r="K2478" i="12" s="1"/>
  <c r="K2502" i="12" s="1"/>
  <c r="K2526" i="12" s="1"/>
  <c r="K2550" i="12" s="1"/>
  <c r="K2574" i="12" s="1"/>
  <c r="K2598" i="12" s="1"/>
  <c r="K2622" i="12" s="1"/>
  <c r="K2646" i="12" s="1"/>
  <c r="K2670" i="12" s="1"/>
  <c r="K2694" i="12" s="1"/>
  <c r="K2718" i="12" s="1"/>
  <c r="K2742" i="12" s="1"/>
  <c r="K2766" i="12" s="1"/>
  <c r="K2790" i="12" s="1"/>
  <c r="K2814" i="12" s="1"/>
  <c r="K2838" i="12" s="1"/>
  <c r="K2862" i="12" s="1"/>
  <c r="K2886" i="12" s="1"/>
  <c r="K2910" i="12" s="1"/>
  <c r="K2934" i="12" s="1"/>
  <c r="K2958" i="12" s="1"/>
  <c r="K2982" i="12" s="1"/>
  <c r="K3006" i="12" s="1"/>
  <c r="K3030" i="12" s="1"/>
  <c r="K3054" i="12" s="1"/>
  <c r="K3078" i="12" s="1"/>
  <c r="K3102" i="12" s="1"/>
  <c r="K3126" i="12" s="1"/>
  <c r="K3150" i="12" s="1"/>
  <c r="K3174" i="12" s="1"/>
  <c r="K3198" i="12" s="1"/>
  <c r="K3222" i="12" s="1"/>
  <c r="K3246" i="12" s="1"/>
  <c r="K3270" i="12" s="1"/>
  <c r="K3294" i="12" s="1"/>
  <c r="K3318" i="12" s="1"/>
  <c r="K3342" i="12" s="1"/>
  <c r="K3366" i="12" s="1"/>
  <c r="K3390" i="12" s="1"/>
  <c r="K3414" i="12" s="1"/>
  <c r="K3438" i="12" s="1"/>
  <c r="K3462" i="12" s="1"/>
  <c r="K3486" i="12" s="1"/>
  <c r="K3510" i="12" s="1"/>
  <c r="K3534" i="12" s="1"/>
  <c r="K3558" i="12" s="1"/>
  <c r="K3582" i="12" s="1"/>
  <c r="K3606" i="12" s="1"/>
  <c r="K3630" i="12" s="1"/>
  <c r="K3654" i="12" s="1"/>
  <c r="K3678" i="12" s="1"/>
  <c r="K3702" i="12" s="1"/>
  <c r="K3726" i="12" s="1"/>
  <c r="K3750" i="12" s="1"/>
  <c r="K3774" i="12" s="1"/>
  <c r="K3798" i="12" s="1"/>
  <c r="K3822" i="12" s="1"/>
  <c r="K3846" i="12" s="1"/>
  <c r="K3870" i="12" s="1"/>
  <c r="K3894" i="12" s="1"/>
  <c r="K3918" i="12" s="1"/>
  <c r="K3942" i="12" s="1"/>
  <c r="K3966" i="12" s="1"/>
  <c r="K3990" i="12" s="1"/>
  <c r="K4014" i="12" s="1"/>
  <c r="K4038" i="12" s="1"/>
  <c r="K4062" i="12" s="1"/>
  <c r="K4086" i="12" s="1"/>
  <c r="K4110" i="12" s="1"/>
  <c r="K4134" i="12" s="1"/>
  <c r="K4158" i="12" s="1"/>
  <c r="K4182" i="12" s="1"/>
  <c r="K4206" i="12" s="1"/>
  <c r="K4230" i="12" s="1"/>
  <c r="K4254" i="12" s="1"/>
  <c r="K4278" i="12" s="1"/>
  <c r="K4302" i="12" s="1"/>
  <c r="K4326" i="12" s="1"/>
  <c r="K4350" i="12" s="1"/>
  <c r="K4374" i="12" s="1"/>
  <c r="K4398" i="12" s="1"/>
  <c r="K4422" i="12" s="1"/>
  <c r="K4446" i="12" s="1"/>
  <c r="K4470" i="12" s="1"/>
  <c r="K4494" i="12" s="1"/>
  <c r="K4518" i="12" s="1"/>
  <c r="K4542" i="12" s="1"/>
  <c r="K4566" i="12" s="1"/>
  <c r="K4590" i="12" s="1"/>
  <c r="K4614" i="12" s="1"/>
  <c r="K4638" i="12" s="1"/>
  <c r="K4662" i="12" s="1"/>
  <c r="K4686" i="12" s="1"/>
  <c r="K4710" i="12" s="1"/>
  <c r="K4734" i="12" s="1"/>
  <c r="K4758" i="12" s="1"/>
  <c r="K4782" i="12" s="1"/>
  <c r="K4806" i="12" s="1"/>
  <c r="K4830" i="12" s="1"/>
  <c r="K4854" i="12" s="1"/>
  <c r="K4878" i="12" s="1"/>
  <c r="K4902" i="12" s="1"/>
  <c r="K4926" i="12" s="1"/>
  <c r="K4950" i="12" s="1"/>
  <c r="K4974" i="12" s="1"/>
  <c r="K4998" i="12" s="1"/>
  <c r="K5022" i="12" s="1"/>
  <c r="K5046" i="12" s="1"/>
  <c r="K5070" i="12" s="1"/>
  <c r="K5094" i="12" s="1"/>
  <c r="K5118" i="12" s="1"/>
  <c r="K5142" i="12" s="1"/>
  <c r="K5166" i="12" s="1"/>
  <c r="K5190" i="12" s="1"/>
  <c r="K5214" i="12" s="1"/>
  <c r="K5238" i="12" s="1"/>
  <c r="K5262" i="12" s="1"/>
  <c r="K5286" i="12" s="1"/>
  <c r="K5310" i="12" s="1"/>
  <c r="K5334" i="12" s="1"/>
  <c r="K5358" i="12" s="1"/>
  <c r="K5382" i="12" s="1"/>
  <c r="K5406" i="12" s="1"/>
  <c r="K5430" i="12" s="1"/>
  <c r="K5454" i="12" s="1"/>
  <c r="K5478" i="12" s="1"/>
  <c r="K5502" i="12" s="1"/>
  <c r="K5526" i="12" s="1"/>
  <c r="K5550" i="12" s="1"/>
  <c r="K5574" i="12" s="1"/>
  <c r="K5598" i="12" s="1"/>
  <c r="K5622" i="12" s="1"/>
  <c r="K5646" i="12" s="1"/>
  <c r="K5670" i="12" s="1"/>
  <c r="K5694" i="12" s="1"/>
  <c r="K5718" i="12" s="1"/>
  <c r="K5742" i="12" s="1"/>
  <c r="K5766" i="12" s="1"/>
  <c r="K5790" i="12" s="1"/>
  <c r="K5814" i="12" s="1"/>
  <c r="K5838" i="12" s="1"/>
  <c r="K5862" i="12" s="1"/>
  <c r="K5886" i="12" s="1"/>
  <c r="K5910" i="12" s="1"/>
  <c r="K5934" i="12" s="1"/>
  <c r="K5958" i="12" s="1"/>
  <c r="K5982" i="12" s="1"/>
  <c r="K6006" i="12" s="1"/>
  <c r="K6030" i="12" s="1"/>
  <c r="K6054" i="12" s="1"/>
  <c r="K6078" i="12" s="1"/>
  <c r="K6102" i="12" s="1"/>
  <c r="K6126" i="12" s="1"/>
  <c r="K6150" i="12" s="1"/>
  <c r="K6174" i="12" s="1"/>
  <c r="K6198" i="12" s="1"/>
  <c r="K6222" i="12" s="1"/>
  <c r="K6246" i="12" s="1"/>
  <c r="K6270" i="12" s="1"/>
  <c r="K6294" i="12" s="1"/>
  <c r="K6318" i="12" s="1"/>
  <c r="K6342" i="12" s="1"/>
  <c r="K6366" i="12" s="1"/>
  <c r="K6390" i="12" s="1"/>
  <c r="K6414" i="12" s="1"/>
  <c r="K6438" i="12" s="1"/>
  <c r="K6462" i="12" s="1"/>
  <c r="K6486" i="12" s="1"/>
  <c r="K6510" i="12" s="1"/>
  <c r="K6534" i="12" s="1"/>
  <c r="K6558" i="12" s="1"/>
  <c r="K6582" i="12" s="1"/>
  <c r="K6606" i="12" s="1"/>
  <c r="K6630" i="12" s="1"/>
  <c r="K6654" i="12" s="1"/>
  <c r="K6678" i="12" s="1"/>
  <c r="K6702" i="12" s="1"/>
  <c r="K6726" i="12" s="1"/>
  <c r="K6750" i="12" s="1"/>
  <c r="K6774" i="12" s="1"/>
  <c r="K6798" i="12" s="1"/>
  <c r="K6822" i="12" s="1"/>
  <c r="K6846" i="12" s="1"/>
  <c r="K6870" i="12" s="1"/>
  <c r="K6894" i="12" s="1"/>
  <c r="K6918" i="12" s="1"/>
  <c r="K6942" i="12" s="1"/>
  <c r="K6966" i="12" s="1"/>
  <c r="K6990" i="12" s="1"/>
  <c r="K7014" i="12" s="1"/>
  <c r="K7038" i="12" s="1"/>
  <c r="K7062" i="12" s="1"/>
  <c r="K7086" i="12" s="1"/>
  <c r="K7110" i="12" s="1"/>
  <c r="K7134" i="12" s="1"/>
  <c r="K7158" i="12" s="1"/>
  <c r="K7182" i="12" s="1"/>
  <c r="K7206" i="12" s="1"/>
  <c r="K7230" i="12" s="1"/>
  <c r="K7254" i="12" s="1"/>
  <c r="K7278" i="12" s="1"/>
  <c r="K7302" i="12" s="1"/>
  <c r="K7326" i="12" s="1"/>
  <c r="K7350" i="12" s="1"/>
  <c r="K7374" i="12" s="1"/>
  <c r="K7398" i="12" s="1"/>
  <c r="K7422" i="12" s="1"/>
  <c r="K7446" i="12" s="1"/>
  <c r="K7470" i="12" s="1"/>
  <c r="K7494" i="12" s="1"/>
  <c r="K7518" i="12" s="1"/>
  <c r="K7542" i="12" s="1"/>
  <c r="K7566" i="12" s="1"/>
  <c r="K7590" i="12" s="1"/>
  <c r="K7614" i="12" s="1"/>
  <c r="K7638" i="12" s="1"/>
  <c r="K7662" i="12" s="1"/>
  <c r="K7686" i="12" s="1"/>
  <c r="K7710" i="12" s="1"/>
  <c r="K7734" i="12" s="1"/>
  <c r="K7758" i="12" s="1"/>
  <c r="K7782" i="12" s="1"/>
  <c r="K7806" i="12" s="1"/>
  <c r="K7830" i="12" s="1"/>
  <c r="K7854" i="12" s="1"/>
  <c r="K7878" i="12" s="1"/>
  <c r="K7902" i="12" s="1"/>
  <c r="K7926" i="12" s="1"/>
  <c r="K7950" i="12" s="1"/>
  <c r="K7974" i="12" s="1"/>
  <c r="K7998" i="12" s="1"/>
  <c r="K8022" i="12" s="1"/>
  <c r="K8046" i="12" s="1"/>
  <c r="K8070" i="12" s="1"/>
  <c r="K8094" i="12" s="1"/>
  <c r="K8118" i="12" s="1"/>
  <c r="K8142" i="12" s="1"/>
  <c r="K8166" i="12" s="1"/>
  <c r="K8190" i="12" s="1"/>
  <c r="K8214" i="12" s="1"/>
  <c r="K8238" i="12" s="1"/>
  <c r="K8262" i="12" s="1"/>
  <c r="K8286" i="12" s="1"/>
  <c r="K8310" i="12" s="1"/>
  <c r="K8334" i="12" s="1"/>
  <c r="K8358" i="12" s="1"/>
  <c r="K8382" i="12" s="1"/>
  <c r="K8406" i="12" s="1"/>
  <c r="K8430" i="12" s="1"/>
  <c r="K8454" i="12" s="1"/>
  <c r="K8478" i="12" s="1"/>
  <c r="K8502" i="12" s="1"/>
  <c r="K8526" i="12" s="1"/>
  <c r="K8550" i="12" s="1"/>
  <c r="K8574" i="12" s="1"/>
  <c r="K8598" i="12" s="1"/>
  <c r="K8622" i="12" s="1"/>
  <c r="K8646" i="12" s="1"/>
  <c r="K8670" i="12" s="1"/>
  <c r="K8694" i="12" s="1"/>
  <c r="K8718" i="12" s="1"/>
  <c r="K29" i="12"/>
  <c r="K53" i="12" s="1"/>
  <c r="K77" i="12" s="1"/>
  <c r="K101" i="12" s="1"/>
  <c r="K125" i="12" s="1"/>
  <c r="K149" i="12" s="1"/>
  <c r="K173" i="12" s="1"/>
  <c r="K197" i="12" s="1"/>
  <c r="K221" i="12" s="1"/>
  <c r="K245" i="12" s="1"/>
  <c r="K269" i="12" s="1"/>
  <c r="K293" i="12" s="1"/>
  <c r="K317" i="12" s="1"/>
  <c r="K341" i="12" s="1"/>
  <c r="K365" i="12" s="1"/>
  <c r="K389" i="12" s="1"/>
  <c r="K413" i="12" s="1"/>
  <c r="K437" i="12" s="1"/>
  <c r="K461" i="12" s="1"/>
  <c r="K485" i="12" s="1"/>
  <c r="K509" i="12" s="1"/>
  <c r="K533" i="12" s="1"/>
  <c r="K557" i="12" s="1"/>
  <c r="K581" i="12" s="1"/>
  <c r="K605" i="12" s="1"/>
  <c r="K629" i="12" s="1"/>
  <c r="K653" i="12" s="1"/>
  <c r="K677" i="12" s="1"/>
  <c r="K701" i="12" s="1"/>
  <c r="K725" i="12" s="1"/>
  <c r="K749" i="12" s="1"/>
  <c r="K773" i="12" s="1"/>
  <c r="K797" i="12" s="1"/>
  <c r="K821" i="12" s="1"/>
  <c r="K845" i="12" s="1"/>
  <c r="K869" i="12" s="1"/>
  <c r="K893" i="12" s="1"/>
  <c r="K917" i="12" s="1"/>
  <c r="K941" i="12" s="1"/>
  <c r="K965" i="12" s="1"/>
  <c r="K989" i="12" s="1"/>
  <c r="K1013" i="12" s="1"/>
  <c r="K1037" i="12" s="1"/>
  <c r="K1061" i="12" s="1"/>
  <c r="K1085" i="12" s="1"/>
  <c r="K1109" i="12" s="1"/>
  <c r="K1133" i="12" s="1"/>
  <c r="K1157" i="12" s="1"/>
  <c r="K1181" i="12" s="1"/>
  <c r="K1205" i="12" s="1"/>
  <c r="K1229" i="12" s="1"/>
  <c r="K1253" i="12" s="1"/>
  <c r="K1277" i="12" s="1"/>
  <c r="K1301" i="12" s="1"/>
  <c r="K1325" i="12" s="1"/>
  <c r="K1349" i="12" s="1"/>
  <c r="K1373" i="12" s="1"/>
  <c r="K1397" i="12" s="1"/>
  <c r="K1421" i="12" s="1"/>
  <c r="K1445" i="12" s="1"/>
  <c r="K1469" i="12" s="1"/>
  <c r="K1493" i="12" s="1"/>
  <c r="K1517" i="12" s="1"/>
  <c r="K1541" i="12" s="1"/>
  <c r="K1565" i="12" s="1"/>
  <c r="K1589" i="12" s="1"/>
  <c r="K1613" i="12" s="1"/>
  <c r="K1637" i="12" s="1"/>
  <c r="K1661" i="12" s="1"/>
  <c r="K1685" i="12" s="1"/>
  <c r="K1709" i="12" s="1"/>
  <c r="K1733" i="12" s="1"/>
  <c r="K1757" i="12" s="1"/>
  <c r="K1781" i="12" s="1"/>
  <c r="K1805" i="12" s="1"/>
  <c r="K1829" i="12" s="1"/>
  <c r="K1853" i="12" s="1"/>
  <c r="K1877" i="12" s="1"/>
  <c r="K1901" i="12" s="1"/>
  <c r="K1925" i="12" s="1"/>
  <c r="K1949" i="12" s="1"/>
  <c r="K1973" i="12" s="1"/>
  <c r="K1997" i="12" s="1"/>
  <c r="K2021" i="12" s="1"/>
  <c r="K2045" i="12" s="1"/>
  <c r="K2069" i="12" s="1"/>
  <c r="K2093" i="12" s="1"/>
  <c r="K2117" i="12" s="1"/>
  <c r="K2141" i="12" s="1"/>
  <c r="K2165" i="12" s="1"/>
  <c r="K2189" i="12" s="1"/>
  <c r="K2213" i="12" s="1"/>
  <c r="K2237" i="12" s="1"/>
  <c r="K2261" i="12" s="1"/>
  <c r="K2285" i="12" s="1"/>
  <c r="K2309" i="12" s="1"/>
  <c r="K2333" i="12" s="1"/>
  <c r="K2357" i="12" s="1"/>
  <c r="K2381" i="12" s="1"/>
  <c r="K2405" i="12" s="1"/>
  <c r="K2429" i="12" s="1"/>
  <c r="K2453" i="12" s="1"/>
  <c r="K2477" i="12" s="1"/>
  <c r="K2501" i="12" s="1"/>
  <c r="K2525" i="12" s="1"/>
  <c r="K2549" i="12" s="1"/>
  <c r="K2573" i="12" s="1"/>
  <c r="K2597" i="12" s="1"/>
  <c r="K2621" i="12" s="1"/>
  <c r="K2645" i="12" s="1"/>
  <c r="K2669" i="12" s="1"/>
  <c r="K2693" i="12" s="1"/>
  <c r="K2717" i="12" s="1"/>
  <c r="K2741" i="12" s="1"/>
  <c r="K2765" i="12" s="1"/>
  <c r="K2789" i="12" s="1"/>
  <c r="K2813" i="12" s="1"/>
  <c r="K2837" i="12" s="1"/>
  <c r="K2861" i="12" s="1"/>
  <c r="K2885" i="12" s="1"/>
  <c r="K2909" i="12" s="1"/>
  <c r="K2933" i="12" s="1"/>
  <c r="K2957" i="12" s="1"/>
  <c r="K2981" i="12" s="1"/>
  <c r="K3005" i="12" s="1"/>
  <c r="K3029" i="12" s="1"/>
  <c r="K3053" i="12" s="1"/>
  <c r="K3077" i="12" s="1"/>
  <c r="K3101" i="12" s="1"/>
  <c r="K3125" i="12" s="1"/>
  <c r="K3149" i="12" s="1"/>
  <c r="K3173" i="12" s="1"/>
  <c r="K3197" i="12" s="1"/>
  <c r="K3221" i="12" s="1"/>
  <c r="K3245" i="12" s="1"/>
  <c r="K3269" i="12" s="1"/>
  <c r="K3293" i="12" s="1"/>
  <c r="K3317" i="12" s="1"/>
  <c r="K3341" i="12" s="1"/>
  <c r="K3365" i="12" s="1"/>
  <c r="K3389" i="12" s="1"/>
  <c r="K3413" i="12" s="1"/>
  <c r="K3437" i="12" s="1"/>
  <c r="K3461" i="12" s="1"/>
  <c r="K3485" i="12" s="1"/>
  <c r="K3509" i="12" s="1"/>
  <c r="K3533" i="12" s="1"/>
  <c r="K3557" i="12" s="1"/>
  <c r="K3581" i="12" s="1"/>
  <c r="K3605" i="12" s="1"/>
  <c r="K3629" i="12" s="1"/>
  <c r="K3653" i="12" s="1"/>
  <c r="K3677" i="12" s="1"/>
  <c r="K3701" i="12" s="1"/>
  <c r="K3725" i="12" s="1"/>
  <c r="K3749" i="12" s="1"/>
  <c r="K3773" i="12" s="1"/>
  <c r="K3797" i="12" s="1"/>
  <c r="K3821" i="12" s="1"/>
  <c r="K3845" i="12" s="1"/>
  <c r="K3869" i="12" s="1"/>
  <c r="K3893" i="12" s="1"/>
  <c r="K3917" i="12" s="1"/>
  <c r="K3941" i="12" s="1"/>
  <c r="K3965" i="12" s="1"/>
  <c r="K3989" i="12" s="1"/>
  <c r="K4013" i="12" s="1"/>
  <c r="K4037" i="12" s="1"/>
  <c r="K4061" i="12" s="1"/>
  <c r="K4085" i="12" s="1"/>
  <c r="K4109" i="12" s="1"/>
  <c r="K4133" i="12" s="1"/>
  <c r="K4157" i="12" s="1"/>
  <c r="K4181" i="12" s="1"/>
  <c r="K4205" i="12" s="1"/>
  <c r="K4229" i="12" s="1"/>
  <c r="K4253" i="12" s="1"/>
  <c r="K4277" i="12" s="1"/>
  <c r="K4301" i="12" s="1"/>
  <c r="K4325" i="12" s="1"/>
  <c r="K4349" i="12" s="1"/>
  <c r="K4373" i="12" s="1"/>
  <c r="K4397" i="12" s="1"/>
  <c r="K4421" i="12" s="1"/>
  <c r="K4445" i="12" s="1"/>
  <c r="K4469" i="12" s="1"/>
  <c r="K4493" i="12" s="1"/>
  <c r="K4517" i="12" s="1"/>
  <c r="K4541" i="12" s="1"/>
  <c r="K4565" i="12" s="1"/>
  <c r="K4589" i="12" s="1"/>
  <c r="K4613" i="12" s="1"/>
  <c r="K4637" i="12" s="1"/>
  <c r="K4661" i="12" s="1"/>
  <c r="K4685" i="12" s="1"/>
  <c r="K4709" i="12" s="1"/>
  <c r="K4733" i="12" s="1"/>
  <c r="K4757" i="12" s="1"/>
  <c r="K4781" i="12" s="1"/>
  <c r="K4805" i="12" s="1"/>
  <c r="K4829" i="12" s="1"/>
  <c r="K4853" i="12" s="1"/>
  <c r="K4877" i="12" s="1"/>
  <c r="K4901" i="12" s="1"/>
  <c r="K4925" i="12" s="1"/>
  <c r="K4949" i="12" s="1"/>
  <c r="K4973" i="12" s="1"/>
  <c r="K4997" i="12" s="1"/>
  <c r="K5021" i="12" s="1"/>
  <c r="K5045" i="12" s="1"/>
  <c r="K5069" i="12" s="1"/>
  <c r="K5093" i="12" s="1"/>
  <c r="K5117" i="12" s="1"/>
  <c r="K5141" i="12" s="1"/>
  <c r="K5165" i="12" s="1"/>
  <c r="K5189" i="12" s="1"/>
  <c r="K5213" i="12" s="1"/>
  <c r="K5237" i="12" s="1"/>
  <c r="K5261" i="12" s="1"/>
  <c r="K5285" i="12" s="1"/>
  <c r="K5309" i="12" s="1"/>
  <c r="K5333" i="12" s="1"/>
  <c r="K5357" i="12" s="1"/>
  <c r="K5381" i="12" s="1"/>
  <c r="K5405" i="12" s="1"/>
  <c r="K5429" i="12" s="1"/>
  <c r="K5453" i="12" s="1"/>
  <c r="K5477" i="12" s="1"/>
  <c r="K5501" i="12" s="1"/>
  <c r="K5525" i="12" s="1"/>
  <c r="K5549" i="12" s="1"/>
  <c r="K5573" i="12" s="1"/>
  <c r="K5597" i="12" s="1"/>
  <c r="K5621" i="12" s="1"/>
  <c r="K5645" i="12" s="1"/>
  <c r="K5669" i="12" s="1"/>
  <c r="K5693" i="12" s="1"/>
  <c r="K5717" i="12" s="1"/>
  <c r="K5741" i="12" s="1"/>
  <c r="K5765" i="12" s="1"/>
  <c r="K5789" i="12" s="1"/>
  <c r="K5813" i="12" s="1"/>
  <c r="K5837" i="12" s="1"/>
  <c r="K5861" i="12" s="1"/>
  <c r="K5885" i="12" s="1"/>
  <c r="K5909" i="12" s="1"/>
  <c r="K5933" i="12" s="1"/>
  <c r="K5957" i="12" s="1"/>
  <c r="K5981" i="12" s="1"/>
  <c r="K6005" i="12" s="1"/>
  <c r="K6029" i="12" s="1"/>
  <c r="K6053" i="12" s="1"/>
  <c r="K6077" i="12" s="1"/>
  <c r="K6101" i="12" s="1"/>
  <c r="K6125" i="12" s="1"/>
  <c r="K6149" i="12" s="1"/>
  <c r="K6173" i="12" s="1"/>
  <c r="K6197" i="12" s="1"/>
  <c r="K6221" i="12" s="1"/>
  <c r="K6245" i="12" s="1"/>
  <c r="K6269" i="12" s="1"/>
  <c r="K6293" i="12" s="1"/>
  <c r="K6317" i="12" s="1"/>
  <c r="K6341" i="12" s="1"/>
  <c r="K6365" i="12" s="1"/>
  <c r="K6389" i="12" s="1"/>
  <c r="K6413" i="12" s="1"/>
  <c r="K6437" i="12" s="1"/>
  <c r="K6461" i="12" s="1"/>
  <c r="K6485" i="12" s="1"/>
  <c r="K6509" i="12" s="1"/>
  <c r="K6533" i="12" s="1"/>
  <c r="K6557" i="12" s="1"/>
  <c r="K6581" i="12" s="1"/>
  <c r="K6605" i="12" s="1"/>
  <c r="K6629" i="12" s="1"/>
  <c r="K6653" i="12" s="1"/>
  <c r="K6677" i="12" s="1"/>
  <c r="K6701" i="12" s="1"/>
  <c r="K6725" i="12" s="1"/>
  <c r="K6749" i="12" s="1"/>
  <c r="K6773" i="12" s="1"/>
  <c r="K6797" i="12" s="1"/>
  <c r="K6821" i="12" s="1"/>
  <c r="K6845" i="12" s="1"/>
  <c r="K6869" i="12" s="1"/>
  <c r="K6893" i="12" s="1"/>
  <c r="K6917" i="12" s="1"/>
  <c r="K6941" i="12" s="1"/>
  <c r="K6965" i="12" s="1"/>
  <c r="K6989" i="12" s="1"/>
  <c r="K7013" i="12" s="1"/>
  <c r="K7037" i="12" s="1"/>
  <c r="K7061" i="12" s="1"/>
  <c r="K7085" i="12" s="1"/>
  <c r="K7109" i="12" s="1"/>
  <c r="K7133" i="12" s="1"/>
  <c r="K7157" i="12" s="1"/>
  <c r="K7181" i="12" s="1"/>
  <c r="K7205" i="12" s="1"/>
  <c r="K7229" i="12" s="1"/>
  <c r="K7253" i="12" s="1"/>
  <c r="K7277" i="12" s="1"/>
  <c r="K7301" i="12" s="1"/>
  <c r="K7325" i="12" s="1"/>
  <c r="K7349" i="12" s="1"/>
  <c r="K7373" i="12" s="1"/>
  <c r="K7397" i="12" s="1"/>
  <c r="K7421" i="12" s="1"/>
  <c r="K7445" i="12" s="1"/>
  <c r="K7469" i="12" s="1"/>
  <c r="K7493" i="12" s="1"/>
  <c r="K7517" i="12" s="1"/>
  <c r="K7541" i="12" s="1"/>
  <c r="K7565" i="12" s="1"/>
  <c r="K7589" i="12" s="1"/>
  <c r="K7613" i="12" s="1"/>
  <c r="K7637" i="12" s="1"/>
  <c r="K7661" i="12" s="1"/>
  <c r="K7685" i="12" s="1"/>
  <c r="K7709" i="12" s="1"/>
  <c r="K7733" i="12" s="1"/>
  <c r="K7757" i="12" s="1"/>
  <c r="K7781" i="12" s="1"/>
  <c r="K7805" i="12" s="1"/>
  <c r="K7829" i="12" s="1"/>
  <c r="K7853" i="12" s="1"/>
  <c r="K7877" i="12" s="1"/>
  <c r="K7901" i="12" s="1"/>
  <c r="K7925" i="12" s="1"/>
  <c r="K7949" i="12" s="1"/>
  <c r="K7973" i="12" s="1"/>
  <c r="K7997" i="12" s="1"/>
  <c r="K8021" i="12" s="1"/>
  <c r="K8045" i="12" s="1"/>
  <c r="K8069" i="12" s="1"/>
  <c r="K8093" i="12" s="1"/>
  <c r="K8117" i="12" s="1"/>
  <c r="K8141" i="12" s="1"/>
  <c r="K8165" i="12" s="1"/>
  <c r="K8189" i="12" s="1"/>
  <c r="K8213" i="12" s="1"/>
  <c r="K8237" i="12" s="1"/>
  <c r="K8261" i="12" s="1"/>
  <c r="K8285" i="12" s="1"/>
  <c r="K8309" i="12" s="1"/>
  <c r="K8333" i="12" s="1"/>
  <c r="K8357" i="12" s="1"/>
  <c r="K8381" i="12" s="1"/>
  <c r="K8405" i="12" s="1"/>
  <c r="K8429" i="12" s="1"/>
  <c r="K8453" i="12" s="1"/>
  <c r="K8477" i="12" s="1"/>
  <c r="K8501" i="12" s="1"/>
  <c r="K8525" i="12" s="1"/>
  <c r="K8549" i="12" s="1"/>
  <c r="K8573" i="12" s="1"/>
  <c r="K8597" i="12" s="1"/>
  <c r="K8621" i="12" s="1"/>
  <c r="K8645" i="12" s="1"/>
  <c r="K8669" i="12" s="1"/>
  <c r="K8693" i="12" s="1"/>
  <c r="K8717" i="12" s="1"/>
  <c r="K28" i="12"/>
  <c r="K52" i="12" s="1"/>
  <c r="K76" i="12" s="1"/>
  <c r="K100" i="12" s="1"/>
  <c r="K124" i="12" s="1"/>
  <c r="K148" i="12" s="1"/>
  <c r="K172" i="12" s="1"/>
  <c r="K196" i="12" s="1"/>
  <c r="K220" i="12" s="1"/>
  <c r="K244" i="12" s="1"/>
  <c r="K268" i="12" s="1"/>
  <c r="K292" i="12" s="1"/>
  <c r="K316" i="12" s="1"/>
  <c r="K340" i="12" s="1"/>
  <c r="K364" i="12" s="1"/>
  <c r="K388" i="12" s="1"/>
  <c r="K412" i="12" s="1"/>
  <c r="K436" i="12" s="1"/>
  <c r="K460" i="12" s="1"/>
  <c r="K484" i="12" s="1"/>
  <c r="K508" i="12" s="1"/>
  <c r="K532" i="12" s="1"/>
  <c r="K556" i="12" s="1"/>
  <c r="K580" i="12" s="1"/>
  <c r="K604" i="12" s="1"/>
  <c r="K628" i="12" s="1"/>
  <c r="K652" i="12" s="1"/>
  <c r="K676" i="12" s="1"/>
  <c r="K700" i="12" s="1"/>
  <c r="K724" i="12" s="1"/>
  <c r="K748" i="12" s="1"/>
  <c r="K772" i="12" s="1"/>
  <c r="K796" i="12" s="1"/>
  <c r="K820" i="12" s="1"/>
  <c r="K844" i="12" s="1"/>
  <c r="K868" i="12" s="1"/>
  <c r="K892" i="12" s="1"/>
  <c r="K916" i="12" s="1"/>
  <c r="K940" i="12" s="1"/>
  <c r="K964" i="12" s="1"/>
  <c r="K988" i="12" s="1"/>
  <c r="K1012" i="12" s="1"/>
  <c r="K1036" i="12" s="1"/>
  <c r="K1060" i="12" s="1"/>
  <c r="K1084" i="12" s="1"/>
  <c r="K1108" i="12" s="1"/>
  <c r="K1132" i="12" s="1"/>
  <c r="K1156" i="12" s="1"/>
  <c r="K1180" i="12" s="1"/>
  <c r="K1204" i="12" s="1"/>
  <c r="K1228" i="12" s="1"/>
  <c r="K1252" i="12" s="1"/>
  <c r="K1276" i="12" s="1"/>
  <c r="K1300" i="12" s="1"/>
  <c r="K1324" i="12" s="1"/>
  <c r="K1348" i="12" s="1"/>
  <c r="K1372" i="12" s="1"/>
  <c r="K1396" i="12" s="1"/>
  <c r="K1420" i="12" s="1"/>
  <c r="K1444" i="12" s="1"/>
  <c r="K1468" i="12" s="1"/>
  <c r="K1492" i="12" s="1"/>
  <c r="K1516" i="12" s="1"/>
  <c r="K1540" i="12" s="1"/>
  <c r="K1564" i="12" s="1"/>
  <c r="K1588" i="12" s="1"/>
  <c r="K1612" i="12" s="1"/>
  <c r="K1636" i="12" s="1"/>
  <c r="K1660" i="12" s="1"/>
  <c r="K1684" i="12" s="1"/>
  <c r="K1708" i="12" s="1"/>
  <c r="K1732" i="12" s="1"/>
  <c r="K1756" i="12" s="1"/>
  <c r="K1780" i="12" s="1"/>
  <c r="K1804" i="12" s="1"/>
  <c r="K1828" i="12" s="1"/>
  <c r="K1852" i="12" s="1"/>
  <c r="K1876" i="12" s="1"/>
  <c r="K1900" i="12" s="1"/>
  <c r="K1924" i="12" s="1"/>
  <c r="K1948" i="12" s="1"/>
  <c r="K1972" i="12" s="1"/>
  <c r="K1996" i="12" s="1"/>
  <c r="K2020" i="12" s="1"/>
  <c r="K2044" i="12" s="1"/>
  <c r="K2068" i="12" s="1"/>
  <c r="K2092" i="12" s="1"/>
  <c r="K2116" i="12" s="1"/>
  <c r="K2140" i="12" s="1"/>
  <c r="K2164" i="12" s="1"/>
  <c r="K2188" i="12" s="1"/>
  <c r="K2212" i="12" s="1"/>
  <c r="K2236" i="12" s="1"/>
  <c r="K2260" i="12" s="1"/>
  <c r="K2284" i="12" s="1"/>
  <c r="K2308" i="12" s="1"/>
  <c r="K2332" i="12" s="1"/>
  <c r="K2356" i="12" s="1"/>
  <c r="K2380" i="12" s="1"/>
  <c r="K2404" i="12" s="1"/>
  <c r="K2428" i="12" s="1"/>
  <c r="K2452" i="12" s="1"/>
  <c r="K2476" i="12" s="1"/>
  <c r="K2500" i="12" s="1"/>
  <c r="K2524" i="12" s="1"/>
  <c r="K2548" i="12" s="1"/>
  <c r="K2572" i="12" s="1"/>
  <c r="K2596" i="12" s="1"/>
  <c r="K2620" i="12" s="1"/>
  <c r="K2644" i="12" s="1"/>
  <c r="K2668" i="12" s="1"/>
  <c r="K2692" i="12" s="1"/>
  <c r="K2716" i="12" s="1"/>
  <c r="K2740" i="12" s="1"/>
  <c r="K2764" i="12" s="1"/>
  <c r="K2788" i="12" s="1"/>
  <c r="K2812" i="12" s="1"/>
  <c r="K2836" i="12" s="1"/>
  <c r="K2860" i="12" s="1"/>
  <c r="K2884" i="12" s="1"/>
  <c r="K2908" i="12" s="1"/>
  <c r="K2932" i="12" s="1"/>
  <c r="K2956" i="12" s="1"/>
  <c r="K2980" i="12" s="1"/>
  <c r="K3004" i="12" s="1"/>
  <c r="K3028" i="12" s="1"/>
  <c r="K3052" i="12" s="1"/>
  <c r="K3076" i="12" s="1"/>
  <c r="K3100" i="12" s="1"/>
  <c r="K3124" i="12" s="1"/>
  <c r="K3148" i="12" s="1"/>
  <c r="K3172" i="12" s="1"/>
  <c r="K3196" i="12" s="1"/>
  <c r="K3220" i="12" s="1"/>
  <c r="K3244" i="12" s="1"/>
  <c r="K3268" i="12" s="1"/>
  <c r="K3292" i="12" s="1"/>
  <c r="K3316" i="12" s="1"/>
  <c r="K3340" i="12" s="1"/>
  <c r="K3364" i="12" s="1"/>
  <c r="K3388" i="12" s="1"/>
  <c r="K3412" i="12" s="1"/>
  <c r="K3436" i="12" s="1"/>
  <c r="K3460" i="12" s="1"/>
  <c r="K3484" i="12" s="1"/>
  <c r="K3508" i="12" s="1"/>
  <c r="K3532" i="12" s="1"/>
  <c r="K3556" i="12" s="1"/>
  <c r="K3580" i="12" s="1"/>
  <c r="K3604" i="12" s="1"/>
  <c r="K3628" i="12" s="1"/>
  <c r="K3652" i="12" s="1"/>
  <c r="K3676" i="12" s="1"/>
  <c r="K3700" i="12" s="1"/>
  <c r="K3724" i="12" s="1"/>
  <c r="K3748" i="12" s="1"/>
  <c r="K3772" i="12" s="1"/>
  <c r="K3796" i="12" s="1"/>
  <c r="K3820" i="12" s="1"/>
  <c r="K3844" i="12" s="1"/>
  <c r="K3868" i="12" s="1"/>
  <c r="K3892" i="12" s="1"/>
  <c r="K3916" i="12" s="1"/>
  <c r="K3940" i="12" s="1"/>
  <c r="K3964" i="12" s="1"/>
  <c r="K3988" i="12" s="1"/>
  <c r="K4012" i="12" s="1"/>
  <c r="K4036" i="12" s="1"/>
  <c r="K4060" i="12" s="1"/>
  <c r="K4084" i="12" s="1"/>
  <c r="K4108" i="12" s="1"/>
  <c r="K4132" i="12" s="1"/>
  <c r="K4156" i="12" s="1"/>
  <c r="K4180" i="12" s="1"/>
  <c r="K4204" i="12" s="1"/>
  <c r="K4228" i="12" s="1"/>
  <c r="K4252" i="12" s="1"/>
  <c r="K4276" i="12" s="1"/>
  <c r="K4300" i="12" s="1"/>
  <c r="K4324" i="12" s="1"/>
  <c r="K4348" i="12" s="1"/>
  <c r="K4372" i="12" s="1"/>
  <c r="K4396" i="12" s="1"/>
  <c r="K4420" i="12" s="1"/>
  <c r="K4444" i="12" s="1"/>
  <c r="K4468" i="12" s="1"/>
  <c r="K4492" i="12" s="1"/>
  <c r="K4516" i="12" s="1"/>
  <c r="K4540" i="12" s="1"/>
  <c r="K4564" i="12" s="1"/>
  <c r="K4588" i="12" s="1"/>
  <c r="K4612" i="12" s="1"/>
  <c r="K4636" i="12" s="1"/>
  <c r="K4660" i="12" s="1"/>
  <c r="K4684" i="12" s="1"/>
  <c r="K4708" i="12" s="1"/>
  <c r="K4732" i="12" s="1"/>
  <c r="K4756" i="12" s="1"/>
  <c r="K4780" i="12" s="1"/>
  <c r="K4804" i="12" s="1"/>
  <c r="K4828" i="12" s="1"/>
  <c r="K4852" i="12" s="1"/>
  <c r="K4876" i="12" s="1"/>
  <c r="K4900" i="12" s="1"/>
  <c r="K4924" i="12" s="1"/>
  <c r="K4948" i="12" s="1"/>
  <c r="K4972" i="12" s="1"/>
  <c r="K4996" i="12" s="1"/>
  <c r="K5020" i="12" s="1"/>
  <c r="K5044" i="12" s="1"/>
  <c r="K5068" i="12" s="1"/>
  <c r="K5092" i="12" s="1"/>
  <c r="K5116" i="12" s="1"/>
  <c r="K5140" i="12" s="1"/>
  <c r="K5164" i="12" s="1"/>
  <c r="K5188" i="12" s="1"/>
  <c r="K5212" i="12" s="1"/>
  <c r="K5236" i="12" s="1"/>
  <c r="K5260" i="12" s="1"/>
  <c r="K5284" i="12" s="1"/>
  <c r="K5308" i="12" s="1"/>
  <c r="K5332" i="12" s="1"/>
  <c r="K5356" i="12" s="1"/>
  <c r="K5380" i="12" s="1"/>
  <c r="K5404" i="12" s="1"/>
  <c r="K5428" i="12" s="1"/>
  <c r="K5452" i="12" s="1"/>
  <c r="K5476" i="12" s="1"/>
  <c r="K5500" i="12" s="1"/>
  <c r="K5524" i="12" s="1"/>
  <c r="K5548" i="12" s="1"/>
  <c r="K5572" i="12" s="1"/>
  <c r="K5596" i="12" s="1"/>
  <c r="K5620" i="12" s="1"/>
  <c r="K5644" i="12" s="1"/>
  <c r="K5668" i="12" s="1"/>
  <c r="K5692" i="12" s="1"/>
  <c r="K5716" i="12" s="1"/>
  <c r="K5740" i="12" s="1"/>
  <c r="K5764" i="12" s="1"/>
  <c r="K5788" i="12" s="1"/>
  <c r="K5812" i="12" s="1"/>
  <c r="K5836" i="12" s="1"/>
  <c r="K5860" i="12" s="1"/>
  <c r="K5884" i="12" s="1"/>
  <c r="K5908" i="12" s="1"/>
  <c r="K5932" i="12" s="1"/>
  <c r="K5956" i="12" s="1"/>
  <c r="K5980" i="12" s="1"/>
  <c r="K6004" i="12" s="1"/>
  <c r="K6028" i="12" s="1"/>
  <c r="K6052" i="12" s="1"/>
  <c r="K6076" i="12" s="1"/>
  <c r="K6100" i="12" s="1"/>
  <c r="K6124" i="12" s="1"/>
  <c r="K6148" i="12" s="1"/>
  <c r="K6172" i="12" s="1"/>
  <c r="K6196" i="12" s="1"/>
  <c r="K6220" i="12" s="1"/>
  <c r="K6244" i="12" s="1"/>
  <c r="K6268" i="12" s="1"/>
  <c r="K6292" i="12" s="1"/>
  <c r="K6316" i="12" s="1"/>
  <c r="K6340" i="12" s="1"/>
  <c r="K6364" i="12" s="1"/>
  <c r="K6388" i="12" s="1"/>
  <c r="K6412" i="12" s="1"/>
  <c r="K6436" i="12" s="1"/>
  <c r="K6460" i="12" s="1"/>
  <c r="K6484" i="12" s="1"/>
  <c r="K6508" i="12" s="1"/>
  <c r="K6532" i="12" s="1"/>
  <c r="K6556" i="12" s="1"/>
  <c r="K6580" i="12" s="1"/>
  <c r="K6604" i="12" s="1"/>
  <c r="K6628" i="12" s="1"/>
  <c r="K6652" i="12" s="1"/>
  <c r="K6676" i="12" s="1"/>
  <c r="K6700" i="12" s="1"/>
  <c r="K6724" i="12" s="1"/>
  <c r="K6748" i="12" s="1"/>
  <c r="K6772" i="12" s="1"/>
  <c r="K6796" i="12" s="1"/>
  <c r="K6820" i="12" s="1"/>
  <c r="K6844" i="12" s="1"/>
  <c r="K6868" i="12" s="1"/>
  <c r="K6892" i="12" s="1"/>
  <c r="K6916" i="12" s="1"/>
  <c r="K6940" i="12" s="1"/>
  <c r="K6964" i="12" s="1"/>
  <c r="K6988" i="12" s="1"/>
  <c r="K7012" i="12" s="1"/>
  <c r="K7036" i="12" s="1"/>
  <c r="K7060" i="12" s="1"/>
  <c r="K7084" i="12" s="1"/>
  <c r="K7108" i="12" s="1"/>
  <c r="K7132" i="12" s="1"/>
  <c r="K7156" i="12" s="1"/>
  <c r="K7180" i="12" s="1"/>
  <c r="K7204" i="12" s="1"/>
  <c r="K7228" i="12" s="1"/>
  <c r="K7252" i="12" s="1"/>
  <c r="K7276" i="12" s="1"/>
  <c r="K7300" i="12" s="1"/>
  <c r="K7324" i="12" s="1"/>
  <c r="K7348" i="12" s="1"/>
  <c r="K7372" i="12" s="1"/>
  <c r="K7396" i="12" s="1"/>
  <c r="K7420" i="12" s="1"/>
  <c r="K7444" i="12" s="1"/>
  <c r="K7468" i="12" s="1"/>
  <c r="K7492" i="12" s="1"/>
  <c r="K7516" i="12" s="1"/>
  <c r="K7540" i="12" s="1"/>
  <c r="K7564" i="12" s="1"/>
  <c r="K7588" i="12" s="1"/>
  <c r="K7612" i="12" s="1"/>
  <c r="K7636" i="12" s="1"/>
  <c r="K7660" i="12" s="1"/>
  <c r="K7684" i="12" s="1"/>
  <c r="K7708" i="12" s="1"/>
  <c r="K7732" i="12" s="1"/>
  <c r="K7756" i="12" s="1"/>
  <c r="K7780" i="12" s="1"/>
  <c r="K7804" i="12" s="1"/>
  <c r="K7828" i="12" s="1"/>
  <c r="K7852" i="12" s="1"/>
  <c r="K7876" i="12" s="1"/>
  <c r="K7900" i="12" s="1"/>
  <c r="K7924" i="12" s="1"/>
  <c r="K7948" i="12" s="1"/>
  <c r="K7972" i="12" s="1"/>
  <c r="K7996" i="12" s="1"/>
  <c r="K8020" i="12" s="1"/>
  <c r="K8044" i="12" s="1"/>
  <c r="K8068" i="12" s="1"/>
  <c r="K8092" i="12" s="1"/>
  <c r="K8116" i="12" s="1"/>
  <c r="K8140" i="12" s="1"/>
  <c r="K8164" i="12" s="1"/>
  <c r="K8188" i="12" s="1"/>
  <c r="K8212" i="12" s="1"/>
  <c r="K8236" i="12" s="1"/>
  <c r="K8260" i="12" s="1"/>
  <c r="K8284" i="12" s="1"/>
  <c r="K8308" i="12" s="1"/>
  <c r="K8332" i="12" s="1"/>
  <c r="K8356" i="12" s="1"/>
  <c r="K8380" i="12" s="1"/>
  <c r="K8404" i="12" s="1"/>
  <c r="K8428" i="12" s="1"/>
  <c r="K8452" i="12" s="1"/>
  <c r="K8476" i="12" s="1"/>
  <c r="K8500" i="12" s="1"/>
  <c r="K8524" i="12" s="1"/>
  <c r="K8548" i="12" s="1"/>
  <c r="K8572" i="12" s="1"/>
  <c r="K8596" i="12" s="1"/>
  <c r="K8620" i="12" s="1"/>
  <c r="K8644" i="12" s="1"/>
  <c r="K8668" i="12" s="1"/>
  <c r="K8692" i="12" s="1"/>
  <c r="K8716" i="12" s="1"/>
  <c r="K27" i="12"/>
  <c r="K51" i="12" s="1"/>
  <c r="K75" i="12" s="1"/>
  <c r="K99" i="12" s="1"/>
  <c r="K123" i="12" s="1"/>
  <c r="K147" i="12" s="1"/>
  <c r="K171" i="12" s="1"/>
  <c r="K195" i="12" s="1"/>
  <c r="K219" i="12" s="1"/>
  <c r="K243" i="12" s="1"/>
  <c r="K267" i="12" s="1"/>
  <c r="K291" i="12" s="1"/>
  <c r="K315" i="12" s="1"/>
  <c r="K339" i="12" s="1"/>
  <c r="K363" i="12" s="1"/>
  <c r="K387" i="12" s="1"/>
  <c r="K411" i="12" s="1"/>
  <c r="K435" i="12" s="1"/>
  <c r="K459" i="12" s="1"/>
  <c r="K483" i="12" s="1"/>
  <c r="K507" i="12" s="1"/>
  <c r="K531" i="12" s="1"/>
  <c r="K555" i="12" s="1"/>
  <c r="K579" i="12" s="1"/>
  <c r="K603" i="12" s="1"/>
  <c r="K627" i="12" s="1"/>
  <c r="K651" i="12" s="1"/>
  <c r="K675" i="12" s="1"/>
  <c r="K699" i="12" s="1"/>
  <c r="K723" i="12" s="1"/>
  <c r="K747" i="12" s="1"/>
  <c r="K771" i="12" s="1"/>
  <c r="K795" i="12" s="1"/>
  <c r="K819" i="12" s="1"/>
  <c r="K843" i="12" s="1"/>
  <c r="K867" i="12" s="1"/>
  <c r="K891" i="12" s="1"/>
  <c r="K915" i="12" s="1"/>
  <c r="K939" i="12" s="1"/>
  <c r="K963" i="12" s="1"/>
  <c r="K987" i="12" s="1"/>
  <c r="K1011" i="12" s="1"/>
  <c r="K1035" i="12" s="1"/>
  <c r="K1059" i="12" s="1"/>
  <c r="K1083" i="12" s="1"/>
  <c r="K1107" i="12" s="1"/>
  <c r="K1131" i="12" s="1"/>
  <c r="K1155" i="12" s="1"/>
  <c r="K1179" i="12" s="1"/>
  <c r="K1203" i="12" s="1"/>
  <c r="K1227" i="12" s="1"/>
  <c r="K1251" i="12" s="1"/>
  <c r="K1275" i="12" s="1"/>
  <c r="K1299" i="12" s="1"/>
  <c r="K1323" i="12" s="1"/>
  <c r="K1347" i="12" s="1"/>
  <c r="K1371" i="12" s="1"/>
  <c r="K1395" i="12" s="1"/>
  <c r="K1419" i="12" s="1"/>
  <c r="K1443" i="12" s="1"/>
  <c r="K1467" i="12" s="1"/>
  <c r="K1491" i="12" s="1"/>
  <c r="K1515" i="12" s="1"/>
  <c r="K1539" i="12" s="1"/>
  <c r="K1563" i="12" s="1"/>
  <c r="K1587" i="12" s="1"/>
  <c r="K1611" i="12" s="1"/>
  <c r="K1635" i="12" s="1"/>
  <c r="K1659" i="12" s="1"/>
  <c r="K1683" i="12" s="1"/>
  <c r="K1707" i="12" s="1"/>
  <c r="K1731" i="12" s="1"/>
  <c r="K1755" i="12" s="1"/>
  <c r="K1779" i="12" s="1"/>
  <c r="K1803" i="12" s="1"/>
  <c r="K1827" i="12" s="1"/>
  <c r="K1851" i="12" s="1"/>
  <c r="K1875" i="12" s="1"/>
  <c r="K1899" i="12" s="1"/>
  <c r="K1923" i="12" s="1"/>
  <c r="K1947" i="12" s="1"/>
  <c r="K1971" i="12" s="1"/>
  <c r="K1995" i="12" s="1"/>
  <c r="K2019" i="12" s="1"/>
  <c r="K2043" i="12" s="1"/>
  <c r="K2067" i="12" s="1"/>
  <c r="K2091" i="12" s="1"/>
  <c r="K2115" i="12" s="1"/>
  <c r="K2139" i="12" s="1"/>
  <c r="K2163" i="12" s="1"/>
  <c r="K2187" i="12" s="1"/>
  <c r="K2211" i="12" s="1"/>
  <c r="K2235" i="12" s="1"/>
  <c r="K2259" i="12" s="1"/>
  <c r="K2283" i="12" s="1"/>
  <c r="K2307" i="12" s="1"/>
  <c r="K2331" i="12" s="1"/>
  <c r="K2355" i="12" s="1"/>
  <c r="K2379" i="12" s="1"/>
  <c r="K2403" i="12" s="1"/>
  <c r="K2427" i="12" s="1"/>
  <c r="K2451" i="12" s="1"/>
  <c r="K2475" i="12" s="1"/>
  <c r="K2499" i="12" s="1"/>
  <c r="K2523" i="12" s="1"/>
  <c r="K2547" i="12" s="1"/>
  <c r="K2571" i="12" s="1"/>
  <c r="K2595" i="12" s="1"/>
  <c r="K2619" i="12" s="1"/>
  <c r="K2643" i="12" s="1"/>
  <c r="K2667" i="12" s="1"/>
  <c r="K2691" i="12" s="1"/>
  <c r="K2715" i="12" s="1"/>
  <c r="K2739" i="12" s="1"/>
  <c r="K2763" i="12" s="1"/>
  <c r="K2787" i="12" s="1"/>
  <c r="K2811" i="12" s="1"/>
  <c r="K2835" i="12" s="1"/>
  <c r="K2859" i="12" s="1"/>
  <c r="K2883" i="12" s="1"/>
  <c r="K2907" i="12" s="1"/>
  <c r="K2931" i="12" s="1"/>
  <c r="K2955" i="12" s="1"/>
  <c r="K2979" i="12" s="1"/>
  <c r="K3003" i="12" s="1"/>
  <c r="K3027" i="12" s="1"/>
  <c r="K3051" i="12" s="1"/>
  <c r="K3075" i="12" s="1"/>
  <c r="K3099" i="12" s="1"/>
  <c r="K3123" i="12" s="1"/>
  <c r="K3147" i="12" s="1"/>
  <c r="K3171" i="12" s="1"/>
  <c r="K3195" i="12" s="1"/>
  <c r="K3219" i="12" s="1"/>
  <c r="K3243" i="12" s="1"/>
  <c r="K3267" i="12" s="1"/>
  <c r="K3291" i="12" s="1"/>
  <c r="K3315" i="12" s="1"/>
  <c r="K3339" i="12" s="1"/>
  <c r="K3363" i="12" s="1"/>
  <c r="K3387" i="12" s="1"/>
  <c r="K3411" i="12" s="1"/>
  <c r="K3435" i="12" s="1"/>
  <c r="K3459" i="12" s="1"/>
  <c r="K3483" i="12" s="1"/>
  <c r="K3507" i="12" s="1"/>
  <c r="K3531" i="12" s="1"/>
  <c r="K3555" i="12" s="1"/>
  <c r="K3579" i="12" s="1"/>
  <c r="K3603" i="12" s="1"/>
  <c r="K3627" i="12" s="1"/>
  <c r="K3651" i="12" s="1"/>
  <c r="K3675" i="12" s="1"/>
  <c r="K3699" i="12" s="1"/>
  <c r="K3723" i="12" s="1"/>
  <c r="K3747" i="12" s="1"/>
  <c r="K3771" i="12" s="1"/>
  <c r="K3795" i="12" s="1"/>
  <c r="K3819" i="12" s="1"/>
  <c r="K3843" i="12" s="1"/>
  <c r="K3867" i="12" s="1"/>
  <c r="K3891" i="12" s="1"/>
  <c r="K3915" i="12" s="1"/>
  <c r="K3939" i="12" s="1"/>
  <c r="K3963" i="12" s="1"/>
  <c r="K3987" i="12" s="1"/>
  <c r="K4011" i="12" s="1"/>
  <c r="K4035" i="12" s="1"/>
  <c r="K4059" i="12" s="1"/>
  <c r="K4083" i="12" s="1"/>
  <c r="K4107" i="12" s="1"/>
  <c r="K4131" i="12" s="1"/>
  <c r="K4155" i="12" s="1"/>
  <c r="K4179" i="12" s="1"/>
  <c r="K4203" i="12" s="1"/>
  <c r="K4227" i="12" s="1"/>
  <c r="K4251" i="12" s="1"/>
  <c r="K4275" i="12" s="1"/>
  <c r="K4299" i="12" s="1"/>
  <c r="K4323" i="12" s="1"/>
  <c r="K4347" i="12" s="1"/>
  <c r="K4371" i="12" s="1"/>
  <c r="K4395" i="12" s="1"/>
  <c r="K4419" i="12" s="1"/>
  <c r="K4443" i="12" s="1"/>
  <c r="K4467" i="12" s="1"/>
  <c r="K4491" i="12" s="1"/>
  <c r="K4515" i="12" s="1"/>
  <c r="K4539" i="12" s="1"/>
  <c r="K4563" i="12" s="1"/>
  <c r="K4587" i="12" s="1"/>
  <c r="K4611" i="12" s="1"/>
  <c r="K4635" i="12" s="1"/>
  <c r="K4659" i="12" s="1"/>
  <c r="K4683" i="12" s="1"/>
  <c r="K4707" i="12" s="1"/>
  <c r="K4731" i="12" s="1"/>
  <c r="K4755" i="12" s="1"/>
  <c r="K4779" i="12" s="1"/>
  <c r="K4803" i="12" s="1"/>
  <c r="K4827" i="12" s="1"/>
  <c r="K4851" i="12" s="1"/>
  <c r="K4875" i="12" s="1"/>
  <c r="K4899" i="12" s="1"/>
  <c r="K4923" i="12" s="1"/>
  <c r="K4947" i="12" s="1"/>
  <c r="K4971" i="12" s="1"/>
  <c r="K4995" i="12" s="1"/>
  <c r="K5019" i="12" s="1"/>
  <c r="K5043" i="12" s="1"/>
  <c r="K5067" i="12" s="1"/>
  <c r="K5091" i="12" s="1"/>
  <c r="K5115" i="12" s="1"/>
  <c r="K5139" i="12" s="1"/>
  <c r="K5163" i="12" s="1"/>
  <c r="K5187" i="12" s="1"/>
  <c r="K5211" i="12" s="1"/>
  <c r="K5235" i="12" s="1"/>
  <c r="K5259" i="12" s="1"/>
  <c r="K5283" i="12" s="1"/>
  <c r="K5307" i="12" s="1"/>
  <c r="K5331" i="12" s="1"/>
  <c r="K5355" i="12" s="1"/>
  <c r="K5379" i="12" s="1"/>
  <c r="K5403" i="12" s="1"/>
  <c r="K5427" i="12" s="1"/>
  <c r="K5451" i="12" s="1"/>
  <c r="K5475" i="12" s="1"/>
  <c r="K5499" i="12" s="1"/>
  <c r="K5523" i="12" s="1"/>
  <c r="K5547" i="12" s="1"/>
  <c r="K5571" i="12" s="1"/>
  <c r="K5595" i="12" s="1"/>
  <c r="K5619" i="12" s="1"/>
  <c r="K5643" i="12" s="1"/>
  <c r="K5667" i="12" s="1"/>
  <c r="K5691" i="12" s="1"/>
  <c r="K5715" i="12" s="1"/>
  <c r="K5739" i="12" s="1"/>
  <c r="K5763" i="12" s="1"/>
  <c r="K5787" i="12" s="1"/>
  <c r="K5811" i="12" s="1"/>
  <c r="K5835" i="12" s="1"/>
  <c r="K5859" i="12" s="1"/>
  <c r="K5883" i="12" s="1"/>
  <c r="K5907" i="12" s="1"/>
  <c r="K5931" i="12" s="1"/>
  <c r="K5955" i="12" s="1"/>
  <c r="K5979" i="12" s="1"/>
  <c r="K6003" i="12" s="1"/>
  <c r="K6027" i="12" s="1"/>
  <c r="K6051" i="12" s="1"/>
  <c r="K6075" i="12" s="1"/>
  <c r="K6099" i="12" s="1"/>
  <c r="K6123" i="12" s="1"/>
  <c r="K6147" i="12" s="1"/>
  <c r="K6171" i="12" s="1"/>
  <c r="K6195" i="12" s="1"/>
  <c r="K6219" i="12" s="1"/>
  <c r="K6243" i="12" s="1"/>
  <c r="K6267" i="12" s="1"/>
  <c r="K6291" i="12" s="1"/>
  <c r="K6315" i="12" s="1"/>
  <c r="K6339" i="12" s="1"/>
  <c r="K6363" i="12" s="1"/>
  <c r="K6387" i="12" s="1"/>
  <c r="K6411" i="12" s="1"/>
  <c r="K6435" i="12" s="1"/>
  <c r="K6459" i="12" s="1"/>
  <c r="K6483" i="12" s="1"/>
  <c r="K6507" i="12" s="1"/>
  <c r="K6531" i="12" s="1"/>
  <c r="K6555" i="12" s="1"/>
  <c r="K6579" i="12" s="1"/>
  <c r="K6603" i="12" s="1"/>
  <c r="K6627" i="12" s="1"/>
  <c r="K6651" i="12" s="1"/>
  <c r="K6675" i="12" s="1"/>
  <c r="K6699" i="12" s="1"/>
  <c r="K6723" i="12" s="1"/>
  <c r="K6747" i="12" s="1"/>
  <c r="K6771" i="12" s="1"/>
  <c r="K6795" i="12" s="1"/>
  <c r="K6819" i="12" s="1"/>
  <c r="K6843" i="12" s="1"/>
  <c r="K6867" i="12" s="1"/>
  <c r="K6891" i="12" s="1"/>
  <c r="K6915" i="12" s="1"/>
  <c r="K6939" i="12" s="1"/>
  <c r="K6963" i="12" s="1"/>
  <c r="K6987" i="12" s="1"/>
  <c r="K7011" i="12" s="1"/>
  <c r="K7035" i="12" s="1"/>
  <c r="K7059" i="12" s="1"/>
  <c r="K7083" i="12" s="1"/>
  <c r="K7107" i="12" s="1"/>
  <c r="K7131" i="12" s="1"/>
  <c r="K7155" i="12" s="1"/>
  <c r="K7179" i="12" s="1"/>
  <c r="K7203" i="12" s="1"/>
  <c r="K7227" i="12" s="1"/>
  <c r="K7251" i="12" s="1"/>
  <c r="K7275" i="12" s="1"/>
  <c r="K7299" i="12" s="1"/>
  <c r="K7323" i="12" s="1"/>
  <c r="K7347" i="12" s="1"/>
  <c r="K7371" i="12" s="1"/>
  <c r="K7395" i="12" s="1"/>
  <c r="K7419" i="12" s="1"/>
  <c r="K7443" i="12" s="1"/>
  <c r="K7467" i="12" s="1"/>
  <c r="K7491" i="12" s="1"/>
  <c r="K7515" i="12" s="1"/>
  <c r="K7539" i="12" s="1"/>
  <c r="K7563" i="12" s="1"/>
  <c r="K7587" i="12" s="1"/>
  <c r="K7611" i="12" s="1"/>
  <c r="K7635" i="12" s="1"/>
  <c r="K7659" i="12" s="1"/>
  <c r="K7683" i="12" s="1"/>
  <c r="K7707" i="12" s="1"/>
  <c r="K7731" i="12" s="1"/>
  <c r="K7755" i="12" s="1"/>
  <c r="K7779" i="12" s="1"/>
  <c r="K7803" i="12" s="1"/>
  <c r="K7827" i="12" s="1"/>
  <c r="K7851" i="12" s="1"/>
  <c r="K7875" i="12" s="1"/>
  <c r="K7899" i="12" s="1"/>
  <c r="K7923" i="12" s="1"/>
  <c r="K7947" i="12" s="1"/>
  <c r="K7971" i="12" s="1"/>
  <c r="K7995" i="12" s="1"/>
  <c r="K8019" i="12" s="1"/>
  <c r="K8043" i="12" s="1"/>
  <c r="K8067" i="12" s="1"/>
  <c r="K8091" i="12" s="1"/>
  <c r="K8115" i="12" s="1"/>
  <c r="K8139" i="12" s="1"/>
  <c r="K8163" i="12" s="1"/>
  <c r="K8187" i="12" s="1"/>
  <c r="K8211" i="12" s="1"/>
  <c r="K8235" i="12" s="1"/>
  <c r="K8259" i="12" s="1"/>
  <c r="K8283" i="12" s="1"/>
  <c r="K8307" i="12" s="1"/>
  <c r="K8331" i="12" s="1"/>
  <c r="K8355" i="12" s="1"/>
  <c r="K8379" i="12" s="1"/>
  <c r="K8403" i="12" s="1"/>
  <c r="K8427" i="12" s="1"/>
  <c r="K8451" i="12" s="1"/>
  <c r="K8475" i="12" s="1"/>
  <c r="K8499" i="12" s="1"/>
  <c r="K8523" i="12" s="1"/>
  <c r="K8547" i="12" s="1"/>
  <c r="K8571" i="12" s="1"/>
  <c r="K8595" i="12" s="1"/>
  <c r="K8619" i="12" s="1"/>
  <c r="K8643" i="12" s="1"/>
  <c r="K8667" i="12" s="1"/>
  <c r="K8691" i="12" s="1"/>
  <c r="K8715" i="12" s="1"/>
  <c r="K26" i="12"/>
  <c r="K50" i="12" s="1"/>
  <c r="K74" i="12" s="1"/>
  <c r="K98" i="12" s="1"/>
  <c r="K122" i="12" s="1"/>
  <c r="K146" i="12" s="1"/>
  <c r="K170" i="12" s="1"/>
  <c r="K194" i="12" s="1"/>
  <c r="K218" i="12" s="1"/>
  <c r="K242" i="12" s="1"/>
  <c r="K266" i="12" s="1"/>
  <c r="K290" i="12" s="1"/>
  <c r="K314" i="12" s="1"/>
  <c r="K338" i="12" s="1"/>
  <c r="K362" i="12" s="1"/>
  <c r="K386" i="12" s="1"/>
  <c r="K410" i="12" s="1"/>
  <c r="K434" i="12" s="1"/>
  <c r="K458" i="12" s="1"/>
  <c r="K482" i="12" s="1"/>
  <c r="K506" i="12" s="1"/>
  <c r="K530" i="12" s="1"/>
  <c r="K554" i="12" s="1"/>
  <c r="K578" i="12" s="1"/>
  <c r="K602" i="12" s="1"/>
  <c r="K626" i="12" s="1"/>
  <c r="K650" i="12" s="1"/>
  <c r="K674" i="12" s="1"/>
  <c r="K698" i="12" s="1"/>
  <c r="K722" i="12" s="1"/>
  <c r="K746" i="12" s="1"/>
  <c r="K770" i="12" s="1"/>
  <c r="K794" i="12" s="1"/>
  <c r="K818" i="12" s="1"/>
  <c r="K842" i="12" s="1"/>
  <c r="K866" i="12" s="1"/>
  <c r="K890" i="12" s="1"/>
  <c r="K914" i="12" s="1"/>
  <c r="K938" i="12" s="1"/>
  <c r="K962" i="12" s="1"/>
  <c r="K986" i="12" s="1"/>
  <c r="K1010" i="12" s="1"/>
  <c r="K1034" i="12" s="1"/>
  <c r="K1058" i="12" s="1"/>
  <c r="K1082" i="12" s="1"/>
  <c r="K1106" i="12" s="1"/>
  <c r="K1130" i="12" s="1"/>
  <c r="K1154" i="12" s="1"/>
  <c r="K1178" i="12" s="1"/>
  <c r="K1202" i="12" s="1"/>
  <c r="K1226" i="12" s="1"/>
  <c r="K1250" i="12" s="1"/>
  <c r="K1274" i="12" s="1"/>
  <c r="K1298" i="12" s="1"/>
  <c r="K1322" i="12" s="1"/>
  <c r="K1346" i="12" s="1"/>
  <c r="K1370" i="12" s="1"/>
  <c r="K1394" i="12" s="1"/>
  <c r="K1418" i="12" s="1"/>
  <c r="K1442" i="12" s="1"/>
  <c r="K1466" i="12" s="1"/>
  <c r="K1490" i="12" s="1"/>
  <c r="K1514" i="12" s="1"/>
  <c r="K1538" i="12" s="1"/>
  <c r="K1562" i="12" s="1"/>
  <c r="K1586" i="12" s="1"/>
  <c r="K1610" i="12" s="1"/>
  <c r="K1634" i="12" s="1"/>
  <c r="K1658" i="12" s="1"/>
  <c r="K1682" i="12" s="1"/>
  <c r="K1706" i="12" s="1"/>
  <c r="K1730" i="12" s="1"/>
  <c r="K1754" i="12" s="1"/>
  <c r="K1778" i="12" s="1"/>
  <c r="K1802" i="12" s="1"/>
  <c r="K1826" i="12" s="1"/>
  <c r="K1850" i="12" s="1"/>
  <c r="K1874" i="12" s="1"/>
  <c r="K1898" i="12" s="1"/>
  <c r="K1922" i="12" s="1"/>
  <c r="K1946" i="12" s="1"/>
  <c r="K1970" i="12" s="1"/>
  <c r="K1994" i="12" s="1"/>
  <c r="K2018" i="12" s="1"/>
  <c r="K2042" i="12" s="1"/>
  <c r="K2066" i="12" s="1"/>
  <c r="K2090" i="12" s="1"/>
  <c r="K2114" i="12" s="1"/>
  <c r="K2138" i="12" s="1"/>
  <c r="K2162" i="12" s="1"/>
  <c r="K2186" i="12" s="1"/>
  <c r="K2210" i="12" s="1"/>
  <c r="K2234" i="12" s="1"/>
  <c r="K2258" i="12" s="1"/>
  <c r="K2282" i="12" s="1"/>
  <c r="K2306" i="12" s="1"/>
  <c r="K2330" i="12" s="1"/>
  <c r="K2354" i="12" s="1"/>
  <c r="K2378" i="12" s="1"/>
  <c r="K2402" i="12" s="1"/>
  <c r="K2426" i="12" s="1"/>
  <c r="K2450" i="12" s="1"/>
  <c r="K2474" i="12" s="1"/>
  <c r="K2498" i="12" s="1"/>
  <c r="K2522" i="12" s="1"/>
  <c r="K2546" i="12" s="1"/>
  <c r="K2570" i="12" s="1"/>
  <c r="K2594" i="12" s="1"/>
  <c r="K2618" i="12" s="1"/>
  <c r="K2642" i="12" s="1"/>
  <c r="K2666" i="12" s="1"/>
  <c r="K2690" i="12" s="1"/>
  <c r="K2714" i="12" s="1"/>
  <c r="K2738" i="12" s="1"/>
  <c r="K2762" i="12" s="1"/>
  <c r="K2786" i="12" s="1"/>
  <c r="K2810" i="12" s="1"/>
  <c r="K2834" i="12" s="1"/>
  <c r="K2858" i="12" s="1"/>
  <c r="K2882" i="12" s="1"/>
  <c r="K2906" i="12" s="1"/>
  <c r="K2930" i="12" s="1"/>
  <c r="K2954" i="12" s="1"/>
  <c r="K2978" i="12" s="1"/>
  <c r="K3002" i="12" s="1"/>
  <c r="K3026" i="12" s="1"/>
  <c r="K3050" i="12" s="1"/>
  <c r="K3074" i="12" s="1"/>
  <c r="K3098" i="12" s="1"/>
  <c r="K3122" i="12" s="1"/>
  <c r="K3146" i="12" s="1"/>
  <c r="K3170" i="12" s="1"/>
  <c r="K3194" i="12" s="1"/>
  <c r="K3218" i="12" s="1"/>
  <c r="K3242" i="12" s="1"/>
  <c r="K3266" i="12" s="1"/>
  <c r="K3290" i="12" s="1"/>
  <c r="K3314" i="12" s="1"/>
  <c r="K3338" i="12" s="1"/>
  <c r="K3362" i="12" s="1"/>
  <c r="K3386" i="12" s="1"/>
  <c r="K3410" i="12" s="1"/>
  <c r="K3434" i="12" s="1"/>
  <c r="K3458" i="12" s="1"/>
  <c r="K3482" i="12" s="1"/>
  <c r="K3506" i="12" s="1"/>
  <c r="K3530" i="12" s="1"/>
  <c r="K3554" i="12" s="1"/>
  <c r="K3578" i="12" s="1"/>
  <c r="K3602" i="12" s="1"/>
  <c r="K3626" i="12" s="1"/>
  <c r="K3650" i="12" s="1"/>
  <c r="K3674" i="12" s="1"/>
  <c r="K3698" i="12" s="1"/>
  <c r="K3722" i="12" s="1"/>
  <c r="K3746" i="12" s="1"/>
  <c r="K3770" i="12" s="1"/>
  <c r="K3794" i="12" s="1"/>
  <c r="K3818" i="12" s="1"/>
  <c r="K3842" i="12" s="1"/>
  <c r="K3866" i="12" s="1"/>
  <c r="K3890" i="12" s="1"/>
  <c r="K3914" i="12" s="1"/>
  <c r="K3938" i="12" s="1"/>
  <c r="K3962" i="12" s="1"/>
  <c r="K3986" i="12" s="1"/>
  <c r="K4010" i="12" s="1"/>
  <c r="K4034" i="12" s="1"/>
  <c r="K4058" i="12" s="1"/>
  <c r="K4082" i="12" s="1"/>
  <c r="K4106" i="12" s="1"/>
  <c r="K4130" i="12" s="1"/>
  <c r="K4154" i="12" s="1"/>
  <c r="K4178" i="12" s="1"/>
  <c r="K4202" i="12" s="1"/>
  <c r="K4226" i="12" s="1"/>
  <c r="K4250" i="12" s="1"/>
  <c r="K4274" i="12" s="1"/>
  <c r="K4298" i="12" s="1"/>
  <c r="K4322" i="12" s="1"/>
  <c r="K4346" i="12" s="1"/>
  <c r="K4370" i="12" s="1"/>
  <c r="K4394" i="12" s="1"/>
  <c r="K4418" i="12" s="1"/>
  <c r="K4442" i="12" s="1"/>
  <c r="K4466" i="12" s="1"/>
  <c r="K4490" i="12" s="1"/>
  <c r="K4514" i="12" s="1"/>
  <c r="K4538" i="12" s="1"/>
  <c r="K4562" i="12" s="1"/>
  <c r="K4586" i="12" s="1"/>
  <c r="K4610" i="12" s="1"/>
  <c r="K4634" i="12" s="1"/>
  <c r="K4658" i="12" s="1"/>
  <c r="K4682" i="12" s="1"/>
  <c r="K4706" i="12" s="1"/>
  <c r="K4730" i="12" s="1"/>
  <c r="K4754" i="12" s="1"/>
  <c r="K4778" i="12" s="1"/>
  <c r="K4802" i="12" s="1"/>
  <c r="K4826" i="12" s="1"/>
  <c r="K4850" i="12" s="1"/>
  <c r="K4874" i="12" s="1"/>
  <c r="K4898" i="12" s="1"/>
  <c r="K4922" i="12" s="1"/>
  <c r="K4946" i="12" s="1"/>
  <c r="K4970" i="12" s="1"/>
  <c r="K4994" i="12" s="1"/>
  <c r="K5018" i="12" s="1"/>
  <c r="K5042" i="12" s="1"/>
  <c r="K5066" i="12" s="1"/>
  <c r="K5090" i="12" s="1"/>
  <c r="K5114" i="12" s="1"/>
  <c r="K5138" i="12" s="1"/>
  <c r="K5162" i="12" s="1"/>
  <c r="K5186" i="12" s="1"/>
  <c r="K5210" i="12" s="1"/>
  <c r="K5234" i="12" s="1"/>
  <c r="K5258" i="12" s="1"/>
  <c r="K5282" i="12" s="1"/>
  <c r="K5306" i="12" s="1"/>
  <c r="K5330" i="12" s="1"/>
  <c r="K5354" i="12" s="1"/>
  <c r="K5378" i="12" s="1"/>
  <c r="K5402" i="12" s="1"/>
  <c r="K5426" i="12" s="1"/>
  <c r="K5450" i="12" s="1"/>
  <c r="K5474" i="12" s="1"/>
  <c r="K5498" i="12" s="1"/>
  <c r="K5522" i="12" s="1"/>
  <c r="K5546" i="12" s="1"/>
  <c r="K5570" i="12" s="1"/>
  <c r="K5594" i="12" s="1"/>
  <c r="K5618" i="12" s="1"/>
  <c r="K5642" i="12" s="1"/>
  <c r="K5666" i="12" s="1"/>
  <c r="K5690" i="12" s="1"/>
  <c r="K5714" i="12" s="1"/>
  <c r="K5738" i="12" s="1"/>
  <c r="K5762" i="12" s="1"/>
  <c r="K5786" i="12" s="1"/>
  <c r="K5810" i="12" s="1"/>
  <c r="K5834" i="12" s="1"/>
  <c r="K5858" i="12" s="1"/>
  <c r="K5882" i="12" s="1"/>
  <c r="K5906" i="12" s="1"/>
  <c r="K5930" i="12" s="1"/>
  <c r="K5954" i="12" s="1"/>
  <c r="K5978" i="12" s="1"/>
  <c r="K6002" i="12" s="1"/>
  <c r="K6026" i="12" s="1"/>
  <c r="K6050" i="12" s="1"/>
  <c r="K6074" i="12" s="1"/>
  <c r="K6098" i="12" s="1"/>
  <c r="K6122" i="12" s="1"/>
  <c r="K6146" i="12" s="1"/>
  <c r="K6170" i="12" s="1"/>
  <c r="K6194" i="12" s="1"/>
  <c r="K6218" i="12" s="1"/>
  <c r="K6242" i="12" s="1"/>
  <c r="K6266" i="12" s="1"/>
  <c r="K6290" i="12" s="1"/>
  <c r="K6314" i="12" s="1"/>
  <c r="K6338" i="12" s="1"/>
  <c r="K6362" i="12" s="1"/>
  <c r="K6386" i="12" s="1"/>
  <c r="K6410" i="12" s="1"/>
  <c r="K6434" i="12" s="1"/>
  <c r="K6458" i="12" s="1"/>
  <c r="K6482" i="12" s="1"/>
  <c r="K6506" i="12" s="1"/>
  <c r="K6530" i="12" s="1"/>
  <c r="K6554" i="12" s="1"/>
  <c r="K6578" i="12" s="1"/>
  <c r="K6602" i="12" s="1"/>
  <c r="K6626" i="12" s="1"/>
  <c r="K6650" i="12" s="1"/>
  <c r="K6674" i="12" s="1"/>
  <c r="K6698" i="12" s="1"/>
  <c r="K6722" i="12" s="1"/>
  <c r="K6746" i="12" s="1"/>
  <c r="K6770" i="12" s="1"/>
  <c r="K6794" i="12" s="1"/>
  <c r="K6818" i="12" s="1"/>
  <c r="K6842" i="12" s="1"/>
  <c r="K6866" i="12" s="1"/>
  <c r="K6890" i="12" s="1"/>
  <c r="K6914" i="12" s="1"/>
  <c r="K6938" i="12" s="1"/>
  <c r="K6962" i="12" s="1"/>
  <c r="K6986" i="12" s="1"/>
  <c r="K7010" i="12" s="1"/>
  <c r="K7034" i="12" s="1"/>
  <c r="K7058" i="12" s="1"/>
  <c r="K7082" i="12" s="1"/>
  <c r="K7106" i="12" s="1"/>
  <c r="K7130" i="12" s="1"/>
  <c r="K7154" i="12" s="1"/>
  <c r="K7178" i="12" s="1"/>
  <c r="K7202" i="12" s="1"/>
  <c r="K7226" i="12" s="1"/>
  <c r="K7250" i="12" s="1"/>
  <c r="K7274" i="12" s="1"/>
  <c r="K7298" i="12" s="1"/>
  <c r="K7322" i="12" s="1"/>
  <c r="K7346" i="12" s="1"/>
  <c r="K7370" i="12" s="1"/>
  <c r="K7394" i="12" s="1"/>
  <c r="K7418" i="12" s="1"/>
  <c r="K7442" i="12" s="1"/>
  <c r="K7466" i="12" s="1"/>
  <c r="K7490" i="12" s="1"/>
  <c r="K7514" i="12" s="1"/>
  <c r="K7538" i="12" s="1"/>
  <c r="K7562" i="12" s="1"/>
  <c r="K7586" i="12" s="1"/>
  <c r="K7610" i="12" s="1"/>
  <c r="K7634" i="12" s="1"/>
  <c r="K7658" i="12" s="1"/>
  <c r="K7682" i="12" s="1"/>
  <c r="K7706" i="12" s="1"/>
  <c r="K7730" i="12" s="1"/>
  <c r="K7754" i="12" s="1"/>
  <c r="K7778" i="12" s="1"/>
  <c r="K7802" i="12" s="1"/>
  <c r="K7826" i="12" s="1"/>
  <c r="K7850" i="12" s="1"/>
  <c r="K7874" i="12" s="1"/>
  <c r="K7898" i="12" s="1"/>
  <c r="K7922" i="12" s="1"/>
  <c r="K7946" i="12" s="1"/>
  <c r="K7970" i="12" s="1"/>
  <c r="K7994" i="12" s="1"/>
  <c r="K8018" i="12" s="1"/>
  <c r="K8042" i="12" s="1"/>
  <c r="K8066" i="12" s="1"/>
  <c r="K8090" i="12" s="1"/>
  <c r="K8114" i="12" s="1"/>
  <c r="K8138" i="12" s="1"/>
  <c r="K8162" i="12" s="1"/>
  <c r="K8186" i="12" s="1"/>
  <c r="K8210" i="12" s="1"/>
  <c r="K8234" i="12" s="1"/>
  <c r="K8258" i="12" s="1"/>
  <c r="K8282" i="12" s="1"/>
  <c r="K8306" i="12" s="1"/>
  <c r="K8330" i="12" s="1"/>
  <c r="K8354" i="12" s="1"/>
  <c r="K8378" i="12" s="1"/>
  <c r="K8402" i="12" s="1"/>
  <c r="K8426" i="12" s="1"/>
  <c r="K8450" i="12" s="1"/>
  <c r="K8474" i="12" s="1"/>
  <c r="K8498" i="12" s="1"/>
  <c r="K8522" i="12" s="1"/>
  <c r="K8546" i="12" s="1"/>
  <c r="K8570" i="12" s="1"/>
  <c r="K8594" i="12" s="1"/>
  <c r="K8618" i="12" s="1"/>
  <c r="K8642" i="12" s="1"/>
  <c r="K8666" i="12" s="1"/>
  <c r="K8690" i="12" s="1"/>
  <c r="K8714" i="12" s="1"/>
  <c r="F13" i="6" l="1"/>
  <c r="F14" i="6"/>
  <c r="F12" i="6"/>
  <c r="C2" i="6" l="1"/>
</calcChain>
</file>

<file path=xl/sharedStrings.xml><?xml version="1.0" encoding="utf-8"?>
<sst xmlns="http://schemas.openxmlformats.org/spreadsheetml/2006/main" count="1329" uniqueCount="890">
  <si>
    <t>TWh</t>
  </si>
  <si>
    <t>charbon</t>
  </si>
  <si>
    <t>Type</t>
  </si>
  <si>
    <t>Centrale</t>
  </si>
  <si>
    <t>prix moyen sur le marché</t>
  </si>
  <si>
    <t>exploitant</t>
  </si>
  <si>
    <t>nombre d'unités</t>
  </si>
  <si>
    <t>Pmax d'une unité</t>
  </si>
  <si>
    <t>NucPlusUltra</t>
  </si>
  <si>
    <t>Iconuc</t>
  </si>
  <si>
    <t>Tabarnuc</t>
  </si>
  <si>
    <t>12 €/MWh</t>
  </si>
  <si>
    <t>gaz cogénération</t>
  </si>
  <si>
    <t>de 100 kW à 50 MW</t>
  </si>
  <si>
    <t>production partielle conséquence de la production de chaleur</t>
  </si>
  <si>
    <t>Cogénérations</t>
  </si>
  <si>
    <t>Nucléaire (CP1)</t>
  </si>
  <si>
    <t>Nucléaire (P4)</t>
  </si>
  <si>
    <t>Nucléaire (CP2)</t>
  </si>
  <si>
    <t>année de lancement</t>
  </si>
  <si>
    <t>40 €/MWh</t>
  </si>
  <si>
    <t>70 €/MWh</t>
  </si>
  <si>
    <t>Coron</t>
  </si>
  <si>
    <t>Lantier</t>
  </si>
  <si>
    <t>36 €/MWh</t>
  </si>
  <si>
    <t>déchets</t>
  </si>
  <si>
    <t>fioul</t>
  </si>
  <si>
    <t>multiples</t>
  </si>
  <si>
    <t>petite biomasse</t>
  </si>
  <si>
    <t>100 €/MWh</t>
  </si>
  <si>
    <t>-</t>
  </si>
  <si>
    <t>production fatale</t>
  </si>
  <si>
    <t>capacité installée (MW)</t>
  </si>
  <si>
    <t>STEP</t>
  </si>
  <si>
    <t>1 centrale à 8 pompes</t>
  </si>
  <si>
    <t>rendement 75%, fonctionnement hébdomadaire, stock</t>
  </si>
  <si>
    <t>parc solaire</t>
  </si>
  <si>
    <t>Mockingjay</t>
  </si>
  <si>
    <t>TicEtTac</t>
  </si>
  <si>
    <t>Polochon</t>
  </si>
  <si>
    <t>hydraulique lac</t>
  </si>
  <si>
    <t>rendement 38%</t>
  </si>
  <si>
    <t>TAC</t>
  </si>
  <si>
    <t>CCG</t>
  </si>
  <si>
    <t>Parc éolien terrestre</t>
  </si>
  <si>
    <t>Parc éolien en mer</t>
  </si>
  <si>
    <t>Zéphyr</t>
  </si>
  <si>
    <t>divisé pour moitié entre parc au sol et toitures</t>
  </si>
  <si>
    <t>années 2000</t>
  </si>
  <si>
    <t>facteur de charge moyen = 60%</t>
  </si>
  <si>
    <t>hydraulique fil de l'eau</t>
  </si>
  <si>
    <t>dmin marche/arrêt</t>
  </si>
  <si>
    <t xml:space="preserve"> Pmin (par unité)</t>
  </si>
  <si>
    <t>stockage cumulé lacs : 1 TWh elec</t>
  </si>
  <si>
    <t>Apports</t>
  </si>
  <si>
    <t>Juillet</t>
  </si>
  <si>
    <t>Aout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</si>
  <si>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</si>
  <si>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</si>
  <si>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</si>
  <si>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</si>
  <si>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</si>
  <si>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</si>
  <si>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</si>
  <si>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</si>
  <si>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</si>
  <si>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</si>
  <si>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MWh</t>
  </si>
  <si>
    <t>Stock</t>
  </si>
  <si>
    <t>Lev Low (%)</t>
  </si>
  <si>
    <t>Lev High (%)</t>
  </si>
  <si>
    <t xml:space="preserve">  JUL 04</t>
  </si>
  <si>
    <t xml:space="preserve">  JUL 05</t>
  </si>
  <si>
    <t xml:space="preserve">  JUL 06</t>
  </si>
  <si>
    <t xml:space="preserve">  JUL 07</t>
  </si>
  <si>
    <t xml:space="preserve">  JUL 08</t>
  </si>
  <si>
    <t xml:space="preserve">  JUL 09</t>
  </si>
  <si>
    <t xml:space="preserve">  JUL 10</t>
  </si>
  <si>
    <t xml:space="preserve">  JUL 11</t>
  </si>
  <si>
    <t xml:space="preserve">  JUL 12</t>
  </si>
  <si>
    <t xml:space="preserve">  JUL 13</t>
  </si>
  <si>
    <t xml:space="preserve">  JUL 14</t>
  </si>
  <si>
    <t xml:space="preserve">  JUL 15</t>
  </si>
  <si>
    <t xml:space="preserve">  JUL 16</t>
  </si>
  <si>
    <t xml:space="preserve">  JUL 17</t>
  </si>
  <si>
    <t xml:space="preserve">  JUL 18</t>
  </si>
  <si>
    <t xml:space="preserve">  JUL 19</t>
  </si>
  <si>
    <t xml:space="preserve">  JUL 20</t>
  </si>
  <si>
    <t xml:space="preserve">  JUL 21</t>
  </si>
  <si>
    <t xml:space="preserve">  JUL 22</t>
  </si>
  <si>
    <t xml:space="preserve">  JUL 23</t>
  </si>
  <si>
    <t xml:space="preserve">  JUL 24</t>
  </si>
  <si>
    <t xml:space="preserve">  JUL 25</t>
  </si>
  <si>
    <t xml:space="preserve">  JUL 26</t>
  </si>
  <si>
    <t xml:space="preserve">  JUL 27</t>
  </si>
  <si>
    <t xml:space="preserve">  JUL 28</t>
  </si>
  <si>
    <t xml:space="preserve">  JUL 29</t>
  </si>
  <si>
    <t xml:space="preserve">  JUL 30</t>
  </si>
  <si>
    <t xml:space="preserve">  JUL 31</t>
  </si>
  <si>
    <t xml:space="preserve">  AUG 01</t>
  </si>
  <si>
    <t xml:space="preserve">  AUG 02</t>
  </si>
  <si>
    <t xml:space="preserve">  AUG 03</t>
  </si>
  <si>
    <t xml:space="preserve">  AUG 04</t>
  </si>
  <si>
    <t xml:space="preserve">  AUG 05</t>
  </si>
  <si>
    <t xml:space="preserve">  AUG 06</t>
  </si>
  <si>
    <t xml:space="preserve">  AUG 07</t>
  </si>
  <si>
    <t xml:space="preserve">  AUG 08</t>
  </si>
  <si>
    <t xml:space="preserve">  AUG 09</t>
  </si>
  <si>
    <t xml:space="preserve">  AUG 10</t>
  </si>
  <si>
    <t xml:space="preserve">  AUG 11</t>
  </si>
  <si>
    <t xml:space="preserve">  AUG 12</t>
  </si>
  <si>
    <t xml:space="preserve">  AUG 13</t>
  </si>
  <si>
    <t xml:space="preserve">  AUG 14</t>
  </si>
  <si>
    <t xml:space="preserve">  AUG 15</t>
  </si>
  <si>
    <t xml:space="preserve">  AUG 16</t>
  </si>
  <si>
    <t xml:space="preserve">  AUG 17</t>
  </si>
  <si>
    <t xml:space="preserve">  AUG 18</t>
  </si>
  <si>
    <t xml:space="preserve">  AUG 19</t>
  </si>
  <si>
    <t xml:space="preserve">  AUG 20</t>
  </si>
  <si>
    <t xml:space="preserve">  AUG 21</t>
  </si>
  <si>
    <t xml:space="preserve">  AUG 22</t>
  </si>
  <si>
    <t xml:space="preserve">  AUG 23</t>
  </si>
  <si>
    <t xml:space="preserve">  AUG 24</t>
  </si>
  <si>
    <t xml:space="preserve">  AUG 25</t>
  </si>
  <si>
    <t xml:space="preserve">  AUG 26</t>
  </si>
  <si>
    <t xml:space="preserve">  AUG 27</t>
  </si>
  <si>
    <t xml:space="preserve">  AUG 28</t>
  </si>
  <si>
    <t xml:space="preserve">  AUG 29</t>
  </si>
  <si>
    <t xml:space="preserve">  AUG 30</t>
  </si>
  <si>
    <t xml:space="preserve">  AUG 31</t>
  </si>
  <si>
    <t xml:space="preserve">  SEP 01</t>
  </si>
  <si>
    <t xml:space="preserve">  SEP 02</t>
  </si>
  <si>
    <t xml:space="preserve">  SEP 03</t>
  </si>
  <si>
    <t xml:space="preserve">  SEP 04</t>
  </si>
  <si>
    <t xml:space="preserve">  SEP 05</t>
  </si>
  <si>
    <t xml:space="preserve">  SEP 06</t>
  </si>
  <si>
    <t xml:space="preserve">  SEP 07</t>
  </si>
  <si>
    <t xml:space="preserve">  SEP 08</t>
  </si>
  <si>
    <t xml:space="preserve">  SEP 09</t>
  </si>
  <si>
    <t xml:space="preserve">  SEP 10</t>
  </si>
  <si>
    <t xml:space="preserve">  SEP 11</t>
  </si>
  <si>
    <t xml:space="preserve">  SEP 12</t>
  </si>
  <si>
    <t xml:space="preserve">  SEP 13</t>
  </si>
  <si>
    <t xml:space="preserve">  SEP 14</t>
  </si>
  <si>
    <t xml:space="preserve">  SEP 15</t>
  </si>
  <si>
    <t xml:space="preserve">  SEP 16</t>
  </si>
  <si>
    <t xml:space="preserve">  SEP 17</t>
  </si>
  <si>
    <t xml:space="preserve">  SEP 18</t>
  </si>
  <si>
    <t xml:space="preserve">  SEP 19</t>
  </si>
  <si>
    <t xml:space="preserve">  SEP 20</t>
  </si>
  <si>
    <t xml:space="preserve">  SEP 21</t>
  </si>
  <si>
    <t xml:space="preserve">  SEP 22</t>
  </si>
  <si>
    <t xml:space="preserve">  SEP 23</t>
  </si>
  <si>
    <t xml:space="preserve">  SEP 24</t>
  </si>
  <si>
    <t xml:space="preserve">  SEP 25</t>
  </si>
  <si>
    <t xml:space="preserve">  SEP 26</t>
  </si>
  <si>
    <t xml:space="preserve">  SEP 27</t>
  </si>
  <si>
    <t xml:space="preserve">  SEP 28</t>
  </si>
  <si>
    <t xml:space="preserve">  SEP 29</t>
  </si>
  <si>
    <t xml:space="preserve">  SEP 30</t>
  </si>
  <si>
    <t xml:space="preserve">  OCT 01</t>
  </si>
  <si>
    <t xml:space="preserve">  OCT 02</t>
  </si>
  <si>
    <t xml:space="preserve">  OCT 03</t>
  </si>
  <si>
    <t xml:space="preserve">  OCT 04</t>
  </si>
  <si>
    <t xml:space="preserve">  OCT 05</t>
  </si>
  <si>
    <t xml:space="preserve">  OCT 06</t>
  </si>
  <si>
    <t xml:space="preserve">  OCT 07</t>
  </si>
  <si>
    <t xml:space="preserve">  OCT 08</t>
  </si>
  <si>
    <t xml:space="preserve">  OCT 09</t>
  </si>
  <si>
    <t xml:space="preserve">  OCT 10</t>
  </si>
  <si>
    <t xml:space="preserve">  OCT 11</t>
  </si>
  <si>
    <t xml:space="preserve">  OCT 12</t>
  </si>
  <si>
    <t xml:space="preserve">  OCT 13</t>
  </si>
  <si>
    <t xml:space="preserve">  OCT 14</t>
  </si>
  <si>
    <t xml:space="preserve">  OCT 15</t>
  </si>
  <si>
    <t xml:space="preserve">  OCT 16</t>
  </si>
  <si>
    <t xml:space="preserve">  OCT 17</t>
  </si>
  <si>
    <t xml:space="preserve">  OCT 18</t>
  </si>
  <si>
    <t xml:space="preserve">  OCT 19</t>
  </si>
  <si>
    <t xml:space="preserve">  OCT 20</t>
  </si>
  <si>
    <t xml:space="preserve">  OCT 21</t>
  </si>
  <si>
    <t xml:space="preserve">  OCT 22</t>
  </si>
  <si>
    <t xml:space="preserve">  OCT 23</t>
  </si>
  <si>
    <t xml:space="preserve">  OCT 24</t>
  </si>
  <si>
    <t xml:space="preserve">  OCT 25</t>
  </si>
  <si>
    <t xml:space="preserve">  OCT 26</t>
  </si>
  <si>
    <t xml:space="preserve">  OCT 27</t>
  </si>
  <si>
    <t xml:space="preserve">  OCT 28</t>
  </si>
  <si>
    <t xml:space="preserve">  OCT 29</t>
  </si>
  <si>
    <t xml:space="preserve">  OCT 30</t>
  </si>
  <si>
    <t xml:space="preserve">  OCT 31</t>
  </si>
  <si>
    <t xml:space="preserve">  NOV 01</t>
  </si>
  <si>
    <t xml:space="preserve">  NOV 02</t>
  </si>
  <si>
    <t xml:space="preserve">  NOV 03</t>
  </si>
  <si>
    <t xml:space="preserve">  NOV 04</t>
  </si>
  <si>
    <t xml:space="preserve">  NOV 05</t>
  </si>
  <si>
    <t xml:space="preserve">  NOV 06</t>
  </si>
  <si>
    <t xml:space="preserve">  NOV 07</t>
  </si>
  <si>
    <t xml:space="preserve">  NOV 08</t>
  </si>
  <si>
    <t xml:space="preserve">  NOV 09</t>
  </si>
  <si>
    <t xml:space="preserve">  NOV 10</t>
  </si>
  <si>
    <t xml:space="preserve">  NOV 11</t>
  </si>
  <si>
    <t xml:space="preserve">  NOV 12</t>
  </si>
  <si>
    <t xml:space="preserve">  NOV 13</t>
  </si>
  <si>
    <t xml:space="preserve">  NOV 14</t>
  </si>
  <si>
    <t xml:space="preserve">  NOV 15</t>
  </si>
  <si>
    <t xml:space="preserve">  NOV 16</t>
  </si>
  <si>
    <t xml:space="preserve">  NOV 17</t>
  </si>
  <si>
    <t xml:space="preserve">  NOV 18</t>
  </si>
  <si>
    <t xml:space="preserve">  NOV 19</t>
  </si>
  <si>
    <t xml:space="preserve">  NOV 20</t>
  </si>
  <si>
    <t xml:space="preserve">  NOV 21</t>
  </si>
  <si>
    <t xml:space="preserve">  NOV 22</t>
  </si>
  <si>
    <t xml:space="preserve">  NOV 23</t>
  </si>
  <si>
    <t xml:space="preserve">  NOV 24</t>
  </si>
  <si>
    <t xml:space="preserve">  NOV 25</t>
  </si>
  <si>
    <t xml:space="preserve">  NOV 26</t>
  </si>
  <si>
    <t xml:space="preserve">  NOV 27</t>
  </si>
  <si>
    <t xml:space="preserve">  NOV 28</t>
  </si>
  <si>
    <t xml:space="preserve">  NOV 29</t>
  </si>
  <si>
    <t xml:space="preserve">  NOV 30</t>
  </si>
  <si>
    <t xml:space="preserve">  DEC 01</t>
  </si>
  <si>
    <t xml:space="preserve">  DEC 02</t>
  </si>
  <si>
    <t xml:space="preserve">  DEC 03</t>
  </si>
  <si>
    <t xml:space="preserve">  DEC 04</t>
  </si>
  <si>
    <t xml:space="preserve">  DEC 05</t>
  </si>
  <si>
    <t xml:space="preserve">  DEC 06</t>
  </si>
  <si>
    <t xml:space="preserve">  DEC 07</t>
  </si>
  <si>
    <t xml:space="preserve">  DEC 08</t>
  </si>
  <si>
    <t xml:space="preserve">  DEC 09</t>
  </si>
  <si>
    <t xml:space="preserve">  DEC 10</t>
  </si>
  <si>
    <t xml:space="preserve">  DEC 11</t>
  </si>
  <si>
    <t xml:space="preserve">  DEC 12</t>
  </si>
  <si>
    <t xml:space="preserve">  DEC 13</t>
  </si>
  <si>
    <t xml:space="preserve">  DEC 14</t>
  </si>
  <si>
    <t xml:space="preserve">  DEC 15</t>
  </si>
  <si>
    <t xml:space="preserve">  DEC 16</t>
  </si>
  <si>
    <t xml:space="preserve">  DEC 17</t>
  </si>
  <si>
    <t xml:space="preserve">  DEC 18</t>
  </si>
  <si>
    <t xml:space="preserve">  DEC 19</t>
  </si>
  <si>
    <t xml:space="preserve">  DEC 20</t>
  </si>
  <si>
    <t xml:space="preserve">  DEC 21</t>
  </si>
  <si>
    <t xml:space="preserve">  DEC 22</t>
  </si>
  <si>
    <t xml:space="preserve">  DEC 23</t>
  </si>
  <si>
    <t xml:space="preserve">  DEC 24</t>
  </si>
  <si>
    <t xml:space="preserve">  DEC 25</t>
  </si>
  <si>
    <t xml:space="preserve">  DEC 26</t>
  </si>
  <si>
    <t xml:space="preserve">  DEC 27</t>
  </si>
  <si>
    <t xml:space="preserve">  DEC 28</t>
  </si>
  <si>
    <t xml:space="preserve">  DEC 29</t>
  </si>
  <si>
    <t xml:space="preserve">  DEC 30</t>
  </si>
  <si>
    <t xml:space="preserve">  DEC 31</t>
  </si>
  <si>
    <t xml:space="preserve">  JAN 01</t>
  </si>
  <si>
    <t xml:space="preserve">  JAN 02</t>
  </si>
  <si>
    <t xml:space="preserve">  JAN 03</t>
  </si>
  <si>
    <t xml:space="preserve">  JAN 04</t>
  </si>
  <si>
    <t xml:space="preserve">  JAN 05</t>
  </si>
  <si>
    <t xml:space="preserve">  JAN 06</t>
  </si>
  <si>
    <t xml:space="preserve">  JAN 07</t>
  </si>
  <si>
    <t xml:space="preserve">  JAN 08</t>
  </si>
  <si>
    <t xml:space="preserve">  JAN 09</t>
  </si>
  <si>
    <t xml:space="preserve">  JAN 10</t>
  </si>
  <si>
    <t xml:space="preserve">  JAN 11</t>
  </si>
  <si>
    <t xml:space="preserve">  JAN 12</t>
  </si>
  <si>
    <t xml:space="preserve">  JAN 13</t>
  </si>
  <si>
    <t xml:space="preserve">  JAN 14</t>
  </si>
  <si>
    <t xml:space="preserve">  JAN 15</t>
  </si>
  <si>
    <t xml:space="preserve">  JAN 16</t>
  </si>
  <si>
    <t xml:space="preserve">  JAN 17</t>
  </si>
  <si>
    <t xml:space="preserve">  JAN 18</t>
  </si>
  <si>
    <t xml:space="preserve">  JAN 19</t>
  </si>
  <si>
    <t xml:space="preserve">  JAN 20</t>
  </si>
  <si>
    <t xml:space="preserve">  JAN 21</t>
  </si>
  <si>
    <t xml:space="preserve">  JAN 22</t>
  </si>
  <si>
    <t xml:space="preserve">  JAN 23</t>
  </si>
  <si>
    <t xml:space="preserve">  JAN 24</t>
  </si>
  <si>
    <t xml:space="preserve">  JAN 25</t>
  </si>
  <si>
    <t xml:space="preserve">  JAN 26</t>
  </si>
  <si>
    <t xml:space="preserve">  JAN 27</t>
  </si>
  <si>
    <t xml:space="preserve">  JAN 28</t>
  </si>
  <si>
    <t xml:space="preserve">  JAN 29</t>
  </si>
  <si>
    <t xml:space="preserve">  JAN 30</t>
  </si>
  <si>
    <t xml:space="preserve">  JAN 31</t>
  </si>
  <si>
    <t xml:space="preserve">  FEB 01</t>
  </si>
  <si>
    <t xml:space="preserve">  FEB 02</t>
  </si>
  <si>
    <t xml:space="preserve">  FEB 03</t>
  </si>
  <si>
    <t xml:space="preserve">  FEB 04</t>
  </si>
  <si>
    <t xml:space="preserve">  FEB 05</t>
  </si>
  <si>
    <t xml:space="preserve">  FEB 06</t>
  </si>
  <si>
    <t xml:space="preserve">  FEB 07</t>
  </si>
  <si>
    <t xml:space="preserve">  FEB 08</t>
  </si>
  <si>
    <t xml:space="preserve">  FEB 09</t>
  </si>
  <si>
    <t xml:space="preserve">  FEB 10</t>
  </si>
  <si>
    <t xml:space="preserve">  FEB 11</t>
  </si>
  <si>
    <t xml:space="preserve">  FEB 12</t>
  </si>
  <si>
    <t xml:space="preserve">  FEB 13</t>
  </si>
  <si>
    <t xml:space="preserve">  FEB 14</t>
  </si>
  <si>
    <t xml:space="preserve">  FEB 15</t>
  </si>
  <si>
    <t xml:space="preserve">  FEB 16</t>
  </si>
  <si>
    <t xml:space="preserve">  FEB 17</t>
  </si>
  <si>
    <t xml:space="preserve">  FEB 18</t>
  </si>
  <si>
    <t xml:space="preserve">  FEB 19</t>
  </si>
  <si>
    <t xml:space="preserve">  FEB 20</t>
  </si>
  <si>
    <t xml:space="preserve">  FEB 21</t>
  </si>
  <si>
    <t xml:space="preserve">  FEB 22</t>
  </si>
  <si>
    <t xml:space="preserve">  FEB 23</t>
  </si>
  <si>
    <t xml:space="preserve">  FEB 24</t>
  </si>
  <si>
    <t xml:space="preserve">  FEB 25</t>
  </si>
  <si>
    <t xml:space="preserve">  FEB 26</t>
  </si>
  <si>
    <t xml:space="preserve">  FEB 27</t>
  </si>
  <si>
    <t xml:space="preserve">  FEB 28</t>
  </si>
  <si>
    <t xml:space="preserve">  MAR 01</t>
  </si>
  <si>
    <t xml:space="preserve">  MAR 02</t>
  </si>
  <si>
    <t xml:space="preserve">  MAR 03</t>
  </si>
  <si>
    <t xml:space="preserve">  MAR 04</t>
  </si>
  <si>
    <t xml:space="preserve">  MAR 05</t>
  </si>
  <si>
    <t xml:space="preserve">  MAR 06</t>
  </si>
  <si>
    <t xml:space="preserve">  MAR 07</t>
  </si>
  <si>
    <t xml:space="preserve">  MAR 08</t>
  </si>
  <si>
    <t xml:space="preserve">  MAR 09</t>
  </si>
  <si>
    <t xml:space="preserve">  MAR 10</t>
  </si>
  <si>
    <t xml:space="preserve">  MAR 11</t>
  </si>
  <si>
    <t xml:space="preserve">  MAR 12</t>
  </si>
  <si>
    <t xml:space="preserve">  MAR 13</t>
  </si>
  <si>
    <t xml:space="preserve">  MAR 14</t>
  </si>
  <si>
    <t xml:space="preserve">  MAR 15</t>
  </si>
  <si>
    <t xml:space="preserve">  MAR 16</t>
  </si>
  <si>
    <t xml:space="preserve">  MAR 17</t>
  </si>
  <si>
    <t xml:space="preserve">  MAR 18</t>
  </si>
  <si>
    <t xml:space="preserve">  MAR 19</t>
  </si>
  <si>
    <t xml:space="preserve">  MAR 20</t>
  </si>
  <si>
    <t xml:space="preserve">  MAR 21</t>
  </si>
  <si>
    <t xml:space="preserve">  MAR 22</t>
  </si>
  <si>
    <t xml:space="preserve">  MAR 23</t>
  </si>
  <si>
    <t xml:space="preserve">  MAR 24</t>
  </si>
  <si>
    <t xml:space="preserve">  MAR 25</t>
  </si>
  <si>
    <t xml:space="preserve">  MAR 26</t>
  </si>
  <si>
    <t xml:space="preserve">  MAR 27</t>
  </si>
  <si>
    <t xml:space="preserve">  MAR 28</t>
  </si>
  <si>
    <t xml:space="preserve">  MAR 29</t>
  </si>
  <si>
    <t xml:space="preserve">  MAR 30</t>
  </si>
  <si>
    <t xml:space="preserve">  MAR 31</t>
  </si>
  <si>
    <t xml:space="preserve">  APR 01</t>
  </si>
  <si>
    <t xml:space="preserve">  APR 02</t>
  </si>
  <si>
    <t xml:space="preserve">  APR 03</t>
  </si>
  <si>
    <t xml:space="preserve">  APR 04</t>
  </si>
  <si>
    <t xml:space="preserve">  APR 05</t>
  </si>
  <si>
    <t xml:space="preserve">  APR 06</t>
  </si>
  <si>
    <t xml:space="preserve">  APR 07</t>
  </si>
  <si>
    <t xml:space="preserve">  APR 08</t>
  </si>
  <si>
    <t xml:space="preserve">  APR 09</t>
  </si>
  <si>
    <t xml:space="preserve">  APR 10</t>
  </si>
  <si>
    <t xml:space="preserve">  APR 11</t>
  </si>
  <si>
    <t xml:space="preserve">  APR 12</t>
  </si>
  <si>
    <t xml:space="preserve">  APR 13</t>
  </si>
  <si>
    <t xml:space="preserve">  APR 14</t>
  </si>
  <si>
    <t xml:space="preserve">  APR 15</t>
  </si>
  <si>
    <t xml:space="preserve">  APR 16</t>
  </si>
  <si>
    <t xml:space="preserve">  APR 17</t>
  </si>
  <si>
    <t xml:space="preserve">  APR 18</t>
  </si>
  <si>
    <t xml:space="preserve">  APR 19</t>
  </si>
  <si>
    <t xml:space="preserve">  APR 20</t>
  </si>
  <si>
    <t xml:space="preserve">  APR 21</t>
  </si>
  <si>
    <t xml:space="preserve">  APR 22</t>
  </si>
  <si>
    <t xml:space="preserve">  APR 23</t>
  </si>
  <si>
    <t xml:space="preserve">  APR 24</t>
  </si>
  <si>
    <t xml:space="preserve">  APR 25</t>
  </si>
  <si>
    <t xml:space="preserve">  APR 26</t>
  </si>
  <si>
    <t xml:space="preserve">  APR 27</t>
  </si>
  <si>
    <t xml:space="preserve">  APR 28</t>
  </si>
  <si>
    <t xml:space="preserve">  APR 29</t>
  </si>
  <si>
    <t xml:space="preserve">  APR 30</t>
  </si>
  <si>
    <t xml:space="preserve">  MAY 01</t>
  </si>
  <si>
    <t xml:space="preserve">  MAY 02</t>
  </si>
  <si>
    <t xml:space="preserve">  MAY 03</t>
  </si>
  <si>
    <t xml:space="preserve">  MAY 04</t>
  </si>
  <si>
    <t xml:space="preserve">  MAY 05</t>
  </si>
  <si>
    <t xml:space="preserve">  MAY 06</t>
  </si>
  <si>
    <t xml:space="preserve">  MAY 07</t>
  </si>
  <si>
    <t xml:space="preserve">  MAY 08</t>
  </si>
  <si>
    <t xml:space="preserve">  MAY 09</t>
  </si>
  <si>
    <t xml:space="preserve">  MAY 10</t>
  </si>
  <si>
    <t xml:space="preserve">  MAY 11</t>
  </si>
  <si>
    <t xml:space="preserve">  MAY 12</t>
  </si>
  <si>
    <t xml:space="preserve">  MAY 13</t>
  </si>
  <si>
    <t xml:space="preserve">  MAY 14</t>
  </si>
  <si>
    <t xml:space="preserve">  MAY 15</t>
  </si>
  <si>
    <t xml:space="preserve">  MAY 16</t>
  </si>
  <si>
    <t xml:space="preserve">  MAY 17</t>
  </si>
  <si>
    <t xml:space="preserve">  MAY 18</t>
  </si>
  <si>
    <t xml:space="preserve">  MAY 19</t>
  </si>
  <si>
    <t xml:space="preserve">  MAY 20</t>
  </si>
  <si>
    <t xml:space="preserve">  MAY 21</t>
  </si>
  <si>
    <t xml:space="preserve">  MAY 22</t>
  </si>
  <si>
    <t xml:space="preserve">  MAY 23</t>
  </si>
  <si>
    <t xml:space="preserve">  MAY 24</t>
  </si>
  <si>
    <t xml:space="preserve">  MAY 25</t>
  </si>
  <si>
    <t xml:space="preserve">  MAY 26</t>
  </si>
  <si>
    <t xml:space="preserve">  MAY 27</t>
  </si>
  <si>
    <t xml:space="preserve">  MAY 28</t>
  </si>
  <si>
    <t xml:space="preserve">  MAY 29</t>
  </si>
  <si>
    <t xml:space="preserve">  MAY 30</t>
  </si>
  <si>
    <t xml:space="preserve">  MAY 31</t>
  </si>
  <si>
    <t xml:space="preserve">  JUN 01</t>
  </si>
  <si>
    <t xml:space="preserve">  JUN 02</t>
  </si>
  <si>
    <t xml:space="preserve">  JUN 03</t>
  </si>
  <si>
    <t xml:space="preserve">  JUN 04</t>
  </si>
  <si>
    <t xml:space="preserve">  JUN 05</t>
  </si>
  <si>
    <t xml:space="preserve">  JUN 06</t>
  </si>
  <si>
    <t xml:space="preserve">  JUN 07</t>
  </si>
  <si>
    <t xml:space="preserve">  JUN 08</t>
  </si>
  <si>
    <t xml:space="preserve">  JUN 09</t>
  </si>
  <si>
    <t xml:space="preserve">  JUN 10</t>
  </si>
  <si>
    <t xml:space="preserve">  JUN 11</t>
  </si>
  <si>
    <t xml:space="preserve">  JUN 12</t>
  </si>
  <si>
    <t xml:space="preserve">  JUN 13</t>
  </si>
  <si>
    <t xml:space="preserve">  JUN 14</t>
  </si>
  <si>
    <t xml:space="preserve">  JUN 15</t>
  </si>
  <si>
    <t xml:space="preserve">  JUN 16</t>
  </si>
  <si>
    <t xml:space="preserve">  JUN 17</t>
  </si>
  <si>
    <t xml:space="preserve">  JUN 18</t>
  </si>
  <si>
    <t xml:space="preserve">  JUN 19</t>
  </si>
  <si>
    <t xml:space="preserve">  JUN 20</t>
  </si>
  <si>
    <t xml:space="preserve">  JUN 21</t>
  </si>
  <si>
    <t xml:space="preserve">  JUN 22</t>
  </si>
  <si>
    <t xml:space="preserve">  JUN 23</t>
  </si>
  <si>
    <t xml:space="preserve">  JUN 24</t>
  </si>
  <si>
    <t xml:space="preserve">  JUN 25</t>
  </si>
  <si>
    <t xml:space="preserve">  JUN 26</t>
  </si>
  <si>
    <t xml:space="preserve">  JUN 27</t>
  </si>
  <si>
    <t xml:space="preserve">  JUN 28</t>
  </si>
  <si>
    <t xml:space="preserve">  JUN 29</t>
  </si>
  <si>
    <t xml:space="preserve">  JUN 30</t>
  </si>
  <si>
    <t xml:space="preserve">  JUL 01</t>
  </si>
  <si>
    <t xml:space="preserve">  JUL 02</t>
  </si>
  <si>
    <t xml:space="preserve">  JUL 03</t>
  </si>
  <si>
    <t>Hydro total</t>
  </si>
  <si>
    <t>Lacs</t>
  </si>
  <si>
    <t>Fil de l'eau</t>
  </si>
  <si>
    <t>MW</t>
  </si>
  <si>
    <t>éolien terrestre</t>
  </si>
  <si>
    <t>électrolyse</t>
  </si>
  <si>
    <t>Technologie</t>
  </si>
  <si>
    <t>OPEX fixe (€/kW/an)</t>
  </si>
  <si>
    <t>durée de vie (ans)</t>
  </si>
  <si>
    <t>batteries 2h</t>
  </si>
  <si>
    <t>CCG H2</t>
  </si>
  <si>
    <t>CAPEX (€/kW)</t>
  </si>
  <si>
    <t>TAC H2</t>
  </si>
  <si>
    <t>éolien offshore posé</t>
  </si>
  <si>
    <t>éolien offshore flottant</t>
  </si>
  <si>
    <t>PV sol</t>
  </si>
  <si>
    <t>PV grande toiture</t>
  </si>
  <si>
    <t>PV petite toiture</t>
  </si>
  <si>
    <t> Gazby</t>
  </si>
  <si>
    <t>CCG gaz</t>
  </si>
  <si>
    <t> Pégaz</t>
  </si>
  <si>
    <t> Samagaz</t>
  </si>
  <si>
    <t> Omaïgaz</t>
  </si>
  <si>
    <t> Gastafiore</t>
  </si>
  <si>
    <t>Igaznodon</t>
  </si>
  <si>
    <t>TAC gaz</t>
  </si>
  <si>
    <t>Divers - caractéristiques techniques</t>
  </si>
  <si>
    <t>Tacotac</t>
  </si>
  <si>
    <t> Exploitant nucléaire</t>
  </si>
  <si>
    <t>  Producteur gaz</t>
  </si>
  <si>
    <t> Producteur gaz</t>
  </si>
  <si>
    <t>Selon les parcs (exploitant nuc + producteur gaz + autres)</t>
  </si>
  <si>
    <t> Selon les parcs (exploitant nuc + producteur gaz + autres)</t>
  </si>
  <si>
    <t>Total (TWh)</t>
  </si>
  <si>
    <t xml:space="preserve"> </t>
  </si>
  <si>
    <t xml:space="preserve"> 2018-06-30 </t>
  </si>
  <si>
    <t xml:space="preserve"> 2018-06-29 </t>
  </si>
  <si>
    <t xml:space="preserve"> 2018-06-28 </t>
  </si>
  <si>
    <t xml:space="preserve"> 2018-06-27 </t>
  </si>
  <si>
    <t xml:space="preserve"> 2018-06-26 </t>
  </si>
  <si>
    <t xml:space="preserve"> 2018-06-25 </t>
  </si>
  <si>
    <t xml:space="preserve"> 2018-06-24 </t>
  </si>
  <si>
    <t xml:space="preserve"> 2018-06-23 </t>
  </si>
  <si>
    <t xml:space="preserve"> 2018-06-22 </t>
  </si>
  <si>
    <t xml:space="preserve"> 2018-06-21 </t>
  </si>
  <si>
    <t xml:space="preserve"> 2018-06-20 </t>
  </si>
  <si>
    <t xml:space="preserve"> 2018-06-19 </t>
  </si>
  <si>
    <t xml:space="preserve"> 2018-06-18 </t>
  </si>
  <si>
    <t xml:space="preserve"> 2018-06-17 </t>
  </si>
  <si>
    <t xml:space="preserve"> 2018-06-16 </t>
  </si>
  <si>
    <t xml:space="preserve"> 2018-06-15 </t>
  </si>
  <si>
    <t xml:space="preserve"> 2018-06-14 </t>
  </si>
  <si>
    <t xml:space="preserve"> 2018-06-13 </t>
  </si>
  <si>
    <t xml:space="preserve"> 2018-06-12 </t>
  </si>
  <si>
    <t xml:space="preserve"> 2018-06-11 </t>
  </si>
  <si>
    <t xml:space="preserve"> 2018-06-10 </t>
  </si>
  <si>
    <t xml:space="preserve"> 2018-06-09 </t>
  </si>
  <si>
    <t xml:space="preserve"> 2018-06-08 </t>
  </si>
  <si>
    <t xml:space="preserve"> 2018-06-07 </t>
  </si>
  <si>
    <t xml:space="preserve"> 2018-06-06 </t>
  </si>
  <si>
    <t xml:space="preserve"> 2018-06-05 </t>
  </si>
  <si>
    <t xml:space="preserve"> 2018-06-04 </t>
  </si>
  <si>
    <t xml:space="preserve"> 2018-06-03 </t>
  </si>
  <si>
    <t xml:space="preserve"> 2018-06-02 </t>
  </si>
  <si>
    <t xml:space="preserve"> 2018-06-01 </t>
  </si>
  <si>
    <t xml:space="preserve"> 2018-05-31 </t>
  </si>
  <si>
    <t xml:space="preserve"> 2018-05-30 </t>
  </si>
  <si>
    <t xml:space="preserve"> 2018-05-29 </t>
  </si>
  <si>
    <t xml:space="preserve"> 2018-05-28 </t>
  </si>
  <si>
    <t xml:space="preserve"> 2018-05-27 </t>
  </si>
  <si>
    <t xml:space="preserve"> 2018-05-26 </t>
  </si>
  <si>
    <t xml:space="preserve"> 2018-05-25 </t>
  </si>
  <si>
    <t xml:space="preserve"> 2018-05-24 </t>
  </si>
  <si>
    <t xml:space="preserve"> 2018-05-23 </t>
  </si>
  <si>
    <t xml:space="preserve"> 2018-05-22 </t>
  </si>
  <si>
    <t xml:space="preserve"> 2018-05-21 </t>
  </si>
  <si>
    <t xml:space="preserve"> 2018-05-20 </t>
  </si>
  <si>
    <t xml:space="preserve"> 2018-05-19 </t>
  </si>
  <si>
    <t xml:space="preserve"> 2018-05-18 </t>
  </si>
  <si>
    <t xml:space="preserve"> 2018-05-17 </t>
  </si>
  <si>
    <t xml:space="preserve"> 2018-05-16 </t>
  </si>
  <si>
    <t xml:space="preserve"> 2018-05-15 </t>
  </si>
  <si>
    <t xml:space="preserve"> 2018-05-14 </t>
  </si>
  <si>
    <t xml:space="preserve"> 2018-05-13 </t>
  </si>
  <si>
    <t xml:space="preserve"> 2018-05-12 </t>
  </si>
  <si>
    <t xml:space="preserve"> 2018-05-11 </t>
  </si>
  <si>
    <t xml:space="preserve"> 2018-05-10 </t>
  </si>
  <si>
    <t xml:space="preserve"> 2018-05-09 </t>
  </si>
  <si>
    <t xml:space="preserve"> 2018-05-08 </t>
  </si>
  <si>
    <t xml:space="preserve"> 2018-05-07 </t>
  </si>
  <si>
    <t xml:space="preserve"> 2018-05-06 </t>
  </si>
  <si>
    <t xml:space="preserve"> 2018-05-05 </t>
  </si>
  <si>
    <t xml:space="preserve"> 2018-05-04 </t>
  </si>
  <si>
    <t xml:space="preserve"> 2018-05-03 </t>
  </si>
  <si>
    <t xml:space="preserve"> 2018-05-02 </t>
  </si>
  <si>
    <t xml:space="preserve"> 2018-05-01 </t>
  </si>
  <si>
    <t xml:space="preserve"> 2018-04-30 </t>
  </si>
  <si>
    <t xml:space="preserve"> 2018-04-29 </t>
  </si>
  <si>
    <t xml:space="preserve"> 2018-04-28 </t>
  </si>
  <si>
    <t xml:space="preserve"> 2018-04-27 </t>
  </si>
  <si>
    <t xml:space="preserve"> 2018-04-26 </t>
  </si>
  <si>
    <t xml:space="preserve"> 2018-04-25 </t>
  </si>
  <si>
    <t xml:space="preserve"> 2018-04-24 </t>
  </si>
  <si>
    <t xml:space="preserve"> 2018-04-23 </t>
  </si>
  <si>
    <t xml:space="preserve"> 2018-04-22 </t>
  </si>
  <si>
    <t xml:space="preserve"> 2018-04-21 </t>
  </si>
  <si>
    <t xml:space="preserve"> 2018-04-20 </t>
  </si>
  <si>
    <t xml:space="preserve"> 2018-04-19 </t>
  </si>
  <si>
    <t xml:space="preserve"> 2018-04-18 </t>
  </si>
  <si>
    <t xml:space="preserve"> 2018-04-17 </t>
  </si>
  <si>
    <t xml:space="preserve"> 2018-04-16 </t>
  </si>
  <si>
    <t xml:space="preserve"> 2018-04-15 </t>
  </si>
  <si>
    <t xml:space="preserve"> 2018-04-14 </t>
  </si>
  <si>
    <t xml:space="preserve"> 2018-04-13 </t>
  </si>
  <si>
    <t xml:space="preserve"> 2018-04-12 </t>
  </si>
  <si>
    <t xml:space="preserve"> 2018-04-11 </t>
  </si>
  <si>
    <t xml:space="preserve"> 2018-04-10 </t>
  </si>
  <si>
    <t xml:space="preserve"> 2018-04-09 </t>
  </si>
  <si>
    <t xml:space="preserve"> 2018-04-08 </t>
  </si>
  <si>
    <t xml:space="preserve"> 2018-04-07 </t>
  </si>
  <si>
    <t xml:space="preserve"> 2018-04-06 </t>
  </si>
  <si>
    <t xml:space="preserve"> 2018-04-05 </t>
  </si>
  <si>
    <t xml:space="preserve"> 2018-04-04 </t>
  </si>
  <si>
    <t xml:space="preserve"> 2018-04-03 </t>
  </si>
  <si>
    <t xml:space="preserve"> 2018-04-02 </t>
  </si>
  <si>
    <t xml:space="preserve"> 2018-04-01 </t>
  </si>
  <si>
    <t xml:space="preserve"> 2018-03-31 </t>
  </si>
  <si>
    <t xml:space="preserve"> 2018-03-30 </t>
  </si>
  <si>
    <t xml:space="preserve"> 2018-03-29 </t>
  </si>
  <si>
    <t xml:space="preserve"> 2018-03-28 </t>
  </si>
  <si>
    <t xml:space="preserve"> 2018-03-27 </t>
  </si>
  <si>
    <t xml:space="preserve"> 2018-03-26 </t>
  </si>
  <si>
    <t xml:space="preserve"> 2018-03-25 </t>
  </si>
  <si>
    <t xml:space="preserve"> 2018-03-24 </t>
  </si>
  <si>
    <t xml:space="preserve"> 2018-03-23 </t>
  </si>
  <si>
    <t xml:space="preserve"> 2018-03-22 </t>
  </si>
  <si>
    <t xml:space="preserve"> 2018-03-21 </t>
  </si>
  <si>
    <t xml:space="preserve"> 2018-03-20 </t>
  </si>
  <si>
    <t xml:space="preserve"> 2018-03-19 </t>
  </si>
  <si>
    <t xml:space="preserve"> 2018-03-18 </t>
  </si>
  <si>
    <t xml:space="preserve"> 2018-03-17 </t>
  </si>
  <si>
    <t xml:space="preserve"> 2018-03-16 </t>
  </si>
  <si>
    <t xml:space="preserve"> 2018-03-15 </t>
  </si>
  <si>
    <t xml:space="preserve"> 2018-03-14 </t>
  </si>
  <si>
    <t xml:space="preserve"> 2018-03-13 </t>
  </si>
  <si>
    <t xml:space="preserve"> 2018-03-12 </t>
  </si>
  <si>
    <t xml:space="preserve"> 2018-03-11 </t>
  </si>
  <si>
    <t xml:space="preserve"> 2018-03-10 </t>
  </si>
  <si>
    <t xml:space="preserve"> 2018-03-09 </t>
  </si>
  <si>
    <t xml:space="preserve"> 2018-03-08 </t>
  </si>
  <si>
    <t xml:space="preserve"> 2018-03-07 </t>
  </si>
  <si>
    <t xml:space="preserve"> 2018-03-06 </t>
  </si>
  <si>
    <t xml:space="preserve"> 2018-03-05 </t>
  </si>
  <si>
    <t xml:space="preserve"> 2018-03-04 </t>
  </si>
  <si>
    <t xml:space="preserve"> 2018-03-03 </t>
  </si>
  <si>
    <t xml:space="preserve"> 2018-03-02 </t>
  </si>
  <si>
    <t xml:space="preserve"> 2018-03-01 </t>
  </si>
  <si>
    <t xml:space="preserve"> 2018-02-28 </t>
  </si>
  <si>
    <t xml:space="preserve"> 2018-02-27 </t>
  </si>
  <si>
    <t xml:space="preserve"> 2018-02-26 </t>
  </si>
  <si>
    <t xml:space="preserve"> 2018-02-25 </t>
  </si>
  <si>
    <t xml:space="preserve"> 2018-02-24 </t>
  </si>
  <si>
    <t xml:space="preserve"> 2018-02-23 </t>
  </si>
  <si>
    <t xml:space="preserve"> 2018-02-22 </t>
  </si>
  <si>
    <t xml:space="preserve"> 2018-02-21 </t>
  </si>
  <si>
    <t xml:space="preserve"> 2018-02-20 </t>
  </si>
  <si>
    <t xml:space="preserve"> 2018-02-19 </t>
  </si>
  <si>
    <t xml:space="preserve"> 2018-02-18 </t>
  </si>
  <si>
    <t xml:space="preserve"> 2018-02-17 </t>
  </si>
  <si>
    <t xml:space="preserve"> 2018-02-16 </t>
  </si>
  <si>
    <t xml:space="preserve"> 2018-02-15 </t>
  </si>
  <si>
    <t xml:space="preserve"> 2018-02-14 </t>
  </si>
  <si>
    <t xml:space="preserve"> 2018-02-13 </t>
  </si>
  <si>
    <t xml:space="preserve"> 2018-02-12 </t>
  </si>
  <si>
    <t xml:space="preserve"> 2018-02-11 </t>
  </si>
  <si>
    <t xml:space="preserve"> 2018-02-10 </t>
  </si>
  <si>
    <t xml:space="preserve"> 2018-02-09 </t>
  </si>
  <si>
    <t xml:space="preserve"> 2018-02-08 </t>
  </si>
  <si>
    <t xml:space="preserve"> 2018-02-07 </t>
  </si>
  <si>
    <t xml:space="preserve"> 2018-02-06 </t>
  </si>
  <si>
    <t xml:space="preserve"> 2018-02-05 </t>
  </si>
  <si>
    <t xml:space="preserve"> 2018-02-04 </t>
  </si>
  <si>
    <t xml:space="preserve"> 2018-02-03 </t>
  </si>
  <si>
    <t xml:space="preserve"> 2018-02-02 </t>
  </si>
  <si>
    <t xml:space="preserve"> 2018-02-01 </t>
  </si>
  <si>
    <t xml:space="preserve"> 2018-01-31 </t>
  </si>
  <si>
    <t xml:space="preserve"> 2018-01-30 </t>
  </si>
  <si>
    <t xml:space="preserve"> 2018-01-29 </t>
  </si>
  <si>
    <t xml:space="preserve"> 2018-01-28 </t>
  </si>
  <si>
    <t xml:space="preserve"> 2018-01-27 </t>
  </si>
  <si>
    <t xml:space="preserve"> 2018-01-26 </t>
  </si>
  <si>
    <t xml:space="preserve"> 2018-01-25 </t>
  </si>
  <si>
    <t xml:space="preserve"> 2018-01-24 </t>
  </si>
  <si>
    <t xml:space="preserve"> 2018-01-23 </t>
  </si>
  <si>
    <t xml:space="preserve"> 2018-01-22 </t>
  </si>
  <si>
    <t xml:space="preserve"> 2018-01-21 </t>
  </si>
  <si>
    <t xml:space="preserve"> 2018-01-20 </t>
  </si>
  <si>
    <t xml:space="preserve"> 2018-01-19 </t>
  </si>
  <si>
    <t xml:space="preserve"> 2018-01-18 </t>
  </si>
  <si>
    <t xml:space="preserve"> 2018-01-17 </t>
  </si>
  <si>
    <t xml:space="preserve"> 2018-01-16 </t>
  </si>
  <si>
    <t xml:space="preserve"> 2018-01-15 </t>
  </si>
  <si>
    <t xml:space="preserve"> 2018-01-14 </t>
  </si>
  <si>
    <t xml:space="preserve"> 2018-01-13 </t>
  </si>
  <si>
    <t xml:space="preserve"> 2018-01-12 </t>
  </si>
  <si>
    <t xml:space="preserve"> 2018-01-11 </t>
  </si>
  <si>
    <t xml:space="preserve"> 2018-01-10 </t>
  </si>
  <si>
    <t xml:space="preserve"> 2018-01-09 </t>
  </si>
  <si>
    <t xml:space="preserve"> 2018-01-08 </t>
  </si>
  <si>
    <t xml:space="preserve"> 2018-01-07 </t>
  </si>
  <si>
    <t xml:space="preserve"> 2018-01-06 </t>
  </si>
  <si>
    <t xml:space="preserve"> 2018-01-05 </t>
  </si>
  <si>
    <t xml:space="preserve"> 2018-01-04 </t>
  </si>
  <si>
    <t xml:space="preserve"> 2018-01-03 </t>
  </si>
  <si>
    <t xml:space="preserve"> 2018-01-02 </t>
  </si>
  <si>
    <t xml:space="preserve"> 2018-01-01 </t>
  </si>
  <si>
    <t xml:space="preserve"> 2017-12-31 </t>
  </si>
  <si>
    <t xml:space="preserve"> 2017-12-30 </t>
  </si>
  <si>
    <t xml:space="preserve"> 2017-12-29 </t>
  </si>
  <si>
    <t xml:space="preserve"> 2017-12-28 </t>
  </si>
  <si>
    <t xml:space="preserve"> 2017-12-27 </t>
  </si>
  <si>
    <t xml:space="preserve"> 2017-12-26 </t>
  </si>
  <si>
    <t xml:space="preserve"> 2017-12-25 </t>
  </si>
  <si>
    <t xml:space="preserve"> 2017-12-24 </t>
  </si>
  <si>
    <t xml:space="preserve"> 2017-12-23 </t>
  </si>
  <si>
    <t xml:space="preserve"> 2017-12-22 </t>
  </si>
  <si>
    <t xml:space="preserve"> 2017-12-21 </t>
  </si>
  <si>
    <t xml:space="preserve"> 2017-12-20 </t>
  </si>
  <si>
    <t xml:space="preserve"> 2017-12-19 </t>
  </si>
  <si>
    <t xml:space="preserve"> 2017-12-18 </t>
  </si>
  <si>
    <t xml:space="preserve"> 2017-12-17 </t>
  </si>
  <si>
    <t xml:space="preserve"> 2017-12-16 </t>
  </si>
  <si>
    <t xml:space="preserve"> 2017-12-15 </t>
  </si>
  <si>
    <t xml:space="preserve"> 2017-12-14 </t>
  </si>
  <si>
    <t xml:space="preserve"> 2017-12-13 </t>
  </si>
  <si>
    <t xml:space="preserve"> 2017-12-12 </t>
  </si>
  <si>
    <t xml:space="preserve"> 2017-12-11 </t>
  </si>
  <si>
    <t xml:space="preserve"> 2017-12-10 </t>
  </si>
  <si>
    <t xml:space="preserve"> 2017-12-09 </t>
  </si>
  <si>
    <t xml:space="preserve"> 2017-12-08 </t>
  </si>
  <si>
    <t xml:space="preserve"> 2017-12-07 </t>
  </si>
  <si>
    <t xml:space="preserve"> 2017-12-06 </t>
  </si>
  <si>
    <t xml:space="preserve"> 2017-12-05 </t>
  </si>
  <si>
    <t xml:space="preserve"> 2017-12-04 </t>
  </si>
  <si>
    <t xml:space="preserve"> 2017-12-03 </t>
  </si>
  <si>
    <t xml:space="preserve"> 2017-12-02 </t>
  </si>
  <si>
    <t xml:space="preserve"> 2017-12-01 </t>
  </si>
  <si>
    <t xml:space="preserve"> 2017-11-30 </t>
  </si>
  <si>
    <t xml:space="preserve"> 2017-11-29 </t>
  </si>
  <si>
    <t xml:space="preserve"> 2017-11-28 </t>
  </si>
  <si>
    <t xml:space="preserve"> 2017-11-27 </t>
  </si>
  <si>
    <t xml:space="preserve"> 2017-11-26 </t>
  </si>
  <si>
    <t xml:space="preserve"> 2017-11-25 </t>
  </si>
  <si>
    <t xml:space="preserve"> 2017-11-24 </t>
  </si>
  <si>
    <t xml:space="preserve"> 2017-11-23 </t>
  </si>
  <si>
    <t xml:space="preserve"> 2017-11-22 </t>
  </si>
  <si>
    <t xml:space="preserve"> 2017-11-21 </t>
  </si>
  <si>
    <t xml:space="preserve"> 2017-11-20 </t>
  </si>
  <si>
    <t xml:space="preserve"> 2017-11-19 </t>
  </si>
  <si>
    <t xml:space="preserve"> 2017-11-18 </t>
  </si>
  <si>
    <t xml:space="preserve"> 2017-11-17 </t>
  </si>
  <si>
    <t xml:space="preserve"> 2017-11-16 </t>
  </si>
  <si>
    <t xml:space="preserve"> 2017-11-15 </t>
  </si>
  <si>
    <t xml:space="preserve"> 2017-11-14 </t>
  </si>
  <si>
    <t xml:space="preserve"> 2017-11-13 </t>
  </si>
  <si>
    <t xml:space="preserve"> 2017-11-12 </t>
  </si>
  <si>
    <t xml:space="preserve"> 2017-11-11 </t>
  </si>
  <si>
    <t xml:space="preserve"> 2017-11-10 </t>
  </si>
  <si>
    <t xml:space="preserve"> 2017-11-09 </t>
  </si>
  <si>
    <t xml:space="preserve"> 2017-11-08 </t>
  </si>
  <si>
    <t xml:space="preserve"> 2017-11-07 </t>
  </si>
  <si>
    <t xml:space="preserve"> 2017-11-06 </t>
  </si>
  <si>
    <t xml:space="preserve"> 2017-11-05 </t>
  </si>
  <si>
    <t xml:space="preserve"> 2017-11-04 </t>
  </si>
  <si>
    <t xml:space="preserve"> 2017-11-03 </t>
  </si>
  <si>
    <t xml:space="preserve"> 2017-11-02 </t>
  </si>
  <si>
    <t xml:space="preserve"> 2017-11-01 </t>
  </si>
  <si>
    <t xml:space="preserve"> 2017-10-31 </t>
  </si>
  <si>
    <t xml:space="preserve"> 2017-10-30 </t>
  </si>
  <si>
    <t xml:space="preserve"> 2017-10-29 </t>
  </si>
  <si>
    <t xml:space="preserve"> 2017-10-28 </t>
  </si>
  <si>
    <t xml:space="preserve"> 2017-10-27 </t>
  </si>
  <si>
    <t xml:space="preserve"> 2017-10-26 </t>
  </si>
  <si>
    <t xml:space="preserve"> 2017-10-25 </t>
  </si>
  <si>
    <t xml:space="preserve"> 2017-10-24 </t>
  </si>
  <si>
    <t xml:space="preserve"> 2017-10-23 </t>
  </si>
  <si>
    <t xml:space="preserve"> 2017-10-22 </t>
  </si>
  <si>
    <t xml:space="preserve"> 2017-10-21 </t>
  </si>
  <si>
    <t xml:space="preserve"> 2017-10-20 </t>
  </si>
  <si>
    <t xml:space="preserve"> 2017-10-19 </t>
  </si>
  <si>
    <t xml:space="preserve"> 2017-10-18 </t>
  </si>
  <si>
    <t xml:space="preserve"> 2017-10-17 </t>
  </si>
  <si>
    <t xml:space="preserve"> 2017-10-16 </t>
  </si>
  <si>
    <t xml:space="preserve"> 2017-10-15 </t>
  </si>
  <si>
    <t xml:space="preserve"> 2017-10-14 </t>
  </si>
  <si>
    <t xml:space="preserve"> 2017-10-13 </t>
  </si>
  <si>
    <t xml:space="preserve"> 2017-10-12 </t>
  </si>
  <si>
    <t xml:space="preserve"> 2017-10-11 </t>
  </si>
  <si>
    <t xml:space="preserve"> 2017-10-10 </t>
  </si>
  <si>
    <t xml:space="preserve"> 2017-10-09 </t>
  </si>
  <si>
    <t xml:space="preserve"> 2017-10-08 </t>
  </si>
  <si>
    <t xml:space="preserve"> 2017-10-07 </t>
  </si>
  <si>
    <t xml:space="preserve"> 2017-10-06 </t>
  </si>
  <si>
    <t xml:space="preserve"> 2017-10-05 </t>
  </si>
  <si>
    <t xml:space="preserve"> 2017-10-04 </t>
  </si>
  <si>
    <t xml:space="preserve"> 2017-10-03 </t>
  </si>
  <si>
    <t xml:space="preserve"> 2017-10-02 </t>
  </si>
  <si>
    <t xml:space="preserve"> 2017-10-01 </t>
  </si>
  <si>
    <t xml:space="preserve"> 2017-09-30 </t>
  </si>
  <si>
    <t xml:space="preserve"> 2017-09-29 </t>
  </si>
  <si>
    <t xml:space="preserve"> 2017-09-28 </t>
  </si>
  <si>
    <t xml:space="preserve"> 2017-09-27 </t>
  </si>
  <si>
    <t xml:space="preserve"> 2017-09-26 </t>
  </si>
  <si>
    <t xml:space="preserve"> 2017-09-25 </t>
  </si>
  <si>
    <t xml:space="preserve"> 2017-09-24 </t>
  </si>
  <si>
    <t xml:space="preserve"> 2017-09-23 </t>
  </si>
  <si>
    <t xml:space="preserve"> 2017-09-22 </t>
  </si>
  <si>
    <t xml:space="preserve"> 2017-09-21 </t>
  </si>
  <si>
    <t xml:space="preserve"> 2017-09-20 </t>
  </si>
  <si>
    <t xml:space="preserve"> 2017-09-19 </t>
  </si>
  <si>
    <t xml:space="preserve"> 2017-09-18 </t>
  </si>
  <si>
    <t xml:space="preserve"> 2017-09-17 </t>
  </si>
  <si>
    <t xml:space="preserve"> 2017-09-16 </t>
  </si>
  <si>
    <t xml:space="preserve"> 2017-09-15 </t>
  </si>
  <si>
    <t xml:space="preserve"> 2017-09-14 </t>
  </si>
  <si>
    <t xml:space="preserve"> 2017-09-13 </t>
  </si>
  <si>
    <t xml:space="preserve"> 2017-09-12 </t>
  </si>
  <si>
    <t xml:space="preserve"> 2017-09-11 </t>
  </si>
  <si>
    <t xml:space="preserve"> 2017-09-10 </t>
  </si>
  <si>
    <t xml:space="preserve"> 2017-09-09 </t>
  </si>
  <si>
    <t xml:space="preserve"> 2017-09-08 </t>
  </si>
  <si>
    <t xml:space="preserve"> 2017-09-07 </t>
  </si>
  <si>
    <t xml:space="preserve"> 2017-09-06 </t>
  </si>
  <si>
    <t xml:space="preserve"> 2017-09-05 </t>
  </si>
  <si>
    <t xml:space="preserve"> 2017-09-04 </t>
  </si>
  <si>
    <t xml:space="preserve"> 2017-09-03 </t>
  </si>
  <si>
    <t xml:space="preserve"> 2017-09-02 </t>
  </si>
  <si>
    <t xml:space="preserve"> 2017-09-01 </t>
  </si>
  <si>
    <t xml:space="preserve"> 2017-08-31 </t>
  </si>
  <si>
    <t xml:space="preserve"> 2017-08-30 </t>
  </si>
  <si>
    <t xml:space="preserve"> 2017-08-29 </t>
  </si>
  <si>
    <t xml:space="preserve"> 2017-08-28 </t>
  </si>
  <si>
    <t xml:space="preserve"> 2017-08-27 </t>
  </si>
  <si>
    <t xml:space="preserve"> 2017-08-26 </t>
  </si>
  <si>
    <t xml:space="preserve"> 2017-08-25 </t>
  </si>
  <si>
    <t xml:space="preserve"> 2017-08-24 </t>
  </si>
  <si>
    <t xml:space="preserve"> 2017-08-23 </t>
  </si>
  <si>
    <t xml:space="preserve"> 2017-08-22 </t>
  </si>
  <si>
    <t xml:space="preserve"> 2017-08-21 </t>
  </si>
  <si>
    <t xml:space="preserve"> 2017-08-20 </t>
  </si>
  <si>
    <t xml:space="preserve"> 2017-08-19 </t>
  </si>
  <si>
    <t xml:space="preserve"> 2017-08-18 </t>
  </si>
  <si>
    <t xml:space="preserve"> 2017-08-17 </t>
  </si>
  <si>
    <t xml:space="preserve"> 2017-08-16 </t>
  </si>
  <si>
    <t xml:space="preserve"> 2017-08-15 </t>
  </si>
  <si>
    <t xml:space="preserve"> 2017-08-14 </t>
  </si>
  <si>
    <t xml:space="preserve"> 2017-08-13 </t>
  </si>
  <si>
    <t xml:space="preserve"> 2017-08-12 </t>
  </si>
  <si>
    <t xml:space="preserve"> 2017-08-11 </t>
  </si>
  <si>
    <t xml:space="preserve"> 2017-08-10 </t>
  </si>
  <si>
    <t xml:space="preserve"> 2017-08-09 </t>
  </si>
  <si>
    <t xml:space="preserve"> 2017-08-08 </t>
  </si>
  <si>
    <t xml:space="preserve"> 2017-08-07 </t>
  </si>
  <si>
    <t xml:space="preserve"> 2017-08-06 </t>
  </si>
  <si>
    <t xml:space="preserve"> 2017-08-05 </t>
  </si>
  <si>
    <t>Vaporeformage</t>
  </si>
  <si>
    <t>Nord</t>
  </si>
  <si>
    <t xml:space="preserve"> 2017-08-04 </t>
  </si>
  <si>
    <t>Electrolyse</t>
  </si>
  <si>
    <t>Sud</t>
  </si>
  <si>
    <t xml:space="preserve"> 2017-08-03 </t>
  </si>
  <si>
    <t>Coût (€/MWh)</t>
  </si>
  <si>
    <t>durée minimum marche et arrêt (h)</t>
  </si>
  <si>
    <t>Pmin (GWh/j)</t>
  </si>
  <si>
    <t>Pmax (GWh/j)</t>
  </si>
  <si>
    <t>type</t>
  </si>
  <si>
    <t>Zone</t>
  </si>
  <si>
    <t xml:space="preserve"> 2017-08-02 </t>
  </si>
  <si>
    <t>Production hydrogène</t>
  </si>
  <si>
    <t xml:space="preserve"> 2017-08-01 </t>
  </si>
  <si>
    <t xml:space="preserve"> 2017-07-31 </t>
  </si>
  <si>
    <t xml:space="preserve"> 2017-07-30 </t>
  </si>
  <si>
    <t>GWh/j</t>
  </si>
  <si>
    <t>Capacité N-S et S-N</t>
  </si>
  <si>
    <t xml:space="preserve"> 2017-07-29 </t>
  </si>
  <si>
    <t>Connexion N-S hydrogène</t>
  </si>
  <si>
    <t xml:space="preserve"> 2017-07-28 </t>
  </si>
  <si>
    <t xml:space="preserve"> 2017-07-27 </t>
  </si>
  <si>
    <t xml:space="preserve"> 2017-07-26 </t>
  </si>
  <si>
    <t>Conso max Sud</t>
  </si>
  <si>
    <t xml:space="preserve"> 2017-07-25 </t>
  </si>
  <si>
    <t>TWh/an</t>
  </si>
  <si>
    <t xml:space="preserve"> 2017-07-24 </t>
  </si>
  <si>
    <t>Conso max Nord</t>
  </si>
  <si>
    <t xml:space="preserve"> 2017-07-23 </t>
  </si>
  <si>
    <t>(consommation constante, i.e., 1/365 TWh d'hydrogène consommé chaque jour)</t>
  </si>
  <si>
    <t xml:space="preserve"> 2017-07-22 </t>
  </si>
  <si>
    <t>Consommation hydrogène</t>
  </si>
  <si>
    <t xml:space="preserve"> 2017-07-21 </t>
  </si>
  <si>
    <t xml:space="preserve"> 2017-07-20 </t>
  </si>
  <si>
    <t xml:space="preserve"> 2017-07-19 </t>
  </si>
  <si>
    <t xml:space="preserve"> 2017-07-18 </t>
  </si>
  <si>
    <t>*GNL = Gaz Naturel Liquéfié, imports par bateau</t>
  </si>
  <si>
    <t xml:space="preserve"> 2017-07-17 </t>
  </si>
  <si>
    <t xml:space="preserve"> 2017-07-16 </t>
  </si>
  <si>
    <t>Pyrogazéification</t>
  </si>
  <si>
    <t xml:space="preserve"> 2017-07-15 </t>
  </si>
  <si>
    <t>Méthanisation</t>
  </si>
  <si>
    <t xml:space="preserve"> 2017-07-14 </t>
  </si>
  <si>
    <t>Imports GNL*</t>
  </si>
  <si>
    <t xml:space="preserve"> 2017-07-13 </t>
  </si>
  <si>
    <t xml:space="preserve"> 2017-07-12 </t>
  </si>
  <si>
    <t xml:space="preserve"> 2017-07-11 </t>
  </si>
  <si>
    <t>Production gaz</t>
  </si>
  <si>
    <t xml:space="preserve"> 2017-07-10 </t>
  </si>
  <si>
    <t xml:space="preserve"> 2017-07-09 </t>
  </si>
  <si>
    <t>NB : le niveau de remplissage moyen est donné à titre indicatif</t>
  </si>
  <si>
    <t xml:space="preserve"> 2017-07-08 </t>
  </si>
  <si>
    <t>Le niveau de remplissage du stockage gaz doit respecter (dans la mesure du possible) les contraintes de niveaux min et max données</t>
  </si>
  <si>
    <t xml:space="preserve"> 2017-07-07 </t>
  </si>
  <si>
    <t xml:space="preserve">Le stockage gaz doit se vider en hiver (octobre-avril) et se remplir en été (avril-octobre) suivant les courbes de niveaux suivantes </t>
  </si>
  <si>
    <t>Connexion N-S gaz</t>
  </si>
  <si>
    <t xml:space="preserve"> 2017-07-06 </t>
  </si>
  <si>
    <t>Le stockage gaz doit être rempli à 88% le 1er octobre</t>
  </si>
  <si>
    <t xml:space="preserve"> 2017-07-05 </t>
  </si>
  <si>
    <t>Contraintes</t>
  </si>
  <si>
    <t xml:space="preserve"> 2017-07-04 </t>
  </si>
  <si>
    <t xml:space="preserve"> 2017-07-03 </t>
  </si>
  <si>
    <t>consommation totale</t>
  </si>
  <si>
    <t xml:space="preserve"> 2017-07-02 </t>
  </si>
  <si>
    <t>Capacité de soutirage du stockage (GWh/j)</t>
  </si>
  <si>
    <t>Capacité d'injection dans le stockage (GWh/j)</t>
  </si>
  <si>
    <t>Volume utile (TWh)</t>
  </si>
  <si>
    <t xml:space="preserve"> 2017-07-01</t>
  </si>
  <si>
    <t>Lev Avg (%)</t>
  </si>
  <si>
    <t>Date</t>
  </si>
  <si>
    <t>Stockage gaz</t>
  </si>
  <si>
    <t>Consommation gaz N-S</t>
  </si>
  <si>
    <t>Consommation CH4 (GWh/j)</t>
  </si>
  <si>
    <t>1 MWh de gaz (CH4) sert à produire 0,8 MWh d'hydrogène</t>
  </si>
  <si>
    <t>1 MWh d'électricité sert à produire 0,7 MWh d'hydrogène</t>
  </si>
  <si>
    <t>Rendements</t>
  </si>
  <si>
    <t>1 MWh de gaz sert à produire 0,5 MWh d'électricité</t>
  </si>
  <si>
    <t>Cogénération</t>
  </si>
  <si>
    <t>1 MWh de gaz sert à produire 0,6 MWh d'électricité</t>
  </si>
  <si>
    <t>Rendement centrales électriques au gaz</t>
  </si>
  <si>
    <t>1 MWh de gaz sert à produire 0,4 MWh d'électricité</t>
  </si>
  <si>
    <t>Solaire</t>
  </si>
  <si>
    <t>Eolien</t>
  </si>
  <si>
    <t>HydroLac</t>
  </si>
  <si>
    <t>HydroFDE</t>
  </si>
  <si>
    <t>Biomasse</t>
  </si>
  <si>
    <t>Déchets</t>
  </si>
  <si>
    <t>Conso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</si>
</sst>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0.0"/>
    <numFmt numFmtId="166" formatCode="_-* #,##0\ _€_-;\-* #,##0\ _€_-;_-* &quot;-&quot;??\ _€_-;_-@_-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C3C3C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166" fontId="0" fillId="0" borderId="1" xfId="1" applyNumberFormat="1" applyFont="1" applyBorder="1" applyAlignment="1">
      <alignment vertical="center" wrapText="1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14" fontId="5" fillId="0" borderId="0" xfId="0" applyNumberFormat="1" applyFont="1" applyAlignment="1">
      <alignment horizontal="center"/>
    </xf>
    <xf numFmtId="21" fontId="5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0" fontId="10" fillId="0" borderId="0" xfId="0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3">
    <cellStyle name="Milliers" xfId="1" builtinId="3"/>
    <cellStyle name="Milliers 2" xfId="2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FF3399"/>
      <color rgb="FF31C9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historique remplissage stocks hydro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'Stock hydro'!$B$3</c:f>
              <c:strCache>
                <c:ptCount val="1"/>
                <c:pt idx="0">
                  <c:v>Lev Low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'Stock hydro'!$A$4:$A$368</c:f>
              <c:strCache>
                <c:ptCount val="365"/>
                <c:pt idx="0">
                  <c:v>  JUL 04</c:v>
                </c:pt>
                <c:pt idx="1">
                  <c:v>  JUL 05</c:v>
                </c:pt>
                <c:pt idx="2">
                  <c:v>  JUL 06</c:v>
                </c:pt>
                <c:pt idx="3">
                  <c:v>  JUL 07</c:v>
                </c:pt>
                <c:pt idx="4">
                  <c:v>  JUL 08</c:v>
                </c:pt>
                <c:pt idx="5">
                  <c:v>  JUL 09</c:v>
                </c:pt>
                <c:pt idx="6">
                  <c:v>  JUL 10</c:v>
                </c:pt>
                <c:pt idx="7">
                  <c:v>  JUL 11</c:v>
                </c:pt>
                <c:pt idx="8">
                  <c:v>  JUL 12</c:v>
                </c:pt>
                <c:pt idx="9">
                  <c:v>  JUL 13</c:v>
                </c:pt>
                <c:pt idx="10">
                  <c:v>  JUL 14</c:v>
                </c:pt>
                <c:pt idx="11">
                  <c:v>  JUL 15</c:v>
                </c:pt>
                <c:pt idx="12">
                  <c:v>  JUL 16</c:v>
                </c:pt>
                <c:pt idx="13">
                  <c:v>  JUL 17</c:v>
                </c:pt>
                <c:pt idx="14">
                  <c:v>  JUL 18</c:v>
                </c:pt>
                <c:pt idx="15">
                  <c:v>  JUL 19</c:v>
                </c:pt>
                <c:pt idx="16">
                  <c:v>  JUL 20</c:v>
                </c:pt>
                <c:pt idx="17">
                  <c:v>  JUL 21</c:v>
                </c:pt>
                <c:pt idx="18">
                  <c:v>  JUL 22</c:v>
                </c:pt>
                <c:pt idx="19">
                  <c:v>  JUL 23</c:v>
                </c:pt>
                <c:pt idx="20">
                  <c:v>  JUL 24</c:v>
                </c:pt>
                <c:pt idx="21">
                  <c:v>  JUL 25</c:v>
                </c:pt>
                <c:pt idx="22">
                  <c:v>  JUL 26</c:v>
                </c:pt>
                <c:pt idx="23">
                  <c:v>  JUL 27</c:v>
                </c:pt>
                <c:pt idx="24">
                  <c:v>  JUL 28</c:v>
                </c:pt>
                <c:pt idx="25">
                  <c:v>  JUL 29</c:v>
                </c:pt>
                <c:pt idx="26">
                  <c:v>  JUL 30</c:v>
                </c:pt>
                <c:pt idx="27">
                  <c:v>  JUL 31</c:v>
                </c:pt>
                <c:pt idx="28">
                  <c:v>  AUG 01</c:v>
                </c:pt>
                <c:pt idx="29">
                  <c:v>  AUG 02</c:v>
                </c:pt>
                <c:pt idx="30">
                  <c:v>  AUG 03</c:v>
                </c:pt>
                <c:pt idx="31">
                  <c:v>  AUG 04</c:v>
                </c:pt>
                <c:pt idx="32">
                  <c:v>  AUG 05</c:v>
                </c:pt>
                <c:pt idx="33">
                  <c:v>  AUG 06</c:v>
                </c:pt>
                <c:pt idx="34">
                  <c:v>  AUG 07</c:v>
                </c:pt>
                <c:pt idx="35">
                  <c:v>  AUG 08</c:v>
                </c:pt>
                <c:pt idx="36">
                  <c:v>  AUG 09</c:v>
                </c:pt>
                <c:pt idx="37">
                  <c:v>  AUG 10</c:v>
                </c:pt>
                <c:pt idx="38">
                  <c:v>  AUG 11</c:v>
                </c:pt>
                <c:pt idx="39">
                  <c:v>  AUG 12</c:v>
                </c:pt>
                <c:pt idx="40">
                  <c:v>  AUG 13</c:v>
                </c:pt>
                <c:pt idx="41">
                  <c:v>  AUG 14</c:v>
                </c:pt>
                <c:pt idx="42">
                  <c:v>  AUG 15</c:v>
                </c:pt>
                <c:pt idx="43">
                  <c:v>  AUG 16</c:v>
                </c:pt>
                <c:pt idx="44">
                  <c:v>  AUG 17</c:v>
                </c:pt>
                <c:pt idx="45">
                  <c:v>  AUG 18</c:v>
                </c:pt>
                <c:pt idx="46">
                  <c:v>  AUG 19</c:v>
                </c:pt>
                <c:pt idx="47">
                  <c:v>  AUG 20</c:v>
                </c:pt>
                <c:pt idx="48">
                  <c:v>  AUG 21</c:v>
                </c:pt>
                <c:pt idx="49">
                  <c:v>  AUG 22</c:v>
                </c:pt>
                <c:pt idx="50">
                  <c:v>  AUG 23</c:v>
                </c:pt>
                <c:pt idx="51">
                  <c:v>  AUG 24</c:v>
                </c:pt>
                <c:pt idx="52">
                  <c:v>  AUG 25</c:v>
                </c:pt>
                <c:pt idx="53">
                  <c:v>  AUG 26</c:v>
                </c:pt>
                <c:pt idx="54">
                  <c:v>  AUG 27</c:v>
                </c:pt>
                <c:pt idx="55">
                  <c:v>  AUG 28</c:v>
                </c:pt>
                <c:pt idx="56">
                  <c:v>  AUG 29</c:v>
                </c:pt>
                <c:pt idx="57">
                  <c:v>  AUG 30</c:v>
                </c:pt>
                <c:pt idx="58">
                  <c:v>  AUG 31</c:v>
                </c:pt>
                <c:pt idx="59">
                  <c:v>  SEP 01</c:v>
                </c:pt>
                <c:pt idx="60">
                  <c:v>  SEP 02</c:v>
                </c:pt>
                <c:pt idx="61">
                  <c:v>  SEP 03</c:v>
                </c:pt>
                <c:pt idx="62">
                  <c:v>  SEP 04</c:v>
                </c:pt>
                <c:pt idx="63">
                  <c:v>  SEP 05</c:v>
                </c:pt>
                <c:pt idx="64">
                  <c:v>  SEP 06</c:v>
                </c:pt>
                <c:pt idx="65">
                  <c:v>  SEP 07</c:v>
                </c:pt>
                <c:pt idx="66">
                  <c:v>  SEP 08</c:v>
                </c:pt>
                <c:pt idx="67">
                  <c:v>  SEP 09</c:v>
                </c:pt>
                <c:pt idx="68">
                  <c:v>  SEP 10</c:v>
                </c:pt>
                <c:pt idx="69">
                  <c:v>  SEP 11</c:v>
                </c:pt>
                <c:pt idx="70">
                  <c:v>  SEP 12</c:v>
                </c:pt>
                <c:pt idx="71">
                  <c:v>  SEP 13</c:v>
                </c:pt>
                <c:pt idx="72">
                  <c:v>  SEP 14</c:v>
                </c:pt>
                <c:pt idx="73">
                  <c:v>  SEP 15</c:v>
                </c:pt>
                <c:pt idx="74">
                  <c:v>  SEP 16</c:v>
                </c:pt>
                <c:pt idx="75">
                  <c:v>  SEP 17</c:v>
                </c:pt>
                <c:pt idx="76">
                  <c:v>  SEP 18</c:v>
                </c:pt>
                <c:pt idx="77">
                  <c:v>  SEP 19</c:v>
                </c:pt>
                <c:pt idx="78">
                  <c:v>  SEP 20</c:v>
                </c:pt>
                <c:pt idx="79">
                  <c:v>  SEP 21</c:v>
                </c:pt>
                <c:pt idx="80">
                  <c:v>  SEP 22</c:v>
                </c:pt>
                <c:pt idx="81">
                  <c:v>  SEP 23</c:v>
                </c:pt>
                <c:pt idx="82">
                  <c:v>  SEP 24</c:v>
                </c:pt>
                <c:pt idx="83">
                  <c:v>  SEP 25</c:v>
                </c:pt>
                <c:pt idx="84">
                  <c:v>  SEP 26</c:v>
                </c:pt>
                <c:pt idx="85">
                  <c:v>  SEP 27</c:v>
                </c:pt>
                <c:pt idx="86">
                  <c:v>  SEP 28</c:v>
                </c:pt>
                <c:pt idx="87">
                  <c:v>  SEP 29</c:v>
                </c:pt>
                <c:pt idx="88">
                  <c:v>  SEP 30</c:v>
                </c:pt>
                <c:pt idx="89">
                  <c:v>  OCT 01</c:v>
                </c:pt>
                <c:pt idx="90">
                  <c:v>  OCT 02</c:v>
                </c:pt>
                <c:pt idx="91">
                  <c:v>  OCT 03</c:v>
                </c:pt>
                <c:pt idx="92">
                  <c:v>  OCT 04</c:v>
                </c:pt>
                <c:pt idx="93">
                  <c:v>  OCT 05</c:v>
                </c:pt>
                <c:pt idx="94">
                  <c:v>  OCT 06</c:v>
                </c:pt>
                <c:pt idx="95">
                  <c:v>  OCT 07</c:v>
                </c:pt>
                <c:pt idx="96">
                  <c:v>  OCT 08</c:v>
                </c:pt>
                <c:pt idx="97">
                  <c:v>  OCT 09</c:v>
                </c:pt>
                <c:pt idx="98">
                  <c:v>  OCT 10</c:v>
                </c:pt>
                <c:pt idx="99">
                  <c:v>  OCT 11</c:v>
                </c:pt>
                <c:pt idx="100">
                  <c:v>  OCT 12</c:v>
                </c:pt>
                <c:pt idx="101">
                  <c:v>  OCT 13</c:v>
                </c:pt>
                <c:pt idx="102">
                  <c:v>  OCT 14</c:v>
                </c:pt>
                <c:pt idx="103">
                  <c:v>  OCT 15</c:v>
                </c:pt>
                <c:pt idx="104">
                  <c:v>  OCT 16</c:v>
                </c:pt>
                <c:pt idx="105">
                  <c:v>  OCT 17</c:v>
                </c:pt>
                <c:pt idx="106">
                  <c:v>  OCT 18</c:v>
                </c:pt>
                <c:pt idx="107">
                  <c:v>  OCT 19</c:v>
                </c:pt>
                <c:pt idx="108">
                  <c:v>  OCT 20</c:v>
                </c:pt>
                <c:pt idx="109">
                  <c:v>  OCT 21</c:v>
                </c:pt>
                <c:pt idx="110">
                  <c:v>  OCT 22</c:v>
                </c:pt>
                <c:pt idx="111">
                  <c:v>  OCT 23</c:v>
                </c:pt>
                <c:pt idx="112">
                  <c:v>  OCT 24</c:v>
                </c:pt>
                <c:pt idx="113">
                  <c:v>  OCT 25</c:v>
                </c:pt>
                <c:pt idx="114">
                  <c:v>  OCT 26</c:v>
                </c:pt>
                <c:pt idx="115">
                  <c:v>  OCT 27</c:v>
                </c:pt>
                <c:pt idx="116">
                  <c:v>  OCT 28</c:v>
                </c:pt>
                <c:pt idx="117">
                  <c:v>  OCT 29</c:v>
                </c:pt>
                <c:pt idx="118">
                  <c:v>  OCT 30</c:v>
                </c:pt>
                <c:pt idx="119">
                  <c:v>  OCT 31</c:v>
                </c:pt>
                <c:pt idx="120">
                  <c:v>  NOV 01</c:v>
                </c:pt>
                <c:pt idx="121">
                  <c:v>  NOV 02</c:v>
                </c:pt>
                <c:pt idx="122">
                  <c:v>  NOV 03</c:v>
                </c:pt>
                <c:pt idx="123">
                  <c:v>  NOV 04</c:v>
                </c:pt>
                <c:pt idx="124">
                  <c:v>  NOV 05</c:v>
                </c:pt>
                <c:pt idx="125">
                  <c:v>  NOV 06</c:v>
                </c:pt>
                <c:pt idx="126">
                  <c:v>  NOV 07</c:v>
                </c:pt>
                <c:pt idx="127">
                  <c:v>  NOV 08</c:v>
                </c:pt>
                <c:pt idx="128">
                  <c:v>  NOV 09</c:v>
                </c:pt>
                <c:pt idx="129">
                  <c:v>  NOV 10</c:v>
                </c:pt>
                <c:pt idx="130">
                  <c:v>  NOV 11</c:v>
                </c:pt>
                <c:pt idx="131">
                  <c:v>  NOV 12</c:v>
                </c:pt>
                <c:pt idx="132">
                  <c:v>  NOV 13</c:v>
                </c:pt>
                <c:pt idx="133">
                  <c:v>  NOV 14</c:v>
                </c:pt>
                <c:pt idx="134">
                  <c:v>  NOV 15</c:v>
                </c:pt>
                <c:pt idx="135">
                  <c:v>  NOV 16</c:v>
                </c:pt>
                <c:pt idx="136">
                  <c:v>  NOV 17</c:v>
                </c:pt>
                <c:pt idx="137">
                  <c:v>  NOV 18</c:v>
                </c:pt>
                <c:pt idx="138">
                  <c:v>  NOV 19</c:v>
                </c:pt>
                <c:pt idx="139">
                  <c:v>  NOV 20</c:v>
                </c:pt>
                <c:pt idx="140">
                  <c:v>  NOV 21</c:v>
                </c:pt>
                <c:pt idx="141">
                  <c:v>  NOV 22</c:v>
                </c:pt>
                <c:pt idx="142">
                  <c:v>  NOV 23</c:v>
                </c:pt>
                <c:pt idx="143">
                  <c:v>  NOV 24</c:v>
                </c:pt>
                <c:pt idx="144">
                  <c:v>  NOV 25</c:v>
                </c:pt>
                <c:pt idx="145">
                  <c:v>  NOV 26</c:v>
                </c:pt>
                <c:pt idx="146">
                  <c:v>  NOV 27</c:v>
                </c:pt>
                <c:pt idx="147">
                  <c:v>  NOV 28</c:v>
                </c:pt>
                <c:pt idx="148">
                  <c:v>  NOV 29</c:v>
                </c:pt>
                <c:pt idx="149">
                  <c:v>  NOV 30</c:v>
                </c:pt>
                <c:pt idx="150">
                  <c:v>  DEC 01</c:v>
                </c:pt>
                <c:pt idx="151">
                  <c:v>  DEC 02</c:v>
                </c:pt>
                <c:pt idx="152">
                  <c:v>  DEC 03</c:v>
                </c:pt>
                <c:pt idx="153">
                  <c:v>  DEC 04</c:v>
                </c:pt>
                <c:pt idx="154">
                  <c:v>  DEC 05</c:v>
                </c:pt>
                <c:pt idx="155">
                  <c:v>  DEC 06</c:v>
                </c:pt>
                <c:pt idx="156">
                  <c:v>  DEC 07</c:v>
                </c:pt>
                <c:pt idx="157">
                  <c:v>  DEC 08</c:v>
                </c:pt>
                <c:pt idx="158">
                  <c:v>  DEC 09</c:v>
                </c:pt>
                <c:pt idx="159">
                  <c:v>  DEC 10</c:v>
                </c:pt>
                <c:pt idx="160">
                  <c:v>  DEC 11</c:v>
                </c:pt>
                <c:pt idx="161">
                  <c:v>  DEC 12</c:v>
                </c:pt>
                <c:pt idx="162">
                  <c:v>  DEC 13</c:v>
                </c:pt>
                <c:pt idx="163">
                  <c:v>  DEC 14</c:v>
                </c:pt>
                <c:pt idx="164">
                  <c:v>  DEC 15</c:v>
                </c:pt>
                <c:pt idx="165">
                  <c:v>  DEC 16</c:v>
                </c:pt>
                <c:pt idx="166">
                  <c:v>  DEC 17</c:v>
                </c:pt>
                <c:pt idx="167">
                  <c:v>  DEC 18</c:v>
                </c:pt>
                <c:pt idx="168">
                  <c:v>  DEC 19</c:v>
                </c:pt>
                <c:pt idx="169">
                  <c:v>  DEC 20</c:v>
                </c:pt>
                <c:pt idx="170">
                  <c:v>  DEC 21</c:v>
                </c:pt>
                <c:pt idx="171">
                  <c:v>  DEC 22</c:v>
                </c:pt>
                <c:pt idx="172">
                  <c:v>  DEC 23</c:v>
                </c:pt>
                <c:pt idx="173">
                  <c:v>  DEC 24</c:v>
                </c:pt>
                <c:pt idx="174">
                  <c:v>  DEC 25</c:v>
                </c:pt>
                <c:pt idx="175">
                  <c:v>  DEC 26</c:v>
                </c:pt>
                <c:pt idx="176">
                  <c:v>  DEC 27</c:v>
                </c:pt>
                <c:pt idx="177">
                  <c:v>  DEC 28</c:v>
                </c:pt>
                <c:pt idx="178">
                  <c:v>  DEC 29</c:v>
                </c:pt>
                <c:pt idx="179">
                  <c:v>  DEC 30</c:v>
                </c:pt>
                <c:pt idx="180">
                  <c:v>  DEC 31</c:v>
                </c:pt>
                <c:pt idx="181">
                  <c:v>  JAN 01</c:v>
                </c:pt>
                <c:pt idx="182">
                  <c:v>  JAN 02</c:v>
                </c:pt>
                <c:pt idx="183">
                  <c:v>  JAN 03</c:v>
                </c:pt>
                <c:pt idx="184">
                  <c:v>  JAN 04</c:v>
                </c:pt>
                <c:pt idx="185">
                  <c:v>  JAN 05</c:v>
                </c:pt>
                <c:pt idx="186">
                  <c:v>  JAN 06</c:v>
                </c:pt>
                <c:pt idx="187">
                  <c:v>  JAN 07</c:v>
                </c:pt>
                <c:pt idx="188">
                  <c:v>  JAN 08</c:v>
                </c:pt>
                <c:pt idx="189">
                  <c:v>  JAN 09</c:v>
                </c:pt>
                <c:pt idx="190">
                  <c:v>  JAN 10</c:v>
                </c:pt>
                <c:pt idx="191">
                  <c:v>  JAN 11</c:v>
                </c:pt>
                <c:pt idx="192">
                  <c:v>  JAN 12</c:v>
                </c:pt>
                <c:pt idx="193">
                  <c:v>  JAN 13</c:v>
                </c:pt>
                <c:pt idx="194">
                  <c:v>  JAN 14</c:v>
                </c:pt>
                <c:pt idx="195">
                  <c:v>  JAN 15</c:v>
                </c:pt>
                <c:pt idx="196">
                  <c:v>  JAN 16</c:v>
                </c:pt>
                <c:pt idx="197">
                  <c:v>  JAN 17</c:v>
                </c:pt>
                <c:pt idx="198">
                  <c:v>  JAN 18</c:v>
                </c:pt>
                <c:pt idx="199">
                  <c:v>  JAN 19</c:v>
                </c:pt>
                <c:pt idx="200">
                  <c:v>  JAN 20</c:v>
                </c:pt>
                <c:pt idx="201">
                  <c:v>  JAN 21</c:v>
                </c:pt>
                <c:pt idx="202">
                  <c:v>  JAN 22</c:v>
                </c:pt>
                <c:pt idx="203">
                  <c:v>  JAN 23</c:v>
                </c:pt>
                <c:pt idx="204">
                  <c:v>  JAN 24</c:v>
                </c:pt>
                <c:pt idx="205">
                  <c:v>  JAN 25</c:v>
                </c:pt>
                <c:pt idx="206">
                  <c:v>  JAN 26</c:v>
                </c:pt>
                <c:pt idx="207">
                  <c:v>  JAN 27</c:v>
                </c:pt>
                <c:pt idx="208">
                  <c:v>  JAN 28</c:v>
                </c:pt>
                <c:pt idx="209">
                  <c:v>  JAN 29</c:v>
                </c:pt>
                <c:pt idx="210">
                  <c:v>  JAN 30</c:v>
                </c:pt>
                <c:pt idx="211">
                  <c:v>  JAN 31</c:v>
                </c:pt>
                <c:pt idx="212">
                  <c:v>  FEB 01</c:v>
                </c:pt>
                <c:pt idx="213">
                  <c:v>  FEB 02</c:v>
                </c:pt>
                <c:pt idx="214">
                  <c:v>  FEB 03</c:v>
                </c:pt>
                <c:pt idx="215">
                  <c:v>  FEB 04</c:v>
                </c:pt>
                <c:pt idx="216">
                  <c:v>  FEB 05</c:v>
                </c:pt>
                <c:pt idx="217">
                  <c:v>  FEB 06</c:v>
                </c:pt>
                <c:pt idx="218">
                  <c:v>  FEB 07</c:v>
                </c:pt>
                <c:pt idx="219">
                  <c:v>  FEB 08</c:v>
                </c:pt>
                <c:pt idx="220">
                  <c:v>  FEB 09</c:v>
                </c:pt>
                <c:pt idx="221">
                  <c:v>  FEB 10</c:v>
                </c:pt>
                <c:pt idx="222">
                  <c:v>  FEB 11</c:v>
                </c:pt>
                <c:pt idx="223">
                  <c:v>  FEB 12</c:v>
                </c:pt>
                <c:pt idx="224">
                  <c:v>  FEB 13</c:v>
                </c:pt>
                <c:pt idx="225">
                  <c:v>  FEB 14</c:v>
                </c:pt>
                <c:pt idx="226">
                  <c:v>  FEB 15</c:v>
                </c:pt>
                <c:pt idx="227">
                  <c:v>  FEB 16</c:v>
                </c:pt>
                <c:pt idx="228">
                  <c:v>  FEB 17</c:v>
                </c:pt>
                <c:pt idx="229">
                  <c:v>  FEB 18</c:v>
                </c:pt>
                <c:pt idx="230">
                  <c:v>  FEB 19</c:v>
                </c:pt>
                <c:pt idx="231">
                  <c:v>  FEB 20</c:v>
                </c:pt>
                <c:pt idx="232">
                  <c:v>  FEB 21</c:v>
                </c:pt>
                <c:pt idx="233">
                  <c:v>  FEB 22</c:v>
                </c:pt>
                <c:pt idx="234">
                  <c:v>  FEB 23</c:v>
                </c:pt>
                <c:pt idx="235">
                  <c:v>  FEB 24</c:v>
                </c:pt>
                <c:pt idx="236">
                  <c:v>  FEB 25</c:v>
                </c:pt>
                <c:pt idx="237">
                  <c:v>  FEB 26</c:v>
                </c:pt>
                <c:pt idx="238">
                  <c:v>  FEB 27</c:v>
                </c:pt>
                <c:pt idx="239">
                  <c:v>  FEB 28</c:v>
                </c:pt>
                <c:pt idx="240">
                  <c:v>  MAR 01</c:v>
                </c:pt>
                <c:pt idx="241">
                  <c:v>  MAR 02</c:v>
                </c:pt>
                <c:pt idx="242">
                  <c:v>  MAR 03</c:v>
                </c:pt>
                <c:pt idx="243">
                  <c:v>  MAR 04</c:v>
                </c:pt>
                <c:pt idx="244">
                  <c:v>  MAR 05</c:v>
                </c:pt>
                <c:pt idx="245">
                  <c:v>  MAR 06</c:v>
                </c:pt>
                <c:pt idx="246">
                  <c:v>  MAR 07</c:v>
                </c:pt>
                <c:pt idx="247">
                  <c:v>  MAR 08</c:v>
                </c:pt>
                <c:pt idx="248">
                  <c:v>  MAR 09</c:v>
                </c:pt>
                <c:pt idx="249">
                  <c:v>  MAR 10</c:v>
                </c:pt>
                <c:pt idx="250">
                  <c:v>  MAR 11</c:v>
                </c:pt>
                <c:pt idx="251">
                  <c:v>  MAR 12</c:v>
                </c:pt>
                <c:pt idx="252">
                  <c:v>  MAR 13</c:v>
                </c:pt>
                <c:pt idx="253">
                  <c:v>  MAR 14</c:v>
                </c:pt>
                <c:pt idx="254">
                  <c:v>  MAR 15</c:v>
                </c:pt>
                <c:pt idx="255">
                  <c:v>  MAR 16</c:v>
                </c:pt>
                <c:pt idx="256">
                  <c:v>  MAR 17</c:v>
                </c:pt>
                <c:pt idx="257">
                  <c:v>  MAR 18</c:v>
                </c:pt>
                <c:pt idx="258">
                  <c:v>  MAR 19</c:v>
                </c:pt>
                <c:pt idx="259">
                  <c:v>  MAR 20</c:v>
                </c:pt>
                <c:pt idx="260">
                  <c:v>  MAR 21</c:v>
                </c:pt>
                <c:pt idx="261">
                  <c:v>  MAR 22</c:v>
                </c:pt>
                <c:pt idx="262">
                  <c:v>  MAR 23</c:v>
                </c:pt>
                <c:pt idx="263">
                  <c:v>  MAR 24</c:v>
                </c:pt>
                <c:pt idx="264">
                  <c:v>  MAR 25</c:v>
                </c:pt>
                <c:pt idx="265">
                  <c:v>  MAR 26</c:v>
                </c:pt>
                <c:pt idx="266">
                  <c:v>  MAR 27</c:v>
                </c:pt>
                <c:pt idx="267">
                  <c:v>  MAR 28</c:v>
                </c:pt>
                <c:pt idx="268">
                  <c:v>  MAR 29</c:v>
                </c:pt>
                <c:pt idx="269">
                  <c:v>  MAR 30</c:v>
                </c:pt>
                <c:pt idx="270">
                  <c:v>  MAR 31</c:v>
                </c:pt>
                <c:pt idx="271">
                  <c:v>  APR 01</c:v>
                </c:pt>
                <c:pt idx="272">
                  <c:v>  APR 02</c:v>
                </c:pt>
                <c:pt idx="273">
                  <c:v>  APR 03</c:v>
                </c:pt>
                <c:pt idx="274">
                  <c:v>  APR 04</c:v>
                </c:pt>
                <c:pt idx="275">
                  <c:v>  APR 05</c:v>
                </c:pt>
                <c:pt idx="276">
                  <c:v>  APR 06</c:v>
                </c:pt>
                <c:pt idx="277">
                  <c:v>  APR 07</c:v>
                </c:pt>
                <c:pt idx="278">
                  <c:v>  APR 08</c:v>
                </c:pt>
                <c:pt idx="279">
                  <c:v>  APR 09</c:v>
                </c:pt>
                <c:pt idx="280">
                  <c:v>  APR 10</c:v>
                </c:pt>
                <c:pt idx="281">
                  <c:v>  APR 11</c:v>
                </c:pt>
                <c:pt idx="282">
                  <c:v>  APR 12</c:v>
                </c:pt>
                <c:pt idx="283">
                  <c:v>  APR 13</c:v>
                </c:pt>
                <c:pt idx="284">
                  <c:v>  APR 14</c:v>
                </c:pt>
                <c:pt idx="285">
                  <c:v>  APR 15</c:v>
                </c:pt>
                <c:pt idx="286">
                  <c:v>  APR 16</c:v>
                </c:pt>
                <c:pt idx="287">
                  <c:v>  APR 17</c:v>
                </c:pt>
                <c:pt idx="288">
                  <c:v>  APR 18</c:v>
                </c:pt>
                <c:pt idx="289">
                  <c:v>  APR 19</c:v>
                </c:pt>
                <c:pt idx="290">
                  <c:v>  APR 20</c:v>
                </c:pt>
                <c:pt idx="291">
                  <c:v>  APR 21</c:v>
                </c:pt>
                <c:pt idx="292">
                  <c:v>  APR 22</c:v>
                </c:pt>
                <c:pt idx="293">
                  <c:v>  APR 23</c:v>
                </c:pt>
                <c:pt idx="294">
                  <c:v>  APR 24</c:v>
                </c:pt>
                <c:pt idx="295">
                  <c:v>  APR 25</c:v>
                </c:pt>
                <c:pt idx="296">
                  <c:v>  APR 26</c:v>
                </c:pt>
                <c:pt idx="297">
                  <c:v>  APR 27</c:v>
                </c:pt>
                <c:pt idx="298">
                  <c:v>  APR 28</c:v>
                </c:pt>
                <c:pt idx="299">
                  <c:v>  APR 29</c:v>
                </c:pt>
                <c:pt idx="300">
                  <c:v>  APR 30</c:v>
                </c:pt>
                <c:pt idx="301">
                  <c:v>  MAY 01</c:v>
                </c:pt>
                <c:pt idx="302">
                  <c:v>  MAY 02</c:v>
                </c:pt>
                <c:pt idx="303">
                  <c:v>  MAY 03</c:v>
                </c:pt>
                <c:pt idx="304">
                  <c:v>  MAY 04</c:v>
                </c:pt>
                <c:pt idx="305">
                  <c:v>  MAY 05</c:v>
                </c:pt>
                <c:pt idx="306">
                  <c:v>  MAY 06</c:v>
                </c:pt>
                <c:pt idx="307">
                  <c:v>  MAY 07</c:v>
                </c:pt>
                <c:pt idx="308">
                  <c:v>  MAY 08</c:v>
                </c:pt>
                <c:pt idx="309">
                  <c:v>  MAY 09</c:v>
                </c:pt>
                <c:pt idx="310">
                  <c:v>  MAY 10</c:v>
                </c:pt>
                <c:pt idx="311">
                  <c:v>  MAY 11</c:v>
                </c:pt>
                <c:pt idx="312">
                  <c:v>  MAY 12</c:v>
                </c:pt>
                <c:pt idx="313">
                  <c:v>  MAY 13</c:v>
                </c:pt>
                <c:pt idx="314">
                  <c:v>  MAY 14</c:v>
                </c:pt>
                <c:pt idx="315">
                  <c:v>  MAY 15</c:v>
                </c:pt>
                <c:pt idx="316">
                  <c:v>  MAY 16</c:v>
                </c:pt>
                <c:pt idx="317">
                  <c:v>  MAY 17</c:v>
                </c:pt>
                <c:pt idx="318">
                  <c:v>  MAY 18</c:v>
                </c:pt>
                <c:pt idx="319">
                  <c:v>  MAY 19</c:v>
                </c:pt>
                <c:pt idx="320">
                  <c:v>  MAY 20</c:v>
                </c:pt>
                <c:pt idx="321">
                  <c:v>  MAY 21</c:v>
                </c:pt>
                <c:pt idx="322">
                  <c:v>  MAY 22</c:v>
                </c:pt>
                <c:pt idx="323">
                  <c:v>  MAY 23</c:v>
                </c:pt>
                <c:pt idx="324">
                  <c:v>  MAY 24</c:v>
                </c:pt>
                <c:pt idx="325">
                  <c:v>  MAY 25</c:v>
                </c:pt>
                <c:pt idx="326">
                  <c:v>  MAY 26</c:v>
                </c:pt>
                <c:pt idx="327">
                  <c:v>  MAY 27</c:v>
                </c:pt>
                <c:pt idx="328">
                  <c:v>  MAY 28</c:v>
                </c:pt>
                <c:pt idx="329">
                  <c:v>  MAY 29</c:v>
                </c:pt>
                <c:pt idx="330">
                  <c:v>  MAY 30</c:v>
                </c:pt>
                <c:pt idx="331">
                  <c:v>  MAY 31</c:v>
                </c:pt>
                <c:pt idx="332">
                  <c:v>  JUN 01</c:v>
                </c:pt>
                <c:pt idx="333">
                  <c:v>  JUN 02</c:v>
                </c:pt>
                <c:pt idx="334">
                  <c:v>  JUN 03</c:v>
                </c:pt>
                <c:pt idx="335">
                  <c:v>  JUN 04</c:v>
                </c:pt>
                <c:pt idx="336">
                  <c:v>  JUN 05</c:v>
                </c:pt>
                <c:pt idx="337">
                  <c:v>  JUN 06</c:v>
                </c:pt>
                <c:pt idx="338">
                  <c:v>  JUN 07</c:v>
                </c:pt>
                <c:pt idx="339">
                  <c:v>  JUN 08</c:v>
                </c:pt>
                <c:pt idx="340">
                  <c:v>  JUN 09</c:v>
                </c:pt>
                <c:pt idx="341">
                  <c:v>  JUN 10</c:v>
                </c:pt>
                <c:pt idx="342">
                  <c:v>  JUN 11</c:v>
                </c:pt>
                <c:pt idx="343">
                  <c:v>  JUN 12</c:v>
                </c:pt>
                <c:pt idx="344">
                  <c:v>  JUN 13</c:v>
                </c:pt>
                <c:pt idx="345">
                  <c:v>  JUN 14</c:v>
                </c:pt>
                <c:pt idx="346">
                  <c:v>  JUN 15</c:v>
                </c:pt>
                <c:pt idx="347">
                  <c:v>  JUN 16</c:v>
                </c:pt>
                <c:pt idx="348">
                  <c:v>  JUN 17</c:v>
                </c:pt>
                <c:pt idx="349">
                  <c:v>  JUN 18</c:v>
                </c:pt>
                <c:pt idx="350">
                  <c:v>  JUN 19</c:v>
                </c:pt>
                <c:pt idx="351">
                  <c:v>  JUN 20</c:v>
                </c:pt>
                <c:pt idx="352">
                  <c:v>  JUN 21</c:v>
                </c:pt>
                <c:pt idx="353">
                  <c:v>  JUN 22</c:v>
                </c:pt>
                <c:pt idx="354">
                  <c:v>  JUN 23</c:v>
                </c:pt>
                <c:pt idx="355">
                  <c:v>  JUN 24</c:v>
                </c:pt>
                <c:pt idx="356">
                  <c:v>  JUN 25</c:v>
                </c:pt>
                <c:pt idx="357">
                  <c:v>  JUN 26</c:v>
                </c:pt>
                <c:pt idx="358">
                  <c:v>  JUN 27</c:v>
                </c:pt>
                <c:pt idx="359">
                  <c:v>  JUN 28</c:v>
                </c:pt>
                <c:pt idx="360">
                  <c:v>  JUN 29</c:v>
                </c:pt>
                <c:pt idx="361">
                  <c:v>  JUN 30</c:v>
                </c:pt>
                <c:pt idx="362">
                  <c:v>  JUL 01</c:v>
                </c:pt>
                <c:pt idx="363">
                  <c:v>  JUL 02</c:v>
                </c:pt>
                <c:pt idx="364">
                  <c:v>  JUL 03</c:v>
                </c:pt>
              </c:strCache>
            </c:strRef>
          </c:cat>
          <c:val>
            <c:numRef>
              <c:f>'Stock hydro'!$B$4:$B$368</c:f>
              <c:numCache>
                <c:formatCode>General</c:formatCode>
                <c:ptCount val="365"/>
                <c:pt idx="0">
                  <c:v>59</c:v>
                </c:pt>
                <c:pt idx="1">
                  <c:v>59.2</c:v>
                </c:pt>
                <c:pt idx="2">
                  <c:v>59.3</c:v>
                </c:pt>
                <c:pt idx="3">
                  <c:v>59.5</c:v>
                </c:pt>
                <c:pt idx="4">
                  <c:v>59.6</c:v>
                </c:pt>
                <c:pt idx="5">
                  <c:v>59.8</c:v>
                </c:pt>
                <c:pt idx="6">
                  <c:v>60</c:v>
                </c:pt>
                <c:pt idx="7">
                  <c:v>60.1</c:v>
                </c:pt>
                <c:pt idx="8">
                  <c:v>60.3</c:v>
                </c:pt>
                <c:pt idx="9">
                  <c:v>60.5</c:v>
                </c:pt>
                <c:pt idx="10">
                  <c:v>60.6</c:v>
                </c:pt>
                <c:pt idx="11">
                  <c:v>60.8</c:v>
                </c:pt>
                <c:pt idx="12">
                  <c:v>60.9</c:v>
                </c:pt>
                <c:pt idx="13">
                  <c:v>61.1</c:v>
                </c:pt>
                <c:pt idx="14">
                  <c:v>61.3</c:v>
                </c:pt>
                <c:pt idx="15">
                  <c:v>61.4</c:v>
                </c:pt>
                <c:pt idx="16">
                  <c:v>61.6</c:v>
                </c:pt>
                <c:pt idx="17">
                  <c:v>61.7</c:v>
                </c:pt>
                <c:pt idx="18">
                  <c:v>61.9</c:v>
                </c:pt>
                <c:pt idx="19">
                  <c:v>62.1</c:v>
                </c:pt>
                <c:pt idx="20">
                  <c:v>62.2</c:v>
                </c:pt>
                <c:pt idx="21">
                  <c:v>62.4</c:v>
                </c:pt>
                <c:pt idx="22">
                  <c:v>62.5</c:v>
                </c:pt>
                <c:pt idx="23">
                  <c:v>62.7</c:v>
                </c:pt>
                <c:pt idx="24">
                  <c:v>62.9</c:v>
                </c:pt>
                <c:pt idx="25">
                  <c:v>63</c:v>
                </c:pt>
                <c:pt idx="26">
                  <c:v>63.2</c:v>
                </c:pt>
                <c:pt idx="27">
                  <c:v>63.4</c:v>
                </c:pt>
                <c:pt idx="28">
                  <c:v>63.5</c:v>
                </c:pt>
                <c:pt idx="29">
                  <c:v>63.7</c:v>
                </c:pt>
                <c:pt idx="30">
                  <c:v>63.8</c:v>
                </c:pt>
                <c:pt idx="31">
                  <c:v>64</c:v>
                </c:pt>
                <c:pt idx="32">
                  <c:v>64</c:v>
                </c:pt>
                <c:pt idx="33">
                  <c:v>63.9</c:v>
                </c:pt>
                <c:pt idx="34">
                  <c:v>63.9</c:v>
                </c:pt>
                <c:pt idx="35">
                  <c:v>63.9</c:v>
                </c:pt>
                <c:pt idx="36">
                  <c:v>63.8</c:v>
                </c:pt>
                <c:pt idx="37">
                  <c:v>63.8</c:v>
                </c:pt>
                <c:pt idx="38">
                  <c:v>63.8</c:v>
                </c:pt>
                <c:pt idx="39">
                  <c:v>63.7</c:v>
                </c:pt>
                <c:pt idx="40">
                  <c:v>63.7</c:v>
                </c:pt>
                <c:pt idx="41">
                  <c:v>63.7</c:v>
                </c:pt>
                <c:pt idx="42">
                  <c:v>63.6</c:v>
                </c:pt>
                <c:pt idx="43">
                  <c:v>63.6</c:v>
                </c:pt>
                <c:pt idx="44">
                  <c:v>63.6</c:v>
                </c:pt>
                <c:pt idx="45">
                  <c:v>63.5</c:v>
                </c:pt>
                <c:pt idx="46">
                  <c:v>63.5</c:v>
                </c:pt>
                <c:pt idx="47">
                  <c:v>63.5</c:v>
                </c:pt>
                <c:pt idx="48">
                  <c:v>63.5</c:v>
                </c:pt>
                <c:pt idx="49">
                  <c:v>63.4</c:v>
                </c:pt>
                <c:pt idx="50">
                  <c:v>63.4</c:v>
                </c:pt>
                <c:pt idx="51">
                  <c:v>63.4</c:v>
                </c:pt>
                <c:pt idx="52">
                  <c:v>63.3</c:v>
                </c:pt>
                <c:pt idx="53">
                  <c:v>63.3</c:v>
                </c:pt>
                <c:pt idx="54">
                  <c:v>63.3</c:v>
                </c:pt>
                <c:pt idx="55">
                  <c:v>63.2</c:v>
                </c:pt>
                <c:pt idx="56">
                  <c:v>63.2</c:v>
                </c:pt>
                <c:pt idx="57">
                  <c:v>63.2</c:v>
                </c:pt>
                <c:pt idx="58">
                  <c:v>63.1</c:v>
                </c:pt>
                <c:pt idx="59">
                  <c:v>63.1</c:v>
                </c:pt>
                <c:pt idx="60">
                  <c:v>63.1</c:v>
                </c:pt>
                <c:pt idx="61">
                  <c:v>63</c:v>
                </c:pt>
                <c:pt idx="62">
                  <c:v>63</c:v>
                </c:pt>
                <c:pt idx="63">
                  <c:v>62.9</c:v>
                </c:pt>
                <c:pt idx="64">
                  <c:v>62.9</c:v>
                </c:pt>
                <c:pt idx="65">
                  <c:v>62.8</c:v>
                </c:pt>
                <c:pt idx="66">
                  <c:v>62.7</c:v>
                </c:pt>
                <c:pt idx="67">
                  <c:v>62.7</c:v>
                </c:pt>
                <c:pt idx="68">
                  <c:v>62.6</c:v>
                </c:pt>
                <c:pt idx="69">
                  <c:v>62.5</c:v>
                </c:pt>
                <c:pt idx="70">
                  <c:v>62.5</c:v>
                </c:pt>
                <c:pt idx="71">
                  <c:v>62.4</c:v>
                </c:pt>
                <c:pt idx="72">
                  <c:v>62.3</c:v>
                </c:pt>
                <c:pt idx="73">
                  <c:v>62.3</c:v>
                </c:pt>
                <c:pt idx="74">
                  <c:v>62.2</c:v>
                </c:pt>
                <c:pt idx="75">
                  <c:v>62.1</c:v>
                </c:pt>
                <c:pt idx="76">
                  <c:v>62.1</c:v>
                </c:pt>
                <c:pt idx="77">
                  <c:v>62</c:v>
                </c:pt>
                <c:pt idx="78">
                  <c:v>61.9</c:v>
                </c:pt>
                <c:pt idx="79">
                  <c:v>61.9</c:v>
                </c:pt>
                <c:pt idx="80">
                  <c:v>61.8</c:v>
                </c:pt>
                <c:pt idx="81">
                  <c:v>61.7</c:v>
                </c:pt>
                <c:pt idx="82">
                  <c:v>61.7</c:v>
                </c:pt>
                <c:pt idx="83">
                  <c:v>61.6</c:v>
                </c:pt>
                <c:pt idx="84">
                  <c:v>61.5</c:v>
                </c:pt>
                <c:pt idx="85">
                  <c:v>61.5</c:v>
                </c:pt>
                <c:pt idx="86">
                  <c:v>61.4</c:v>
                </c:pt>
                <c:pt idx="87">
                  <c:v>61.3</c:v>
                </c:pt>
                <c:pt idx="88">
                  <c:v>61.3</c:v>
                </c:pt>
                <c:pt idx="89">
                  <c:v>61.2</c:v>
                </c:pt>
                <c:pt idx="90">
                  <c:v>61.1</c:v>
                </c:pt>
                <c:pt idx="91">
                  <c:v>61.1</c:v>
                </c:pt>
                <c:pt idx="92">
                  <c:v>61</c:v>
                </c:pt>
                <c:pt idx="93">
                  <c:v>60.8</c:v>
                </c:pt>
                <c:pt idx="94">
                  <c:v>60.6</c:v>
                </c:pt>
                <c:pt idx="95">
                  <c:v>60.4</c:v>
                </c:pt>
                <c:pt idx="96">
                  <c:v>60.2</c:v>
                </c:pt>
                <c:pt idx="97">
                  <c:v>60</c:v>
                </c:pt>
                <c:pt idx="98">
                  <c:v>59.8</c:v>
                </c:pt>
                <c:pt idx="99">
                  <c:v>59.6</c:v>
                </c:pt>
                <c:pt idx="100">
                  <c:v>59.5</c:v>
                </c:pt>
                <c:pt idx="101">
                  <c:v>59.3</c:v>
                </c:pt>
                <c:pt idx="102">
                  <c:v>59.1</c:v>
                </c:pt>
                <c:pt idx="103">
                  <c:v>58.9</c:v>
                </c:pt>
                <c:pt idx="104">
                  <c:v>58.7</c:v>
                </c:pt>
                <c:pt idx="105">
                  <c:v>58.5</c:v>
                </c:pt>
                <c:pt idx="106">
                  <c:v>58.3</c:v>
                </c:pt>
                <c:pt idx="107">
                  <c:v>58.1</c:v>
                </c:pt>
                <c:pt idx="108">
                  <c:v>57.9</c:v>
                </c:pt>
                <c:pt idx="109">
                  <c:v>57.7</c:v>
                </c:pt>
                <c:pt idx="110">
                  <c:v>57.5</c:v>
                </c:pt>
                <c:pt idx="111">
                  <c:v>57.3</c:v>
                </c:pt>
                <c:pt idx="112">
                  <c:v>57.1</c:v>
                </c:pt>
                <c:pt idx="113">
                  <c:v>56.9</c:v>
                </c:pt>
                <c:pt idx="114">
                  <c:v>56.7</c:v>
                </c:pt>
                <c:pt idx="115">
                  <c:v>56.5</c:v>
                </c:pt>
                <c:pt idx="116">
                  <c:v>56.4</c:v>
                </c:pt>
                <c:pt idx="117">
                  <c:v>56.2</c:v>
                </c:pt>
                <c:pt idx="118">
                  <c:v>56</c:v>
                </c:pt>
                <c:pt idx="119">
                  <c:v>55.8</c:v>
                </c:pt>
                <c:pt idx="120">
                  <c:v>55.6</c:v>
                </c:pt>
                <c:pt idx="121">
                  <c:v>55.4</c:v>
                </c:pt>
                <c:pt idx="122">
                  <c:v>55.2</c:v>
                </c:pt>
                <c:pt idx="123">
                  <c:v>55</c:v>
                </c:pt>
                <c:pt idx="124">
                  <c:v>54.5</c:v>
                </c:pt>
                <c:pt idx="125">
                  <c:v>54.1</c:v>
                </c:pt>
                <c:pt idx="126">
                  <c:v>53.6</c:v>
                </c:pt>
                <c:pt idx="127">
                  <c:v>53.1</c:v>
                </c:pt>
                <c:pt idx="128">
                  <c:v>52.7</c:v>
                </c:pt>
                <c:pt idx="129">
                  <c:v>52.2</c:v>
                </c:pt>
                <c:pt idx="130">
                  <c:v>51.7</c:v>
                </c:pt>
                <c:pt idx="131">
                  <c:v>51.3</c:v>
                </c:pt>
                <c:pt idx="132">
                  <c:v>50.8</c:v>
                </c:pt>
                <c:pt idx="133">
                  <c:v>50.3</c:v>
                </c:pt>
                <c:pt idx="134">
                  <c:v>49.9</c:v>
                </c:pt>
                <c:pt idx="135">
                  <c:v>49.4</c:v>
                </c:pt>
                <c:pt idx="136">
                  <c:v>48.9</c:v>
                </c:pt>
                <c:pt idx="137">
                  <c:v>48.5</c:v>
                </c:pt>
                <c:pt idx="138">
                  <c:v>48</c:v>
                </c:pt>
                <c:pt idx="139">
                  <c:v>47.5</c:v>
                </c:pt>
                <c:pt idx="140">
                  <c:v>47.1</c:v>
                </c:pt>
                <c:pt idx="141">
                  <c:v>46.6</c:v>
                </c:pt>
                <c:pt idx="142">
                  <c:v>46.1</c:v>
                </c:pt>
                <c:pt idx="143">
                  <c:v>45.7</c:v>
                </c:pt>
                <c:pt idx="144">
                  <c:v>45.2</c:v>
                </c:pt>
                <c:pt idx="145">
                  <c:v>44.7</c:v>
                </c:pt>
                <c:pt idx="146">
                  <c:v>44.3</c:v>
                </c:pt>
                <c:pt idx="147">
                  <c:v>43.8</c:v>
                </c:pt>
                <c:pt idx="148">
                  <c:v>43.3</c:v>
                </c:pt>
                <c:pt idx="149">
                  <c:v>42.9</c:v>
                </c:pt>
                <c:pt idx="150">
                  <c:v>42.4</c:v>
                </c:pt>
                <c:pt idx="151">
                  <c:v>41.9</c:v>
                </c:pt>
                <c:pt idx="152">
                  <c:v>41.5</c:v>
                </c:pt>
                <c:pt idx="153">
                  <c:v>41</c:v>
                </c:pt>
                <c:pt idx="154">
                  <c:v>40.700000000000003</c:v>
                </c:pt>
                <c:pt idx="155">
                  <c:v>40.4</c:v>
                </c:pt>
                <c:pt idx="156">
                  <c:v>40.1</c:v>
                </c:pt>
                <c:pt idx="157">
                  <c:v>39.799999999999997</c:v>
                </c:pt>
                <c:pt idx="158">
                  <c:v>39.5</c:v>
                </c:pt>
                <c:pt idx="159">
                  <c:v>39.299999999999997</c:v>
                </c:pt>
                <c:pt idx="160">
                  <c:v>39</c:v>
                </c:pt>
                <c:pt idx="161">
                  <c:v>38.700000000000003</c:v>
                </c:pt>
                <c:pt idx="162">
                  <c:v>38.4</c:v>
                </c:pt>
                <c:pt idx="163">
                  <c:v>38.1</c:v>
                </c:pt>
                <c:pt idx="164">
                  <c:v>37.799999999999997</c:v>
                </c:pt>
                <c:pt idx="165">
                  <c:v>37.5</c:v>
                </c:pt>
                <c:pt idx="166">
                  <c:v>37.200000000000003</c:v>
                </c:pt>
                <c:pt idx="167">
                  <c:v>36.9</c:v>
                </c:pt>
                <c:pt idx="168">
                  <c:v>36.6</c:v>
                </c:pt>
                <c:pt idx="169">
                  <c:v>36.4</c:v>
                </c:pt>
                <c:pt idx="170">
                  <c:v>36.1</c:v>
                </c:pt>
                <c:pt idx="171">
                  <c:v>35.799999999999997</c:v>
                </c:pt>
                <c:pt idx="172">
                  <c:v>35.5</c:v>
                </c:pt>
                <c:pt idx="173">
                  <c:v>35.200000000000003</c:v>
                </c:pt>
                <c:pt idx="174">
                  <c:v>34.9</c:v>
                </c:pt>
                <c:pt idx="175">
                  <c:v>34.6</c:v>
                </c:pt>
                <c:pt idx="176">
                  <c:v>34.299999999999997</c:v>
                </c:pt>
                <c:pt idx="177">
                  <c:v>34</c:v>
                </c:pt>
                <c:pt idx="178">
                  <c:v>33.700000000000003</c:v>
                </c:pt>
                <c:pt idx="179">
                  <c:v>33.5</c:v>
                </c:pt>
                <c:pt idx="180">
                  <c:v>33.200000000000003</c:v>
                </c:pt>
                <c:pt idx="181">
                  <c:v>32.9</c:v>
                </c:pt>
                <c:pt idx="182">
                  <c:v>32.6</c:v>
                </c:pt>
                <c:pt idx="183">
                  <c:v>32.299999999999997</c:v>
                </c:pt>
                <c:pt idx="184">
                  <c:v>32</c:v>
                </c:pt>
                <c:pt idx="185">
                  <c:v>31.8</c:v>
                </c:pt>
                <c:pt idx="186">
                  <c:v>31.5</c:v>
                </c:pt>
                <c:pt idx="187">
                  <c:v>31.3</c:v>
                </c:pt>
                <c:pt idx="188">
                  <c:v>31.1</c:v>
                </c:pt>
                <c:pt idx="189">
                  <c:v>30.9</c:v>
                </c:pt>
                <c:pt idx="190">
                  <c:v>30.6</c:v>
                </c:pt>
                <c:pt idx="191">
                  <c:v>30.4</c:v>
                </c:pt>
                <c:pt idx="192">
                  <c:v>30.2</c:v>
                </c:pt>
                <c:pt idx="193">
                  <c:v>30</c:v>
                </c:pt>
                <c:pt idx="194">
                  <c:v>29.7</c:v>
                </c:pt>
                <c:pt idx="195">
                  <c:v>29.5</c:v>
                </c:pt>
                <c:pt idx="196">
                  <c:v>29.3</c:v>
                </c:pt>
                <c:pt idx="197">
                  <c:v>29.1</c:v>
                </c:pt>
                <c:pt idx="198">
                  <c:v>28.8</c:v>
                </c:pt>
                <c:pt idx="199">
                  <c:v>28.6</c:v>
                </c:pt>
                <c:pt idx="200">
                  <c:v>28.4</c:v>
                </c:pt>
                <c:pt idx="201">
                  <c:v>28.2</c:v>
                </c:pt>
                <c:pt idx="202">
                  <c:v>27.9</c:v>
                </c:pt>
                <c:pt idx="203">
                  <c:v>27.7</c:v>
                </c:pt>
                <c:pt idx="204">
                  <c:v>27.5</c:v>
                </c:pt>
                <c:pt idx="205">
                  <c:v>27.3</c:v>
                </c:pt>
                <c:pt idx="206">
                  <c:v>27</c:v>
                </c:pt>
                <c:pt idx="207">
                  <c:v>26.8</c:v>
                </c:pt>
                <c:pt idx="208">
                  <c:v>26.6</c:v>
                </c:pt>
                <c:pt idx="209">
                  <c:v>26.4</c:v>
                </c:pt>
                <c:pt idx="210">
                  <c:v>26.1</c:v>
                </c:pt>
                <c:pt idx="211">
                  <c:v>25.9</c:v>
                </c:pt>
                <c:pt idx="212">
                  <c:v>25.5</c:v>
                </c:pt>
                <c:pt idx="213">
                  <c:v>25.1</c:v>
                </c:pt>
                <c:pt idx="214">
                  <c:v>24.700000000000003</c:v>
                </c:pt>
                <c:pt idx="215">
                  <c:v>24.300000000000004</c:v>
                </c:pt>
                <c:pt idx="216">
                  <c:v>23.900000000000006</c:v>
                </c:pt>
                <c:pt idx="217">
                  <c:v>23.500000000000007</c:v>
                </c:pt>
                <c:pt idx="218">
                  <c:v>23.100000000000009</c:v>
                </c:pt>
                <c:pt idx="219">
                  <c:v>22.70000000000001</c:v>
                </c:pt>
                <c:pt idx="220">
                  <c:v>22.300000000000011</c:v>
                </c:pt>
                <c:pt idx="221">
                  <c:v>21.900000000000013</c:v>
                </c:pt>
                <c:pt idx="222">
                  <c:v>21.500000000000014</c:v>
                </c:pt>
                <c:pt idx="223">
                  <c:v>21.100000000000016</c:v>
                </c:pt>
                <c:pt idx="224">
                  <c:v>20.700000000000017</c:v>
                </c:pt>
                <c:pt idx="225">
                  <c:v>20.300000000000018</c:v>
                </c:pt>
                <c:pt idx="226">
                  <c:v>20</c:v>
                </c:pt>
                <c:pt idx="227">
                  <c:v>19.8</c:v>
                </c:pt>
                <c:pt idx="228">
                  <c:v>19.7</c:v>
                </c:pt>
                <c:pt idx="229">
                  <c:v>19.600000000000001</c:v>
                </c:pt>
                <c:pt idx="230">
                  <c:v>19.5</c:v>
                </c:pt>
                <c:pt idx="231">
                  <c:v>19.399999999999999</c:v>
                </c:pt>
                <c:pt idx="232">
                  <c:v>19.3</c:v>
                </c:pt>
                <c:pt idx="233">
                  <c:v>19.2</c:v>
                </c:pt>
                <c:pt idx="234">
                  <c:v>19.100000000000001</c:v>
                </c:pt>
                <c:pt idx="235">
                  <c:v>19</c:v>
                </c:pt>
                <c:pt idx="236">
                  <c:v>18.899999999999999</c:v>
                </c:pt>
                <c:pt idx="237">
                  <c:v>18.8</c:v>
                </c:pt>
                <c:pt idx="238">
                  <c:v>18.7</c:v>
                </c:pt>
                <c:pt idx="239">
                  <c:v>18.600000000000001</c:v>
                </c:pt>
                <c:pt idx="240">
                  <c:v>18.5</c:v>
                </c:pt>
                <c:pt idx="241">
                  <c:v>18.399999999999999</c:v>
                </c:pt>
                <c:pt idx="242">
                  <c:v>18.3</c:v>
                </c:pt>
                <c:pt idx="243">
                  <c:v>18</c:v>
                </c:pt>
                <c:pt idx="244">
                  <c:v>17.899999999999999</c:v>
                </c:pt>
                <c:pt idx="245">
                  <c:v>17.899999999999999</c:v>
                </c:pt>
                <c:pt idx="246">
                  <c:v>17.8</c:v>
                </c:pt>
                <c:pt idx="247">
                  <c:v>17.7</c:v>
                </c:pt>
                <c:pt idx="248">
                  <c:v>17.7</c:v>
                </c:pt>
                <c:pt idx="249">
                  <c:v>17.600000000000001</c:v>
                </c:pt>
                <c:pt idx="250">
                  <c:v>17.5</c:v>
                </c:pt>
                <c:pt idx="251">
                  <c:v>17.5</c:v>
                </c:pt>
                <c:pt idx="252">
                  <c:v>17.399999999999999</c:v>
                </c:pt>
                <c:pt idx="253">
                  <c:v>17.399999999999999</c:v>
                </c:pt>
                <c:pt idx="254">
                  <c:v>17.3</c:v>
                </c:pt>
                <c:pt idx="255">
                  <c:v>17.2</c:v>
                </c:pt>
                <c:pt idx="256">
                  <c:v>17.2</c:v>
                </c:pt>
                <c:pt idx="257">
                  <c:v>17.100000000000001</c:v>
                </c:pt>
                <c:pt idx="258">
                  <c:v>17</c:v>
                </c:pt>
                <c:pt idx="259">
                  <c:v>17</c:v>
                </c:pt>
                <c:pt idx="260">
                  <c:v>16.899999999999999</c:v>
                </c:pt>
                <c:pt idx="261">
                  <c:v>16.8</c:v>
                </c:pt>
                <c:pt idx="262">
                  <c:v>16.8</c:v>
                </c:pt>
                <c:pt idx="263">
                  <c:v>16.7</c:v>
                </c:pt>
                <c:pt idx="264">
                  <c:v>16.600000000000001</c:v>
                </c:pt>
                <c:pt idx="265">
                  <c:v>16.600000000000001</c:v>
                </c:pt>
                <c:pt idx="266">
                  <c:v>16.5</c:v>
                </c:pt>
                <c:pt idx="267">
                  <c:v>16.5</c:v>
                </c:pt>
                <c:pt idx="268">
                  <c:v>16.399999999999999</c:v>
                </c:pt>
                <c:pt idx="269">
                  <c:v>16.3</c:v>
                </c:pt>
                <c:pt idx="270">
                  <c:v>16.3</c:v>
                </c:pt>
                <c:pt idx="271">
                  <c:v>16.2</c:v>
                </c:pt>
                <c:pt idx="272">
                  <c:v>16.100000000000001</c:v>
                </c:pt>
                <c:pt idx="273">
                  <c:v>16.100000000000001</c:v>
                </c:pt>
                <c:pt idx="274">
                  <c:v>16</c:v>
                </c:pt>
                <c:pt idx="275">
                  <c:v>16.2</c:v>
                </c:pt>
                <c:pt idx="276">
                  <c:v>16.399999999999999</c:v>
                </c:pt>
                <c:pt idx="277">
                  <c:v>16.600000000000001</c:v>
                </c:pt>
                <c:pt idx="278">
                  <c:v>16.8</c:v>
                </c:pt>
                <c:pt idx="279">
                  <c:v>17</c:v>
                </c:pt>
                <c:pt idx="280">
                  <c:v>17.2</c:v>
                </c:pt>
                <c:pt idx="281">
                  <c:v>17.399999999999999</c:v>
                </c:pt>
                <c:pt idx="282">
                  <c:v>17.600000000000001</c:v>
                </c:pt>
                <c:pt idx="283">
                  <c:v>17.8</c:v>
                </c:pt>
                <c:pt idx="284">
                  <c:v>18</c:v>
                </c:pt>
                <c:pt idx="285">
                  <c:v>18.2</c:v>
                </c:pt>
                <c:pt idx="286">
                  <c:v>18.399999999999999</c:v>
                </c:pt>
                <c:pt idx="287">
                  <c:v>18.600000000000001</c:v>
                </c:pt>
                <c:pt idx="288">
                  <c:v>18.8</c:v>
                </c:pt>
                <c:pt idx="289">
                  <c:v>19</c:v>
                </c:pt>
                <c:pt idx="290">
                  <c:v>19.2</c:v>
                </c:pt>
                <c:pt idx="291">
                  <c:v>19.399999999999999</c:v>
                </c:pt>
                <c:pt idx="292">
                  <c:v>19.600000000000001</c:v>
                </c:pt>
                <c:pt idx="293">
                  <c:v>19.8</c:v>
                </c:pt>
                <c:pt idx="294">
                  <c:v>20</c:v>
                </c:pt>
                <c:pt idx="295">
                  <c:v>20.2</c:v>
                </c:pt>
                <c:pt idx="296">
                  <c:v>20.399999999999999</c:v>
                </c:pt>
                <c:pt idx="297">
                  <c:v>20.6</c:v>
                </c:pt>
                <c:pt idx="298">
                  <c:v>20.8</c:v>
                </c:pt>
                <c:pt idx="299">
                  <c:v>21</c:v>
                </c:pt>
                <c:pt idx="300">
                  <c:v>21.2</c:v>
                </c:pt>
                <c:pt idx="301">
                  <c:v>21.4</c:v>
                </c:pt>
                <c:pt idx="302">
                  <c:v>21.6</c:v>
                </c:pt>
                <c:pt idx="303">
                  <c:v>21.8</c:v>
                </c:pt>
                <c:pt idx="304">
                  <c:v>22</c:v>
                </c:pt>
                <c:pt idx="305">
                  <c:v>22.4</c:v>
                </c:pt>
                <c:pt idx="306">
                  <c:v>22.7</c:v>
                </c:pt>
                <c:pt idx="307">
                  <c:v>23.1</c:v>
                </c:pt>
                <c:pt idx="308">
                  <c:v>23.4</c:v>
                </c:pt>
                <c:pt idx="309">
                  <c:v>23.8</c:v>
                </c:pt>
                <c:pt idx="310">
                  <c:v>24.1</c:v>
                </c:pt>
                <c:pt idx="311">
                  <c:v>24.5</c:v>
                </c:pt>
                <c:pt idx="312">
                  <c:v>24.8</c:v>
                </c:pt>
                <c:pt idx="313">
                  <c:v>25.2</c:v>
                </c:pt>
                <c:pt idx="314">
                  <c:v>25.5</c:v>
                </c:pt>
                <c:pt idx="315">
                  <c:v>25.9</c:v>
                </c:pt>
                <c:pt idx="316">
                  <c:v>26.3</c:v>
                </c:pt>
                <c:pt idx="317">
                  <c:v>26.6</c:v>
                </c:pt>
                <c:pt idx="318">
                  <c:v>27</c:v>
                </c:pt>
                <c:pt idx="319">
                  <c:v>27.3</c:v>
                </c:pt>
                <c:pt idx="320">
                  <c:v>27.7</c:v>
                </c:pt>
                <c:pt idx="321">
                  <c:v>28</c:v>
                </c:pt>
                <c:pt idx="322">
                  <c:v>28.4</c:v>
                </c:pt>
                <c:pt idx="323">
                  <c:v>28.7</c:v>
                </c:pt>
                <c:pt idx="324">
                  <c:v>29.1</c:v>
                </c:pt>
                <c:pt idx="325">
                  <c:v>29.5</c:v>
                </c:pt>
                <c:pt idx="326">
                  <c:v>29.8</c:v>
                </c:pt>
                <c:pt idx="327">
                  <c:v>30.2</c:v>
                </c:pt>
                <c:pt idx="328">
                  <c:v>30.5</c:v>
                </c:pt>
                <c:pt idx="329">
                  <c:v>30.9</c:v>
                </c:pt>
                <c:pt idx="330">
                  <c:v>31.2</c:v>
                </c:pt>
                <c:pt idx="331">
                  <c:v>31.6</c:v>
                </c:pt>
                <c:pt idx="332">
                  <c:v>31.9</c:v>
                </c:pt>
                <c:pt idx="333">
                  <c:v>32.299999999999997</c:v>
                </c:pt>
                <c:pt idx="334">
                  <c:v>32.6</c:v>
                </c:pt>
                <c:pt idx="335">
                  <c:v>33</c:v>
                </c:pt>
                <c:pt idx="336">
                  <c:v>33.9</c:v>
                </c:pt>
                <c:pt idx="337">
                  <c:v>34.700000000000003</c:v>
                </c:pt>
                <c:pt idx="338">
                  <c:v>35.6</c:v>
                </c:pt>
                <c:pt idx="339">
                  <c:v>36.5</c:v>
                </c:pt>
                <c:pt idx="340">
                  <c:v>37.299999999999997</c:v>
                </c:pt>
                <c:pt idx="341">
                  <c:v>38.200000000000003</c:v>
                </c:pt>
                <c:pt idx="342">
                  <c:v>39.1</c:v>
                </c:pt>
                <c:pt idx="343">
                  <c:v>39.9</c:v>
                </c:pt>
                <c:pt idx="344">
                  <c:v>40.799999999999997</c:v>
                </c:pt>
                <c:pt idx="345">
                  <c:v>41.7</c:v>
                </c:pt>
                <c:pt idx="346">
                  <c:v>42.5</c:v>
                </c:pt>
                <c:pt idx="347">
                  <c:v>43.4</c:v>
                </c:pt>
                <c:pt idx="348">
                  <c:v>44.3</c:v>
                </c:pt>
                <c:pt idx="349">
                  <c:v>45.1</c:v>
                </c:pt>
                <c:pt idx="350">
                  <c:v>46</c:v>
                </c:pt>
                <c:pt idx="351">
                  <c:v>46.9</c:v>
                </c:pt>
                <c:pt idx="352">
                  <c:v>47.7</c:v>
                </c:pt>
                <c:pt idx="353">
                  <c:v>48.6</c:v>
                </c:pt>
                <c:pt idx="354">
                  <c:v>49.5</c:v>
                </c:pt>
                <c:pt idx="355">
                  <c:v>50.3</c:v>
                </c:pt>
                <c:pt idx="356">
                  <c:v>51.2</c:v>
                </c:pt>
                <c:pt idx="357">
                  <c:v>52.1</c:v>
                </c:pt>
                <c:pt idx="358">
                  <c:v>52.9</c:v>
                </c:pt>
                <c:pt idx="359">
                  <c:v>53.8</c:v>
                </c:pt>
                <c:pt idx="360">
                  <c:v>54.7</c:v>
                </c:pt>
                <c:pt idx="361">
                  <c:v>55.5</c:v>
                </c:pt>
                <c:pt idx="362">
                  <c:v>56.4</c:v>
                </c:pt>
                <c:pt idx="363">
                  <c:v>57.3</c:v>
                </c:pt>
                <c:pt idx="364">
                  <c:v>58.1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AB-4677-946D-4330A614B150}"/>
            </c:ext>
          </c:extLst>
        </c:ser>
        <c:ser>
          <c:idx val="1"/>
          <c:order val="1"/>
          <c:tx>
            <c:strRef>
              <c:f>'Stock hydro'!$C$3</c:f>
              <c:strCache>
                <c:ptCount val="1"/>
                <c:pt idx="0">
                  <c:v>Lev High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'Stock hydro'!$A$4:$A$368</c:f>
              <c:strCache>
                <c:ptCount val="365"/>
                <c:pt idx="0">
                  <c:v>  JUL 04</c:v>
                </c:pt>
                <c:pt idx="1">
                  <c:v>  JUL 05</c:v>
                </c:pt>
                <c:pt idx="2">
                  <c:v>  JUL 06</c:v>
                </c:pt>
                <c:pt idx="3">
                  <c:v>  JUL 07</c:v>
                </c:pt>
                <c:pt idx="4">
                  <c:v>  JUL 08</c:v>
                </c:pt>
                <c:pt idx="5">
                  <c:v>  JUL 09</c:v>
                </c:pt>
                <c:pt idx="6">
                  <c:v>  JUL 10</c:v>
                </c:pt>
                <c:pt idx="7">
                  <c:v>  JUL 11</c:v>
                </c:pt>
                <c:pt idx="8">
                  <c:v>  JUL 12</c:v>
                </c:pt>
                <c:pt idx="9">
                  <c:v>  JUL 13</c:v>
                </c:pt>
                <c:pt idx="10">
                  <c:v>  JUL 14</c:v>
                </c:pt>
                <c:pt idx="11">
                  <c:v>  JUL 15</c:v>
                </c:pt>
                <c:pt idx="12">
                  <c:v>  JUL 16</c:v>
                </c:pt>
                <c:pt idx="13">
                  <c:v>  JUL 17</c:v>
                </c:pt>
                <c:pt idx="14">
                  <c:v>  JUL 18</c:v>
                </c:pt>
                <c:pt idx="15">
                  <c:v>  JUL 19</c:v>
                </c:pt>
                <c:pt idx="16">
                  <c:v>  JUL 20</c:v>
                </c:pt>
                <c:pt idx="17">
                  <c:v>  JUL 21</c:v>
                </c:pt>
                <c:pt idx="18">
                  <c:v>  JUL 22</c:v>
                </c:pt>
                <c:pt idx="19">
                  <c:v>  JUL 23</c:v>
                </c:pt>
                <c:pt idx="20">
                  <c:v>  JUL 24</c:v>
                </c:pt>
                <c:pt idx="21">
                  <c:v>  JUL 25</c:v>
                </c:pt>
                <c:pt idx="22">
                  <c:v>  JUL 26</c:v>
                </c:pt>
                <c:pt idx="23">
                  <c:v>  JUL 27</c:v>
                </c:pt>
                <c:pt idx="24">
                  <c:v>  JUL 28</c:v>
                </c:pt>
                <c:pt idx="25">
                  <c:v>  JUL 29</c:v>
                </c:pt>
                <c:pt idx="26">
                  <c:v>  JUL 30</c:v>
                </c:pt>
                <c:pt idx="27">
                  <c:v>  JUL 31</c:v>
                </c:pt>
                <c:pt idx="28">
                  <c:v>  AUG 01</c:v>
                </c:pt>
                <c:pt idx="29">
                  <c:v>  AUG 02</c:v>
                </c:pt>
                <c:pt idx="30">
                  <c:v>  AUG 03</c:v>
                </c:pt>
                <c:pt idx="31">
                  <c:v>  AUG 04</c:v>
                </c:pt>
                <c:pt idx="32">
                  <c:v>  AUG 05</c:v>
                </c:pt>
                <c:pt idx="33">
                  <c:v>  AUG 06</c:v>
                </c:pt>
                <c:pt idx="34">
                  <c:v>  AUG 07</c:v>
                </c:pt>
                <c:pt idx="35">
                  <c:v>  AUG 08</c:v>
                </c:pt>
                <c:pt idx="36">
                  <c:v>  AUG 09</c:v>
                </c:pt>
                <c:pt idx="37">
                  <c:v>  AUG 10</c:v>
                </c:pt>
                <c:pt idx="38">
                  <c:v>  AUG 11</c:v>
                </c:pt>
                <c:pt idx="39">
                  <c:v>  AUG 12</c:v>
                </c:pt>
                <c:pt idx="40">
                  <c:v>  AUG 13</c:v>
                </c:pt>
                <c:pt idx="41">
                  <c:v>  AUG 14</c:v>
                </c:pt>
                <c:pt idx="42">
                  <c:v>  AUG 15</c:v>
                </c:pt>
                <c:pt idx="43">
                  <c:v>  AUG 16</c:v>
                </c:pt>
                <c:pt idx="44">
                  <c:v>  AUG 17</c:v>
                </c:pt>
                <c:pt idx="45">
                  <c:v>  AUG 18</c:v>
                </c:pt>
                <c:pt idx="46">
                  <c:v>  AUG 19</c:v>
                </c:pt>
                <c:pt idx="47">
                  <c:v>  AUG 20</c:v>
                </c:pt>
                <c:pt idx="48">
                  <c:v>  AUG 21</c:v>
                </c:pt>
                <c:pt idx="49">
                  <c:v>  AUG 22</c:v>
                </c:pt>
                <c:pt idx="50">
                  <c:v>  AUG 23</c:v>
                </c:pt>
                <c:pt idx="51">
                  <c:v>  AUG 24</c:v>
                </c:pt>
                <c:pt idx="52">
                  <c:v>  AUG 25</c:v>
                </c:pt>
                <c:pt idx="53">
                  <c:v>  AUG 26</c:v>
                </c:pt>
                <c:pt idx="54">
                  <c:v>  AUG 27</c:v>
                </c:pt>
                <c:pt idx="55">
                  <c:v>  AUG 28</c:v>
                </c:pt>
                <c:pt idx="56">
                  <c:v>  AUG 29</c:v>
                </c:pt>
                <c:pt idx="57">
                  <c:v>  AUG 30</c:v>
                </c:pt>
                <c:pt idx="58">
                  <c:v>  AUG 31</c:v>
                </c:pt>
                <c:pt idx="59">
                  <c:v>  SEP 01</c:v>
                </c:pt>
                <c:pt idx="60">
                  <c:v>  SEP 02</c:v>
                </c:pt>
                <c:pt idx="61">
                  <c:v>  SEP 03</c:v>
                </c:pt>
                <c:pt idx="62">
                  <c:v>  SEP 04</c:v>
                </c:pt>
                <c:pt idx="63">
                  <c:v>  SEP 05</c:v>
                </c:pt>
                <c:pt idx="64">
                  <c:v>  SEP 06</c:v>
                </c:pt>
                <c:pt idx="65">
                  <c:v>  SEP 07</c:v>
                </c:pt>
                <c:pt idx="66">
                  <c:v>  SEP 08</c:v>
                </c:pt>
                <c:pt idx="67">
                  <c:v>  SEP 09</c:v>
                </c:pt>
                <c:pt idx="68">
                  <c:v>  SEP 10</c:v>
                </c:pt>
                <c:pt idx="69">
                  <c:v>  SEP 11</c:v>
                </c:pt>
                <c:pt idx="70">
                  <c:v>  SEP 12</c:v>
                </c:pt>
                <c:pt idx="71">
                  <c:v>  SEP 13</c:v>
                </c:pt>
                <c:pt idx="72">
                  <c:v>  SEP 14</c:v>
                </c:pt>
                <c:pt idx="73">
                  <c:v>  SEP 15</c:v>
                </c:pt>
                <c:pt idx="74">
                  <c:v>  SEP 16</c:v>
                </c:pt>
                <c:pt idx="75">
                  <c:v>  SEP 17</c:v>
                </c:pt>
                <c:pt idx="76">
                  <c:v>  SEP 18</c:v>
                </c:pt>
                <c:pt idx="77">
                  <c:v>  SEP 19</c:v>
                </c:pt>
                <c:pt idx="78">
                  <c:v>  SEP 20</c:v>
                </c:pt>
                <c:pt idx="79">
                  <c:v>  SEP 21</c:v>
                </c:pt>
                <c:pt idx="80">
                  <c:v>  SEP 22</c:v>
                </c:pt>
                <c:pt idx="81">
                  <c:v>  SEP 23</c:v>
                </c:pt>
                <c:pt idx="82">
                  <c:v>  SEP 24</c:v>
                </c:pt>
                <c:pt idx="83">
                  <c:v>  SEP 25</c:v>
                </c:pt>
                <c:pt idx="84">
                  <c:v>  SEP 26</c:v>
                </c:pt>
                <c:pt idx="85">
                  <c:v>  SEP 27</c:v>
                </c:pt>
                <c:pt idx="86">
                  <c:v>  SEP 28</c:v>
                </c:pt>
                <c:pt idx="87">
                  <c:v>  SEP 29</c:v>
                </c:pt>
                <c:pt idx="88">
                  <c:v>  SEP 30</c:v>
                </c:pt>
                <c:pt idx="89">
                  <c:v>  OCT 01</c:v>
                </c:pt>
                <c:pt idx="90">
                  <c:v>  OCT 02</c:v>
                </c:pt>
                <c:pt idx="91">
                  <c:v>  OCT 03</c:v>
                </c:pt>
                <c:pt idx="92">
                  <c:v>  OCT 04</c:v>
                </c:pt>
                <c:pt idx="93">
                  <c:v>  OCT 05</c:v>
                </c:pt>
                <c:pt idx="94">
                  <c:v>  OCT 06</c:v>
                </c:pt>
                <c:pt idx="95">
                  <c:v>  OCT 07</c:v>
                </c:pt>
                <c:pt idx="96">
                  <c:v>  OCT 08</c:v>
                </c:pt>
                <c:pt idx="97">
                  <c:v>  OCT 09</c:v>
                </c:pt>
                <c:pt idx="98">
                  <c:v>  OCT 10</c:v>
                </c:pt>
                <c:pt idx="99">
                  <c:v>  OCT 11</c:v>
                </c:pt>
                <c:pt idx="100">
                  <c:v>  OCT 12</c:v>
                </c:pt>
                <c:pt idx="101">
                  <c:v>  OCT 13</c:v>
                </c:pt>
                <c:pt idx="102">
                  <c:v>  OCT 14</c:v>
                </c:pt>
                <c:pt idx="103">
                  <c:v>  OCT 15</c:v>
                </c:pt>
                <c:pt idx="104">
                  <c:v>  OCT 16</c:v>
                </c:pt>
                <c:pt idx="105">
                  <c:v>  OCT 17</c:v>
                </c:pt>
                <c:pt idx="106">
                  <c:v>  OCT 18</c:v>
                </c:pt>
                <c:pt idx="107">
                  <c:v>  OCT 19</c:v>
                </c:pt>
                <c:pt idx="108">
                  <c:v>  OCT 20</c:v>
                </c:pt>
                <c:pt idx="109">
                  <c:v>  OCT 21</c:v>
                </c:pt>
                <c:pt idx="110">
                  <c:v>  OCT 22</c:v>
                </c:pt>
                <c:pt idx="111">
                  <c:v>  OCT 23</c:v>
                </c:pt>
                <c:pt idx="112">
                  <c:v>  OCT 24</c:v>
                </c:pt>
                <c:pt idx="113">
                  <c:v>  OCT 25</c:v>
                </c:pt>
                <c:pt idx="114">
                  <c:v>  OCT 26</c:v>
                </c:pt>
                <c:pt idx="115">
                  <c:v>  OCT 27</c:v>
                </c:pt>
                <c:pt idx="116">
                  <c:v>  OCT 28</c:v>
                </c:pt>
                <c:pt idx="117">
                  <c:v>  OCT 29</c:v>
                </c:pt>
                <c:pt idx="118">
                  <c:v>  OCT 30</c:v>
                </c:pt>
                <c:pt idx="119">
                  <c:v>  OCT 31</c:v>
                </c:pt>
                <c:pt idx="120">
                  <c:v>  NOV 01</c:v>
                </c:pt>
                <c:pt idx="121">
                  <c:v>  NOV 02</c:v>
                </c:pt>
                <c:pt idx="122">
                  <c:v>  NOV 03</c:v>
                </c:pt>
                <c:pt idx="123">
                  <c:v>  NOV 04</c:v>
                </c:pt>
                <c:pt idx="124">
                  <c:v>  NOV 05</c:v>
                </c:pt>
                <c:pt idx="125">
                  <c:v>  NOV 06</c:v>
                </c:pt>
                <c:pt idx="126">
                  <c:v>  NOV 07</c:v>
                </c:pt>
                <c:pt idx="127">
                  <c:v>  NOV 08</c:v>
                </c:pt>
                <c:pt idx="128">
                  <c:v>  NOV 09</c:v>
                </c:pt>
                <c:pt idx="129">
                  <c:v>  NOV 10</c:v>
                </c:pt>
                <c:pt idx="130">
                  <c:v>  NOV 11</c:v>
                </c:pt>
                <c:pt idx="131">
                  <c:v>  NOV 12</c:v>
                </c:pt>
                <c:pt idx="132">
                  <c:v>  NOV 13</c:v>
                </c:pt>
                <c:pt idx="133">
                  <c:v>  NOV 14</c:v>
                </c:pt>
                <c:pt idx="134">
                  <c:v>  NOV 15</c:v>
                </c:pt>
                <c:pt idx="135">
                  <c:v>  NOV 16</c:v>
                </c:pt>
                <c:pt idx="136">
                  <c:v>  NOV 17</c:v>
                </c:pt>
                <c:pt idx="137">
                  <c:v>  NOV 18</c:v>
                </c:pt>
                <c:pt idx="138">
                  <c:v>  NOV 19</c:v>
                </c:pt>
                <c:pt idx="139">
                  <c:v>  NOV 20</c:v>
                </c:pt>
                <c:pt idx="140">
                  <c:v>  NOV 21</c:v>
                </c:pt>
                <c:pt idx="141">
                  <c:v>  NOV 22</c:v>
                </c:pt>
                <c:pt idx="142">
                  <c:v>  NOV 23</c:v>
                </c:pt>
                <c:pt idx="143">
                  <c:v>  NOV 24</c:v>
                </c:pt>
                <c:pt idx="144">
                  <c:v>  NOV 25</c:v>
                </c:pt>
                <c:pt idx="145">
                  <c:v>  NOV 26</c:v>
                </c:pt>
                <c:pt idx="146">
                  <c:v>  NOV 27</c:v>
                </c:pt>
                <c:pt idx="147">
                  <c:v>  NOV 28</c:v>
                </c:pt>
                <c:pt idx="148">
                  <c:v>  NOV 29</c:v>
                </c:pt>
                <c:pt idx="149">
                  <c:v>  NOV 30</c:v>
                </c:pt>
                <c:pt idx="150">
                  <c:v>  DEC 01</c:v>
                </c:pt>
                <c:pt idx="151">
                  <c:v>  DEC 02</c:v>
                </c:pt>
                <c:pt idx="152">
                  <c:v>  DEC 03</c:v>
                </c:pt>
                <c:pt idx="153">
                  <c:v>  DEC 04</c:v>
                </c:pt>
                <c:pt idx="154">
                  <c:v>  DEC 05</c:v>
                </c:pt>
                <c:pt idx="155">
                  <c:v>  DEC 06</c:v>
                </c:pt>
                <c:pt idx="156">
                  <c:v>  DEC 07</c:v>
                </c:pt>
                <c:pt idx="157">
                  <c:v>  DEC 08</c:v>
                </c:pt>
                <c:pt idx="158">
                  <c:v>  DEC 09</c:v>
                </c:pt>
                <c:pt idx="159">
                  <c:v>  DEC 10</c:v>
                </c:pt>
                <c:pt idx="160">
                  <c:v>  DEC 11</c:v>
                </c:pt>
                <c:pt idx="161">
                  <c:v>  DEC 12</c:v>
                </c:pt>
                <c:pt idx="162">
                  <c:v>  DEC 13</c:v>
                </c:pt>
                <c:pt idx="163">
                  <c:v>  DEC 14</c:v>
                </c:pt>
                <c:pt idx="164">
                  <c:v>  DEC 15</c:v>
                </c:pt>
                <c:pt idx="165">
                  <c:v>  DEC 16</c:v>
                </c:pt>
                <c:pt idx="166">
                  <c:v>  DEC 17</c:v>
                </c:pt>
                <c:pt idx="167">
                  <c:v>  DEC 18</c:v>
                </c:pt>
                <c:pt idx="168">
                  <c:v>  DEC 19</c:v>
                </c:pt>
                <c:pt idx="169">
                  <c:v>  DEC 20</c:v>
                </c:pt>
                <c:pt idx="170">
                  <c:v>  DEC 21</c:v>
                </c:pt>
                <c:pt idx="171">
                  <c:v>  DEC 22</c:v>
                </c:pt>
                <c:pt idx="172">
                  <c:v>  DEC 23</c:v>
                </c:pt>
                <c:pt idx="173">
                  <c:v>  DEC 24</c:v>
                </c:pt>
                <c:pt idx="174">
                  <c:v>  DEC 25</c:v>
                </c:pt>
                <c:pt idx="175">
                  <c:v>  DEC 26</c:v>
                </c:pt>
                <c:pt idx="176">
                  <c:v>  DEC 27</c:v>
                </c:pt>
                <c:pt idx="177">
                  <c:v>  DEC 28</c:v>
                </c:pt>
                <c:pt idx="178">
                  <c:v>  DEC 29</c:v>
                </c:pt>
                <c:pt idx="179">
                  <c:v>  DEC 30</c:v>
                </c:pt>
                <c:pt idx="180">
                  <c:v>  DEC 31</c:v>
                </c:pt>
                <c:pt idx="181">
                  <c:v>  JAN 01</c:v>
                </c:pt>
                <c:pt idx="182">
                  <c:v>  JAN 02</c:v>
                </c:pt>
                <c:pt idx="183">
                  <c:v>  JAN 03</c:v>
                </c:pt>
                <c:pt idx="184">
                  <c:v>  JAN 04</c:v>
                </c:pt>
                <c:pt idx="185">
                  <c:v>  JAN 05</c:v>
                </c:pt>
                <c:pt idx="186">
                  <c:v>  JAN 06</c:v>
                </c:pt>
                <c:pt idx="187">
                  <c:v>  JAN 07</c:v>
                </c:pt>
                <c:pt idx="188">
                  <c:v>  JAN 08</c:v>
                </c:pt>
                <c:pt idx="189">
                  <c:v>  JAN 09</c:v>
                </c:pt>
                <c:pt idx="190">
                  <c:v>  JAN 10</c:v>
                </c:pt>
                <c:pt idx="191">
                  <c:v>  JAN 11</c:v>
                </c:pt>
                <c:pt idx="192">
                  <c:v>  JAN 12</c:v>
                </c:pt>
                <c:pt idx="193">
                  <c:v>  JAN 13</c:v>
                </c:pt>
                <c:pt idx="194">
                  <c:v>  JAN 14</c:v>
                </c:pt>
                <c:pt idx="195">
                  <c:v>  JAN 15</c:v>
                </c:pt>
                <c:pt idx="196">
                  <c:v>  JAN 16</c:v>
                </c:pt>
                <c:pt idx="197">
                  <c:v>  JAN 17</c:v>
                </c:pt>
                <c:pt idx="198">
                  <c:v>  JAN 18</c:v>
                </c:pt>
                <c:pt idx="199">
                  <c:v>  JAN 19</c:v>
                </c:pt>
                <c:pt idx="200">
                  <c:v>  JAN 20</c:v>
                </c:pt>
                <c:pt idx="201">
                  <c:v>  JAN 21</c:v>
                </c:pt>
                <c:pt idx="202">
                  <c:v>  JAN 22</c:v>
                </c:pt>
                <c:pt idx="203">
                  <c:v>  JAN 23</c:v>
                </c:pt>
                <c:pt idx="204">
                  <c:v>  JAN 24</c:v>
                </c:pt>
                <c:pt idx="205">
                  <c:v>  JAN 25</c:v>
                </c:pt>
                <c:pt idx="206">
                  <c:v>  JAN 26</c:v>
                </c:pt>
                <c:pt idx="207">
                  <c:v>  JAN 27</c:v>
                </c:pt>
                <c:pt idx="208">
                  <c:v>  JAN 28</c:v>
                </c:pt>
                <c:pt idx="209">
                  <c:v>  JAN 29</c:v>
                </c:pt>
                <c:pt idx="210">
                  <c:v>  JAN 30</c:v>
                </c:pt>
                <c:pt idx="211">
                  <c:v>  JAN 31</c:v>
                </c:pt>
                <c:pt idx="212">
                  <c:v>  FEB 01</c:v>
                </c:pt>
                <c:pt idx="213">
                  <c:v>  FEB 02</c:v>
                </c:pt>
                <c:pt idx="214">
                  <c:v>  FEB 03</c:v>
                </c:pt>
                <c:pt idx="215">
                  <c:v>  FEB 04</c:v>
                </c:pt>
                <c:pt idx="216">
                  <c:v>  FEB 05</c:v>
                </c:pt>
                <c:pt idx="217">
                  <c:v>  FEB 06</c:v>
                </c:pt>
                <c:pt idx="218">
                  <c:v>  FEB 07</c:v>
                </c:pt>
                <c:pt idx="219">
                  <c:v>  FEB 08</c:v>
                </c:pt>
                <c:pt idx="220">
                  <c:v>  FEB 09</c:v>
                </c:pt>
                <c:pt idx="221">
                  <c:v>  FEB 10</c:v>
                </c:pt>
                <c:pt idx="222">
                  <c:v>  FEB 11</c:v>
                </c:pt>
                <c:pt idx="223">
                  <c:v>  FEB 12</c:v>
                </c:pt>
                <c:pt idx="224">
                  <c:v>  FEB 13</c:v>
                </c:pt>
                <c:pt idx="225">
                  <c:v>  FEB 14</c:v>
                </c:pt>
                <c:pt idx="226">
                  <c:v>  FEB 15</c:v>
                </c:pt>
                <c:pt idx="227">
                  <c:v>  FEB 16</c:v>
                </c:pt>
                <c:pt idx="228">
                  <c:v>  FEB 17</c:v>
                </c:pt>
                <c:pt idx="229">
                  <c:v>  FEB 18</c:v>
                </c:pt>
                <c:pt idx="230">
                  <c:v>  FEB 19</c:v>
                </c:pt>
                <c:pt idx="231">
                  <c:v>  FEB 20</c:v>
                </c:pt>
                <c:pt idx="232">
                  <c:v>  FEB 21</c:v>
                </c:pt>
                <c:pt idx="233">
                  <c:v>  FEB 22</c:v>
                </c:pt>
                <c:pt idx="234">
                  <c:v>  FEB 23</c:v>
                </c:pt>
                <c:pt idx="235">
                  <c:v>  FEB 24</c:v>
                </c:pt>
                <c:pt idx="236">
                  <c:v>  FEB 25</c:v>
                </c:pt>
                <c:pt idx="237">
                  <c:v>  FEB 26</c:v>
                </c:pt>
                <c:pt idx="238">
                  <c:v>  FEB 27</c:v>
                </c:pt>
                <c:pt idx="239">
                  <c:v>  FEB 28</c:v>
                </c:pt>
                <c:pt idx="240">
                  <c:v>  MAR 01</c:v>
                </c:pt>
                <c:pt idx="241">
                  <c:v>  MAR 02</c:v>
                </c:pt>
                <c:pt idx="242">
                  <c:v>  MAR 03</c:v>
                </c:pt>
                <c:pt idx="243">
                  <c:v>  MAR 04</c:v>
                </c:pt>
                <c:pt idx="244">
                  <c:v>  MAR 05</c:v>
                </c:pt>
                <c:pt idx="245">
                  <c:v>  MAR 06</c:v>
                </c:pt>
                <c:pt idx="246">
                  <c:v>  MAR 07</c:v>
                </c:pt>
                <c:pt idx="247">
                  <c:v>  MAR 08</c:v>
                </c:pt>
                <c:pt idx="248">
                  <c:v>  MAR 09</c:v>
                </c:pt>
                <c:pt idx="249">
                  <c:v>  MAR 10</c:v>
                </c:pt>
                <c:pt idx="250">
                  <c:v>  MAR 11</c:v>
                </c:pt>
                <c:pt idx="251">
                  <c:v>  MAR 12</c:v>
                </c:pt>
                <c:pt idx="252">
                  <c:v>  MAR 13</c:v>
                </c:pt>
                <c:pt idx="253">
                  <c:v>  MAR 14</c:v>
                </c:pt>
                <c:pt idx="254">
                  <c:v>  MAR 15</c:v>
                </c:pt>
                <c:pt idx="255">
                  <c:v>  MAR 16</c:v>
                </c:pt>
                <c:pt idx="256">
                  <c:v>  MAR 17</c:v>
                </c:pt>
                <c:pt idx="257">
                  <c:v>  MAR 18</c:v>
                </c:pt>
                <c:pt idx="258">
                  <c:v>  MAR 19</c:v>
                </c:pt>
                <c:pt idx="259">
                  <c:v>  MAR 20</c:v>
                </c:pt>
                <c:pt idx="260">
                  <c:v>  MAR 21</c:v>
                </c:pt>
                <c:pt idx="261">
                  <c:v>  MAR 22</c:v>
                </c:pt>
                <c:pt idx="262">
                  <c:v>  MAR 23</c:v>
                </c:pt>
                <c:pt idx="263">
                  <c:v>  MAR 24</c:v>
                </c:pt>
                <c:pt idx="264">
                  <c:v>  MAR 25</c:v>
                </c:pt>
                <c:pt idx="265">
                  <c:v>  MAR 26</c:v>
                </c:pt>
                <c:pt idx="266">
                  <c:v>  MAR 27</c:v>
                </c:pt>
                <c:pt idx="267">
                  <c:v>  MAR 28</c:v>
                </c:pt>
                <c:pt idx="268">
                  <c:v>  MAR 29</c:v>
                </c:pt>
                <c:pt idx="269">
                  <c:v>  MAR 30</c:v>
                </c:pt>
                <c:pt idx="270">
                  <c:v>  MAR 31</c:v>
                </c:pt>
                <c:pt idx="271">
                  <c:v>  APR 01</c:v>
                </c:pt>
                <c:pt idx="272">
                  <c:v>  APR 02</c:v>
                </c:pt>
                <c:pt idx="273">
                  <c:v>  APR 03</c:v>
                </c:pt>
                <c:pt idx="274">
                  <c:v>  APR 04</c:v>
                </c:pt>
                <c:pt idx="275">
                  <c:v>  APR 05</c:v>
                </c:pt>
                <c:pt idx="276">
                  <c:v>  APR 06</c:v>
                </c:pt>
                <c:pt idx="277">
                  <c:v>  APR 07</c:v>
                </c:pt>
                <c:pt idx="278">
                  <c:v>  APR 08</c:v>
                </c:pt>
                <c:pt idx="279">
                  <c:v>  APR 09</c:v>
                </c:pt>
                <c:pt idx="280">
                  <c:v>  APR 10</c:v>
                </c:pt>
                <c:pt idx="281">
                  <c:v>  APR 11</c:v>
                </c:pt>
                <c:pt idx="282">
                  <c:v>  APR 12</c:v>
                </c:pt>
                <c:pt idx="283">
                  <c:v>  APR 13</c:v>
                </c:pt>
                <c:pt idx="284">
                  <c:v>  APR 14</c:v>
                </c:pt>
                <c:pt idx="285">
                  <c:v>  APR 15</c:v>
                </c:pt>
                <c:pt idx="286">
                  <c:v>  APR 16</c:v>
                </c:pt>
                <c:pt idx="287">
                  <c:v>  APR 17</c:v>
                </c:pt>
                <c:pt idx="288">
                  <c:v>  APR 18</c:v>
                </c:pt>
                <c:pt idx="289">
                  <c:v>  APR 19</c:v>
                </c:pt>
                <c:pt idx="290">
                  <c:v>  APR 20</c:v>
                </c:pt>
                <c:pt idx="291">
                  <c:v>  APR 21</c:v>
                </c:pt>
                <c:pt idx="292">
                  <c:v>  APR 22</c:v>
                </c:pt>
                <c:pt idx="293">
                  <c:v>  APR 23</c:v>
                </c:pt>
                <c:pt idx="294">
                  <c:v>  APR 24</c:v>
                </c:pt>
                <c:pt idx="295">
                  <c:v>  APR 25</c:v>
                </c:pt>
                <c:pt idx="296">
                  <c:v>  APR 26</c:v>
                </c:pt>
                <c:pt idx="297">
                  <c:v>  APR 27</c:v>
                </c:pt>
                <c:pt idx="298">
                  <c:v>  APR 28</c:v>
                </c:pt>
                <c:pt idx="299">
                  <c:v>  APR 29</c:v>
                </c:pt>
                <c:pt idx="300">
                  <c:v>  APR 30</c:v>
                </c:pt>
                <c:pt idx="301">
                  <c:v>  MAY 01</c:v>
                </c:pt>
                <c:pt idx="302">
                  <c:v>  MAY 02</c:v>
                </c:pt>
                <c:pt idx="303">
                  <c:v>  MAY 03</c:v>
                </c:pt>
                <c:pt idx="304">
                  <c:v>  MAY 04</c:v>
                </c:pt>
                <c:pt idx="305">
                  <c:v>  MAY 05</c:v>
                </c:pt>
                <c:pt idx="306">
                  <c:v>  MAY 06</c:v>
                </c:pt>
                <c:pt idx="307">
                  <c:v>  MAY 07</c:v>
                </c:pt>
                <c:pt idx="308">
                  <c:v>  MAY 08</c:v>
                </c:pt>
                <c:pt idx="309">
                  <c:v>  MAY 09</c:v>
                </c:pt>
                <c:pt idx="310">
                  <c:v>  MAY 10</c:v>
                </c:pt>
                <c:pt idx="311">
                  <c:v>  MAY 11</c:v>
                </c:pt>
                <c:pt idx="312">
                  <c:v>  MAY 12</c:v>
                </c:pt>
                <c:pt idx="313">
                  <c:v>  MAY 13</c:v>
                </c:pt>
                <c:pt idx="314">
                  <c:v>  MAY 14</c:v>
                </c:pt>
                <c:pt idx="315">
                  <c:v>  MAY 15</c:v>
                </c:pt>
                <c:pt idx="316">
                  <c:v>  MAY 16</c:v>
                </c:pt>
                <c:pt idx="317">
                  <c:v>  MAY 17</c:v>
                </c:pt>
                <c:pt idx="318">
                  <c:v>  MAY 18</c:v>
                </c:pt>
                <c:pt idx="319">
                  <c:v>  MAY 19</c:v>
                </c:pt>
                <c:pt idx="320">
                  <c:v>  MAY 20</c:v>
                </c:pt>
                <c:pt idx="321">
                  <c:v>  MAY 21</c:v>
                </c:pt>
                <c:pt idx="322">
                  <c:v>  MAY 22</c:v>
                </c:pt>
                <c:pt idx="323">
                  <c:v>  MAY 23</c:v>
                </c:pt>
                <c:pt idx="324">
                  <c:v>  MAY 24</c:v>
                </c:pt>
                <c:pt idx="325">
                  <c:v>  MAY 25</c:v>
                </c:pt>
                <c:pt idx="326">
                  <c:v>  MAY 26</c:v>
                </c:pt>
                <c:pt idx="327">
                  <c:v>  MAY 27</c:v>
                </c:pt>
                <c:pt idx="328">
                  <c:v>  MAY 28</c:v>
                </c:pt>
                <c:pt idx="329">
                  <c:v>  MAY 29</c:v>
                </c:pt>
                <c:pt idx="330">
                  <c:v>  MAY 30</c:v>
                </c:pt>
                <c:pt idx="331">
                  <c:v>  MAY 31</c:v>
                </c:pt>
                <c:pt idx="332">
                  <c:v>  JUN 01</c:v>
                </c:pt>
                <c:pt idx="333">
                  <c:v>  JUN 02</c:v>
                </c:pt>
                <c:pt idx="334">
                  <c:v>  JUN 03</c:v>
                </c:pt>
                <c:pt idx="335">
                  <c:v>  JUN 04</c:v>
                </c:pt>
                <c:pt idx="336">
                  <c:v>  JUN 05</c:v>
                </c:pt>
                <c:pt idx="337">
                  <c:v>  JUN 06</c:v>
                </c:pt>
                <c:pt idx="338">
                  <c:v>  JUN 07</c:v>
                </c:pt>
                <c:pt idx="339">
                  <c:v>  JUN 08</c:v>
                </c:pt>
                <c:pt idx="340">
                  <c:v>  JUN 09</c:v>
                </c:pt>
                <c:pt idx="341">
                  <c:v>  JUN 10</c:v>
                </c:pt>
                <c:pt idx="342">
                  <c:v>  JUN 11</c:v>
                </c:pt>
                <c:pt idx="343">
                  <c:v>  JUN 12</c:v>
                </c:pt>
                <c:pt idx="344">
                  <c:v>  JUN 13</c:v>
                </c:pt>
                <c:pt idx="345">
                  <c:v>  JUN 14</c:v>
                </c:pt>
                <c:pt idx="346">
                  <c:v>  JUN 15</c:v>
                </c:pt>
                <c:pt idx="347">
                  <c:v>  JUN 16</c:v>
                </c:pt>
                <c:pt idx="348">
                  <c:v>  JUN 17</c:v>
                </c:pt>
                <c:pt idx="349">
                  <c:v>  JUN 18</c:v>
                </c:pt>
                <c:pt idx="350">
                  <c:v>  JUN 19</c:v>
                </c:pt>
                <c:pt idx="351">
                  <c:v>  JUN 20</c:v>
                </c:pt>
                <c:pt idx="352">
                  <c:v>  JUN 21</c:v>
                </c:pt>
                <c:pt idx="353">
                  <c:v>  JUN 22</c:v>
                </c:pt>
                <c:pt idx="354">
                  <c:v>  JUN 23</c:v>
                </c:pt>
                <c:pt idx="355">
                  <c:v>  JUN 24</c:v>
                </c:pt>
                <c:pt idx="356">
                  <c:v>  JUN 25</c:v>
                </c:pt>
                <c:pt idx="357">
                  <c:v>  JUN 26</c:v>
                </c:pt>
                <c:pt idx="358">
                  <c:v>  JUN 27</c:v>
                </c:pt>
                <c:pt idx="359">
                  <c:v>  JUN 28</c:v>
                </c:pt>
                <c:pt idx="360">
                  <c:v>  JUN 29</c:v>
                </c:pt>
                <c:pt idx="361">
                  <c:v>  JUN 30</c:v>
                </c:pt>
                <c:pt idx="362">
                  <c:v>  JUL 01</c:v>
                </c:pt>
                <c:pt idx="363">
                  <c:v>  JUL 02</c:v>
                </c:pt>
                <c:pt idx="364">
                  <c:v>  JUL 03</c:v>
                </c:pt>
              </c:strCache>
            </c:strRef>
          </c:cat>
          <c:val>
            <c:numRef>
              <c:f>'Stock hydro'!$C$4:$C$368</c:f>
              <c:numCache>
                <c:formatCode>General</c:formatCode>
                <c:ptCount val="365"/>
                <c:pt idx="0">
                  <c:v>81</c:v>
                </c:pt>
                <c:pt idx="1">
                  <c:v>81.2</c:v>
                </c:pt>
                <c:pt idx="2">
                  <c:v>81.400000000000006</c:v>
                </c:pt>
                <c:pt idx="3">
                  <c:v>81.599999999999994</c:v>
                </c:pt>
                <c:pt idx="4">
                  <c:v>81.8</c:v>
                </c:pt>
                <c:pt idx="5">
                  <c:v>82</c:v>
                </c:pt>
                <c:pt idx="6">
                  <c:v>82.2</c:v>
                </c:pt>
                <c:pt idx="7">
                  <c:v>82.4</c:v>
                </c:pt>
                <c:pt idx="8">
                  <c:v>82.5</c:v>
                </c:pt>
                <c:pt idx="9">
                  <c:v>82.7</c:v>
                </c:pt>
                <c:pt idx="10">
                  <c:v>82.9</c:v>
                </c:pt>
                <c:pt idx="11">
                  <c:v>83.1</c:v>
                </c:pt>
                <c:pt idx="12">
                  <c:v>83.3</c:v>
                </c:pt>
                <c:pt idx="13">
                  <c:v>83.5</c:v>
                </c:pt>
                <c:pt idx="14">
                  <c:v>83.7</c:v>
                </c:pt>
                <c:pt idx="15">
                  <c:v>83.9</c:v>
                </c:pt>
                <c:pt idx="16">
                  <c:v>84.1</c:v>
                </c:pt>
                <c:pt idx="17">
                  <c:v>84.3</c:v>
                </c:pt>
                <c:pt idx="18">
                  <c:v>84.5</c:v>
                </c:pt>
                <c:pt idx="19">
                  <c:v>84.7</c:v>
                </c:pt>
                <c:pt idx="20">
                  <c:v>84.9</c:v>
                </c:pt>
                <c:pt idx="21">
                  <c:v>85.1</c:v>
                </c:pt>
                <c:pt idx="22">
                  <c:v>85.3</c:v>
                </c:pt>
                <c:pt idx="23">
                  <c:v>85.5</c:v>
                </c:pt>
                <c:pt idx="24">
                  <c:v>85.6</c:v>
                </c:pt>
                <c:pt idx="25">
                  <c:v>85.8</c:v>
                </c:pt>
                <c:pt idx="26">
                  <c:v>86</c:v>
                </c:pt>
                <c:pt idx="27">
                  <c:v>86.2</c:v>
                </c:pt>
                <c:pt idx="28">
                  <c:v>86.4</c:v>
                </c:pt>
                <c:pt idx="29">
                  <c:v>86.6</c:v>
                </c:pt>
                <c:pt idx="30">
                  <c:v>86.8</c:v>
                </c:pt>
                <c:pt idx="31">
                  <c:v>87</c:v>
                </c:pt>
                <c:pt idx="32">
                  <c:v>87.1</c:v>
                </c:pt>
                <c:pt idx="33">
                  <c:v>87.2</c:v>
                </c:pt>
                <c:pt idx="34">
                  <c:v>87.3</c:v>
                </c:pt>
                <c:pt idx="35">
                  <c:v>87.4</c:v>
                </c:pt>
                <c:pt idx="36">
                  <c:v>87.5</c:v>
                </c:pt>
                <c:pt idx="37">
                  <c:v>87.6</c:v>
                </c:pt>
                <c:pt idx="38">
                  <c:v>87.7</c:v>
                </c:pt>
                <c:pt idx="39">
                  <c:v>87.8</c:v>
                </c:pt>
                <c:pt idx="40">
                  <c:v>87.9</c:v>
                </c:pt>
                <c:pt idx="41">
                  <c:v>88</c:v>
                </c:pt>
                <c:pt idx="42">
                  <c:v>88.1</c:v>
                </c:pt>
                <c:pt idx="43">
                  <c:v>88.2</c:v>
                </c:pt>
                <c:pt idx="44">
                  <c:v>88.3</c:v>
                </c:pt>
                <c:pt idx="45">
                  <c:v>88.4</c:v>
                </c:pt>
                <c:pt idx="46">
                  <c:v>88.5</c:v>
                </c:pt>
                <c:pt idx="47">
                  <c:v>88.5</c:v>
                </c:pt>
                <c:pt idx="48">
                  <c:v>88.6</c:v>
                </c:pt>
                <c:pt idx="49">
                  <c:v>88.7</c:v>
                </c:pt>
                <c:pt idx="50">
                  <c:v>88.8</c:v>
                </c:pt>
                <c:pt idx="51">
                  <c:v>88.9</c:v>
                </c:pt>
                <c:pt idx="52">
                  <c:v>89</c:v>
                </c:pt>
                <c:pt idx="53">
                  <c:v>89.1</c:v>
                </c:pt>
                <c:pt idx="54">
                  <c:v>89.2</c:v>
                </c:pt>
                <c:pt idx="55">
                  <c:v>89.3</c:v>
                </c:pt>
                <c:pt idx="56">
                  <c:v>89.4</c:v>
                </c:pt>
                <c:pt idx="57">
                  <c:v>89.5</c:v>
                </c:pt>
                <c:pt idx="58">
                  <c:v>89.6</c:v>
                </c:pt>
                <c:pt idx="59">
                  <c:v>89.7</c:v>
                </c:pt>
                <c:pt idx="60">
                  <c:v>89.8</c:v>
                </c:pt>
                <c:pt idx="61">
                  <c:v>89.9</c:v>
                </c:pt>
                <c:pt idx="62">
                  <c:v>90</c:v>
                </c:pt>
                <c:pt idx="63">
                  <c:v>90</c:v>
                </c:pt>
                <c:pt idx="64">
                  <c:v>90</c:v>
                </c:pt>
                <c:pt idx="65">
                  <c:v>90</c:v>
                </c:pt>
                <c:pt idx="66">
                  <c:v>90</c:v>
                </c:pt>
                <c:pt idx="67">
                  <c:v>90</c:v>
                </c:pt>
                <c:pt idx="68">
                  <c:v>90</c:v>
                </c:pt>
                <c:pt idx="69">
                  <c:v>90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  <c:pt idx="73">
                  <c:v>90</c:v>
                </c:pt>
                <c:pt idx="74">
                  <c:v>90</c:v>
                </c:pt>
                <c:pt idx="75">
                  <c:v>90</c:v>
                </c:pt>
                <c:pt idx="76">
                  <c:v>90</c:v>
                </c:pt>
                <c:pt idx="77">
                  <c:v>90</c:v>
                </c:pt>
                <c:pt idx="78">
                  <c:v>90</c:v>
                </c:pt>
                <c:pt idx="79">
                  <c:v>90</c:v>
                </c:pt>
                <c:pt idx="80">
                  <c:v>90</c:v>
                </c:pt>
                <c:pt idx="81">
                  <c:v>90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</c:v>
                </c:pt>
                <c:pt idx="93">
                  <c:v>90</c:v>
                </c:pt>
                <c:pt idx="94">
                  <c:v>90.1</c:v>
                </c:pt>
                <c:pt idx="95">
                  <c:v>90.1</c:v>
                </c:pt>
                <c:pt idx="96">
                  <c:v>90.1</c:v>
                </c:pt>
                <c:pt idx="97">
                  <c:v>90.2</c:v>
                </c:pt>
                <c:pt idx="98">
                  <c:v>90.2</c:v>
                </c:pt>
                <c:pt idx="99">
                  <c:v>90.2</c:v>
                </c:pt>
                <c:pt idx="100">
                  <c:v>90.3</c:v>
                </c:pt>
                <c:pt idx="101">
                  <c:v>90.3</c:v>
                </c:pt>
                <c:pt idx="102">
                  <c:v>90.3</c:v>
                </c:pt>
                <c:pt idx="103">
                  <c:v>90.4</c:v>
                </c:pt>
                <c:pt idx="104">
                  <c:v>90.4</c:v>
                </c:pt>
                <c:pt idx="105">
                  <c:v>90.4</c:v>
                </c:pt>
                <c:pt idx="106">
                  <c:v>90.5</c:v>
                </c:pt>
                <c:pt idx="107">
                  <c:v>90.5</c:v>
                </c:pt>
                <c:pt idx="108">
                  <c:v>90.5</c:v>
                </c:pt>
                <c:pt idx="109">
                  <c:v>90.5</c:v>
                </c:pt>
                <c:pt idx="110">
                  <c:v>90.6</c:v>
                </c:pt>
                <c:pt idx="111">
                  <c:v>90.6</c:v>
                </c:pt>
                <c:pt idx="112">
                  <c:v>90.6</c:v>
                </c:pt>
                <c:pt idx="113">
                  <c:v>90.7</c:v>
                </c:pt>
                <c:pt idx="114">
                  <c:v>90.7</c:v>
                </c:pt>
                <c:pt idx="115">
                  <c:v>90.7</c:v>
                </c:pt>
                <c:pt idx="116">
                  <c:v>90.8</c:v>
                </c:pt>
                <c:pt idx="117">
                  <c:v>90.8</c:v>
                </c:pt>
                <c:pt idx="118">
                  <c:v>90.8</c:v>
                </c:pt>
                <c:pt idx="119">
                  <c:v>90.9</c:v>
                </c:pt>
                <c:pt idx="120">
                  <c:v>90.9</c:v>
                </c:pt>
                <c:pt idx="121">
                  <c:v>90.9</c:v>
                </c:pt>
                <c:pt idx="122">
                  <c:v>91</c:v>
                </c:pt>
                <c:pt idx="123">
                  <c:v>91</c:v>
                </c:pt>
                <c:pt idx="124">
                  <c:v>91</c:v>
                </c:pt>
                <c:pt idx="125">
                  <c:v>91.1</c:v>
                </c:pt>
                <c:pt idx="126">
                  <c:v>91.1</c:v>
                </c:pt>
                <c:pt idx="127">
                  <c:v>91.1</c:v>
                </c:pt>
                <c:pt idx="128">
                  <c:v>91.2</c:v>
                </c:pt>
                <c:pt idx="129">
                  <c:v>91.2</c:v>
                </c:pt>
                <c:pt idx="130">
                  <c:v>91.2</c:v>
                </c:pt>
                <c:pt idx="131">
                  <c:v>91.3</c:v>
                </c:pt>
                <c:pt idx="132">
                  <c:v>91.3</c:v>
                </c:pt>
                <c:pt idx="133">
                  <c:v>91.3</c:v>
                </c:pt>
                <c:pt idx="134">
                  <c:v>91.4</c:v>
                </c:pt>
                <c:pt idx="135">
                  <c:v>91.4</c:v>
                </c:pt>
                <c:pt idx="136">
                  <c:v>91.4</c:v>
                </c:pt>
                <c:pt idx="137">
                  <c:v>91.5</c:v>
                </c:pt>
                <c:pt idx="138">
                  <c:v>91.5</c:v>
                </c:pt>
                <c:pt idx="139">
                  <c:v>91.5</c:v>
                </c:pt>
                <c:pt idx="140">
                  <c:v>91.6</c:v>
                </c:pt>
                <c:pt idx="141">
                  <c:v>91.6</c:v>
                </c:pt>
                <c:pt idx="142">
                  <c:v>91.6</c:v>
                </c:pt>
                <c:pt idx="143">
                  <c:v>91.7</c:v>
                </c:pt>
                <c:pt idx="144">
                  <c:v>91.7</c:v>
                </c:pt>
                <c:pt idx="145">
                  <c:v>91.7</c:v>
                </c:pt>
                <c:pt idx="146">
                  <c:v>91.8</c:v>
                </c:pt>
                <c:pt idx="147">
                  <c:v>91.8</c:v>
                </c:pt>
                <c:pt idx="148">
                  <c:v>91.8</c:v>
                </c:pt>
                <c:pt idx="149">
                  <c:v>91.9</c:v>
                </c:pt>
                <c:pt idx="150">
                  <c:v>91.9</c:v>
                </c:pt>
                <c:pt idx="151">
                  <c:v>91.9</c:v>
                </c:pt>
                <c:pt idx="152">
                  <c:v>92</c:v>
                </c:pt>
                <c:pt idx="153">
                  <c:v>92</c:v>
                </c:pt>
                <c:pt idx="154">
                  <c:v>91.6</c:v>
                </c:pt>
                <c:pt idx="155">
                  <c:v>91.2</c:v>
                </c:pt>
                <c:pt idx="156">
                  <c:v>90.7</c:v>
                </c:pt>
                <c:pt idx="157">
                  <c:v>90.3</c:v>
                </c:pt>
                <c:pt idx="158">
                  <c:v>89.9</c:v>
                </c:pt>
                <c:pt idx="159">
                  <c:v>89.5</c:v>
                </c:pt>
                <c:pt idx="160">
                  <c:v>89.1</c:v>
                </c:pt>
                <c:pt idx="161">
                  <c:v>88.6</c:v>
                </c:pt>
                <c:pt idx="162">
                  <c:v>88.2</c:v>
                </c:pt>
                <c:pt idx="163">
                  <c:v>87.8</c:v>
                </c:pt>
                <c:pt idx="164">
                  <c:v>87.4</c:v>
                </c:pt>
                <c:pt idx="165">
                  <c:v>87</c:v>
                </c:pt>
                <c:pt idx="166">
                  <c:v>86.5</c:v>
                </c:pt>
                <c:pt idx="167">
                  <c:v>86.1</c:v>
                </c:pt>
                <c:pt idx="168">
                  <c:v>85.7</c:v>
                </c:pt>
                <c:pt idx="169">
                  <c:v>85.3</c:v>
                </c:pt>
                <c:pt idx="170">
                  <c:v>84.9</c:v>
                </c:pt>
                <c:pt idx="171">
                  <c:v>84.5</c:v>
                </c:pt>
                <c:pt idx="172">
                  <c:v>84</c:v>
                </c:pt>
                <c:pt idx="173">
                  <c:v>83.6</c:v>
                </c:pt>
                <c:pt idx="174">
                  <c:v>83.2</c:v>
                </c:pt>
                <c:pt idx="175">
                  <c:v>82.8</c:v>
                </c:pt>
                <c:pt idx="176">
                  <c:v>82.4</c:v>
                </c:pt>
                <c:pt idx="177">
                  <c:v>81.900000000000006</c:v>
                </c:pt>
                <c:pt idx="178">
                  <c:v>81.5</c:v>
                </c:pt>
                <c:pt idx="179">
                  <c:v>81.099999999999994</c:v>
                </c:pt>
                <c:pt idx="180">
                  <c:v>80.7</c:v>
                </c:pt>
                <c:pt idx="181">
                  <c:v>80.3</c:v>
                </c:pt>
                <c:pt idx="182">
                  <c:v>79.8</c:v>
                </c:pt>
                <c:pt idx="183">
                  <c:v>79.400000000000006</c:v>
                </c:pt>
                <c:pt idx="184">
                  <c:v>79</c:v>
                </c:pt>
                <c:pt idx="185">
                  <c:v>78.7</c:v>
                </c:pt>
                <c:pt idx="186">
                  <c:v>78.400000000000006</c:v>
                </c:pt>
                <c:pt idx="187">
                  <c:v>78.099999999999994</c:v>
                </c:pt>
                <c:pt idx="188">
                  <c:v>77.8</c:v>
                </c:pt>
                <c:pt idx="189">
                  <c:v>77.5</c:v>
                </c:pt>
                <c:pt idx="190">
                  <c:v>77.3</c:v>
                </c:pt>
                <c:pt idx="191">
                  <c:v>77</c:v>
                </c:pt>
                <c:pt idx="192">
                  <c:v>76.7</c:v>
                </c:pt>
                <c:pt idx="193">
                  <c:v>76.400000000000006</c:v>
                </c:pt>
                <c:pt idx="194">
                  <c:v>76.099999999999994</c:v>
                </c:pt>
                <c:pt idx="195">
                  <c:v>75.8</c:v>
                </c:pt>
                <c:pt idx="196">
                  <c:v>75.5</c:v>
                </c:pt>
                <c:pt idx="197">
                  <c:v>75.2</c:v>
                </c:pt>
                <c:pt idx="198">
                  <c:v>74.900000000000006</c:v>
                </c:pt>
                <c:pt idx="199">
                  <c:v>74.599999999999994</c:v>
                </c:pt>
                <c:pt idx="200">
                  <c:v>74.400000000000006</c:v>
                </c:pt>
                <c:pt idx="201">
                  <c:v>74.099999999999994</c:v>
                </c:pt>
                <c:pt idx="202">
                  <c:v>73.8</c:v>
                </c:pt>
                <c:pt idx="203">
                  <c:v>73.5</c:v>
                </c:pt>
                <c:pt idx="204">
                  <c:v>73.2</c:v>
                </c:pt>
                <c:pt idx="205">
                  <c:v>72.900000000000006</c:v>
                </c:pt>
                <c:pt idx="206">
                  <c:v>72.599999999999994</c:v>
                </c:pt>
                <c:pt idx="207">
                  <c:v>72.3</c:v>
                </c:pt>
                <c:pt idx="208">
                  <c:v>72</c:v>
                </c:pt>
                <c:pt idx="209">
                  <c:v>71.7</c:v>
                </c:pt>
                <c:pt idx="210">
                  <c:v>71.5</c:v>
                </c:pt>
                <c:pt idx="211">
                  <c:v>71.2</c:v>
                </c:pt>
                <c:pt idx="212">
                  <c:v>70.900000000000006</c:v>
                </c:pt>
                <c:pt idx="213">
                  <c:v>70.599999999999994</c:v>
                </c:pt>
                <c:pt idx="214">
                  <c:v>70.3</c:v>
                </c:pt>
                <c:pt idx="215">
                  <c:v>70</c:v>
                </c:pt>
                <c:pt idx="216">
                  <c:v>69.5</c:v>
                </c:pt>
                <c:pt idx="217">
                  <c:v>69.099999999999994</c:v>
                </c:pt>
                <c:pt idx="218">
                  <c:v>68.599999999999994</c:v>
                </c:pt>
                <c:pt idx="219">
                  <c:v>68.099999999999994</c:v>
                </c:pt>
                <c:pt idx="220">
                  <c:v>67.7</c:v>
                </c:pt>
                <c:pt idx="221">
                  <c:v>67.2</c:v>
                </c:pt>
                <c:pt idx="222">
                  <c:v>66.8</c:v>
                </c:pt>
                <c:pt idx="223">
                  <c:v>66.3</c:v>
                </c:pt>
                <c:pt idx="224">
                  <c:v>65.8</c:v>
                </c:pt>
                <c:pt idx="225">
                  <c:v>65.400000000000006</c:v>
                </c:pt>
                <c:pt idx="226">
                  <c:v>64.900000000000006</c:v>
                </c:pt>
                <c:pt idx="227">
                  <c:v>64.400000000000006</c:v>
                </c:pt>
                <c:pt idx="228">
                  <c:v>64</c:v>
                </c:pt>
                <c:pt idx="229">
                  <c:v>63.5</c:v>
                </c:pt>
                <c:pt idx="230">
                  <c:v>63</c:v>
                </c:pt>
                <c:pt idx="231">
                  <c:v>62.6</c:v>
                </c:pt>
                <c:pt idx="232">
                  <c:v>62.1</c:v>
                </c:pt>
                <c:pt idx="233">
                  <c:v>61.6</c:v>
                </c:pt>
                <c:pt idx="234">
                  <c:v>61.2</c:v>
                </c:pt>
                <c:pt idx="235">
                  <c:v>60.7</c:v>
                </c:pt>
                <c:pt idx="236">
                  <c:v>60.2</c:v>
                </c:pt>
                <c:pt idx="237">
                  <c:v>59.8</c:v>
                </c:pt>
                <c:pt idx="238">
                  <c:v>59.3</c:v>
                </c:pt>
                <c:pt idx="239">
                  <c:v>58.9</c:v>
                </c:pt>
                <c:pt idx="240">
                  <c:v>58.4</c:v>
                </c:pt>
                <c:pt idx="241">
                  <c:v>57.9</c:v>
                </c:pt>
                <c:pt idx="242">
                  <c:v>57.5</c:v>
                </c:pt>
                <c:pt idx="243">
                  <c:v>57</c:v>
                </c:pt>
                <c:pt idx="244">
                  <c:v>57</c:v>
                </c:pt>
                <c:pt idx="245">
                  <c:v>56.9</c:v>
                </c:pt>
                <c:pt idx="246">
                  <c:v>56.9</c:v>
                </c:pt>
                <c:pt idx="247">
                  <c:v>56.9</c:v>
                </c:pt>
                <c:pt idx="248">
                  <c:v>56.8</c:v>
                </c:pt>
                <c:pt idx="249">
                  <c:v>56.8</c:v>
                </c:pt>
                <c:pt idx="250">
                  <c:v>56.8</c:v>
                </c:pt>
                <c:pt idx="251">
                  <c:v>56.7</c:v>
                </c:pt>
                <c:pt idx="252">
                  <c:v>56.7</c:v>
                </c:pt>
                <c:pt idx="253">
                  <c:v>56.7</c:v>
                </c:pt>
                <c:pt idx="254">
                  <c:v>56.6</c:v>
                </c:pt>
                <c:pt idx="255">
                  <c:v>56.6</c:v>
                </c:pt>
                <c:pt idx="256">
                  <c:v>56.6</c:v>
                </c:pt>
                <c:pt idx="257">
                  <c:v>56.5</c:v>
                </c:pt>
                <c:pt idx="258">
                  <c:v>56.5</c:v>
                </c:pt>
                <c:pt idx="259">
                  <c:v>56.5</c:v>
                </c:pt>
                <c:pt idx="260">
                  <c:v>56.5</c:v>
                </c:pt>
                <c:pt idx="261">
                  <c:v>56.4</c:v>
                </c:pt>
                <c:pt idx="262">
                  <c:v>56.4</c:v>
                </c:pt>
                <c:pt idx="263">
                  <c:v>56.4</c:v>
                </c:pt>
                <c:pt idx="264">
                  <c:v>56.3</c:v>
                </c:pt>
                <c:pt idx="265">
                  <c:v>56.3</c:v>
                </c:pt>
                <c:pt idx="266">
                  <c:v>56.3</c:v>
                </c:pt>
                <c:pt idx="267">
                  <c:v>56.2</c:v>
                </c:pt>
                <c:pt idx="268">
                  <c:v>56.2</c:v>
                </c:pt>
                <c:pt idx="269">
                  <c:v>56.2</c:v>
                </c:pt>
                <c:pt idx="270">
                  <c:v>56.1</c:v>
                </c:pt>
                <c:pt idx="271">
                  <c:v>56.1</c:v>
                </c:pt>
                <c:pt idx="272">
                  <c:v>56.1</c:v>
                </c:pt>
                <c:pt idx="273">
                  <c:v>56</c:v>
                </c:pt>
                <c:pt idx="274">
                  <c:v>56</c:v>
                </c:pt>
                <c:pt idx="275">
                  <c:v>55.7</c:v>
                </c:pt>
                <c:pt idx="276">
                  <c:v>55.5</c:v>
                </c:pt>
                <c:pt idx="277">
                  <c:v>55.2</c:v>
                </c:pt>
                <c:pt idx="278">
                  <c:v>54.9</c:v>
                </c:pt>
                <c:pt idx="279">
                  <c:v>54.7</c:v>
                </c:pt>
                <c:pt idx="280">
                  <c:v>54.4</c:v>
                </c:pt>
                <c:pt idx="281">
                  <c:v>54.1</c:v>
                </c:pt>
                <c:pt idx="282">
                  <c:v>53.9</c:v>
                </c:pt>
                <c:pt idx="283">
                  <c:v>53.6</c:v>
                </c:pt>
                <c:pt idx="284">
                  <c:v>53.3</c:v>
                </c:pt>
                <c:pt idx="285">
                  <c:v>53.1</c:v>
                </c:pt>
                <c:pt idx="286">
                  <c:v>52.8</c:v>
                </c:pt>
                <c:pt idx="287">
                  <c:v>52.5</c:v>
                </c:pt>
                <c:pt idx="288">
                  <c:v>52.3</c:v>
                </c:pt>
                <c:pt idx="289">
                  <c:v>52</c:v>
                </c:pt>
                <c:pt idx="290">
                  <c:v>51.7</c:v>
                </c:pt>
                <c:pt idx="291">
                  <c:v>51.5</c:v>
                </c:pt>
                <c:pt idx="292">
                  <c:v>51.8</c:v>
                </c:pt>
                <c:pt idx="293">
                  <c:v>52.099999999999994</c:v>
                </c:pt>
                <c:pt idx="294">
                  <c:v>52.399999999999991</c:v>
                </c:pt>
                <c:pt idx="295">
                  <c:v>52.699999999999989</c:v>
                </c:pt>
                <c:pt idx="296">
                  <c:v>52.999999999999986</c:v>
                </c:pt>
                <c:pt idx="297">
                  <c:v>53.299999999999983</c:v>
                </c:pt>
                <c:pt idx="298">
                  <c:v>53.59999999999998</c:v>
                </c:pt>
                <c:pt idx="299">
                  <c:v>53.899999999999977</c:v>
                </c:pt>
                <c:pt idx="300">
                  <c:v>54.199999999999974</c:v>
                </c:pt>
                <c:pt idx="301">
                  <c:v>54.499999999999972</c:v>
                </c:pt>
                <c:pt idx="302">
                  <c:v>54.799999999999969</c:v>
                </c:pt>
                <c:pt idx="303">
                  <c:v>55.099999999999966</c:v>
                </c:pt>
                <c:pt idx="304">
                  <c:v>55.399999999999963</c:v>
                </c:pt>
                <c:pt idx="305">
                  <c:v>55.69999999999996</c:v>
                </c:pt>
                <c:pt idx="306">
                  <c:v>55.999999999999957</c:v>
                </c:pt>
                <c:pt idx="307">
                  <c:v>56.299999999999955</c:v>
                </c:pt>
                <c:pt idx="308">
                  <c:v>56.599999999999952</c:v>
                </c:pt>
                <c:pt idx="309">
                  <c:v>56.899999999999949</c:v>
                </c:pt>
                <c:pt idx="310">
                  <c:v>57.199999999999946</c:v>
                </c:pt>
                <c:pt idx="311">
                  <c:v>57.499999999999943</c:v>
                </c:pt>
                <c:pt idx="312">
                  <c:v>57.79999999999994</c:v>
                </c:pt>
                <c:pt idx="313">
                  <c:v>58.099999999999937</c:v>
                </c:pt>
                <c:pt idx="314">
                  <c:v>58.399999999999935</c:v>
                </c:pt>
                <c:pt idx="315">
                  <c:v>58.699999999999932</c:v>
                </c:pt>
                <c:pt idx="316">
                  <c:v>58.999999999999929</c:v>
                </c:pt>
                <c:pt idx="317">
                  <c:v>59.399999999999928</c:v>
                </c:pt>
                <c:pt idx="318">
                  <c:v>59.799999999999926</c:v>
                </c:pt>
                <c:pt idx="319">
                  <c:v>60.199999999999925</c:v>
                </c:pt>
                <c:pt idx="320">
                  <c:v>60.599999999999923</c:v>
                </c:pt>
                <c:pt idx="321">
                  <c:v>60.6</c:v>
                </c:pt>
                <c:pt idx="322">
                  <c:v>61.4</c:v>
                </c:pt>
                <c:pt idx="323">
                  <c:v>62.1</c:v>
                </c:pt>
                <c:pt idx="324">
                  <c:v>62.8</c:v>
                </c:pt>
                <c:pt idx="325">
                  <c:v>63.6</c:v>
                </c:pt>
                <c:pt idx="326">
                  <c:v>64.3</c:v>
                </c:pt>
                <c:pt idx="327">
                  <c:v>65.099999999999994</c:v>
                </c:pt>
                <c:pt idx="328">
                  <c:v>65.8</c:v>
                </c:pt>
                <c:pt idx="329">
                  <c:v>66.5</c:v>
                </c:pt>
                <c:pt idx="330">
                  <c:v>67.3</c:v>
                </c:pt>
                <c:pt idx="331">
                  <c:v>68</c:v>
                </c:pt>
                <c:pt idx="332">
                  <c:v>68.8</c:v>
                </c:pt>
                <c:pt idx="333">
                  <c:v>69.5</c:v>
                </c:pt>
                <c:pt idx="334">
                  <c:v>70.3</c:v>
                </c:pt>
                <c:pt idx="335">
                  <c:v>71</c:v>
                </c:pt>
                <c:pt idx="336">
                  <c:v>71.3</c:v>
                </c:pt>
                <c:pt idx="337">
                  <c:v>71.7</c:v>
                </c:pt>
                <c:pt idx="338">
                  <c:v>72</c:v>
                </c:pt>
                <c:pt idx="339">
                  <c:v>72.3</c:v>
                </c:pt>
                <c:pt idx="340">
                  <c:v>72.7</c:v>
                </c:pt>
                <c:pt idx="341">
                  <c:v>73</c:v>
                </c:pt>
                <c:pt idx="342">
                  <c:v>73.3</c:v>
                </c:pt>
                <c:pt idx="343">
                  <c:v>73.7</c:v>
                </c:pt>
                <c:pt idx="344">
                  <c:v>74</c:v>
                </c:pt>
                <c:pt idx="345">
                  <c:v>74.3</c:v>
                </c:pt>
                <c:pt idx="346">
                  <c:v>74.7</c:v>
                </c:pt>
                <c:pt idx="347">
                  <c:v>75</c:v>
                </c:pt>
                <c:pt idx="348">
                  <c:v>75.3</c:v>
                </c:pt>
                <c:pt idx="349">
                  <c:v>75.7</c:v>
                </c:pt>
                <c:pt idx="350">
                  <c:v>76</c:v>
                </c:pt>
                <c:pt idx="351">
                  <c:v>76.3</c:v>
                </c:pt>
                <c:pt idx="352">
                  <c:v>76.7</c:v>
                </c:pt>
                <c:pt idx="353">
                  <c:v>77</c:v>
                </c:pt>
                <c:pt idx="354">
                  <c:v>77.3</c:v>
                </c:pt>
                <c:pt idx="355">
                  <c:v>77.7</c:v>
                </c:pt>
                <c:pt idx="356">
                  <c:v>78</c:v>
                </c:pt>
                <c:pt idx="357">
                  <c:v>78.3</c:v>
                </c:pt>
                <c:pt idx="358">
                  <c:v>78.7</c:v>
                </c:pt>
                <c:pt idx="359">
                  <c:v>79</c:v>
                </c:pt>
                <c:pt idx="360">
                  <c:v>79.3</c:v>
                </c:pt>
                <c:pt idx="361">
                  <c:v>79.7</c:v>
                </c:pt>
                <c:pt idx="362">
                  <c:v>80</c:v>
                </c:pt>
                <c:pt idx="363">
                  <c:v>80.3</c:v>
                </c:pt>
                <c:pt idx="364">
                  <c:v>80.7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AB-4677-946D-4330A614B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6961384"/>
        <c:axId val="1186963344"/>
      </c:lineChart>
      <c:catAx>
        <c:axId val="1186961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6963344"/>
        <c:crosses val="autoZero"/>
        <c:auto val="1"/>
        <c:lblAlgn val="ctr"/>
        <c:lblOffset val="100"/>
        <c:noMultiLvlLbl val="0"/>
      </c:catAx>
      <c:valAx>
        <c:axId val="118696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6961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historique remplissage stocks hydro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'[1]Stock hydro'!$B$3</c:f>
              <c:strCache>
                <c:ptCount val="1"/>
                <c:pt idx="0">
                  <c:v>Lev Low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'[1]Stock hydro'!$A$4:$A$368</c:f>
              <c:strCache>
                <c:ptCount val="365"/>
                <c:pt idx="0">
                  <c:v>  JUL 04</c:v>
                </c:pt>
                <c:pt idx="1">
                  <c:v>  JUL 05</c:v>
                </c:pt>
                <c:pt idx="2">
                  <c:v>  JUL 06</c:v>
                </c:pt>
                <c:pt idx="3">
                  <c:v>  JUL 07</c:v>
                </c:pt>
                <c:pt idx="4">
                  <c:v>  JUL 08</c:v>
                </c:pt>
                <c:pt idx="5">
                  <c:v>  JUL 09</c:v>
                </c:pt>
                <c:pt idx="6">
                  <c:v>  JUL 10</c:v>
                </c:pt>
                <c:pt idx="7">
                  <c:v>  JUL 11</c:v>
                </c:pt>
                <c:pt idx="8">
                  <c:v>  JUL 12</c:v>
                </c:pt>
                <c:pt idx="9">
                  <c:v>  JUL 13</c:v>
                </c:pt>
                <c:pt idx="10">
                  <c:v>  JUL 14</c:v>
                </c:pt>
                <c:pt idx="11">
                  <c:v>  JUL 15</c:v>
                </c:pt>
                <c:pt idx="12">
                  <c:v>  JUL 16</c:v>
                </c:pt>
                <c:pt idx="13">
                  <c:v>  JUL 17</c:v>
                </c:pt>
                <c:pt idx="14">
                  <c:v>  JUL 18</c:v>
                </c:pt>
                <c:pt idx="15">
                  <c:v>  JUL 19</c:v>
                </c:pt>
                <c:pt idx="16">
                  <c:v>  JUL 20</c:v>
                </c:pt>
                <c:pt idx="17">
                  <c:v>  JUL 21</c:v>
                </c:pt>
                <c:pt idx="18">
                  <c:v>  JUL 22</c:v>
                </c:pt>
                <c:pt idx="19">
                  <c:v>  JUL 23</c:v>
                </c:pt>
                <c:pt idx="20">
                  <c:v>  JUL 24</c:v>
                </c:pt>
                <c:pt idx="21">
                  <c:v>  JUL 25</c:v>
                </c:pt>
                <c:pt idx="22">
                  <c:v>  JUL 26</c:v>
                </c:pt>
                <c:pt idx="23">
                  <c:v>  JUL 27</c:v>
                </c:pt>
                <c:pt idx="24">
                  <c:v>  JUL 28</c:v>
                </c:pt>
                <c:pt idx="25">
                  <c:v>  JUL 29</c:v>
                </c:pt>
                <c:pt idx="26">
                  <c:v>  JUL 30</c:v>
                </c:pt>
                <c:pt idx="27">
                  <c:v>  JUL 31</c:v>
                </c:pt>
                <c:pt idx="28">
                  <c:v>  AUG 01</c:v>
                </c:pt>
                <c:pt idx="29">
                  <c:v>  AUG 02</c:v>
                </c:pt>
                <c:pt idx="30">
                  <c:v>  AUG 03</c:v>
                </c:pt>
                <c:pt idx="31">
                  <c:v>  AUG 04</c:v>
                </c:pt>
                <c:pt idx="32">
                  <c:v>  AUG 05</c:v>
                </c:pt>
                <c:pt idx="33">
                  <c:v>  AUG 06</c:v>
                </c:pt>
                <c:pt idx="34">
                  <c:v>  AUG 07</c:v>
                </c:pt>
                <c:pt idx="35">
                  <c:v>  AUG 08</c:v>
                </c:pt>
                <c:pt idx="36">
                  <c:v>  AUG 09</c:v>
                </c:pt>
                <c:pt idx="37">
                  <c:v>  AUG 10</c:v>
                </c:pt>
                <c:pt idx="38">
                  <c:v>  AUG 11</c:v>
                </c:pt>
                <c:pt idx="39">
                  <c:v>  AUG 12</c:v>
                </c:pt>
                <c:pt idx="40">
                  <c:v>  AUG 13</c:v>
                </c:pt>
                <c:pt idx="41">
                  <c:v>  AUG 14</c:v>
                </c:pt>
                <c:pt idx="42">
                  <c:v>  AUG 15</c:v>
                </c:pt>
                <c:pt idx="43">
                  <c:v>  AUG 16</c:v>
                </c:pt>
                <c:pt idx="44">
                  <c:v>  AUG 17</c:v>
                </c:pt>
                <c:pt idx="45">
                  <c:v>  AUG 18</c:v>
                </c:pt>
                <c:pt idx="46">
                  <c:v>  AUG 19</c:v>
                </c:pt>
                <c:pt idx="47">
                  <c:v>  AUG 20</c:v>
                </c:pt>
                <c:pt idx="48">
                  <c:v>  AUG 21</c:v>
                </c:pt>
                <c:pt idx="49">
                  <c:v>  AUG 22</c:v>
                </c:pt>
                <c:pt idx="50">
                  <c:v>  AUG 23</c:v>
                </c:pt>
                <c:pt idx="51">
                  <c:v>  AUG 24</c:v>
                </c:pt>
                <c:pt idx="52">
                  <c:v>  AUG 25</c:v>
                </c:pt>
                <c:pt idx="53">
                  <c:v>  AUG 26</c:v>
                </c:pt>
                <c:pt idx="54">
                  <c:v>  AUG 27</c:v>
                </c:pt>
                <c:pt idx="55">
                  <c:v>  AUG 28</c:v>
                </c:pt>
                <c:pt idx="56">
                  <c:v>  AUG 29</c:v>
                </c:pt>
                <c:pt idx="57">
                  <c:v>  AUG 30</c:v>
                </c:pt>
                <c:pt idx="58">
                  <c:v>  AUG 31</c:v>
                </c:pt>
                <c:pt idx="59">
                  <c:v>  SEP 01</c:v>
                </c:pt>
                <c:pt idx="60">
                  <c:v>  SEP 02</c:v>
                </c:pt>
                <c:pt idx="61">
                  <c:v>  SEP 03</c:v>
                </c:pt>
                <c:pt idx="62">
                  <c:v>  SEP 04</c:v>
                </c:pt>
                <c:pt idx="63">
                  <c:v>  SEP 05</c:v>
                </c:pt>
                <c:pt idx="64">
                  <c:v>  SEP 06</c:v>
                </c:pt>
                <c:pt idx="65">
                  <c:v>  SEP 07</c:v>
                </c:pt>
                <c:pt idx="66">
                  <c:v>  SEP 08</c:v>
                </c:pt>
                <c:pt idx="67">
                  <c:v>  SEP 09</c:v>
                </c:pt>
                <c:pt idx="68">
                  <c:v>  SEP 10</c:v>
                </c:pt>
                <c:pt idx="69">
                  <c:v>  SEP 11</c:v>
                </c:pt>
                <c:pt idx="70">
                  <c:v>  SEP 12</c:v>
                </c:pt>
                <c:pt idx="71">
                  <c:v>  SEP 13</c:v>
                </c:pt>
                <c:pt idx="72">
                  <c:v>  SEP 14</c:v>
                </c:pt>
                <c:pt idx="73">
                  <c:v>  SEP 15</c:v>
                </c:pt>
                <c:pt idx="74">
                  <c:v>  SEP 16</c:v>
                </c:pt>
                <c:pt idx="75">
                  <c:v>  SEP 17</c:v>
                </c:pt>
                <c:pt idx="76">
                  <c:v>  SEP 18</c:v>
                </c:pt>
                <c:pt idx="77">
                  <c:v>  SEP 19</c:v>
                </c:pt>
                <c:pt idx="78">
                  <c:v>  SEP 20</c:v>
                </c:pt>
                <c:pt idx="79">
                  <c:v>  SEP 21</c:v>
                </c:pt>
                <c:pt idx="80">
                  <c:v>  SEP 22</c:v>
                </c:pt>
                <c:pt idx="81">
                  <c:v>  SEP 23</c:v>
                </c:pt>
                <c:pt idx="82">
                  <c:v>  SEP 24</c:v>
                </c:pt>
                <c:pt idx="83">
                  <c:v>  SEP 25</c:v>
                </c:pt>
                <c:pt idx="84">
                  <c:v>  SEP 26</c:v>
                </c:pt>
                <c:pt idx="85">
                  <c:v>  SEP 27</c:v>
                </c:pt>
                <c:pt idx="86">
                  <c:v>  SEP 28</c:v>
                </c:pt>
                <c:pt idx="87">
                  <c:v>  SEP 29</c:v>
                </c:pt>
                <c:pt idx="88">
                  <c:v>  SEP 30</c:v>
                </c:pt>
                <c:pt idx="89">
                  <c:v>  OCT 01</c:v>
                </c:pt>
                <c:pt idx="90">
                  <c:v>  OCT 02</c:v>
                </c:pt>
                <c:pt idx="91">
                  <c:v>  OCT 03</c:v>
                </c:pt>
                <c:pt idx="92">
                  <c:v>  OCT 04</c:v>
                </c:pt>
                <c:pt idx="93">
                  <c:v>  OCT 05</c:v>
                </c:pt>
                <c:pt idx="94">
                  <c:v>  OCT 06</c:v>
                </c:pt>
                <c:pt idx="95">
                  <c:v>  OCT 07</c:v>
                </c:pt>
                <c:pt idx="96">
                  <c:v>  OCT 08</c:v>
                </c:pt>
                <c:pt idx="97">
                  <c:v>  OCT 09</c:v>
                </c:pt>
                <c:pt idx="98">
                  <c:v>  OCT 10</c:v>
                </c:pt>
                <c:pt idx="99">
                  <c:v>  OCT 11</c:v>
                </c:pt>
                <c:pt idx="100">
                  <c:v>  OCT 12</c:v>
                </c:pt>
                <c:pt idx="101">
                  <c:v>  OCT 13</c:v>
                </c:pt>
                <c:pt idx="102">
                  <c:v>  OCT 14</c:v>
                </c:pt>
                <c:pt idx="103">
                  <c:v>  OCT 15</c:v>
                </c:pt>
                <c:pt idx="104">
                  <c:v>  OCT 16</c:v>
                </c:pt>
                <c:pt idx="105">
                  <c:v>  OCT 17</c:v>
                </c:pt>
                <c:pt idx="106">
                  <c:v>  OCT 18</c:v>
                </c:pt>
                <c:pt idx="107">
                  <c:v>  OCT 19</c:v>
                </c:pt>
                <c:pt idx="108">
                  <c:v>  OCT 20</c:v>
                </c:pt>
                <c:pt idx="109">
                  <c:v>  OCT 21</c:v>
                </c:pt>
                <c:pt idx="110">
                  <c:v>  OCT 22</c:v>
                </c:pt>
                <c:pt idx="111">
                  <c:v>  OCT 23</c:v>
                </c:pt>
                <c:pt idx="112">
                  <c:v>  OCT 24</c:v>
                </c:pt>
                <c:pt idx="113">
                  <c:v>  OCT 25</c:v>
                </c:pt>
                <c:pt idx="114">
                  <c:v>  OCT 26</c:v>
                </c:pt>
                <c:pt idx="115">
                  <c:v>  OCT 27</c:v>
                </c:pt>
                <c:pt idx="116">
                  <c:v>  OCT 28</c:v>
                </c:pt>
                <c:pt idx="117">
                  <c:v>  OCT 29</c:v>
                </c:pt>
                <c:pt idx="118">
                  <c:v>  OCT 30</c:v>
                </c:pt>
                <c:pt idx="119">
                  <c:v>  OCT 31</c:v>
                </c:pt>
                <c:pt idx="120">
                  <c:v>  NOV 01</c:v>
                </c:pt>
                <c:pt idx="121">
                  <c:v>  NOV 02</c:v>
                </c:pt>
                <c:pt idx="122">
                  <c:v>  NOV 03</c:v>
                </c:pt>
                <c:pt idx="123">
                  <c:v>  NOV 04</c:v>
                </c:pt>
                <c:pt idx="124">
                  <c:v>  NOV 05</c:v>
                </c:pt>
                <c:pt idx="125">
                  <c:v>  NOV 06</c:v>
                </c:pt>
                <c:pt idx="126">
                  <c:v>  NOV 07</c:v>
                </c:pt>
                <c:pt idx="127">
                  <c:v>  NOV 08</c:v>
                </c:pt>
                <c:pt idx="128">
                  <c:v>  NOV 09</c:v>
                </c:pt>
                <c:pt idx="129">
                  <c:v>  NOV 10</c:v>
                </c:pt>
                <c:pt idx="130">
                  <c:v>  NOV 11</c:v>
                </c:pt>
                <c:pt idx="131">
                  <c:v>  NOV 12</c:v>
                </c:pt>
                <c:pt idx="132">
                  <c:v>  NOV 13</c:v>
                </c:pt>
                <c:pt idx="133">
                  <c:v>  NOV 14</c:v>
                </c:pt>
                <c:pt idx="134">
                  <c:v>  NOV 15</c:v>
                </c:pt>
                <c:pt idx="135">
                  <c:v>  NOV 16</c:v>
                </c:pt>
                <c:pt idx="136">
                  <c:v>  NOV 17</c:v>
                </c:pt>
                <c:pt idx="137">
                  <c:v>  NOV 18</c:v>
                </c:pt>
                <c:pt idx="138">
                  <c:v>  NOV 19</c:v>
                </c:pt>
                <c:pt idx="139">
                  <c:v>  NOV 20</c:v>
                </c:pt>
                <c:pt idx="140">
                  <c:v>  NOV 21</c:v>
                </c:pt>
                <c:pt idx="141">
                  <c:v>  NOV 22</c:v>
                </c:pt>
                <c:pt idx="142">
                  <c:v>  NOV 23</c:v>
                </c:pt>
                <c:pt idx="143">
                  <c:v>  NOV 24</c:v>
                </c:pt>
                <c:pt idx="144">
                  <c:v>  NOV 25</c:v>
                </c:pt>
                <c:pt idx="145">
                  <c:v>  NOV 26</c:v>
                </c:pt>
                <c:pt idx="146">
                  <c:v>  NOV 27</c:v>
                </c:pt>
                <c:pt idx="147">
                  <c:v>  NOV 28</c:v>
                </c:pt>
                <c:pt idx="148">
                  <c:v>  NOV 29</c:v>
                </c:pt>
                <c:pt idx="149">
                  <c:v>  NOV 30</c:v>
                </c:pt>
                <c:pt idx="150">
                  <c:v>  DEC 01</c:v>
                </c:pt>
                <c:pt idx="151">
                  <c:v>  DEC 02</c:v>
                </c:pt>
                <c:pt idx="152">
                  <c:v>  DEC 03</c:v>
                </c:pt>
                <c:pt idx="153">
                  <c:v>  DEC 04</c:v>
                </c:pt>
                <c:pt idx="154">
                  <c:v>  DEC 05</c:v>
                </c:pt>
                <c:pt idx="155">
                  <c:v>  DEC 06</c:v>
                </c:pt>
                <c:pt idx="156">
                  <c:v>  DEC 07</c:v>
                </c:pt>
                <c:pt idx="157">
                  <c:v>  DEC 08</c:v>
                </c:pt>
                <c:pt idx="158">
                  <c:v>  DEC 09</c:v>
                </c:pt>
                <c:pt idx="159">
                  <c:v>  DEC 10</c:v>
                </c:pt>
                <c:pt idx="160">
                  <c:v>  DEC 11</c:v>
                </c:pt>
                <c:pt idx="161">
                  <c:v>  DEC 12</c:v>
                </c:pt>
                <c:pt idx="162">
                  <c:v>  DEC 13</c:v>
                </c:pt>
                <c:pt idx="163">
                  <c:v>  DEC 14</c:v>
                </c:pt>
                <c:pt idx="164">
                  <c:v>  DEC 15</c:v>
                </c:pt>
                <c:pt idx="165">
                  <c:v>  DEC 16</c:v>
                </c:pt>
                <c:pt idx="166">
                  <c:v>  DEC 17</c:v>
                </c:pt>
                <c:pt idx="167">
                  <c:v>  DEC 18</c:v>
                </c:pt>
                <c:pt idx="168">
                  <c:v>  DEC 19</c:v>
                </c:pt>
                <c:pt idx="169">
                  <c:v>  DEC 20</c:v>
                </c:pt>
                <c:pt idx="170">
                  <c:v>  DEC 21</c:v>
                </c:pt>
                <c:pt idx="171">
                  <c:v>  DEC 22</c:v>
                </c:pt>
                <c:pt idx="172">
                  <c:v>  DEC 23</c:v>
                </c:pt>
                <c:pt idx="173">
                  <c:v>  DEC 24</c:v>
                </c:pt>
                <c:pt idx="174">
                  <c:v>  DEC 25</c:v>
                </c:pt>
                <c:pt idx="175">
                  <c:v>  DEC 26</c:v>
                </c:pt>
                <c:pt idx="176">
                  <c:v>  DEC 27</c:v>
                </c:pt>
                <c:pt idx="177">
                  <c:v>  DEC 28</c:v>
                </c:pt>
                <c:pt idx="178">
                  <c:v>  DEC 29</c:v>
                </c:pt>
                <c:pt idx="179">
                  <c:v>  DEC 30</c:v>
                </c:pt>
                <c:pt idx="180">
                  <c:v>  DEC 31</c:v>
                </c:pt>
                <c:pt idx="181">
                  <c:v>  JAN 01</c:v>
                </c:pt>
                <c:pt idx="182">
                  <c:v>  JAN 02</c:v>
                </c:pt>
                <c:pt idx="183">
                  <c:v>  JAN 03</c:v>
                </c:pt>
                <c:pt idx="184">
                  <c:v>  JAN 04</c:v>
                </c:pt>
                <c:pt idx="185">
                  <c:v>  JAN 05</c:v>
                </c:pt>
                <c:pt idx="186">
                  <c:v>  JAN 06</c:v>
                </c:pt>
                <c:pt idx="187">
                  <c:v>  JAN 07</c:v>
                </c:pt>
                <c:pt idx="188">
                  <c:v>  JAN 08</c:v>
                </c:pt>
                <c:pt idx="189">
                  <c:v>  JAN 09</c:v>
                </c:pt>
                <c:pt idx="190">
                  <c:v>  JAN 10</c:v>
                </c:pt>
                <c:pt idx="191">
                  <c:v>  JAN 11</c:v>
                </c:pt>
                <c:pt idx="192">
                  <c:v>  JAN 12</c:v>
                </c:pt>
                <c:pt idx="193">
                  <c:v>  JAN 13</c:v>
                </c:pt>
                <c:pt idx="194">
                  <c:v>  JAN 14</c:v>
                </c:pt>
                <c:pt idx="195">
                  <c:v>  JAN 15</c:v>
                </c:pt>
                <c:pt idx="196">
                  <c:v>  JAN 16</c:v>
                </c:pt>
                <c:pt idx="197">
                  <c:v>  JAN 17</c:v>
                </c:pt>
                <c:pt idx="198">
                  <c:v>  JAN 18</c:v>
                </c:pt>
                <c:pt idx="199">
                  <c:v>  JAN 19</c:v>
                </c:pt>
                <c:pt idx="200">
                  <c:v>  JAN 20</c:v>
                </c:pt>
                <c:pt idx="201">
                  <c:v>  JAN 21</c:v>
                </c:pt>
                <c:pt idx="202">
                  <c:v>  JAN 22</c:v>
                </c:pt>
                <c:pt idx="203">
                  <c:v>  JAN 23</c:v>
                </c:pt>
                <c:pt idx="204">
                  <c:v>  JAN 24</c:v>
                </c:pt>
                <c:pt idx="205">
                  <c:v>  JAN 25</c:v>
                </c:pt>
                <c:pt idx="206">
                  <c:v>  JAN 26</c:v>
                </c:pt>
                <c:pt idx="207">
                  <c:v>  JAN 27</c:v>
                </c:pt>
                <c:pt idx="208">
                  <c:v>  JAN 28</c:v>
                </c:pt>
                <c:pt idx="209">
                  <c:v>  JAN 29</c:v>
                </c:pt>
                <c:pt idx="210">
                  <c:v>  JAN 30</c:v>
                </c:pt>
                <c:pt idx="211">
                  <c:v>  JAN 31</c:v>
                </c:pt>
                <c:pt idx="212">
                  <c:v>  FEB 01</c:v>
                </c:pt>
                <c:pt idx="213">
                  <c:v>  FEB 02</c:v>
                </c:pt>
                <c:pt idx="214">
                  <c:v>  FEB 03</c:v>
                </c:pt>
                <c:pt idx="215">
                  <c:v>  FEB 04</c:v>
                </c:pt>
                <c:pt idx="216">
                  <c:v>  FEB 05</c:v>
                </c:pt>
                <c:pt idx="217">
                  <c:v>  FEB 06</c:v>
                </c:pt>
                <c:pt idx="218">
                  <c:v>  FEB 07</c:v>
                </c:pt>
                <c:pt idx="219">
                  <c:v>  FEB 08</c:v>
                </c:pt>
                <c:pt idx="220">
                  <c:v>  FEB 09</c:v>
                </c:pt>
                <c:pt idx="221">
                  <c:v>  FEB 10</c:v>
                </c:pt>
                <c:pt idx="222">
                  <c:v>  FEB 11</c:v>
                </c:pt>
                <c:pt idx="223">
                  <c:v>  FEB 12</c:v>
                </c:pt>
                <c:pt idx="224">
                  <c:v>  FEB 13</c:v>
                </c:pt>
                <c:pt idx="225">
                  <c:v>  FEB 14</c:v>
                </c:pt>
                <c:pt idx="226">
                  <c:v>  FEB 15</c:v>
                </c:pt>
                <c:pt idx="227">
                  <c:v>  FEB 16</c:v>
                </c:pt>
                <c:pt idx="228">
                  <c:v>  FEB 17</c:v>
                </c:pt>
                <c:pt idx="229">
                  <c:v>  FEB 18</c:v>
                </c:pt>
                <c:pt idx="230">
                  <c:v>  FEB 19</c:v>
                </c:pt>
                <c:pt idx="231">
                  <c:v>  FEB 20</c:v>
                </c:pt>
                <c:pt idx="232">
                  <c:v>  FEB 21</c:v>
                </c:pt>
                <c:pt idx="233">
                  <c:v>  FEB 22</c:v>
                </c:pt>
                <c:pt idx="234">
                  <c:v>  FEB 23</c:v>
                </c:pt>
                <c:pt idx="235">
                  <c:v>  FEB 24</c:v>
                </c:pt>
                <c:pt idx="236">
                  <c:v>  FEB 25</c:v>
                </c:pt>
                <c:pt idx="237">
                  <c:v>  FEB 26</c:v>
                </c:pt>
                <c:pt idx="238">
                  <c:v>  FEB 27</c:v>
                </c:pt>
                <c:pt idx="239">
                  <c:v>  FEB 28</c:v>
                </c:pt>
                <c:pt idx="240">
                  <c:v>  MAR 01</c:v>
                </c:pt>
                <c:pt idx="241">
                  <c:v>  MAR 02</c:v>
                </c:pt>
                <c:pt idx="242">
                  <c:v>  MAR 03</c:v>
                </c:pt>
                <c:pt idx="243">
                  <c:v>  MAR 04</c:v>
                </c:pt>
                <c:pt idx="244">
                  <c:v>  MAR 05</c:v>
                </c:pt>
                <c:pt idx="245">
                  <c:v>  MAR 06</c:v>
                </c:pt>
                <c:pt idx="246">
                  <c:v>  MAR 07</c:v>
                </c:pt>
                <c:pt idx="247">
                  <c:v>  MAR 08</c:v>
                </c:pt>
                <c:pt idx="248">
                  <c:v>  MAR 09</c:v>
                </c:pt>
                <c:pt idx="249">
                  <c:v>  MAR 10</c:v>
                </c:pt>
                <c:pt idx="250">
                  <c:v>  MAR 11</c:v>
                </c:pt>
                <c:pt idx="251">
                  <c:v>  MAR 12</c:v>
                </c:pt>
                <c:pt idx="252">
                  <c:v>  MAR 13</c:v>
                </c:pt>
                <c:pt idx="253">
                  <c:v>  MAR 14</c:v>
                </c:pt>
                <c:pt idx="254">
                  <c:v>  MAR 15</c:v>
                </c:pt>
                <c:pt idx="255">
                  <c:v>  MAR 16</c:v>
                </c:pt>
                <c:pt idx="256">
                  <c:v>  MAR 17</c:v>
                </c:pt>
                <c:pt idx="257">
                  <c:v>  MAR 18</c:v>
                </c:pt>
                <c:pt idx="258">
                  <c:v>  MAR 19</c:v>
                </c:pt>
                <c:pt idx="259">
                  <c:v>  MAR 20</c:v>
                </c:pt>
                <c:pt idx="260">
                  <c:v>  MAR 21</c:v>
                </c:pt>
                <c:pt idx="261">
                  <c:v>  MAR 22</c:v>
                </c:pt>
                <c:pt idx="262">
                  <c:v>  MAR 23</c:v>
                </c:pt>
                <c:pt idx="263">
                  <c:v>  MAR 24</c:v>
                </c:pt>
                <c:pt idx="264">
                  <c:v>  MAR 25</c:v>
                </c:pt>
                <c:pt idx="265">
                  <c:v>  MAR 26</c:v>
                </c:pt>
                <c:pt idx="266">
                  <c:v>  MAR 27</c:v>
                </c:pt>
                <c:pt idx="267">
                  <c:v>  MAR 28</c:v>
                </c:pt>
                <c:pt idx="268">
                  <c:v>  MAR 29</c:v>
                </c:pt>
                <c:pt idx="269">
                  <c:v>  MAR 30</c:v>
                </c:pt>
                <c:pt idx="270">
                  <c:v>  MAR 31</c:v>
                </c:pt>
                <c:pt idx="271">
                  <c:v>  APR 01</c:v>
                </c:pt>
                <c:pt idx="272">
                  <c:v>  APR 02</c:v>
                </c:pt>
                <c:pt idx="273">
                  <c:v>  APR 03</c:v>
                </c:pt>
                <c:pt idx="274">
                  <c:v>  APR 04</c:v>
                </c:pt>
                <c:pt idx="275">
                  <c:v>  APR 05</c:v>
                </c:pt>
                <c:pt idx="276">
                  <c:v>  APR 06</c:v>
                </c:pt>
                <c:pt idx="277">
                  <c:v>  APR 07</c:v>
                </c:pt>
                <c:pt idx="278">
                  <c:v>  APR 08</c:v>
                </c:pt>
                <c:pt idx="279">
                  <c:v>  APR 09</c:v>
                </c:pt>
                <c:pt idx="280">
                  <c:v>  APR 10</c:v>
                </c:pt>
                <c:pt idx="281">
                  <c:v>  APR 11</c:v>
                </c:pt>
                <c:pt idx="282">
                  <c:v>  APR 12</c:v>
                </c:pt>
                <c:pt idx="283">
                  <c:v>  APR 13</c:v>
                </c:pt>
                <c:pt idx="284">
                  <c:v>  APR 14</c:v>
                </c:pt>
                <c:pt idx="285">
                  <c:v>  APR 15</c:v>
                </c:pt>
                <c:pt idx="286">
                  <c:v>  APR 16</c:v>
                </c:pt>
                <c:pt idx="287">
                  <c:v>  APR 17</c:v>
                </c:pt>
                <c:pt idx="288">
                  <c:v>  APR 18</c:v>
                </c:pt>
                <c:pt idx="289">
                  <c:v>  APR 19</c:v>
                </c:pt>
                <c:pt idx="290">
                  <c:v>  APR 20</c:v>
                </c:pt>
                <c:pt idx="291">
                  <c:v>  APR 21</c:v>
                </c:pt>
                <c:pt idx="292">
                  <c:v>  APR 22</c:v>
                </c:pt>
                <c:pt idx="293">
                  <c:v>  APR 23</c:v>
                </c:pt>
                <c:pt idx="294">
                  <c:v>  APR 24</c:v>
                </c:pt>
                <c:pt idx="295">
                  <c:v>  APR 25</c:v>
                </c:pt>
                <c:pt idx="296">
                  <c:v>  APR 26</c:v>
                </c:pt>
                <c:pt idx="297">
                  <c:v>  APR 27</c:v>
                </c:pt>
                <c:pt idx="298">
                  <c:v>  APR 28</c:v>
                </c:pt>
                <c:pt idx="299">
                  <c:v>  APR 29</c:v>
                </c:pt>
                <c:pt idx="300">
                  <c:v>  APR 30</c:v>
                </c:pt>
                <c:pt idx="301">
                  <c:v>  MAY 01</c:v>
                </c:pt>
                <c:pt idx="302">
                  <c:v>  MAY 02</c:v>
                </c:pt>
                <c:pt idx="303">
                  <c:v>  MAY 03</c:v>
                </c:pt>
                <c:pt idx="304">
                  <c:v>  MAY 04</c:v>
                </c:pt>
                <c:pt idx="305">
                  <c:v>  MAY 05</c:v>
                </c:pt>
                <c:pt idx="306">
                  <c:v>  MAY 06</c:v>
                </c:pt>
                <c:pt idx="307">
                  <c:v>  MAY 07</c:v>
                </c:pt>
                <c:pt idx="308">
                  <c:v>  MAY 08</c:v>
                </c:pt>
                <c:pt idx="309">
                  <c:v>  MAY 09</c:v>
                </c:pt>
                <c:pt idx="310">
                  <c:v>  MAY 10</c:v>
                </c:pt>
                <c:pt idx="311">
                  <c:v>  MAY 11</c:v>
                </c:pt>
                <c:pt idx="312">
                  <c:v>  MAY 12</c:v>
                </c:pt>
                <c:pt idx="313">
                  <c:v>  MAY 13</c:v>
                </c:pt>
                <c:pt idx="314">
                  <c:v>  MAY 14</c:v>
                </c:pt>
                <c:pt idx="315">
                  <c:v>  MAY 15</c:v>
                </c:pt>
                <c:pt idx="316">
                  <c:v>  MAY 16</c:v>
                </c:pt>
                <c:pt idx="317">
                  <c:v>  MAY 17</c:v>
                </c:pt>
                <c:pt idx="318">
                  <c:v>  MAY 18</c:v>
                </c:pt>
                <c:pt idx="319">
                  <c:v>  MAY 19</c:v>
                </c:pt>
                <c:pt idx="320">
                  <c:v>  MAY 20</c:v>
                </c:pt>
                <c:pt idx="321">
                  <c:v>  MAY 21</c:v>
                </c:pt>
                <c:pt idx="322">
                  <c:v>  MAY 22</c:v>
                </c:pt>
                <c:pt idx="323">
                  <c:v>  MAY 23</c:v>
                </c:pt>
                <c:pt idx="324">
                  <c:v>  MAY 24</c:v>
                </c:pt>
                <c:pt idx="325">
                  <c:v>  MAY 25</c:v>
                </c:pt>
                <c:pt idx="326">
                  <c:v>  MAY 26</c:v>
                </c:pt>
                <c:pt idx="327">
                  <c:v>  MAY 27</c:v>
                </c:pt>
                <c:pt idx="328">
                  <c:v>  MAY 28</c:v>
                </c:pt>
                <c:pt idx="329">
                  <c:v>  MAY 29</c:v>
                </c:pt>
                <c:pt idx="330">
                  <c:v>  MAY 30</c:v>
                </c:pt>
                <c:pt idx="331">
                  <c:v>  MAY 31</c:v>
                </c:pt>
                <c:pt idx="332">
                  <c:v>  JUN 01</c:v>
                </c:pt>
                <c:pt idx="333">
                  <c:v>  JUN 02</c:v>
                </c:pt>
                <c:pt idx="334">
                  <c:v>  JUN 03</c:v>
                </c:pt>
                <c:pt idx="335">
                  <c:v>  JUN 04</c:v>
                </c:pt>
                <c:pt idx="336">
                  <c:v>  JUN 05</c:v>
                </c:pt>
                <c:pt idx="337">
                  <c:v>  JUN 06</c:v>
                </c:pt>
                <c:pt idx="338">
                  <c:v>  JUN 07</c:v>
                </c:pt>
                <c:pt idx="339">
                  <c:v>  JUN 08</c:v>
                </c:pt>
                <c:pt idx="340">
                  <c:v>  JUN 09</c:v>
                </c:pt>
                <c:pt idx="341">
                  <c:v>  JUN 10</c:v>
                </c:pt>
                <c:pt idx="342">
                  <c:v>  JUN 11</c:v>
                </c:pt>
                <c:pt idx="343">
                  <c:v>  JUN 12</c:v>
                </c:pt>
                <c:pt idx="344">
                  <c:v>  JUN 13</c:v>
                </c:pt>
                <c:pt idx="345">
                  <c:v>  JUN 14</c:v>
                </c:pt>
                <c:pt idx="346">
                  <c:v>  JUN 15</c:v>
                </c:pt>
                <c:pt idx="347">
                  <c:v>  JUN 16</c:v>
                </c:pt>
                <c:pt idx="348">
                  <c:v>  JUN 17</c:v>
                </c:pt>
                <c:pt idx="349">
                  <c:v>  JUN 18</c:v>
                </c:pt>
                <c:pt idx="350">
                  <c:v>  JUN 19</c:v>
                </c:pt>
                <c:pt idx="351">
                  <c:v>  JUN 20</c:v>
                </c:pt>
                <c:pt idx="352">
                  <c:v>  JUN 21</c:v>
                </c:pt>
                <c:pt idx="353">
                  <c:v>  JUN 22</c:v>
                </c:pt>
                <c:pt idx="354">
                  <c:v>  JUN 23</c:v>
                </c:pt>
                <c:pt idx="355">
                  <c:v>  JUN 24</c:v>
                </c:pt>
                <c:pt idx="356">
                  <c:v>  JUN 25</c:v>
                </c:pt>
                <c:pt idx="357">
                  <c:v>  JUN 26</c:v>
                </c:pt>
                <c:pt idx="358">
                  <c:v>  JUN 27</c:v>
                </c:pt>
                <c:pt idx="359">
                  <c:v>  JUN 28</c:v>
                </c:pt>
                <c:pt idx="360">
                  <c:v>  JUN 29</c:v>
                </c:pt>
                <c:pt idx="361">
                  <c:v>  JUN 30</c:v>
                </c:pt>
                <c:pt idx="362">
                  <c:v>  JUL 01</c:v>
                </c:pt>
                <c:pt idx="363">
                  <c:v>  JUL 02</c:v>
                </c:pt>
                <c:pt idx="364">
                  <c:v>  JUL 03</c:v>
                </c:pt>
              </c:strCache>
            </c:strRef>
          </c:cat>
          <c:val>
            <c:numRef>
              <c:f>'[1]Stock hydro'!$B$4:$B$368</c:f>
              <c:numCache>
                <c:formatCode>General</c:formatCode>
                <c:ptCount val="365"/>
                <c:pt idx="0">
                  <c:v>59</c:v>
                </c:pt>
                <c:pt idx="1">
                  <c:v>59.2</c:v>
                </c:pt>
                <c:pt idx="2">
                  <c:v>59.3</c:v>
                </c:pt>
                <c:pt idx="3">
                  <c:v>59.5</c:v>
                </c:pt>
                <c:pt idx="4">
                  <c:v>59.6</c:v>
                </c:pt>
                <c:pt idx="5">
                  <c:v>59.8</c:v>
                </c:pt>
                <c:pt idx="6">
                  <c:v>60</c:v>
                </c:pt>
                <c:pt idx="7">
                  <c:v>60.1</c:v>
                </c:pt>
                <c:pt idx="8">
                  <c:v>60.3</c:v>
                </c:pt>
                <c:pt idx="9">
                  <c:v>60.5</c:v>
                </c:pt>
                <c:pt idx="10">
                  <c:v>60.6</c:v>
                </c:pt>
                <c:pt idx="11">
                  <c:v>60.8</c:v>
                </c:pt>
                <c:pt idx="12">
                  <c:v>60.9</c:v>
                </c:pt>
                <c:pt idx="13">
                  <c:v>61.1</c:v>
                </c:pt>
                <c:pt idx="14">
                  <c:v>61.3</c:v>
                </c:pt>
                <c:pt idx="15">
                  <c:v>61.4</c:v>
                </c:pt>
                <c:pt idx="16">
                  <c:v>61.6</c:v>
                </c:pt>
                <c:pt idx="17">
                  <c:v>61.7</c:v>
                </c:pt>
                <c:pt idx="18">
                  <c:v>61.9</c:v>
                </c:pt>
                <c:pt idx="19">
                  <c:v>62.1</c:v>
                </c:pt>
                <c:pt idx="20">
                  <c:v>62.2</c:v>
                </c:pt>
                <c:pt idx="21">
                  <c:v>62.4</c:v>
                </c:pt>
                <c:pt idx="22">
                  <c:v>62.5</c:v>
                </c:pt>
                <c:pt idx="23">
                  <c:v>62.7</c:v>
                </c:pt>
                <c:pt idx="24">
                  <c:v>62.9</c:v>
                </c:pt>
                <c:pt idx="25">
                  <c:v>63</c:v>
                </c:pt>
                <c:pt idx="26">
                  <c:v>63.2</c:v>
                </c:pt>
                <c:pt idx="27">
                  <c:v>63.4</c:v>
                </c:pt>
                <c:pt idx="28">
                  <c:v>63.5</c:v>
                </c:pt>
                <c:pt idx="29">
                  <c:v>63.7</c:v>
                </c:pt>
                <c:pt idx="30">
                  <c:v>63.8</c:v>
                </c:pt>
                <c:pt idx="31">
                  <c:v>64</c:v>
                </c:pt>
                <c:pt idx="32">
                  <c:v>64</c:v>
                </c:pt>
                <c:pt idx="33">
                  <c:v>63.9</c:v>
                </c:pt>
                <c:pt idx="34">
                  <c:v>63.9</c:v>
                </c:pt>
                <c:pt idx="35">
                  <c:v>63.9</c:v>
                </c:pt>
                <c:pt idx="36">
                  <c:v>63.8</c:v>
                </c:pt>
                <c:pt idx="37">
                  <c:v>63.8</c:v>
                </c:pt>
                <c:pt idx="38">
                  <c:v>63.8</c:v>
                </c:pt>
                <c:pt idx="39">
                  <c:v>63.7</c:v>
                </c:pt>
                <c:pt idx="40">
                  <c:v>63.7</c:v>
                </c:pt>
                <c:pt idx="41">
                  <c:v>63.7</c:v>
                </c:pt>
                <c:pt idx="42">
                  <c:v>63.6</c:v>
                </c:pt>
                <c:pt idx="43">
                  <c:v>63.6</c:v>
                </c:pt>
                <c:pt idx="44">
                  <c:v>63.6</c:v>
                </c:pt>
                <c:pt idx="45">
                  <c:v>63.5</c:v>
                </c:pt>
                <c:pt idx="46">
                  <c:v>63.5</c:v>
                </c:pt>
                <c:pt idx="47">
                  <c:v>63.5</c:v>
                </c:pt>
                <c:pt idx="48">
                  <c:v>63.5</c:v>
                </c:pt>
                <c:pt idx="49">
                  <c:v>63.4</c:v>
                </c:pt>
                <c:pt idx="50">
                  <c:v>63.4</c:v>
                </c:pt>
                <c:pt idx="51">
                  <c:v>63.4</c:v>
                </c:pt>
                <c:pt idx="52">
                  <c:v>63.3</c:v>
                </c:pt>
                <c:pt idx="53">
                  <c:v>63.3</c:v>
                </c:pt>
                <c:pt idx="54">
                  <c:v>63.3</c:v>
                </c:pt>
                <c:pt idx="55">
                  <c:v>63.2</c:v>
                </c:pt>
                <c:pt idx="56">
                  <c:v>63.2</c:v>
                </c:pt>
                <c:pt idx="57">
                  <c:v>63.2</c:v>
                </c:pt>
                <c:pt idx="58">
                  <c:v>63.1</c:v>
                </c:pt>
                <c:pt idx="59">
                  <c:v>63.1</c:v>
                </c:pt>
                <c:pt idx="60">
                  <c:v>63.1</c:v>
                </c:pt>
                <c:pt idx="61">
                  <c:v>63</c:v>
                </c:pt>
                <c:pt idx="62">
                  <c:v>63</c:v>
                </c:pt>
                <c:pt idx="63">
                  <c:v>62.9</c:v>
                </c:pt>
                <c:pt idx="64">
                  <c:v>62.9</c:v>
                </c:pt>
                <c:pt idx="65">
                  <c:v>62.8</c:v>
                </c:pt>
                <c:pt idx="66">
                  <c:v>62.7</c:v>
                </c:pt>
                <c:pt idx="67">
                  <c:v>62.7</c:v>
                </c:pt>
                <c:pt idx="68">
                  <c:v>62.6</c:v>
                </c:pt>
                <c:pt idx="69">
                  <c:v>62.5</c:v>
                </c:pt>
                <c:pt idx="70">
                  <c:v>62.5</c:v>
                </c:pt>
                <c:pt idx="71">
                  <c:v>62.4</c:v>
                </c:pt>
                <c:pt idx="72">
                  <c:v>62.3</c:v>
                </c:pt>
                <c:pt idx="73">
                  <c:v>62.3</c:v>
                </c:pt>
                <c:pt idx="74">
                  <c:v>62.2</c:v>
                </c:pt>
                <c:pt idx="75">
                  <c:v>62.1</c:v>
                </c:pt>
                <c:pt idx="76">
                  <c:v>62.1</c:v>
                </c:pt>
                <c:pt idx="77">
                  <c:v>62</c:v>
                </c:pt>
                <c:pt idx="78">
                  <c:v>61.9</c:v>
                </c:pt>
                <c:pt idx="79">
                  <c:v>61.9</c:v>
                </c:pt>
                <c:pt idx="80">
                  <c:v>61.8</c:v>
                </c:pt>
                <c:pt idx="81">
                  <c:v>61.7</c:v>
                </c:pt>
                <c:pt idx="82">
                  <c:v>61.7</c:v>
                </c:pt>
                <c:pt idx="83">
                  <c:v>61.6</c:v>
                </c:pt>
                <c:pt idx="84">
                  <c:v>61.5</c:v>
                </c:pt>
                <c:pt idx="85">
                  <c:v>61.5</c:v>
                </c:pt>
                <c:pt idx="86">
                  <c:v>61.4</c:v>
                </c:pt>
                <c:pt idx="87">
                  <c:v>61.3</c:v>
                </c:pt>
                <c:pt idx="88">
                  <c:v>61.3</c:v>
                </c:pt>
                <c:pt idx="89">
                  <c:v>61.2</c:v>
                </c:pt>
                <c:pt idx="90">
                  <c:v>61.1</c:v>
                </c:pt>
                <c:pt idx="91">
                  <c:v>61.1</c:v>
                </c:pt>
                <c:pt idx="92">
                  <c:v>61</c:v>
                </c:pt>
                <c:pt idx="93">
                  <c:v>60.8</c:v>
                </c:pt>
                <c:pt idx="94">
                  <c:v>60.6</c:v>
                </c:pt>
                <c:pt idx="95">
                  <c:v>60.4</c:v>
                </c:pt>
                <c:pt idx="96">
                  <c:v>60.2</c:v>
                </c:pt>
                <c:pt idx="97">
                  <c:v>60</c:v>
                </c:pt>
                <c:pt idx="98">
                  <c:v>59.8</c:v>
                </c:pt>
                <c:pt idx="99">
                  <c:v>59.6</c:v>
                </c:pt>
                <c:pt idx="100">
                  <c:v>59.5</c:v>
                </c:pt>
                <c:pt idx="101">
                  <c:v>59.3</c:v>
                </c:pt>
                <c:pt idx="102">
                  <c:v>59.1</c:v>
                </c:pt>
                <c:pt idx="103">
                  <c:v>58.9</c:v>
                </c:pt>
                <c:pt idx="104">
                  <c:v>58.7</c:v>
                </c:pt>
                <c:pt idx="105">
                  <c:v>58.5</c:v>
                </c:pt>
                <c:pt idx="106">
                  <c:v>58.3</c:v>
                </c:pt>
                <c:pt idx="107">
                  <c:v>58.1</c:v>
                </c:pt>
                <c:pt idx="108">
                  <c:v>57.9</c:v>
                </c:pt>
                <c:pt idx="109">
                  <c:v>57.7</c:v>
                </c:pt>
                <c:pt idx="110">
                  <c:v>57.5</c:v>
                </c:pt>
                <c:pt idx="111">
                  <c:v>57.3</c:v>
                </c:pt>
                <c:pt idx="112">
                  <c:v>57.1</c:v>
                </c:pt>
                <c:pt idx="113">
                  <c:v>56.9</c:v>
                </c:pt>
                <c:pt idx="114">
                  <c:v>56.7</c:v>
                </c:pt>
                <c:pt idx="115">
                  <c:v>56.5</c:v>
                </c:pt>
                <c:pt idx="116">
                  <c:v>56.4</c:v>
                </c:pt>
                <c:pt idx="117">
                  <c:v>56.2</c:v>
                </c:pt>
                <c:pt idx="118">
                  <c:v>56</c:v>
                </c:pt>
                <c:pt idx="119">
                  <c:v>55.8</c:v>
                </c:pt>
                <c:pt idx="120">
                  <c:v>55.6</c:v>
                </c:pt>
                <c:pt idx="121">
                  <c:v>55.4</c:v>
                </c:pt>
                <c:pt idx="122">
                  <c:v>55.2</c:v>
                </c:pt>
                <c:pt idx="123">
                  <c:v>55</c:v>
                </c:pt>
                <c:pt idx="124">
                  <c:v>54.5</c:v>
                </c:pt>
                <c:pt idx="125">
                  <c:v>54.1</c:v>
                </c:pt>
                <c:pt idx="126">
                  <c:v>53.6</c:v>
                </c:pt>
                <c:pt idx="127">
                  <c:v>53.1</c:v>
                </c:pt>
                <c:pt idx="128">
                  <c:v>52.7</c:v>
                </c:pt>
                <c:pt idx="129">
                  <c:v>52.2</c:v>
                </c:pt>
                <c:pt idx="130">
                  <c:v>51.7</c:v>
                </c:pt>
                <c:pt idx="131">
                  <c:v>51.3</c:v>
                </c:pt>
                <c:pt idx="132">
                  <c:v>50.8</c:v>
                </c:pt>
                <c:pt idx="133">
                  <c:v>50.3</c:v>
                </c:pt>
                <c:pt idx="134">
                  <c:v>49.9</c:v>
                </c:pt>
                <c:pt idx="135">
                  <c:v>49.4</c:v>
                </c:pt>
                <c:pt idx="136">
                  <c:v>48.9</c:v>
                </c:pt>
                <c:pt idx="137">
                  <c:v>48.5</c:v>
                </c:pt>
                <c:pt idx="138">
                  <c:v>48</c:v>
                </c:pt>
                <c:pt idx="139">
                  <c:v>47.5</c:v>
                </c:pt>
                <c:pt idx="140">
                  <c:v>47.1</c:v>
                </c:pt>
                <c:pt idx="141">
                  <c:v>46.6</c:v>
                </c:pt>
                <c:pt idx="142">
                  <c:v>46.1</c:v>
                </c:pt>
                <c:pt idx="143">
                  <c:v>45.7</c:v>
                </c:pt>
                <c:pt idx="144">
                  <c:v>45.2</c:v>
                </c:pt>
                <c:pt idx="145">
                  <c:v>44.7</c:v>
                </c:pt>
                <c:pt idx="146">
                  <c:v>44.3</c:v>
                </c:pt>
                <c:pt idx="147">
                  <c:v>43.8</c:v>
                </c:pt>
                <c:pt idx="148">
                  <c:v>43.3</c:v>
                </c:pt>
                <c:pt idx="149">
                  <c:v>42.9</c:v>
                </c:pt>
                <c:pt idx="150">
                  <c:v>42.4</c:v>
                </c:pt>
                <c:pt idx="151">
                  <c:v>41.9</c:v>
                </c:pt>
                <c:pt idx="152">
                  <c:v>41.5</c:v>
                </c:pt>
                <c:pt idx="153">
                  <c:v>41</c:v>
                </c:pt>
                <c:pt idx="154">
                  <c:v>40.700000000000003</c:v>
                </c:pt>
                <c:pt idx="155">
                  <c:v>40.4</c:v>
                </c:pt>
                <c:pt idx="156">
                  <c:v>40.1</c:v>
                </c:pt>
                <c:pt idx="157">
                  <c:v>39.799999999999997</c:v>
                </c:pt>
                <c:pt idx="158">
                  <c:v>39.5</c:v>
                </c:pt>
                <c:pt idx="159">
                  <c:v>39.299999999999997</c:v>
                </c:pt>
                <c:pt idx="160">
                  <c:v>39</c:v>
                </c:pt>
                <c:pt idx="161">
                  <c:v>38.700000000000003</c:v>
                </c:pt>
                <c:pt idx="162">
                  <c:v>38.4</c:v>
                </c:pt>
                <c:pt idx="163">
                  <c:v>38.1</c:v>
                </c:pt>
                <c:pt idx="164">
                  <c:v>37.799999999999997</c:v>
                </c:pt>
                <c:pt idx="165">
                  <c:v>37.5</c:v>
                </c:pt>
                <c:pt idx="166">
                  <c:v>37.200000000000003</c:v>
                </c:pt>
                <c:pt idx="167">
                  <c:v>36.9</c:v>
                </c:pt>
                <c:pt idx="168">
                  <c:v>36.6</c:v>
                </c:pt>
                <c:pt idx="169">
                  <c:v>36.4</c:v>
                </c:pt>
                <c:pt idx="170">
                  <c:v>36.1</c:v>
                </c:pt>
                <c:pt idx="171">
                  <c:v>35.799999999999997</c:v>
                </c:pt>
                <c:pt idx="172">
                  <c:v>35.5</c:v>
                </c:pt>
                <c:pt idx="173">
                  <c:v>35.200000000000003</c:v>
                </c:pt>
                <c:pt idx="174">
                  <c:v>34.9</c:v>
                </c:pt>
                <c:pt idx="175">
                  <c:v>34.6</c:v>
                </c:pt>
                <c:pt idx="176">
                  <c:v>34.299999999999997</c:v>
                </c:pt>
                <c:pt idx="177">
                  <c:v>34</c:v>
                </c:pt>
                <c:pt idx="178">
                  <c:v>33.700000000000003</c:v>
                </c:pt>
                <c:pt idx="179">
                  <c:v>33.5</c:v>
                </c:pt>
                <c:pt idx="180">
                  <c:v>33.200000000000003</c:v>
                </c:pt>
                <c:pt idx="181">
                  <c:v>32.9</c:v>
                </c:pt>
                <c:pt idx="182">
                  <c:v>32.6</c:v>
                </c:pt>
                <c:pt idx="183">
                  <c:v>32.299999999999997</c:v>
                </c:pt>
                <c:pt idx="184">
                  <c:v>32</c:v>
                </c:pt>
                <c:pt idx="185">
                  <c:v>31.8</c:v>
                </c:pt>
                <c:pt idx="186">
                  <c:v>31.5</c:v>
                </c:pt>
                <c:pt idx="187">
                  <c:v>31.3</c:v>
                </c:pt>
                <c:pt idx="188">
                  <c:v>31.1</c:v>
                </c:pt>
                <c:pt idx="189">
                  <c:v>30.9</c:v>
                </c:pt>
                <c:pt idx="190">
                  <c:v>30.6</c:v>
                </c:pt>
                <c:pt idx="191">
                  <c:v>30.4</c:v>
                </c:pt>
                <c:pt idx="192">
                  <c:v>30.2</c:v>
                </c:pt>
                <c:pt idx="193">
                  <c:v>30</c:v>
                </c:pt>
                <c:pt idx="194">
                  <c:v>29.7</c:v>
                </c:pt>
                <c:pt idx="195">
                  <c:v>29.5</c:v>
                </c:pt>
                <c:pt idx="196">
                  <c:v>29.3</c:v>
                </c:pt>
                <c:pt idx="197">
                  <c:v>29.1</c:v>
                </c:pt>
                <c:pt idx="198">
                  <c:v>28.8</c:v>
                </c:pt>
                <c:pt idx="199">
                  <c:v>28.6</c:v>
                </c:pt>
                <c:pt idx="200">
                  <c:v>28.4</c:v>
                </c:pt>
                <c:pt idx="201">
                  <c:v>28.2</c:v>
                </c:pt>
                <c:pt idx="202">
                  <c:v>27.9</c:v>
                </c:pt>
                <c:pt idx="203">
                  <c:v>27.7</c:v>
                </c:pt>
                <c:pt idx="204">
                  <c:v>27.5</c:v>
                </c:pt>
                <c:pt idx="205">
                  <c:v>27.3</c:v>
                </c:pt>
                <c:pt idx="206">
                  <c:v>27</c:v>
                </c:pt>
                <c:pt idx="207">
                  <c:v>26.8</c:v>
                </c:pt>
                <c:pt idx="208">
                  <c:v>26.6</c:v>
                </c:pt>
                <c:pt idx="209">
                  <c:v>26.4</c:v>
                </c:pt>
                <c:pt idx="210">
                  <c:v>26.1</c:v>
                </c:pt>
                <c:pt idx="211">
                  <c:v>25.9</c:v>
                </c:pt>
                <c:pt idx="212">
                  <c:v>25.5</c:v>
                </c:pt>
                <c:pt idx="213">
                  <c:v>25.1</c:v>
                </c:pt>
                <c:pt idx="214">
                  <c:v>24.700000000000003</c:v>
                </c:pt>
                <c:pt idx="215">
                  <c:v>24.300000000000004</c:v>
                </c:pt>
                <c:pt idx="216">
                  <c:v>23.900000000000006</c:v>
                </c:pt>
                <c:pt idx="217">
                  <c:v>23.500000000000007</c:v>
                </c:pt>
                <c:pt idx="218">
                  <c:v>23.100000000000009</c:v>
                </c:pt>
                <c:pt idx="219">
                  <c:v>22.70000000000001</c:v>
                </c:pt>
                <c:pt idx="220">
                  <c:v>22.300000000000011</c:v>
                </c:pt>
                <c:pt idx="221">
                  <c:v>21.900000000000013</c:v>
                </c:pt>
                <c:pt idx="222">
                  <c:v>21.500000000000014</c:v>
                </c:pt>
                <c:pt idx="223">
                  <c:v>21.100000000000016</c:v>
                </c:pt>
                <c:pt idx="224">
                  <c:v>20.700000000000017</c:v>
                </c:pt>
                <c:pt idx="225">
                  <c:v>20.300000000000018</c:v>
                </c:pt>
                <c:pt idx="226">
                  <c:v>20</c:v>
                </c:pt>
                <c:pt idx="227">
                  <c:v>19.8</c:v>
                </c:pt>
                <c:pt idx="228">
                  <c:v>19.7</c:v>
                </c:pt>
                <c:pt idx="229">
                  <c:v>19.600000000000001</c:v>
                </c:pt>
                <c:pt idx="230">
                  <c:v>19.5</c:v>
                </c:pt>
                <c:pt idx="231">
                  <c:v>19.399999999999999</c:v>
                </c:pt>
                <c:pt idx="232">
                  <c:v>19.3</c:v>
                </c:pt>
                <c:pt idx="233">
                  <c:v>19.2</c:v>
                </c:pt>
                <c:pt idx="234">
                  <c:v>19.100000000000001</c:v>
                </c:pt>
                <c:pt idx="235">
                  <c:v>19</c:v>
                </c:pt>
                <c:pt idx="236">
                  <c:v>18.899999999999999</c:v>
                </c:pt>
                <c:pt idx="237">
                  <c:v>18.8</c:v>
                </c:pt>
                <c:pt idx="238">
                  <c:v>18.7</c:v>
                </c:pt>
                <c:pt idx="239">
                  <c:v>18.600000000000001</c:v>
                </c:pt>
                <c:pt idx="240">
                  <c:v>18.5</c:v>
                </c:pt>
                <c:pt idx="241">
                  <c:v>18.399999999999999</c:v>
                </c:pt>
                <c:pt idx="242">
                  <c:v>18.3</c:v>
                </c:pt>
                <c:pt idx="243">
                  <c:v>18</c:v>
                </c:pt>
                <c:pt idx="244">
                  <c:v>17.899999999999999</c:v>
                </c:pt>
                <c:pt idx="245">
                  <c:v>17.899999999999999</c:v>
                </c:pt>
                <c:pt idx="246">
                  <c:v>17.8</c:v>
                </c:pt>
                <c:pt idx="247">
                  <c:v>17.7</c:v>
                </c:pt>
                <c:pt idx="248">
                  <c:v>17.7</c:v>
                </c:pt>
                <c:pt idx="249">
                  <c:v>17.600000000000001</c:v>
                </c:pt>
                <c:pt idx="250">
                  <c:v>17.5</c:v>
                </c:pt>
                <c:pt idx="251">
                  <c:v>17.5</c:v>
                </c:pt>
                <c:pt idx="252">
                  <c:v>17.399999999999999</c:v>
                </c:pt>
                <c:pt idx="253">
                  <c:v>17.399999999999999</c:v>
                </c:pt>
                <c:pt idx="254">
                  <c:v>17.3</c:v>
                </c:pt>
                <c:pt idx="255">
                  <c:v>17.2</c:v>
                </c:pt>
                <c:pt idx="256">
                  <c:v>17.2</c:v>
                </c:pt>
                <c:pt idx="257">
                  <c:v>17.100000000000001</c:v>
                </c:pt>
                <c:pt idx="258">
                  <c:v>17</c:v>
                </c:pt>
                <c:pt idx="259">
                  <c:v>17</c:v>
                </c:pt>
                <c:pt idx="260">
                  <c:v>16.899999999999999</c:v>
                </c:pt>
                <c:pt idx="261">
                  <c:v>16.8</c:v>
                </c:pt>
                <c:pt idx="262">
                  <c:v>16.8</c:v>
                </c:pt>
                <c:pt idx="263">
                  <c:v>16.7</c:v>
                </c:pt>
                <c:pt idx="264">
                  <c:v>16.600000000000001</c:v>
                </c:pt>
                <c:pt idx="265">
                  <c:v>16.600000000000001</c:v>
                </c:pt>
                <c:pt idx="266">
                  <c:v>16.5</c:v>
                </c:pt>
                <c:pt idx="267">
                  <c:v>16.5</c:v>
                </c:pt>
                <c:pt idx="268">
                  <c:v>16.399999999999999</c:v>
                </c:pt>
                <c:pt idx="269">
                  <c:v>16.3</c:v>
                </c:pt>
                <c:pt idx="270">
                  <c:v>16.3</c:v>
                </c:pt>
                <c:pt idx="271">
                  <c:v>16.2</c:v>
                </c:pt>
                <c:pt idx="272">
                  <c:v>16.100000000000001</c:v>
                </c:pt>
                <c:pt idx="273">
                  <c:v>16.100000000000001</c:v>
                </c:pt>
                <c:pt idx="274">
                  <c:v>16</c:v>
                </c:pt>
                <c:pt idx="275">
                  <c:v>16.2</c:v>
                </c:pt>
                <c:pt idx="276">
                  <c:v>16.399999999999999</c:v>
                </c:pt>
                <c:pt idx="277">
                  <c:v>16.600000000000001</c:v>
                </c:pt>
                <c:pt idx="278">
                  <c:v>16.8</c:v>
                </c:pt>
                <c:pt idx="279">
                  <c:v>17</c:v>
                </c:pt>
                <c:pt idx="280">
                  <c:v>17.2</c:v>
                </c:pt>
                <c:pt idx="281">
                  <c:v>17.399999999999999</c:v>
                </c:pt>
                <c:pt idx="282">
                  <c:v>17.600000000000001</c:v>
                </c:pt>
                <c:pt idx="283">
                  <c:v>17.8</c:v>
                </c:pt>
                <c:pt idx="284">
                  <c:v>18</c:v>
                </c:pt>
                <c:pt idx="285">
                  <c:v>18.2</c:v>
                </c:pt>
                <c:pt idx="286">
                  <c:v>18.399999999999999</c:v>
                </c:pt>
                <c:pt idx="287">
                  <c:v>18.600000000000001</c:v>
                </c:pt>
                <c:pt idx="288">
                  <c:v>18.8</c:v>
                </c:pt>
                <c:pt idx="289">
                  <c:v>19</c:v>
                </c:pt>
                <c:pt idx="290">
                  <c:v>19.2</c:v>
                </c:pt>
                <c:pt idx="291">
                  <c:v>19.399999999999999</c:v>
                </c:pt>
                <c:pt idx="292">
                  <c:v>19.600000000000001</c:v>
                </c:pt>
                <c:pt idx="293">
                  <c:v>19.8</c:v>
                </c:pt>
                <c:pt idx="294">
                  <c:v>20</c:v>
                </c:pt>
                <c:pt idx="295">
                  <c:v>20.2</c:v>
                </c:pt>
                <c:pt idx="296">
                  <c:v>20.399999999999999</c:v>
                </c:pt>
                <c:pt idx="297">
                  <c:v>20.6</c:v>
                </c:pt>
                <c:pt idx="298">
                  <c:v>20.8</c:v>
                </c:pt>
                <c:pt idx="299">
                  <c:v>21</c:v>
                </c:pt>
                <c:pt idx="300">
                  <c:v>21.2</c:v>
                </c:pt>
                <c:pt idx="301">
                  <c:v>21.4</c:v>
                </c:pt>
                <c:pt idx="302">
                  <c:v>21.6</c:v>
                </c:pt>
                <c:pt idx="303">
                  <c:v>21.8</c:v>
                </c:pt>
                <c:pt idx="304">
                  <c:v>22</c:v>
                </c:pt>
                <c:pt idx="305">
                  <c:v>22.4</c:v>
                </c:pt>
                <c:pt idx="306">
                  <c:v>22.7</c:v>
                </c:pt>
                <c:pt idx="307">
                  <c:v>23.1</c:v>
                </c:pt>
                <c:pt idx="308">
                  <c:v>23.4</c:v>
                </c:pt>
                <c:pt idx="309">
                  <c:v>23.8</c:v>
                </c:pt>
                <c:pt idx="310">
                  <c:v>24.1</c:v>
                </c:pt>
                <c:pt idx="311">
                  <c:v>24.5</c:v>
                </c:pt>
                <c:pt idx="312">
                  <c:v>24.8</c:v>
                </c:pt>
                <c:pt idx="313">
                  <c:v>25.2</c:v>
                </c:pt>
                <c:pt idx="314">
                  <c:v>25.5</c:v>
                </c:pt>
                <c:pt idx="315">
                  <c:v>25.9</c:v>
                </c:pt>
                <c:pt idx="316">
                  <c:v>26.3</c:v>
                </c:pt>
                <c:pt idx="317">
                  <c:v>26.6</c:v>
                </c:pt>
                <c:pt idx="318">
                  <c:v>27</c:v>
                </c:pt>
                <c:pt idx="319">
                  <c:v>27.3</c:v>
                </c:pt>
                <c:pt idx="320">
                  <c:v>27.7</c:v>
                </c:pt>
                <c:pt idx="321">
                  <c:v>28</c:v>
                </c:pt>
                <c:pt idx="322">
                  <c:v>28.4</c:v>
                </c:pt>
                <c:pt idx="323">
                  <c:v>28.7</c:v>
                </c:pt>
                <c:pt idx="324">
                  <c:v>29.1</c:v>
                </c:pt>
                <c:pt idx="325">
                  <c:v>29.5</c:v>
                </c:pt>
                <c:pt idx="326">
                  <c:v>29.8</c:v>
                </c:pt>
                <c:pt idx="327">
                  <c:v>30.2</c:v>
                </c:pt>
                <c:pt idx="328">
                  <c:v>30.5</c:v>
                </c:pt>
                <c:pt idx="329">
                  <c:v>30.9</c:v>
                </c:pt>
                <c:pt idx="330">
                  <c:v>31.2</c:v>
                </c:pt>
                <c:pt idx="331">
                  <c:v>31.6</c:v>
                </c:pt>
                <c:pt idx="332">
                  <c:v>31.9</c:v>
                </c:pt>
                <c:pt idx="333">
                  <c:v>32.299999999999997</c:v>
                </c:pt>
                <c:pt idx="334">
                  <c:v>32.6</c:v>
                </c:pt>
                <c:pt idx="335">
                  <c:v>33</c:v>
                </c:pt>
                <c:pt idx="336">
                  <c:v>33.9</c:v>
                </c:pt>
                <c:pt idx="337">
                  <c:v>34.700000000000003</c:v>
                </c:pt>
                <c:pt idx="338">
                  <c:v>35.6</c:v>
                </c:pt>
                <c:pt idx="339">
                  <c:v>36.5</c:v>
                </c:pt>
                <c:pt idx="340">
                  <c:v>37.299999999999997</c:v>
                </c:pt>
                <c:pt idx="341">
                  <c:v>38.200000000000003</c:v>
                </c:pt>
                <c:pt idx="342">
                  <c:v>39.1</c:v>
                </c:pt>
                <c:pt idx="343">
                  <c:v>39.9</c:v>
                </c:pt>
                <c:pt idx="344">
                  <c:v>40.799999999999997</c:v>
                </c:pt>
                <c:pt idx="345">
                  <c:v>41.7</c:v>
                </c:pt>
                <c:pt idx="346">
                  <c:v>42.5</c:v>
                </c:pt>
                <c:pt idx="347">
                  <c:v>43.4</c:v>
                </c:pt>
                <c:pt idx="348">
                  <c:v>44.3</c:v>
                </c:pt>
                <c:pt idx="349">
                  <c:v>45.1</c:v>
                </c:pt>
                <c:pt idx="350">
                  <c:v>46</c:v>
                </c:pt>
                <c:pt idx="351">
                  <c:v>46.9</c:v>
                </c:pt>
                <c:pt idx="352">
                  <c:v>47.7</c:v>
                </c:pt>
                <c:pt idx="353">
                  <c:v>48.6</c:v>
                </c:pt>
                <c:pt idx="354">
                  <c:v>49.5</c:v>
                </c:pt>
                <c:pt idx="355">
                  <c:v>50.3</c:v>
                </c:pt>
                <c:pt idx="356">
                  <c:v>51.2</c:v>
                </c:pt>
                <c:pt idx="357">
                  <c:v>52.1</c:v>
                </c:pt>
                <c:pt idx="358">
                  <c:v>52.9</c:v>
                </c:pt>
                <c:pt idx="359">
                  <c:v>53.8</c:v>
                </c:pt>
                <c:pt idx="360">
                  <c:v>54.7</c:v>
                </c:pt>
                <c:pt idx="361">
                  <c:v>55.5</c:v>
                </c:pt>
                <c:pt idx="362">
                  <c:v>56.4</c:v>
                </c:pt>
                <c:pt idx="363">
                  <c:v>57.3</c:v>
                </c:pt>
                <c:pt idx="364">
                  <c:v>58.1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97-46F6-A710-BD36288C4612}"/>
            </c:ext>
          </c:extLst>
        </c:ser>
        <c:ser>
          <c:idx val="1"/>
          <c:order val="1"/>
          <c:tx>
            <c:strRef>
              <c:f>'[1]Stock hydro'!$C$3</c:f>
              <c:strCache>
                <c:ptCount val="1"/>
                <c:pt idx="0">
                  <c:v>Lev High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'[1]Stock hydro'!$A$4:$A$368</c:f>
              <c:strCache>
                <c:ptCount val="365"/>
                <c:pt idx="0">
                  <c:v>  JUL 04</c:v>
                </c:pt>
                <c:pt idx="1">
                  <c:v>  JUL 05</c:v>
                </c:pt>
                <c:pt idx="2">
                  <c:v>  JUL 06</c:v>
                </c:pt>
                <c:pt idx="3">
                  <c:v>  JUL 07</c:v>
                </c:pt>
                <c:pt idx="4">
                  <c:v>  JUL 08</c:v>
                </c:pt>
                <c:pt idx="5">
                  <c:v>  JUL 09</c:v>
                </c:pt>
                <c:pt idx="6">
                  <c:v>  JUL 10</c:v>
                </c:pt>
                <c:pt idx="7">
                  <c:v>  JUL 11</c:v>
                </c:pt>
                <c:pt idx="8">
                  <c:v>  JUL 12</c:v>
                </c:pt>
                <c:pt idx="9">
                  <c:v>  JUL 13</c:v>
                </c:pt>
                <c:pt idx="10">
                  <c:v>  JUL 14</c:v>
                </c:pt>
                <c:pt idx="11">
                  <c:v>  JUL 15</c:v>
                </c:pt>
                <c:pt idx="12">
                  <c:v>  JUL 16</c:v>
                </c:pt>
                <c:pt idx="13">
                  <c:v>  JUL 17</c:v>
                </c:pt>
                <c:pt idx="14">
                  <c:v>  JUL 18</c:v>
                </c:pt>
                <c:pt idx="15">
                  <c:v>  JUL 19</c:v>
                </c:pt>
                <c:pt idx="16">
                  <c:v>  JUL 20</c:v>
                </c:pt>
                <c:pt idx="17">
                  <c:v>  JUL 21</c:v>
                </c:pt>
                <c:pt idx="18">
                  <c:v>  JUL 22</c:v>
                </c:pt>
                <c:pt idx="19">
                  <c:v>  JUL 23</c:v>
                </c:pt>
                <c:pt idx="20">
                  <c:v>  JUL 24</c:v>
                </c:pt>
                <c:pt idx="21">
                  <c:v>  JUL 25</c:v>
                </c:pt>
                <c:pt idx="22">
                  <c:v>  JUL 26</c:v>
                </c:pt>
                <c:pt idx="23">
                  <c:v>  JUL 27</c:v>
                </c:pt>
                <c:pt idx="24">
                  <c:v>  JUL 28</c:v>
                </c:pt>
                <c:pt idx="25">
                  <c:v>  JUL 29</c:v>
                </c:pt>
                <c:pt idx="26">
                  <c:v>  JUL 30</c:v>
                </c:pt>
                <c:pt idx="27">
                  <c:v>  JUL 31</c:v>
                </c:pt>
                <c:pt idx="28">
                  <c:v>  AUG 01</c:v>
                </c:pt>
                <c:pt idx="29">
                  <c:v>  AUG 02</c:v>
                </c:pt>
                <c:pt idx="30">
                  <c:v>  AUG 03</c:v>
                </c:pt>
                <c:pt idx="31">
                  <c:v>  AUG 04</c:v>
                </c:pt>
                <c:pt idx="32">
                  <c:v>  AUG 05</c:v>
                </c:pt>
                <c:pt idx="33">
                  <c:v>  AUG 06</c:v>
                </c:pt>
                <c:pt idx="34">
                  <c:v>  AUG 07</c:v>
                </c:pt>
                <c:pt idx="35">
                  <c:v>  AUG 08</c:v>
                </c:pt>
                <c:pt idx="36">
                  <c:v>  AUG 09</c:v>
                </c:pt>
                <c:pt idx="37">
                  <c:v>  AUG 10</c:v>
                </c:pt>
                <c:pt idx="38">
                  <c:v>  AUG 11</c:v>
                </c:pt>
                <c:pt idx="39">
                  <c:v>  AUG 12</c:v>
                </c:pt>
                <c:pt idx="40">
                  <c:v>  AUG 13</c:v>
                </c:pt>
                <c:pt idx="41">
                  <c:v>  AUG 14</c:v>
                </c:pt>
                <c:pt idx="42">
                  <c:v>  AUG 15</c:v>
                </c:pt>
                <c:pt idx="43">
                  <c:v>  AUG 16</c:v>
                </c:pt>
                <c:pt idx="44">
                  <c:v>  AUG 17</c:v>
                </c:pt>
                <c:pt idx="45">
                  <c:v>  AUG 18</c:v>
                </c:pt>
                <c:pt idx="46">
                  <c:v>  AUG 19</c:v>
                </c:pt>
                <c:pt idx="47">
                  <c:v>  AUG 20</c:v>
                </c:pt>
                <c:pt idx="48">
                  <c:v>  AUG 21</c:v>
                </c:pt>
                <c:pt idx="49">
                  <c:v>  AUG 22</c:v>
                </c:pt>
                <c:pt idx="50">
                  <c:v>  AUG 23</c:v>
                </c:pt>
                <c:pt idx="51">
                  <c:v>  AUG 24</c:v>
                </c:pt>
                <c:pt idx="52">
                  <c:v>  AUG 25</c:v>
                </c:pt>
                <c:pt idx="53">
                  <c:v>  AUG 26</c:v>
                </c:pt>
                <c:pt idx="54">
                  <c:v>  AUG 27</c:v>
                </c:pt>
                <c:pt idx="55">
                  <c:v>  AUG 28</c:v>
                </c:pt>
                <c:pt idx="56">
                  <c:v>  AUG 29</c:v>
                </c:pt>
                <c:pt idx="57">
                  <c:v>  AUG 30</c:v>
                </c:pt>
                <c:pt idx="58">
                  <c:v>  AUG 31</c:v>
                </c:pt>
                <c:pt idx="59">
                  <c:v>  SEP 01</c:v>
                </c:pt>
                <c:pt idx="60">
                  <c:v>  SEP 02</c:v>
                </c:pt>
                <c:pt idx="61">
                  <c:v>  SEP 03</c:v>
                </c:pt>
                <c:pt idx="62">
                  <c:v>  SEP 04</c:v>
                </c:pt>
                <c:pt idx="63">
                  <c:v>  SEP 05</c:v>
                </c:pt>
                <c:pt idx="64">
                  <c:v>  SEP 06</c:v>
                </c:pt>
                <c:pt idx="65">
                  <c:v>  SEP 07</c:v>
                </c:pt>
                <c:pt idx="66">
                  <c:v>  SEP 08</c:v>
                </c:pt>
                <c:pt idx="67">
                  <c:v>  SEP 09</c:v>
                </c:pt>
                <c:pt idx="68">
                  <c:v>  SEP 10</c:v>
                </c:pt>
                <c:pt idx="69">
                  <c:v>  SEP 11</c:v>
                </c:pt>
                <c:pt idx="70">
                  <c:v>  SEP 12</c:v>
                </c:pt>
                <c:pt idx="71">
                  <c:v>  SEP 13</c:v>
                </c:pt>
                <c:pt idx="72">
                  <c:v>  SEP 14</c:v>
                </c:pt>
                <c:pt idx="73">
                  <c:v>  SEP 15</c:v>
                </c:pt>
                <c:pt idx="74">
                  <c:v>  SEP 16</c:v>
                </c:pt>
                <c:pt idx="75">
                  <c:v>  SEP 17</c:v>
                </c:pt>
                <c:pt idx="76">
                  <c:v>  SEP 18</c:v>
                </c:pt>
                <c:pt idx="77">
                  <c:v>  SEP 19</c:v>
                </c:pt>
                <c:pt idx="78">
                  <c:v>  SEP 20</c:v>
                </c:pt>
                <c:pt idx="79">
                  <c:v>  SEP 21</c:v>
                </c:pt>
                <c:pt idx="80">
                  <c:v>  SEP 22</c:v>
                </c:pt>
                <c:pt idx="81">
                  <c:v>  SEP 23</c:v>
                </c:pt>
                <c:pt idx="82">
                  <c:v>  SEP 24</c:v>
                </c:pt>
                <c:pt idx="83">
                  <c:v>  SEP 25</c:v>
                </c:pt>
                <c:pt idx="84">
                  <c:v>  SEP 26</c:v>
                </c:pt>
                <c:pt idx="85">
                  <c:v>  SEP 27</c:v>
                </c:pt>
                <c:pt idx="86">
                  <c:v>  SEP 28</c:v>
                </c:pt>
                <c:pt idx="87">
                  <c:v>  SEP 29</c:v>
                </c:pt>
                <c:pt idx="88">
                  <c:v>  SEP 30</c:v>
                </c:pt>
                <c:pt idx="89">
                  <c:v>  OCT 01</c:v>
                </c:pt>
                <c:pt idx="90">
                  <c:v>  OCT 02</c:v>
                </c:pt>
                <c:pt idx="91">
                  <c:v>  OCT 03</c:v>
                </c:pt>
                <c:pt idx="92">
                  <c:v>  OCT 04</c:v>
                </c:pt>
                <c:pt idx="93">
                  <c:v>  OCT 05</c:v>
                </c:pt>
                <c:pt idx="94">
                  <c:v>  OCT 06</c:v>
                </c:pt>
                <c:pt idx="95">
                  <c:v>  OCT 07</c:v>
                </c:pt>
                <c:pt idx="96">
                  <c:v>  OCT 08</c:v>
                </c:pt>
                <c:pt idx="97">
                  <c:v>  OCT 09</c:v>
                </c:pt>
                <c:pt idx="98">
                  <c:v>  OCT 10</c:v>
                </c:pt>
                <c:pt idx="99">
                  <c:v>  OCT 11</c:v>
                </c:pt>
                <c:pt idx="100">
                  <c:v>  OCT 12</c:v>
                </c:pt>
                <c:pt idx="101">
                  <c:v>  OCT 13</c:v>
                </c:pt>
                <c:pt idx="102">
                  <c:v>  OCT 14</c:v>
                </c:pt>
                <c:pt idx="103">
                  <c:v>  OCT 15</c:v>
                </c:pt>
                <c:pt idx="104">
                  <c:v>  OCT 16</c:v>
                </c:pt>
                <c:pt idx="105">
                  <c:v>  OCT 17</c:v>
                </c:pt>
                <c:pt idx="106">
                  <c:v>  OCT 18</c:v>
                </c:pt>
                <c:pt idx="107">
                  <c:v>  OCT 19</c:v>
                </c:pt>
                <c:pt idx="108">
                  <c:v>  OCT 20</c:v>
                </c:pt>
                <c:pt idx="109">
                  <c:v>  OCT 21</c:v>
                </c:pt>
                <c:pt idx="110">
                  <c:v>  OCT 22</c:v>
                </c:pt>
                <c:pt idx="111">
                  <c:v>  OCT 23</c:v>
                </c:pt>
                <c:pt idx="112">
                  <c:v>  OCT 24</c:v>
                </c:pt>
                <c:pt idx="113">
                  <c:v>  OCT 25</c:v>
                </c:pt>
                <c:pt idx="114">
                  <c:v>  OCT 26</c:v>
                </c:pt>
                <c:pt idx="115">
                  <c:v>  OCT 27</c:v>
                </c:pt>
                <c:pt idx="116">
                  <c:v>  OCT 28</c:v>
                </c:pt>
                <c:pt idx="117">
                  <c:v>  OCT 29</c:v>
                </c:pt>
                <c:pt idx="118">
                  <c:v>  OCT 30</c:v>
                </c:pt>
                <c:pt idx="119">
                  <c:v>  OCT 31</c:v>
                </c:pt>
                <c:pt idx="120">
                  <c:v>  NOV 01</c:v>
                </c:pt>
                <c:pt idx="121">
                  <c:v>  NOV 02</c:v>
                </c:pt>
                <c:pt idx="122">
                  <c:v>  NOV 03</c:v>
                </c:pt>
                <c:pt idx="123">
                  <c:v>  NOV 04</c:v>
                </c:pt>
                <c:pt idx="124">
                  <c:v>  NOV 05</c:v>
                </c:pt>
                <c:pt idx="125">
                  <c:v>  NOV 06</c:v>
                </c:pt>
                <c:pt idx="126">
                  <c:v>  NOV 07</c:v>
                </c:pt>
                <c:pt idx="127">
                  <c:v>  NOV 08</c:v>
                </c:pt>
                <c:pt idx="128">
                  <c:v>  NOV 09</c:v>
                </c:pt>
                <c:pt idx="129">
                  <c:v>  NOV 10</c:v>
                </c:pt>
                <c:pt idx="130">
                  <c:v>  NOV 11</c:v>
                </c:pt>
                <c:pt idx="131">
                  <c:v>  NOV 12</c:v>
                </c:pt>
                <c:pt idx="132">
                  <c:v>  NOV 13</c:v>
                </c:pt>
                <c:pt idx="133">
                  <c:v>  NOV 14</c:v>
                </c:pt>
                <c:pt idx="134">
                  <c:v>  NOV 15</c:v>
                </c:pt>
                <c:pt idx="135">
                  <c:v>  NOV 16</c:v>
                </c:pt>
                <c:pt idx="136">
                  <c:v>  NOV 17</c:v>
                </c:pt>
                <c:pt idx="137">
                  <c:v>  NOV 18</c:v>
                </c:pt>
                <c:pt idx="138">
                  <c:v>  NOV 19</c:v>
                </c:pt>
                <c:pt idx="139">
                  <c:v>  NOV 20</c:v>
                </c:pt>
                <c:pt idx="140">
                  <c:v>  NOV 21</c:v>
                </c:pt>
                <c:pt idx="141">
                  <c:v>  NOV 22</c:v>
                </c:pt>
                <c:pt idx="142">
                  <c:v>  NOV 23</c:v>
                </c:pt>
                <c:pt idx="143">
                  <c:v>  NOV 24</c:v>
                </c:pt>
                <c:pt idx="144">
                  <c:v>  NOV 25</c:v>
                </c:pt>
                <c:pt idx="145">
                  <c:v>  NOV 26</c:v>
                </c:pt>
                <c:pt idx="146">
                  <c:v>  NOV 27</c:v>
                </c:pt>
                <c:pt idx="147">
                  <c:v>  NOV 28</c:v>
                </c:pt>
                <c:pt idx="148">
                  <c:v>  NOV 29</c:v>
                </c:pt>
                <c:pt idx="149">
                  <c:v>  NOV 30</c:v>
                </c:pt>
                <c:pt idx="150">
                  <c:v>  DEC 01</c:v>
                </c:pt>
                <c:pt idx="151">
                  <c:v>  DEC 02</c:v>
                </c:pt>
                <c:pt idx="152">
                  <c:v>  DEC 03</c:v>
                </c:pt>
                <c:pt idx="153">
                  <c:v>  DEC 04</c:v>
                </c:pt>
                <c:pt idx="154">
                  <c:v>  DEC 05</c:v>
                </c:pt>
                <c:pt idx="155">
                  <c:v>  DEC 06</c:v>
                </c:pt>
                <c:pt idx="156">
                  <c:v>  DEC 07</c:v>
                </c:pt>
                <c:pt idx="157">
                  <c:v>  DEC 08</c:v>
                </c:pt>
                <c:pt idx="158">
                  <c:v>  DEC 09</c:v>
                </c:pt>
                <c:pt idx="159">
                  <c:v>  DEC 10</c:v>
                </c:pt>
                <c:pt idx="160">
                  <c:v>  DEC 11</c:v>
                </c:pt>
                <c:pt idx="161">
                  <c:v>  DEC 12</c:v>
                </c:pt>
                <c:pt idx="162">
                  <c:v>  DEC 13</c:v>
                </c:pt>
                <c:pt idx="163">
                  <c:v>  DEC 14</c:v>
                </c:pt>
                <c:pt idx="164">
                  <c:v>  DEC 15</c:v>
                </c:pt>
                <c:pt idx="165">
                  <c:v>  DEC 16</c:v>
                </c:pt>
                <c:pt idx="166">
                  <c:v>  DEC 17</c:v>
                </c:pt>
                <c:pt idx="167">
                  <c:v>  DEC 18</c:v>
                </c:pt>
                <c:pt idx="168">
                  <c:v>  DEC 19</c:v>
                </c:pt>
                <c:pt idx="169">
                  <c:v>  DEC 20</c:v>
                </c:pt>
                <c:pt idx="170">
                  <c:v>  DEC 21</c:v>
                </c:pt>
                <c:pt idx="171">
                  <c:v>  DEC 22</c:v>
                </c:pt>
                <c:pt idx="172">
                  <c:v>  DEC 23</c:v>
                </c:pt>
                <c:pt idx="173">
                  <c:v>  DEC 24</c:v>
                </c:pt>
                <c:pt idx="174">
                  <c:v>  DEC 25</c:v>
                </c:pt>
                <c:pt idx="175">
                  <c:v>  DEC 26</c:v>
                </c:pt>
                <c:pt idx="176">
                  <c:v>  DEC 27</c:v>
                </c:pt>
                <c:pt idx="177">
                  <c:v>  DEC 28</c:v>
                </c:pt>
                <c:pt idx="178">
                  <c:v>  DEC 29</c:v>
                </c:pt>
                <c:pt idx="179">
                  <c:v>  DEC 30</c:v>
                </c:pt>
                <c:pt idx="180">
                  <c:v>  DEC 31</c:v>
                </c:pt>
                <c:pt idx="181">
                  <c:v>  JAN 01</c:v>
                </c:pt>
                <c:pt idx="182">
                  <c:v>  JAN 02</c:v>
                </c:pt>
                <c:pt idx="183">
                  <c:v>  JAN 03</c:v>
                </c:pt>
                <c:pt idx="184">
                  <c:v>  JAN 04</c:v>
                </c:pt>
                <c:pt idx="185">
                  <c:v>  JAN 05</c:v>
                </c:pt>
                <c:pt idx="186">
                  <c:v>  JAN 06</c:v>
                </c:pt>
                <c:pt idx="187">
                  <c:v>  JAN 07</c:v>
                </c:pt>
                <c:pt idx="188">
                  <c:v>  JAN 08</c:v>
                </c:pt>
                <c:pt idx="189">
                  <c:v>  JAN 09</c:v>
                </c:pt>
                <c:pt idx="190">
                  <c:v>  JAN 10</c:v>
                </c:pt>
                <c:pt idx="191">
                  <c:v>  JAN 11</c:v>
                </c:pt>
                <c:pt idx="192">
                  <c:v>  JAN 12</c:v>
                </c:pt>
                <c:pt idx="193">
                  <c:v>  JAN 13</c:v>
                </c:pt>
                <c:pt idx="194">
                  <c:v>  JAN 14</c:v>
                </c:pt>
                <c:pt idx="195">
                  <c:v>  JAN 15</c:v>
                </c:pt>
                <c:pt idx="196">
                  <c:v>  JAN 16</c:v>
                </c:pt>
                <c:pt idx="197">
                  <c:v>  JAN 17</c:v>
                </c:pt>
                <c:pt idx="198">
                  <c:v>  JAN 18</c:v>
                </c:pt>
                <c:pt idx="199">
                  <c:v>  JAN 19</c:v>
                </c:pt>
                <c:pt idx="200">
                  <c:v>  JAN 20</c:v>
                </c:pt>
                <c:pt idx="201">
                  <c:v>  JAN 21</c:v>
                </c:pt>
                <c:pt idx="202">
                  <c:v>  JAN 22</c:v>
                </c:pt>
                <c:pt idx="203">
                  <c:v>  JAN 23</c:v>
                </c:pt>
                <c:pt idx="204">
                  <c:v>  JAN 24</c:v>
                </c:pt>
                <c:pt idx="205">
                  <c:v>  JAN 25</c:v>
                </c:pt>
                <c:pt idx="206">
                  <c:v>  JAN 26</c:v>
                </c:pt>
                <c:pt idx="207">
                  <c:v>  JAN 27</c:v>
                </c:pt>
                <c:pt idx="208">
                  <c:v>  JAN 28</c:v>
                </c:pt>
                <c:pt idx="209">
                  <c:v>  JAN 29</c:v>
                </c:pt>
                <c:pt idx="210">
                  <c:v>  JAN 30</c:v>
                </c:pt>
                <c:pt idx="211">
                  <c:v>  JAN 31</c:v>
                </c:pt>
                <c:pt idx="212">
                  <c:v>  FEB 01</c:v>
                </c:pt>
                <c:pt idx="213">
                  <c:v>  FEB 02</c:v>
                </c:pt>
                <c:pt idx="214">
                  <c:v>  FEB 03</c:v>
                </c:pt>
                <c:pt idx="215">
                  <c:v>  FEB 04</c:v>
                </c:pt>
                <c:pt idx="216">
                  <c:v>  FEB 05</c:v>
                </c:pt>
                <c:pt idx="217">
                  <c:v>  FEB 06</c:v>
                </c:pt>
                <c:pt idx="218">
                  <c:v>  FEB 07</c:v>
                </c:pt>
                <c:pt idx="219">
                  <c:v>  FEB 08</c:v>
                </c:pt>
                <c:pt idx="220">
                  <c:v>  FEB 09</c:v>
                </c:pt>
                <c:pt idx="221">
                  <c:v>  FEB 10</c:v>
                </c:pt>
                <c:pt idx="222">
                  <c:v>  FEB 11</c:v>
                </c:pt>
                <c:pt idx="223">
                  <c:v>  FEB 12</c:v>
                </c:pt>
                <c:pt idx="224">
                  <c:v>  FEB 13</c:v>
                </c:pt>
                <c:pt idx="225">
                  <c:v>  FEB 14</c:v>
                </c:pt>
                <c:pt idx="226">
                  <c:v>  FEB 15</c:v>
                </c:pt>
                <c:pt idx="227">
                  <c:v>  FEB 16</c:v>
                </c:pt>
                <c:pt idx="228">
                  <c:v>  FEB 17</c:v>
                </c:pt>
                <c:pt idx="229">
                  <c:v>  FEB 18</c:v>
                </c:pt>
                <c:pt idx="230">
                  <c:v>  FEB 19</c:v>
                </c:pt>
                <c:pt idx="231">
                  <c:v>  FEB 20</c:v>
                </c:pt>
                <c:pt idx="232">
                  <c:v>  FEB 21</c:v>
                </c:pt>
                <c:pt idx="233">
                  <c:v>  FEB 22</c:v>
                </c:pt>
                <c:pt idx="234">
                  <c:v>  FEB 23</c:v>
                </c:pt>
                <c:pt idx="235">
                  <c:v>  FEB 24</c:v>
                </c:pt>
                <c:pt idx="236">
                  <c:v>  FEB 25</c:v>
                </c:pt>
                <c:pt idx="237">
                  <c:v>  FEB 26</c:v>
                </c:pt>
                <c:pt idx="238">
                  <c:v>  FEB 27</c:v>
                </c:pt>
                <c:pt idx="239">
                  <c:v>  FEB 28</c:v>
                </c:pt>
                <c:pt idx="240">
                  <c:v>  MAR 01</c:v>
                </c:pt>
                <c:pt idx="241">
                  <c:v>  MAR 02</c:v>
                </c:pt>
                <c:pt idx="242">
                  <c:v>  MAR 03</c:v>
                </c:pt>
                <c:pt idx="243">
                  <c:v>  MAR 04</c:v>
                </c:pt>
                <c:pt idx="244">
                  <c:v>  MAR 05</c:v>
                </c:pt>
                <c:pt idx="245">
                  <c:v>  MAR 06</c:v>
                </c:pt>
                <c:pt idx="246">
                  <c:v>  MAR 07</c:v>
                </c:pt>
                <c:pt idx="247">
                  <c:v>  MAR 08</c:v>
                </c:pt>
                <c:pt idx="248">
                  <c:v>  MAR 09</c:v>
                </c:pt>
                <c:pt idx="249">
                  <c:v>  MAR 10</c:v>
                </c:pt>
                <c:pt idx="250">
                  <c:v>  MAR 11</c:v>
                </c:pt>
                <c:pt idx="251">
                  <c:v>  MAR 12</c:v>
                </c:pt>
                <c:pt idx="252">
                  <c:v>  MAR 13</c:v>
                </c:pt>
                <c:pt idx="253">
                  <c:v>  MAR 14</c:v>
                </c:pt>
                <c:pt idx="254">
                  <c:v>  MAR 15</c:v>
                </c:pt>
                <c:pt idx="255">
                  <c:v>  MAR 16</c:v>
                </c:pt>
                <c:pt idx="256">
                  <c:v>  MAR 17</c:v>
                </c:pt>
                <c:pt idx="257">
                  <c:v>  MAR 18</c:v>
                </c:pt>
                <c:pt idx="258">
                  <c:v>  MAR 19</c:v>
                </c:pt>
                <c:pt idx="259">
                  <c:v>  MAR 20</c:v>
                </c:pt>
                <c:pt idx="260">
                  <c:v>  MAR 21</c:v>
                </c:pt>
                <c:pt idx="261">
                  <c:v>  MAR 22</c:v>
                </c:pt>
                <c:pt idx="262">
                  <c:v>  MAR 23</c:v>
                </c:pt>
                <c:pt idx="263">
                  <c:v>  MAR 24</c:v>
                </c:pt>
                <c:pt idx="264">
                  <c:v>  MAR 25</c:v>
                </c:pt>
                <c:pt idx="265">
                  <c:v>  MAR 26</c:v>
                </c:pt>
                <c:pt idx="266">
                  <c:v>  MAR 27</c:v>
                </c:pt>
                <c:pt idx="267">
                  <c:v>  MAR 28</c:v>
                </c:pt>
                <c:pt idx="268">
                  <c:v>  MAR 29</c:v>
                </c:pt>
                <c:pt idx="269">
                  <c:v>  MAR 30</c:v>
                </c:pt>
                <c:pt idx="270">
                  <c:v>  MAR 31</c:v>
                </c:pt>
                <c:pt idx="271">
                  <c:v>  APR 01</c:v>
                </c:pt>
                <c:pt idx="272">
                  <c:v>  APR 02</c:v>
                </c:pt>
                <c:pt idx="273">
                  <c:v>  APR 03</c:v>
                </c:pt>
                <c:pt idx="274">
                  <c:v>  APR 04</c:v>
                </c:pt>
                <c:pt idx="275">
                  <c:v>  APR 05</c:v>
                </c:pt>
                <c:pt idx="276">
                  <c:v>  APR 06</c:v>
                </c:pt>
                <c:pt idx="277">
                  <c:v>  APR 07</c:v>
                </c:pt>
                <c:pt idx="278">
                  <c:v>  APR 08</c:v>
                </c:pt>
                <c:pt idx="279">
                  <c:v>  APR 09</c:v>
                </c:pt>
                <c:pt idx="280">
                  <c:v>  APR 10</c:v>
                </c:pt>
                <c:pt idx="281">
                  <c:v>  APR 11</c:v>
                </c:pt>
                <c:pt idx="282">
                  <c:v>  APR 12</c:v>
                </c:pt>
                <c:pt idx="283">
                  <c:v>  APR 13</c:v>
                </c:pt>
                <c:pt idx="284">
                  <c:v>  APR 14</c:v>
                </c:pt>
                <c:pt idx="285">
                  <c:v>  APR 15</c:v>
                </c:pt>
                <c:pt idx="286">
                  <c:v>  APR 16</c:v>
                </c:pt>
                <c:pt idx="287">
                  <c:v>  APR 17</c:v>
                </c:pt>
                <c:pt idx="288">
                  <c:v>  APR 18</c:v>
                </c:pt>
                <c:pt idx="289">
                  <c:v>  APR 19</c:v>
                </c:pt>
                <c:pt idx="290">
                  <c:v>  APR 20</c:v>
                </c:pt>
                <c:pt idx="291">
                  <c:v>  APR 21</c:v>
                </c:pt>
                <c:pt idx="292">
                  <c:v>  APR 22</c:v>
                </c:pt>
                <c:pt idx="293">
                  <c:v>  APR 23</c:v>
                </c:pt>
                <c:pt idx="294">
                  <c:v>  APR 24</c:v>
                </c:pt>
                <c:pt idx="295">
                  <c:v>  APR 25</c:v>
                </c:pt>
                <c:pt idx="296">
                  <c:v>  APR 26</c:v>
                </c:pt>
                <c:pt idx="297">
                  <c:v>  APR 27</c:v>
                </c:pt>
                <c:pt idx="298">
                  <c:v>  APR 28</c:v>
                </c:pt>
                <c:pt idx="299">
                  <c:v>  APR 29</c:v>
                </c:pt>
                <c:pt idx="300">
                  <c:v>  APR 30</c:v>
                </c:pt>
                <c:pt idx="301">
                  <c:v>  MAY 01</c:v>
                </c:pt>
                <c:pt idx="302">
                  <c:v>  MAY 02</c:v>
                </c:pt>
                <c:pt idx="303">
                  <c:v>  MAY 03</c:v>
                </c:pt>
                <c:pt idx="304">
                  <c:v>  MAY 04</c:v>
                </c:pt>
                <c:pt idx="305">
                  <c:v>  MAY 05</c:v>
                </c:pt>
                <c:pt idx="306">
                  <c:v>  MAY 06</c:v>
                </c:pt>
                <c:pt idx="307">
                  <c:v>  MAY 07</c:v>
                </c:pt>
                <c:pt idx="308">
                  <c:v>  MAY 08</c:v>
                </c:pt>
                <c:pt idx="309">
                  <c:v>  MAY 09</c:v>
                </c:pt>
                <c:pt idx="310">
                  <c:v>  MAY 10</c:v>
                </c:pt>
                <c:pt idx="311">
                  <c:v>  MAY 11</c:v>
                </c:pt>
                <c:pt idx="312">
                  <c:v>  MAY 12</c:v>
                </c:pt>
                <c:pt idx="313">
                  <c:v>  MAY 13</c:v>
                </c:pt>
                <c:pt idx="314">
                  <c:v>  MAY 14</c:v>
                </c:pt>
                <c:pt idx="315">
                  <c:v>  MAY 15</c:v>
                </c:pt>
                <c:pt idx="316">
                  <c:v>  MAY 16</c:v>
                </c:pt>
                <c:pt idx="317">
                  <c:v>  MAY 17</c:v>
                </c:pt>
                <c:pt idx="318">
                  <c:v>  MAY 18</c:v>
                </c:pt>
                <c:pt idx="319">
                  <c:v>  MAY 19</c:v>
                </c:pt>
                <c:pt idx="320">
                  <c:v>  MAY 20</c:v>
                </c:pt>
                <c:pt idx="321">
                  <c:v>  MAY 21</c:v>
                </c:pt>
                <c:pt idx="322">
                  <c:v>  MAY 22</c:v>
                </c:pt>
                <c:pt idx="323">
                  <c:v>  MAY 23</c:v>
                </c:pt>
                <c:pt idx="324">
                  <c:v>  MAY 24</c:v>
                </c:pt>
                <c:pt idx="325">
                  <c:v>  MAY 25</c:v>
                </c:pt>
                <c:pt idx="326">
                  <c:v>  MAY 26</c:v>
                </c:pt>
                <c:pt idx="327">
                  <c:v>  MAY 27</c:v>
                </c:pt>
                <c:pt idx="328">
                  <c:v>  MAY 28</c:v>
                </c:pt>
                <c:pt idx="329">
                  <c:v>  MAY 29</c:v>
                </c:pt>
                <c:pt idx="330">
                  <c:v>  MAY 30</c:v>
                </c:pt>
                <c:pt idx="331">
                  <c:v>  MAY 31</c:v>
                </c:pt>
                <c:pt idx="332">
                  <c:v>  JUN 01</c:v>
                </c:pt>
                <c:pt idx="333">
                  <c:v>  JUN 02</c:v>
                </c:pt>
                <c:pt idx="334">
                  <c:v>  JUN 03</c:v>
                </c:pt>
                <c:pt idx="335">
                  <c:v>  JUN 04</c:v>
                </c:pt>
                <c:pt idx="336">
                  <c:v>  JUN 05</c:v>
                </c:pt>
                <c:pt idx="337">
                  <c:v>  JUN 06</c:v>
                </c:pt>
                <c:pt idx="338">
                  <c:v>  JUN 07</c:v>
                </c:pt>
                <c:pt idx="339">
                  <c:v>  JUN 08</c:v>
                </c:pt>
                <c:pt idx="340">
                  <c:v>  JUN 09</c:v>
                </c:pt>
                <c:pt idx="341">
                  <c:v>  JUN 10</c:v>
                </c:pt>
                <c:pt idx="342">
                  <c:v>  JUN 11</c:v>
                </c:pt>
                <c:pt idx="343">
                  <c:v>  JUN 12</c:v>
                </c:pt>
                <c:pt idx="344">
                  <c:v>  JUN 13</c:v>
                </c:pt>
                <c:pt idx="345">
                  <c:v>  JUN 14</c:v>
                </c:pt>
                <c:pt idx="346">
                  <c:v>  JUN 15</c:v>
                </c:pt>
                <c:pt idx="347">
                  <c:v>  JUN 16</c:v>
                </c:pt>
                <c:pt idx="348">
                  <c:v>  JUN 17</c:v>
                </c:pt>
                <c:pt idx="349">
                  <c:v>  JUN 18</c:v>
                </c:pt>
                <c:pt idx="350">
                  <c:v>  JUN 19</c:v>
                </c:pt>
                <c:pt idx="351">
                  <c:v>  JUN 20</c:v>
                </c:pt>
                <c:pt idx="352">
                  <c:v>  JUN 21</c:v>
                </c:pt>
                <c:pt idx="353">
                  <c:v>  JUN 22</c:v>
                </c:pt>
                <c:pt idx="354">
                  <c:v>  JUN 23</c:v>
                </c:pt>
                <c:pt idx="355">
                  <c:v>  JUN 24</c:v>
                </c:pt>
                <c:pt idx="356">
                  <c:v>  JUN 25</c:v>
                </c:pt>
                <c:pt idx="357">
                  <c:v>  JUN 26</c:v>
                </c:pt>
                <c:pt idx="358">
                  <c:v>  JUN 27</c:v>
                </c:pt>
                <c:pt idx="359">
                  <c:v>  JUN 28</c:v>
                </c:pt>
                <c:pt idx="360">
                  <c:v>  JUN 29</c:v>
                </c:pt>
                <c:pt idx="361">
                  <c:v>  JUN 30</c:v>
                </c:pt>
                <c:pt idx="362">
                  <c:v>  JUL 01</c:v>
                </c:pt>
                <c:pt idx="363">
                  <c:v>  JUL 02</c:v>
                </c:pt>
                <c:pt idx="364">
                  <c:v>  JUL 03</c:v>
                </c:pt>
              </c:strCache>
            </c:strRef>
          </c:cat>
          <c:val>
            <c:numRef>
              <c:f>'[1]Stock hydro'!$C$4:$C$368</c:f>
              <c:numCache>
                <c:formatCode>General</c:formatCode>
                <c:ptCount val="365"/>
                <c:pt idx="0">
                  <c:v>81</c:v>
                </c:pt>
                <c:pt idx="1">
                  <c:v>81.2</c:v>
                </c:pt>
                <c:pt idx="2">
                  <c:v>81.400000000000006</c:v>
                </c:pt>
                <c:pt idx="3">
                  <c:v>81.599999999999994</c:v>
                </c:pt>
                <c:pt idx="4">
                  <c:v>81.8</c:v>
                </c:pt>
                <c:pt idx="5">
                  <c:v>82</c:v>
                </c:pt>
                <c:pt idx="6">
                  <c:v>82.2</c:v>
                </c:pt>
                <c:pt idx="7">
                  <c:v>82.4</c:v>
                </c:pt>
                <c:pt idx="8">
                  <c:v>82.5</c:v>
                </c:pt>
                <c:pt idx="9">
                  <c:v>82.7</c:v>
                </c:pt>
                <c:pt idx="10">
                  <c:v>82.9</c:v>
                </c:pt>
                <c:pt idx="11">
                  <c:v>83.1</c:v>
                </c:pt>
                <c:pt idx="12">
                  <c:v>83.3</c:v>
                </c:pt>
                <c:pt idx="13">
                  <c:v>83.5</c:v>
                </c:pt>
                <c:pt idx="14">
                  <c:v>83.7</c:v>
                </c:pt>
                <c:pt idx="15">
                  <c:v>83.9</c:v>
                </c:pt>
                <c:pt idx="16">
                  <c:v>84.1</c:v>
                </c:pt>
                <c:pt idx="17">
                  <c:v>84.3</c:v>
                </c:pt>
                <c:pt idx="18">
                  <c:v>84.5</c:v>
                </c:pt>
                <c:pt idx="19">
                  <c:v>84.7</c:v>
                </c:pt>
                <c:pt idx="20">
                  <c:v>84.9</c:v>
                </c:pt>
                <c:pt idx="21">
                  <c:v>85.1</c:v>
                </c:pt>
                <c:pt idx="22">
                  <c:v>85.3</c:v>
                </c:pt>
                <c:pt idx="23">
                  <c:v>85.5</c:v>
                </c:pt>
                <c:pt idx="24">
                  <c:v>85.6</c:v>
                </c:pt>
                <c:pt idx="25">
                  <c:v>85.8</c:v>
                </c:pt>
                <c:pt idx="26">
                  <c:v>86</c:v>
                </c:pt>
                <c:pt idx="27">
                  <c:v>86.2</c:v>
                </c:pt>
                <c:pt idx="28">
                  <c:v>86.4</c:v>
                </c:pt>
                <c:pt idx="29">
                  <c:v>86.6</c:v>
                </c:pt>
                <c:pt idx="30">
                  <c:v>86.8</c:v>
                </c:pt>
                <c:pt idx="31">
                  <c:v>87</c:v>
                </c:pt>
                <c:pt idx="32">
                  <c:v>87.1</c:v>
                </c:pt>
                <c:pt idx="33">
                  <c:v>87.2</c:v>
                </c:pt>
                <c:pt idx="34">
                  <c:v>87.3</c:v>
                </c:pt>
                <c:pt idx="35">
                  <c:v>87.4</c:v>
                </c:pt>
                <c:pt idx="36">
                  <c:v>87.5</c:v>
                </c:pt>
                <c:pt idx="37">
                  <c:v>87.6</c:v>
                </c:pt>
                <c:pt idx="38">
                  <c:v>87.7</c:v>
                </c:pt>
                <c:pt idx="39">
                  <c:v>87.8</c:v>
                </c:pt>
                <c:pt idx="40">
                  <c:v>87.9</c:v>
                </c:pt>
                <c:pt idx="41">
                  <c:v>88</c:v>
                </c:pt>
                <c:pt idx="42">
                  <c:v>88.1</c:v>
                </c:pt>
                <c:pt idx="43">
                  <c:v>88.2</c:v>
                </c:pt>
                <c:pt idx="44">
                  <c:v>88.3</c:v>
                </c:pt>
                <c:pt idx="45">
                  <c:v>88.4</c:v>
                </c:pt>
                <c:pt idx="46">
                  <c:v>88.5</c:v>
                </c:pt>
                <c:pt idx="47">
                  <c:v>88.5</c:v>
                </c:pt>
                <c:pt idx="48">
                  <c:v>88.6</c:v>
                </c:pt>
                <c:pt idx="49">
                  <c:v>88.7</c:v>
                </c:pt>
                <c:pt idx="50">
                  <c:v>88.8</c:v>
                </c:pt>
                <c:pt idx="51">
                  <c:v>88.9</c:v>
                </c:pt>
                <c:pt idx="52">
                  <c:v>89</c:v>
                </c:pt>
                <c:pt idx="53">
                  <c:v>89.1</c:v>
                </c:pt>
                <c:pt idx="54">
                  <c:v>89.2</c:v>
                </c:pt>
                <c:pt idx="55">
                  <c:v>89.3</c:v>
                </c:pt>
                <c:pt idx="56">
                  <c:v>89.4</c:v>
                </c:pt>
                <c:pt idx="57">
                  <c:v>89.5</c:v>
                </c:pt>
                <c:pt idx="58">
                  <c:v>89.6</c:v>
                </c:pt>
                <c:pt idx="59">
                  <c:v>89.7</c:v>
                </c:pt>
                <c:pt idx="60">
                  <c:v>89.8</c:v>
                </c:pt>
                <c:pt idx="61">
                  <c:v>89.9</c:v>
                </c:pt>
                <c:pt idx="62">
                  <c:v>90</c:v>
                </c:pt>
                <c:pt idx="63">
                  <c:v>90</c:v>
                </c:pt>
                <c:pt idx="64">
                  <c:v>90</c:v>
                </c:pt>
                <c:pt idx="65">
                  <c:v>90</c:v>
                </c:pt>
                <c:pt idx="66">
                  <c:v>90</c:v>
                </c:pt>
                <c:pt idx="67">
                  <c:v>90</c:v>
                </c:pt>
                <c:pt idx="68">
                  <c:v>90</c:v>
                </c:pt>
                <c:pt idx="69">
                  <c:v>90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  <c:pt idx="73">
                  <c:v>90</c:v>
                </c:pt>
                <c:pt idx="74">
                  <c:v>90</c:v>
                </c:pt>
                <c:pt idx="75">
                  <c:v>90</c:v>
                </c:pt>
                <c:pt idx="76">
                  <c:v>90</c:v>
                </c:pt>
                <c:pt idx="77">
                  <c:v>90</c:v>
                </c:pt>
                <c:pt idx="78">
                  <c:v>90</c:v>
                </c:pt>
                <c:pt idx="79">
                  <c:v>90</c:v>
                </c:pt>
                <c:pt idx="80">
                  <c:v>90</c:v>
                </c:pt>
                <c:pt idx="81">
                  <c:v>90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</c:v>
                </c:pt>
                <c:pt idx="93">
                  <c:v>90</c:v>
                </c:pt>
                <c:pt idx="94">
                  <c:v>90.1</c:v>
                </c:pt>
                <c:pt idx="95">
                  <c:v>90.1</c:v>
                </c:pt>
                <c:pt idx="96">
                  <c:v>90.1</c:v>
                </c:pt>
                <c:pt idx="97">
                  <c:v>90.2</c:v>
                </c:pt>
                <c:pt idx="98">
                  <c:v>90.2</c:v>
                </c:pt>
                <c:pt idx="99">
                  <c:v>90.2</c:v>
                </c:pt>
                <c:pt idx="100">
                  <c:v>90.3</c:v>
                </c:pt>
                <c:pt idx="101">
                  <c:v>90.3</c:v>
                </c:pt>
                <c:pt idx="102">
                  <c:v>90.3</c:v>
                </c:pt>
                <c:pt idx="103">
                  <c:v>90.4</c:v>
                </c:pt>
                <c:pt idx="104">
                  <c:v>90.4</c:v>
                </c:pt>
                <c:pt idx="105">
                  <c:v>90.4</c:v>
                </c:pt>
                <c:pt idx="106">
                  <c:v>90.5</c:v>
                </c:pt>
                <c:pt idx="107">
                  <c:v>90.5</c:v>
                </c:pt>
                <c:pt idx="108">
                  <c:v>90.5</c:v>
                </c:pt>
                <c:pt idx="109">
                  <c:v>90.5</c:v>
                </c:pt>
                <c:pt idx="110">
                  <c:v>90.6</c:v>
                </c:pt>
                <c:pt idx="111">
                  <c:v>90.6</c:v>
                </c:pt>
                <c:pt idx="112">
                  <c:v>90.6</c:v>
                </c:pt>
                <c:pt idx="113">
                  <c:v>90.7</c:v>
                </c:pt>
                <c:pt idx="114">
                  <c:v>90.7</c:v>
                </c:pt>
                <c:pt idx="115">
                  <c:v>90.7</c:v>
                </c:pt>
                <c:pt idx="116">
                  <c:v>90.8</c:v>
                </c:pt>
                <c:pt idx="117">
                  <c:v>90.8</c:v>
                </c:pt>
                <c:pt idx="118">
                  <c:v>90.8</c:v>
                </c:pt>
                <c:pt idx="119">
                  <c:v>90.9</c:v>
                </c:pt>
                <c:pt idx="120">
                  <c:v>90.9</c:v>
                </c:pt>
                <c:pt idx="121">
                  <c:v>90.9</c:v>
                </c:pt>
                <c:pt idx="122">
                  <c:v>91</c:v>
                </c:pt>
                <c:pt idx="123">
                  <c:v>91</c:v>
                </c:pt>
                <c:pt idx="124">
                  <c:v>91</c:v>
                </c:pt>
                <c:pt idx="125">
                  <c:v>91.1</c:v>
                </c:pt>
                <c:pt idx="126">
                  <c:v>91.1</c:v>
                </c:pt>
                <c:pt idx="127">
                  <c:v>91.1</c:v>
                </c:pt>
                <c:pt idx="128">
                  <c:v>91.2</c:v>
                </c:pt>
                <c:pt idx="129">
                  <c:v>91.2</c:v>
                </c:pt>
                <c:pt idx="130">
                  <c:v>91.2</c:v>
                </c:pt>
                <c:pt idx="131">
                  <c:v>91.3</c:v>
                </c:pt>
                <c:pt idx="132">
                  <c:v>91.3</c:v>
                </c:pt>
                <c:pt idx="133">
                  <c:v>91.3</c:v>
                </c:pt>
                <c:pt idx="134">
                  <c:v>91.4</c:v>
                </c:pt>
                <c:pt idx="135">
                  <c:v>91.4</c:v>
                </c:pt>
                <c:pt idx="136">
                  <c:v>91.4</c:v>
                </c:pt>
                <c:pt idx="137">
                  <c:v>91.5</c:v>
                </c:pt>
                <c:pt idx="138">
                  <c:v>91.5</c:v>
                </c:pt>
                <c:pt idx="139">
                  <c:v>91.5</c:v>
                </c:pt>
                <c:pt idx="140">
                  <c:v>91.6</c:v>
                </c:pt>
                <c:pt idx="141">
                  <c:v>91.6</c:v>
                </c:pt>
                <c:pt idx="142">
                  <c:v>91.6</c:v>
                </c:pt>
                <c:pt idx="143">
                  <c:v>91.7</c:v>
                </c:pt>
                <c:pt idx="144">
                  <c:v>91.7</c:v>
                </c:pt>
                <c:pt idx="145">
                  <c:v>91.7</c:v>
                </c:pt>
                <c:pt idx="146">
                  <c:v>91.8</c:v>
                </c:pt>
                <c:pt idx="147">
                  <c:v>91.8</c:v>
                </c:pt>
                <c:pt idx="148">
                  <c:v>91.8</c:v>
                </c:pt>
                <c:pt idx="149">
                  <c:v>91.9</c:v>
                </c:pt>
                <c:pt idx="150">
                  <c:v>91.9</c:v>
                </c:pt>
                <c:pt idx="151">
                  <c:v>91.9</c:v>
                </c:pt>
                <c:pt idx="152">
                  <c:v>92</c:v>
                </c:pt>
                <c:pt idx="153">
                  <c:v>92</c:v>
                </c:pt>
                <c:pt idx="154">
                  <c:v>91.6</c:v>
                </c:pt>
                <c:pt idx="155">
                  <c:v>91.2</c:v>
                </c:pt>
                <c:pt idx="156">
                  <c:v>90.7</c:v>
                </c:pt>
                <c:pt idx="157">
                  <c:v>90.3</c:v>
                </c:pt>
                <c:pt idx="158">
                  <c:v>89.9</c:v>
                </c:pt>
                <c:pt idx="159">
                  <c:v>89.5</c:v>
                </c:pt>
                <c:pt idx="160">
                  <c:v>89.1</c:v>
                </c:pt>
                <c:pt idx="161">
                  <c:v>88.6</c:v>
                </c:pt>
                <c:pt idx="162">
                  <c:v>88.2</c:v>
                </c:pt>
                <c:pt idx="163">
                  <c:v>87.8</c:v>
                </c:pt>
                <c:pt idx="164">
                  <c:v>87.4</c:v>
                </c:pt>
                <c:pt idx="165">
                  <c:v>87</c:v>
                </c:pt>
                <c:pt idx="166">
                  <c:v>86.5</c:v>
                </c:pt>
                <c:pt idx="167">
                  <c:v>86.1</c:v>
                </c:pt>
                <c:pt idx="168">
                  <c:v>85.7</c:v>
                </c:pt>
                <c:pt idx="169">
                  <c:v>85.3</c:v>
                </c:pt>
                <c:pt idx="170">
                  <c:v>84.9</c:v>
                </c:pt>
                <c:pt idx="171">
                  <c:v>84.5</c:v>
                </c:pt>
                <c:pt idx="172">
                  <c:v>84</c:v>
                </c:pt>
                <c:pt idx="173">
                  <c:v>83.6</c:v>
                </c:pt>
                <c:pt idx="174">
                  <c:v>83.2</c:v>
                </c:pt>
                <c:pt idx="175">
                  <c:v>82.8</c:v>
                </c:pt>
                <c:pt idx="176">
                  <c:v>82.4</c:v>
                </c:pt>
                <c:pt idx="177">
                  <c:v>81.900000000000006</c:v>
                </c:pt>
                <c:pt idx="178">
                  <c:v>81.5</c:v>
                </c:pt>
                <c:pt idx="179">
                  <c:v>81.099999999999994</c:v>
                </c:pt>
                <c:pt idx="180">
                  <c:v>80.7</c:v>
                </c:pt>
                <c:pt idx="181">
                  <c:v>80.3</c:v>
                </c:pt>
                <c:pt idx="182">
                  <c:v>79.8</c:v>
                </c:pt>
                <c:pt idx="183">
                  <c:v>79.400000000000006</c:v>
                </c:pt>
                <c:pt idx="184">
                  <c:v>79</c:v>
                </c:pt>
                <c:pt idx="185">
                  <c:v>78.7</c:v>
                </c:pt>
                <c:pt idx="186">
                  <c:v>78.400000000000006</c:v>
                </c:pt>
                <c:pt idx="187">
                  <c:v>78.099999999999994</c:v>
                </c:pt>
                <c:pt idx="188">
                  <c:v>77.8</c:v>
                </c:pt>
                <c:pt idx="189">
                  <c:v>77.5</c:v>
                </c:pt>
                <c:pt idx="190">
                  <c:v>77.3</c:v>
                </c:pt>
                <c:pt idx="191">
                  <c:v>77</c:v>
                </c:pt>
                <c:pt idx="192">
                  <c:v>76.7</c:v>
                </c:pt>
                <c:pt idx="193">
                  <c:v>76.400000000000006</c:v>
                </c:pt>
                <c:pt idx="194">
                  <c:v>76.099999999999994</c:v>
                </c:pt>
                <c:pt idx="195">
                  <c:v>75.8</c:v>
                </c:pt>
                <c:pt idx="196">
                  <c:v>75.5</c:v>
                </c:pt>
                <c:pt idx="197">
                  <c:v>75.2</c:v>
                </c:pt>
                <c:pt idx="198">
                  <c:v>74.900000000000006</c:v>
                </c:pt>
                <c:pt idx="199">
                  <c:v>74.599999999999994</c:v>
                </c:pt>
                <c:pt idx="200">
                  <c:v>74.400000000000006</c:v>
                </c:pt>
                <c:pt idx="201">
                  <c:v>74.099999999999994</c:v>
                </c:pt>
                <c:pt idx="202">
                  <c:v>73.8</c:v>
                </c:pt>
                <c:pt idx="203">
                  <c:v>73.5</c:v>
                </c:pt>
                <c:pt idx="204">
                  <c:v>73.2</c:v>
                </c:pt>
                <c:pt idx="205">
                  <c:v>72.900000000000006</c:v>
                </c:pt>
                <c:pt idx="206">
                  <c:v>72.599999999999994</c:v>
                </c:pt>
                <c:pt idx="207">
                  <c:v>72.3</c:v>
                </c:pt>
                <c:pt idx="208">
                  <c:v>72</c:v>
                </c:pt>
                <c:pt idx="209">
                  <c:v>71.7</c:v>
                </c:pt>
                <c:pt idx="210">
                  <c:v>71.5</c:v>
                </c:pt>
                <c:pt idx="211">
                  <c:v>71.2</c:v>
                </c:pt>
                <c:pt idx="212">
                  <c:v>70.900000000000006</c:v>
                </c:pt>
                <c:pt idx="213">
                  <c:v>70.599999999999994</c:v>
                </c:pt>
                <c:pt idx="214">
                  <c:v>70.3</c:v>
                </c:pt>
                <c:pt idx="215">
                  <c:v>70</c:v>
                </c:pt>
                <c:pt idx="216">
                  <c:v>69.5</c:v>
                </c:pt>
                <c:pt idx="217">
                  <c:v>69.099999999999994</c:v>
                </c:pt>
                <c:pt idx="218">
                  <c:v>68.599999999999994</c:v>
                </c:pt>
                <c:pt idx="219">
                  <c:v>68.099999999999994</c:v>
                </c:pt>
                <c:pt idx="220">
                  <c:v>67.7</c:v>
                </c:pt>
                <c:pt idx="221">
                  <c:v>67.2</c:v>
                </c:pt>
                <c:pt idx="222">
                  <c:v>66.8</c:v>
                </c:pt>
                <c:pt idx="223">
                  <c:v>66.3</c:v>
                </c:pt>
                <c:pt idx="224">
                  <c:v>65.8</c:v>
                </c:pt>
                <c:pt idx="225">
                  <c:v>65.400000000000006</c:v>
                </c:pt>
                <c:pt idx="226">
                  <c:v>64.900000000000006</c:v>
                </c:pt>
                <c:pt idx="227">
                  <c:v>64.400000000000006</c:v>
                </c:pt>
                <c:pt idx="228">
                  <c:v>64</c:v>
                </c:pt>
                <c:pt idx="229">
                  <c:v>63.5</c:v>
                </c:pt>
                <c:pt idx="230">
                  <c:v>63</c:v>
                </c:pt>
                <c:pt idx="231">
                  <c:v>62.6</c:v>
                </c:pt>
                <c:pt idx="232">
                  <c:v>62.1</c:v>
                </c:pt>
                <c:pt idx="233">
                  <c:v>61.6</c:v>
                </c:pt>
                <c:pt idx="234">
                  <c:v>61.2</c:v>
                </c:pt>
                <c:pt idx="235">
                  <c:v>60.7</c:v>
                </c:pt>
                <c:pt idx="236">
                  <c:v>60.2</c:v>
                </c:pt>
                <c:pt idx="237">
                  <c:v>59.8</c:v>
                </c:pt>
                <c:pt idx="238">
                  <c:v>59.3</c:v>
                </c:pt>
                <c:pt idx="239">
                  <c:v>58.9</c:v>
                </c:pt>
                <c:pt idx="240">
                  <c:v>58.4</c:v>
                </c:pt>
                <c:pt idx="241">
                  <c:v>57.9</c:v>
                </c:pt>
                <c:pt idx="242">
                  <c:v>57.5</c:v>
                </c:pt>
                <c:pt idx="243">
                  <c:v>57</c:v>
                </c:pt>
                <c:pt idx="244">
                  <c:v>57</c:v>
                </c:pt>
                <c:pt idx="245">
                  <c:v>56.9</c:v>
                </c:pt>
                <c:pt idx="246">
                  <c:v>56.9</c:v>
                </c:pt>
                <c:pt idx="247">
                  <c:v>56.9</c:v>
                </c:pt>
                <c:pt idx="248">
                  <c:v>56.8</c:v>
                </c:pt>
                <c:pt idx="249">
                  <c:v>56.8</c:v>
                </c:pt>
                <c:pt idx="250">
                  <c:v>56.8</c:v>
                </c:pt>
                <c:pt idx="251">
                  <c:v>56.7</c:v>
                </c:pt>
                <c:pt idx="252">
                  <c:v>56.7</c:v>
                </c:pt>
                <c:pt idx="253">
                  <c:v>56.7</c:v>
                </c:pt>
                <c:pt idx="254">
                  <c:v>56.6</c:v>
                </c:pt>
                <c:pt idx="255">
                  <c:v>56.6</c:v>
                </c:pt>
                <c:pt idx="256">
                  <c:v>56.6</c:v>
                </c:pt>
                <c:pt idx="257">
                  <c:v>56.5</c:v>
                </c:pt>
                <c:pt idx="258">
                  <c:v>56.5</c:v>
                </c:pt>
                <c:pt idx="259">
                  <c:v>56.5</c:v>
                </c:pt>
                <c:pt idx="260">
                  <c:v>56.5</c:v>
                </c:pt>
                <c:pt idx="261">
                  <c:v>56.4</c:v>
                </c:pt>
                <c:pt idx="262">
                  <c:v>56.4</c:v>
                </c:pt>
                <c:pt idx="263">
                  <c:v>56.4</c:v>
                </c:pt>
                <c:pt idx="264">
                  <c:v>56.3</c:v>
                </c:pt>
                <c:pt idx="265">
                  <c:v>56.3</c:v>
                </c:pt>
                <c:pt idx="266">
                  <c:v>56.3</c:v>
                </c:pt>
                <c:pt idx="267">
                  <c:v>56.2</c:v>
                </c:pt>
                <c:pt idx="268">
                  <c:v>56.2</c:v>
                </c:pt>
                <c:pt idx="269">
                  <c:v>56.2</c:v>
                </c:pt>
                <c:pt idx="270">
                  <c:v>56.1</c:v>
                </c:pt>
                <c:pt idx="271">
                  <c:v>56.1</c:v>
                </c:pt>
                <c:pt idx="272">
                  <c:v>56.1</c:v>
                </c:pt>
                <c:pt idx="273">
                  <c:v>56</c:v>
                </c:pt>
                <c:pt idx="274">
                  <c:v>56</c:v>
                </c:pt>
                <c:pt idx="275">
                  <c:v>55.7</c:v>
                </c:pt>
                <c:pt idx="276">
                  <c:v>55.5</c:v>
                </c:pt>
                <c:pt idx="277">
                  <c:v>55.2</c:v>
                </c:pt>
                <c:pt idx="278">
                  <c:v>54.9</c:v>
                </c:pt>
                <c:pt idx="279">
                  <c:v>54.7</c:v>
                </c:pt>
                <c:pt idx="280">
                  <c:v>54.4</c:v>
                </c:pt>
                <c:pt idx="281">
                  <c:v>54.1</c:v>
                </c:pt>
                <c:pt idx="282">
                  <c:v>53.9</c:v>
                </c:pt>
                <c:pt idx="283">
                  <c:v>53.6</c:v>
                </c:pt>
                <c:pt idx="284">
                  <c:v>53.3</c:v>
                </c:pt>
                <c:pt idx="285">
                  <c:v>53.1</c:v>
                </c:pt>
                <c:pt idx="286">
                  <c:v>52.8</c:v>
                </c:pt>
                <c:pt idx="287">
                  <c:v>52.5</c:v>
                </c:pt>
                <c:pt idx="288">
                  <c:v>52.3</c:v>
                </c:pt>
                <c:pt idx="289">
                  <c:v>52</c:v>
                </c:pt>
                <c:pt idx="290">
                  <c:v>51.7</c:v>
                </c:pt>
                <c:pt idx="291">
                  <c:v>51.5</c:v>
                </c:pt>
                <c:pt idx="292">
                  <c:v>51.8</c:v>
                </c:pt>
                <c:pt idx="293">
                  <c:v>52.099999999999994</c:v>
                </c:pt>
                <c:pt idx="294">
                  <c:v>52.399999999999991</c:v>
                </c:pt>
                <c:pt idx="295">
                  <c:v>52.699999999999989</c:v>
                </c:pt>
                <c:pt idx="296">
                  <c:v>52.999999999999986</c:v>
                </c:pt>
                <c:pt idx="297">
                  <c:v>53.299999999999983</c:v>
                </c:pt>
                <c:pt idx="298">
                  <c:v>53.59999999999998</c:v>
                </c:pt>
                <c:pt idx="299">
                  <c:v>53.899999999999977</c:v>
                </c:pt>
                <c:pt idx="300">
                  <c:v>54.199999999999974</c:v>
                </c:pt>
                <c:pt idx="301">
                  <c:v>54.499999999999972</c:v>
                </c:pt>
                <c:pt idx="302">
                  <c:v>54.799999999999969</c:v>
                </c:pt>
                <c:pt idx="303">
                  <c:v>55.099999999999966</c:v>
                </c:pt>
                <c:pt idx="304">
                  <c:v>55.399999999999963</c:v>
                </c:pt>
                <c:pt idx="305">
                  <c:v>55.69999999999996</c:v>
                </c:pt>
                <c:pt idx="306">
                  <c:v>55.999999999999957</c:v>
                </c:pt>
                <c:pt idx="307">
                  <c:v>56.299999999999955</c:v>
                </c:pt>
                <c:pt idx="308">
                  <c:v>56.599999999999952</c:v>
                </c:pt>
                <c:pt idx="309">
                  <c:v>56.899999999999949</c:v>
                </c:pt>
                <c:pt idx="310">
                  <c:v>57.199999999999946</c:v>
                </c:pt>
                <c:pt idx="311">
                  <c:v>57.499999999999943</c:v>
                </c:pt>
                <c:pt idx="312">
                  <c:v>57.79999999999994</c:v>
                </c:pt>
                <c:pt idx="313">
                  <c:v>58.099999999999937</c:v>
                </c:pt>
                <c:pt idx="314">
                  <c:v>58.399999999999935</c:v>
                </c:pt>
                <c:pt idx="315">
                  <c:v>58.699999999999932</c:v>
                </c:pt>
                <c:pt idx="316">
                  <c:v>58.999999999999929</c:v>
                </c:pt>
                <c:pt idx="317">
                  <c:v>59.399999999999928</c:v>
                </c:pt>
                <c:pt idx="318">
                  <c:v>59.799999999999926</c:v>
                </c:pt>
                <c:pt idx="319">
                  <c:v>60.199999999999925</c:v>
                </c:pt>
                <c:pt idx="320">
                  <c:v>60.599999999999923</c:v>
                </c:pt>
                <c:pt idx="321">
                  <c:v>60.6</c:v>
                </c:pt>
                <c:pt idx="322">
                  <c:v>61.4</c:v>
                </c:pt>
                <c:pt idx="323">
                  <c:v>62.1</c:v>
                </c:pt>
                <c:pt idx="324">
                  <c:v>62.8</c:v>
                </c:pt>
                <c:pt idx="325">
                  <c:v>63.6</c:v>
                </c:pt>
                <c:pt idx="326">
                  <c:v>64.3</c:v>
                </c:pt>
                <c:pt idx="327">
                  <c:v>65.099999999999994</c:v>
                </c:pt>
                <c:pt idx="328">
                  <c:v>65.8</c:v>
                </c:pt>
                <c:pt idx="329">
                  <c:v>66.5</c:v>
                </c:pt>
                <c:pt idx="330">
                  <c:v>67.3</c:v>
                </c:pt>
                <c:pt idx="331">
                  <c:v>68</c:v>
                </c:pt>
                <c:pt idx="332">
                  <c:v>68.8</c:v>
                </c:pt>
                <c:pt idx="333">
                  <c:v>69.5</c:v>
                </c:pt>
                <c:pt idx="334">
                  <c:v>70.3</c:v>
                </c:pt>
                <c:pt idx="335">
                  <c:v>71</c:v>
                </c:pt>
                <c:pt idx="336">
                  <c:v>71.3</c:v>
                </c:pt>
                <c:pt idx="337">
                  <c:v>71.7</c:v>
                </c:pt>
                <c:pt idx="338">
                  <c:v>72</c:v>
                </c:pt>
                <c:pt idx="339">
                  <c:v>72.3</c:v>
                </c:pt>
                <c:pt idx="340">
                  <c:v>72.7</c:v>
                </c:pt>
                <c:pt idx="341">
                  <c:v>73</c:v>
                </c:pt>
                <c:pt idx="342">
                  <c:v>73.3</c:v>
                </c:pt>
                <c:pt idx="343">
                  <c:v>73.7</c:v>
                </c:pt>
                <c:pt idx="344">
                  <c:v>74</c:v>
                </c:pt>
                <c:pt idx="345">
                  <c:v>74.3</c:v>
                </c:pt>
                <c:pt idx="346">
                  <c:v>74.7</c:v>
                </c:pt>
                <c:pt idx="347">
                  <c:v>75</c:v>
                </c:pt>
                <c:pt idx="348">
                  <c:v>75.3</c:v>
                </c:pt>
                <c:pt idx="349">
                  <c:v>75.7</c:v>
                </c:pt>
                <c:pt idx="350">
                  <c:v>76</c:v>
                </c:pt>
                <c:pt idx="351">
                  <c:v>76.3</c:v>
                </c:pt>
                <c:pt idx="352">
                  <c:v>76.7</c:v>
                </c:pt>
                <c:pt idx="353">
                  <c:v>77</c:v>
                </c:pt>
                <c:pt idx="354">
                  <c:v>77.3</c:v>
                </c:pt>
                <c:pt idx="355">
                  <c:v>77.7</c:v>
                </c:pt>
                <c:pt idx="356">
                  <c:v>78</c:v>
                </c:pt>
                <c:pt idx="357">
                  <c:v>78.3</c:v>
                </c:pt>
                <c:pt idx="358">
                  <c:v>78.7</c:v>
                </c:pt>
                <c:pt idx="359">
                  <c:v>79</c:v>
                </c:pt>
                <c:pt idx="360">
                  <c:v>79.3</c:v>
                </c:pt>
                <c:pt idx="361">
                  <c:v>79.7</c:v>
                </c:pt>
                <c:pt idx="362">
                  <c:v>80</c:v>
                </c:pt>
                <c:pt idx="363">
                  <c:v>80.3</c:v>
                </c:pt>
                <c:pt idx="364">
                  <c:v>80.7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97-46F6-A710-BD36288C4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874000"/>
        <c:axId val="530872432"/>
      </c:lineChart>
      <c:catAx>
        <c:axId val="53087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0872432"/>
        <c:crosses val="autoZero"/>
        <c:auto val="1"/>
        <c:lblAlgn val="ctr"/>
        <c:lblOffset val="100"/>
        <c:noMultiLvlLbl val="0"/>
      </c:catAx>
      <c:valAx>
        <c:axId val="53087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087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'Détails historique hydro'!$B$1</c:f>
              <c:strCache>
                <c:ptCount val="1"/>
                <c:pt idx="0">
                  <c:v>Apports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'Détails historique hydro'!$A$2:$A$13</c:f>
              <c:strCache>
                <c:ptCount val="12"/>
                <c:pt idx="0">
                  <c:v>Juillet</c:v>
                </c:pt>
                <c:pt idx="1">
                  <c:v>Aout</c:v>
                </c:pt>
                <c:pt idx="2">
                  <c:v>Septembre</c:v>
                </c:pt>
                <c:pt idx="3">
                  <c:v>Octobre</c:v>
                </c:pt>
                <c:pt idx="4">
                  <c:v>Novembre</c:v>
                </c:pt>
                <c:pt idx="5">
                  <c:v>Décembre</c:v>
                </c:pt>
                <c:pt idx="6">
                  <c:v>Janvier</c:v>
                </c:pt>
                <c:pt idx="7">
                  <c:v>Février</c:v>
                </c:pt>
                <c:pt idx="8">
                  <c:v>Mars</c:v>
                </c:pt>
                <c:pt idx="9">
                  <c:v>Avril</c:v>
                </c:pt>
                <c:pt idx="10">
                  <c:v>Mai</c:v>
                </c:pt>
                <c:pt idx="11">
                  <c:v>Juin</c:v>
                </c:pt>
              </c:strCache>
            </c:strRef>
          </c:cat>
          <c:val>
            <c:numRef>
              <c:f>'Détails historique hydro'!$B$2:$B$13</c:f>
              <c:numCache>
                <c:formatCode>General</c:formatCode>
                <c:ptCount val="12"/>
                <c:pt idx="0">
                  <c:v>452414</c:v>
                </c:pt>
                <c:pt idx="1">
                  <c:v>344348</c:v>
                </c:pt>
                <c:pt idx="2">
                  <c:v>261450</c:v>
                </c:pt>
                <c:pt idx="3">
                  <c:v>251472</c:v>
                </c:pt>
                <c:pt idx="4">
                  <c:v>191610</c:v>
                </c:pt>
                <c:pt idx="5">
                  <c:v>209405</c:v>
                </c:pt>
                <c:pt idx="6">
                  <c:v>228687</c:v>
                </c:pt>
                <c:pt idx="7">
                  <c:v>402087</c:v>
                </c:pt>
                <c:pt idx="8">
                  <c:v>463140</c:v>
                </c:pt>
                <c:pt idx="9">
                  <c:v>472486</c:v>
                </c:pt>
                <c:pt idx="10">
                  <c:v>556264</c:v>
                </c:pt>
                <c:pt idx="11">
                  <c:v>471685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6-47ED-A3D8-7165AD34A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400800"/>
        <c:axId val="678404328"/>
      </c:lineChart>
      <c:catAx>
        <c:axId val="67840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8404328"/>
        <c:crosses val="autoZero"/>
        <c:auto val="1"/>
        <c:lblAlgn val="ctr"/>
        <c:lblOffset val="100"/>
        <c:noMultiLvlLbl val="0"/>
      </c:catAx>
      <c:valAx>
        <c:axId val="67840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840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Niveau de remplissage du stockage gaz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'[2]Données gaz'!$P$2:$P$366</c:f>
              <c:numCache>
                <c:formatCode>General</c:formatCode>
                <c:ptCount val="365"/>
                <c:pt idx="0">
                  <c:v>0.33</c:v>
                </c:pt>
                <c:pt idx="1">
                  <c:v>0.33600000000000002</c:v>
                </c:pt>
                <c:pt idx="2">
                  <c:v>0.34300000000000003</c:v>
                </c:pt>
                <c:pt idx="3">
                  <c:v>0.34899999999999998</c:v>
                </c:pt>
                <c:pt idx="4">
                  <c:v>0.35599999999999998</c:v>
                </c:pt>
                <c:pt idx="5">
                  <c:v>0.36199999999999999</c:v>
                </c:pt>
                <c:pt idx="6">
                  <c:v>0.36899999999999999</c:v>
                </c:pt>
                <c:pt idx="7">
                  <c:v>0.375</c:v>
                </c:pt>
                <c:pt idx="8">
                  <c:v>0.38200000000000001</c:v>
                </c:pt>
                <c:pt idx="9">
                  <c:v>0.38800000000000001</c:v>
                </c:pt>
                <c:pt idx="10">
                  <c:v>0.39500000000000002</c:v>
                </c:pt>
                <c:pt idx="11">
                  <c:v>0.40100000000000002</c:v>
                </c:pt>
                <c:pt idx="12">
                  <c:v>0.40699999999999997</c:v>
                </c:pt>
                <c:pt idx="13">
                  <c:v>0.41399999999999998</c:v>
                </c:pt>
                <c:pt idx="14">
                  <c:v>0.42</c:v>
                </c:pt>
                <c:pt idx="15">
                  <c:v>0.42699999999999999</c:v>
                </c:pt>
                <c:pt idx="16">
                  <c:v>0.433</c:v>
                </c:pt>
                <c:pt idx="17">
                  <c:v>0.44</c:v>
                </c:pt>
                <c:pt idx="18">
                  <c:v>0.44600000000000001</c:v>
                </c:pt>
                <c:pt idx="19">
                  <c:v>0.45300000000000001</c:v>
                </c:pt>
                <c:pt idx="20">
                  <c:v>0.45900000000000002</c:v>
                </c:pt>
                <c:pt idx="21">
                  <c:v>0.46500000000000002</c:v>
                </c:pt>
                <c:pt idx="22">
                  <c:v>0.47199999999999998</c:v>
                </c:pt>
                <c:pt idx="23">
                  <c:v>0.47799999999999998</c:v>
                </c:pt>
                <c:pt idx="24">
                  <c:v>0.48499999999999999</c:v>
                </c:pt>
                <c:pt idx="25">
                  <c:v>0.49099999999999999</c:v>
                </c:pt>
                <c:pt idx="26">
                  <c:v>0.498</c:v>
                </c:pt>
                <c:pt idx="27">
                  <c:v>0.504</c:v>
                </c:pt>
                <c:pt idx="28">
                  <c:v>0.51100000000000001</c:v>
                </c:pt>
                <c:pt idx="29">
                  <c:v>0.51700000000000002</c:v>
                </c:pt>
                <c:pt idx="30">
                  <c:v>0.52400000000000002</c:v>
                </c:pt>
                <c:pt idx="31">
                  <c:v>0.53</c:v>
                </c:pt>
                <c:pt idx="32">
                  <c:v>0.53500000000000003</c:v>
                </c:pt>
                <c:pt idx="33">
                  <c:v>0.54100000000000004</c:v>
                </c:pt>
                <c:pt idx="34">
                  <c:v>0.54600000000000004</c:v>
                </c:pt>
                <c:pt idx="35">
                  <c:v>0.55200000000000005</c:v>
                </c:pt>
                <c:pt idx="36">
                  <c:v>0.55700000000000005</c:v>
                </c:pt>
                <c:pt idx="37">
                  <c:v>0.56299999999999994</c:v>
                </c:pt>
                <c:pt idx="38">
                  <c:v>0.56799999999999995</c:v>
                </c:pt>
                <c:pt idx="39">
                  <c:v>0.57399999999999995</c:v>
                </c:pt>
                <c:pt idx="40">
                  <c:v>0.57899999999999996</c:v>
                </c:pt>
                <c:pt idx="41">
                  <c:v>0.58499999999999996</c:v>
                </c:pt>
                <c:pt idx="42">
                  <c:v>0.59</c:v>
                </c:pt>
                <c:pt idx="43">
                  <c:v>0.59599999999999997</c:v>
                </c:pt>
                <c:pt idx="44">
                  <c:v>0.60099999999999998</c:v>
                </c:pt>
                <c:pt idx="45">
                  <c:v>0.60699999999999998</c:v>
                </c:pt>
                <c:pt idx="46">
                  <c:v>0.61199999999999999</c:v>
                </c:pt>
                <c:pt idx="47">
                  <c:v>0.61799999999999999</c:v>
                </c:pt>
                <c:pt idx="48">
                  <c:v>0.623</c:v>
                </c:pt>
                <c:pt idx="49">
                  <c:v>0.629</c:v>
                </c:pt>
                <c:pt idx="50">
                  <c:v>0.63400000000000001</c:v>
                </c:pt>
                <c:pt idx="51">
                  <c:v>0.64</c:v>
                </c:pt>
                <c:pt idx="52">
                  <c:v>0.64500000000000002</c:v>
                </c:pt>
                <c:pt idx="53">
                  <c:v>0.65100000000000002</c:v>
                </c:pt>
                <c:pt idx="54">
                  <c:v>0.65600000000000003</c:v>
                </c:pt>
                <c:pt idx="55">
                  <c:v>0.66200000000000003</c:v>
                </c:pt>
                <c:pt idx="56">
                  <c:v>0.66700000000000004</c:v>
                </c:pt>
                <c:pt idx="57">
                  <c:v>0.67300000000000004</c:v>
                </c:pt>
                <c:pt idx="58">
                  <c:v>0.67800000000000005</c:v>
                </c:pt>
                <c:pt idx="59">
                  <c:v>0.68400000000000005</c:v>
                </c:pt>
                <c:pt idx="60">
                  <c:v>0.68899999999999995</c:v>
                </c:pt>
                <c:pt idx="61">
                  <c:v>0.69499999999999995</c:v>
                </c:pt>
                <c:pt idx="62">
                  <c:v>0.7</c:v>
                </c:pt>
                <c:pt idx="63">
                  <c:v>0.70199999999999996</c:v>
                </c:pt>
                <c:pt idx="64">
                  <c:v>0.70399999999999996</c:v>
                </c:pt>
                <c:pt idx="65">
                  <c:v>0.70599999999999996</c:v>
                </c:pt>
                <c:pt idx="66">
                  <c:v>0.70799999999999996</c:v>
                </c:pt>
                <c:pt idx="67">
                  <c:v>0.71</c:v>
                </c:pt>
                <c:pt idx="68">
                  <c:v>0.71199999999999997</c:v>
                </c:pt>
                <c:pt idx="69">
                  <c:v>0.71399999999999997</c:v>
                </c:pt>
                <c:pt idx="70">
                  <c:v>0.71599999999999997</c:v>
                </c:pt>
                <c:pt idx="71">
                  <c:v>0.71799999999999997</c:v>
                </c:pt>
                <c:pt idx="72">
                  <c:v>0.72</c:v>
                </c:pt>
                <c:pt idx="73">
                  <c:v>0.72199999999999998</c:v>
                </c:pt>
                <c:pt idx="74">
                  <c:v>0.72399999999999998</c:v>
                </c:pt>
                <c:pt idx="75">
                  <c:v>0.72599999999999998</c:v>
                </c:pt>
                <c:pt idx="76">
                  <c:v>0.72799999999999998</c:v>
                </c:pt>
                <c:pt idx="77">
                  <c:v>0.73</c:v>
                </c:pt>
                <c:pt idx="78">
                  <c:v>0.73199999999999998</c:v>
                </c:pt>
                <c:pt idx="79">
                  <c:v>0.73399999999999999</c:v>
                </c:pt>
                <c:pt idx="80">
                  <c:v>0.73599999999999999</c:v>
                </c:pt>
                <c:pt idx="81">
                  <c:v>0.73799999999999999</c:v>
                </c:pt>
                <c:pt idx="82">
                  <c:v>0.74</c:v>
                </c:pt>
                <c:pt idx="83">
                  <c:v>0.74199999999999999</c:v>
                </c:pt>
                <c:pt idx="84">
                  <c:v>0.74399999999999999</c:v>
                </c:pt>
                <c:pt idx="85">
                  <c:v>0.746</c:v>
                </c:pt>
                <c:pt idx="86">
                  <c:v>0.748</c:v>
                </c:pt>
                <c:pt idx="87">
                  <c:v>0.75</c:v>
                </c:pt>
                <c:pt idx="88">
                  <c:v>0.752</c:v>
                </c:pt>
                <c:pt idx="89">
                  <c:v>0.754</c:v>
                </c:pt>
                <c:pt idx="90">
                  <c:v>0.75600000000000001</c:v>
                </c:pt>
                <c:pt idx="91">
                  <c:v>0.75800000000000001</c:v>
                </c:pt>
                <c:pt idx="92">
                  <c:v>0.88</c:v>
                </c:pt>
                <c:pt idx="93">
                  <c:v>0.75800000000000001</c:v>
                </c:pt>
                <c:pt idx="94">
                  <c:v>0.755</c:v>
                </c:pt>
                <c:pt idx="95">
                  <c:v>0.753</c:v>
                </c:pt>
                <c:pt idx="96">
                  <c:v>0.751</c:v>
                </c:pt>
                <c:pt idx="97">
                  <c:v>0.749</c:v>
                </c:pt>
                <c:pt idx="98">
                  <c:v>0.746</c:v>
                </c:pt>
                <c:pt idx="99">
                  <c:v>0.74399999999999999</c:v>
                </c:pt>
                <c:pt idx="100">
                  <c:v>0.74199999999999999</c:v>
                </c:pt>
                <c:pt idx="101">
                  <c:v>0.74</c:v>
                </c:pt>
                <c:pt idx="102">
                  <c:v>0.73699999999999999</c:v>
                </c:pt>
                <c:pt idx="103">
                  <c:v>0.73499999999999999</c:v>
                </c:pt>
                <c:pt idx="104">
                  <c:v>0.73299999999999998</c:v>
                </c:pt>
                <c:pt idx="105">
                  <c:v>0.73099999999999998</c:v>
                </c:pt>
                <c:pt idx="106">
                  <c:v>0.72799999999999998</c:v>
                </c:pt>
                <c:pt idx="107">
                  <c:v>0.72599999999999998</c:v>
                </c:pt>
                <c:pt idx="108">
                  <c:v>0.72399999999999998</c:v>
                </c:pt>
                <c:pt idx="109">
                  <c:v>0.72199999999999998</c:v>
                </c:pt>
                <c:pt idx="110">
                  <c:v>0.71899999999999997</c:v>
                </c:pt>
                <c:pt idx="111">
                  <c:v>0.71699999999999997</c:v>
                </c:pt>
                <c:pt idx="112">
                  <c:v>0.71499999999999997</c:v>
                </c:pt>
                <c:pt idx="113">
                  <c:v>0.71299999999999997</c:v>
                </c:pt>
                <c:pt idx="114">
                  <c:v>0.71</c:v>
                </c:pt>
                <c:pt idx="115">
                  <c:v>0.70799999999999996</c:v>
                </c:pt>
                <c:pt idx="116">
                  <c:v>0.70599999999999996</c:v>
                </c:pt>
                <c:pt idx="117">
                  <c:v>0.70399999999999996</c:v>
                </c:pt>
                <c:pt idx="118">
                  <c:v>0.70099999999999996</c:v>
                </c:pt>
                <c:pt idx="119">
                  <c:v>0.69899999999999995</c:v>
                </c:pt>
                <c:pt idx="120">
                  <c:v>0.69699999999999995</c:v>
                </c:pt>
                <c:pt idx="121">
                  <c:v>0.69499999999999995</c:v>
                </c:pt>
                <c:pt idx="122">
                  <c:v>0.69199999999999995</c:v>
                </c:pt>
                <c:pt idx="123">
                  <c:v>0.69</c:v>
                </c:pt>
                <c:pt idx="124">
                  <c:v>0.68400000000000005</c:v>
                </c:pt>
                <c:pt idx="125">
                  <c:v>0.67900000000000005</c:v>
                </c:pt>
                <c:pt idx="126">
                  <c:v>0.67300000000000004</c:v>
                </c:pt>
                <c:pt idx="127">
                  <c:v>0.66700000000000004</c:v>
                </c:pt>
                <c:pt idx="128">
                  <c:v>0.66200000000000003</c:v>
                </c:pt>
                <c:pt idx="129">
                  <c:v>0.65600000000000003</c:v>
                </c:pt>
                <c:pt idx="130">
                  <c:v>0.65</c:v>
                </c:pt>
                <c:pt idx="131">
                  <c:v>0.64500000000000002</c:v>
                </c:pt>
                <c:pt idx="132">
                  <c:v>0.63900000000000001</c:v>
                </c:pt>
                <c:pt idx="133">
                  <c:v>0.63300000000000001</c:v>
                </c:pt>
                <c:pt idx="134">
                  <c:v>0.628</c:v>
                </c:pt>
                <c:pt idx="135">
                  <c:v>0.622</c:v>
                </c:pt>
                <c:pt idx="136">
                  <c:v>0.61599999999999999</c:v>
                </c:pt>
                <c:pt idx="137">
                  <c:v>0.61099999999999999</c:v>
                </c:pt>
                <c:pt idx="138">
                  <c:v>0.60499999999999998</c:v>
                </c:pt>
                <c:pt idx="139">
                  <c:v>0.59899999999999998</c:v>
                </c:pt>
                <c:pt idx="140">
                  <c:v>0.59399999999999997</c:v>
                </c:pt>
                <c:pt idx="141">
                  <c:v>0.58799999999999997</c:v>
                </c:pt>
                <c:pt idx="142">
                  <c:v>0.58199999999999996</c:v>
                </c:pt>
                <c:pt idx="143">
                  <c:v>0.57699999999999996</c:v>
                </c:pt>
                <c:pt idx="144">
                  <c:v>0.57099999999999995</c:v>
                </c:pt>
                <c:pt idx="145">
                  <c:v>0.56499999999999995</c:v>
                </c:pt>
                <c:pt idx="146">
                  <c:v>0.56000000000000005</c:v>
                </c:pt>
                <c:pt idx="147">
                  <c:v>0.55400000000000005</c:v>
                </c:pt>
                <c:pt idx="148">
                  <c:v>0.54800000000000004</c:v>
                </c:pt>
                <c:pt idx="149">
                  <c:v>0.54300000000000004</c:v>
                </c:pt>
                <c:pt idx="150">
                  <c:v>0.53700000000000003</c:v>
                </c:pt>
                <c:pt idx="151">
                  <c:v>0.53100000000000003</c:v>
                </c:pt>
                <c:pt idx="152">
                  <c:v>0.52600000000000002</c:v>
                </c:pt>
                <c:pt idx="153">
                  <c:v>0.52</c:v>
                </c:pt>
                <c:pt idx="154">
                  <c:v>0.51400000000000001</c:v>
                </c:pt>
                <c:pt idx="155">
                  <c:v>0.50700000000000001</c:v>
                </c:pt>
                <c:pt idx="156">
                  <c:v>0.501</c:v>
                </c:pt>
                <c:pt idx="157">
                  <c:v>0.49399999999999999</c:v>
                </c:pt>
                <c:pt idx="158">
                  <c:v>0.48799999999999999</c:v>
                </c:pt>
                <c:pt idx="159">
                  <c:v>0.48099999999999998</c:v>
                </c:pt>
                <c:pt idx="160">
                  <c:v>0.47499999999999998</c:v>
                </c:pt>
                <c:pt idx="161">
                  <c:v>0.46800000000000003</c:v>
                </c:pt>
                <c:pt idx="162">
                  <c:v>0.46200000000000002</c:v>
                </c:pt>
                <c:pt idx="163">
                  <c:v>0.45500000000000002</c:v>
                </c:pt>
                <c:pt idx="164">
                  <c:v>0.44900000000000001</c:v>
                </c:pt>
                <c:pt idx="165">
                  <c:v>0.443</c:v>
                </c:pt>
                <c:pt idx="166">
                  <c:v>0.436</c:v>
                </c:pt>
                <c:pt idx="167">
                  <c:v>0.43</c:v>
                </c:pt>
                <c:pt idx="168">
                  <c:v>0.42299999999999999</c:v>
                </c:pt>
                <c:pt idx="169">
                  <c:v>0.41699999999999998</c:v>
                </c:pt>
                <c:pt idx="170">
                  <c:v>0.41</c:v>
                </c:pt>
                <c:pt idx="171">
                  <c:v>0.40400000000000003</c:v>
                </c:pt>
                <c:pt idx="172">
                  <c:v>0.39700000000000002</c:v>
                </c:pt>
                <c:pt idx="173">
                  <c:v>0.39100000000000001</c:v>
                </c:pt>
                <c:pt idx="174">
                  <c:v>0.38500000000000001</c:v>
                </c:pt>
                <c:pt idx="175">
                  <c:v>0.378</c:v>
                </c:pt>
                <c:pt idx="176">
                  <c:v>0.372</c:v>
                </c:pt>
                <c:pt idx="177">
                  <c:v>0.36499999999999999</c:v>
                </c:pt>
                <c:pt idx="178">
                  <c:v>0.35899999999999999</c:v>
                </c:pt>
                <c:pt idx="179">
                  <c:v>0.35199999999999998</c:v>
                </c:pt>
                <c:pt idx="180">
                  <c:v>0.34599999999999997</c:v>
                </c:pt>
                <c:pt idx="181">
                  <c:v>0.33900000000000002</c:v>
                </c:pt>
                <c:pt idx="182">
                  <c:v>0.33300000000000002</c:v>
                </c:pt>
                <c:pt idx="183">
                  <c:v>0.32600000000000001</c:v>
                </c:pt>
                <c:pt idx="184">
                  <c:v>0.32</c:v>
                </c:pt>
                <c:pt idx="185">
                  <c:v>0.315</c:v>
                </c:pt>
                <c:pt idx="186">
                  <c:v>0.309</c:v>
                </c:pt>
                <c:pt idx="187">
                  <c:v>0.30399999999999999</c:v>
                </c:pt>
                <c:pt idx="188">
                  <c:v>0.29799999999999999</c:v>
                </c:pt>
                <c:pt idx="189">
                  <c:v>0.29299999999999998</c:v>
                </c:pt>
                <c:pt idx="190">
                  <c:v>0.28699999999999998</c:v>
                </c:pt>
                <c:pt idx="191">
                  <c:v>0.28199999999999997</c:v>
                </c:pt>
                <c:pt idx="192">
                  <c:v>0.27600000000000002</c:v>
                </c:pt>
                <c:pt idx="193">
                  <c:v>0.27100000000000002</c:v>
                </c:pt>
                <c:pt idx="194">
                  <c:v>0.26500000000000001</c:v>
                </c:pt>
                <c:pt idx="195">
                  <c:v>0.26</c:v>
                </c:pt>
                <c:pt idx="196">
                  <c:v>0.254</c:v>
                </c:pt>
                <c:pt idx="197">
                  <c:v>0.249</c:v>
                </c:pt>
                <c:pt idx="198">
                  <c:v>0.24299999999999999</c:v>
                </c:pt>
                <c:pt idx="199">
                  <c:v>0.23799999999999999</c:v>
                </c:pt>
                <c:pt idx="200">
                  <c:v>0.23200000000000001</c:v>
                </c:pt>
                <c:pt idx="201">
                  <c:v>0.22700000000000001</c:v>
                </c:pt>
                <c:pt idx="202">
                  <c:v>0.221</c:v>
                </c:pt>
                <c:pt idx="203">
                  <c:v>0.216</c:v>
                </c:pt>
                <c:pt idx="204">
                  <c:v>0.21</c:v>
                </c:pt>
                <c:pt idx="205">
                  <c:v>0.20499999999999999</c:v>
                </c:pt>
                <c:pt idx="206">
                  <c:v>0.19900000000000001</c:v>
                </c:pt>
                <c:pt idx="207">
                  <c:v>0.19400000000000001</c:v>
                </c:pt>
                <c:pt idx="208">
                  <c:v>0.188</c:v>
                </c:pt>
                <c:pt idx="209">
                  <c:v>0.183</c:v>
                </c:pt>
                <c:pt idx="210">
                  <c:v>0.17699999999999999</c:v>
                </c:pt>
                <c:pt idx="211">
                  <c:v>0.17199999999999999</c:v>
                </c:pt>
                <c:pt idx="212">
                  <c:v>0.16600000000000001</c:v>
                </c:pt>
                <c:pt idx="213">
                  <c:v>0.161</c:v>
                </c:pt>
                <c:pt idx="214">
                  <c:v>0.155</c:v>
                </c:pt>
                <c:pt idx="215">
                  <c:v>0.15</c:v>
                </c:pt>
                <c:pt idx="216">
                  <c:v>0.14799999999999999</c:v>
                </c:pt>
                <c:pt idx="217">
                  <c:v>0.14599999999999999</c:v>
                </c:pt>
                <c:pt idx="218">
                  <c:v>0.14499999999999999</c:v>
                </c:pt>
                <c:pt idx="219">
                  <c:v>0.14299999999999999</c:v>
                </c:pt>
                <c:pt idx="220">
                  <c:v>0.14099999999999999</c:v>
                </c:pt>
                <c:pt idx="221">
                  <c:v>0.13900000000000001</c:v>
                </c:pt>
                <c:pt idx="222">
                  <c:v>0.13800000000000001</c:v>
                </c:pt>
                <c:pt idx="223">
                  <c:v>0.13600000000000001</c:v>
                </c:pt>
                <c:pt idx="224">
                  <c:v>0.13400000000000001</c:v>
                </c:pt>
                <c:pt idx="225">
                  <c:v>0.13200000000000001</c:v>
                </c:pt>
                <c:pt idx="226">
                  <c:v>0.13</c:v>
                </c:pt>
                <c:pt idx="227">
                  <c:v>0.129</c:v>
                </c:pt>
                <c:pt idx="228">
                  <c:v>0.127</c:v>
                </c:pt>
                <c:pt idx="229">
                  <c:v>0.125</c:v>
                </c:pt>
                <c:pt idx="230">
                  <c:v>0.123</c:v>
                </c:pt>
                <c:pt idx="231">
                  <c:v>0.121</c:v>
                </c:pt>
                <c:pt idx="232">
                  <c:v>0.12</c:v>
                </c:pt>
                <c:pt idx="233">
                  <c:v>0.11799999999999999</c:v>
                </c:pt>
                <c:pt idx="234">
                  <c:v>0.11600000000000001</c:v>
                </c:pt>
                <c:pt idx="235">
                  <c:v>0.114</c:v>
                </c:pt>
                <c:pt idx="236">
                  <c:v>0.113</c:v>
                </c:pt>
                <c:pt idx="237">
                  <c:v>0.111</c:v>
                </c:pt>
                <c:pt idx="238">
                  <c:v>0.109</c:v>
                </c:pt>
                <c:pt idx="239">
                  <c:v>0.107</c:v>
                </c:pt>
                <c:pt idx="240">
                  <c:v>0.105</c:v>
                </c:pt>
                <c:pt idx="241">
                  <c:v>0.104</c:v>
                </c:pt>
                <c:pt idx="242">
                  <c:v>0.10199999999999999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0.1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0.1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0.10199999999999999</c:v>
                </c:pt>
                <c:pt idx="306">
                  <c:v>0.104</c:v>
                </c:pt>
                <c:pt idx="307">
                  <c:v>0.106</c:v>
                </c:pt>
                <c:pt idx="308">
                  <c:v>0.108</c:v>
                </c:pt>
                <c:pt idx="309">
                  <c:v>0.11</c:v>
                </c:pt>
                <c:pt idx="310">
                  <c:v>0.112</c:v>
                </c:pt>
                <c:pt idx="311">
                  <c:v>0.114</c:v>
                </c:pt>
                <c:pt idx="312">
                  <c:v>0.115</c:v>
                </c:pt>
                <c:pt idx="313">
                  <c:v>0.11700000000000001</c:v>
                </c:pt>
                <c:pt idx="314">
                  <c:v>0.11899999999999999</c:v>
                </c:pt>
                <c:pt idx="315">
                  <c:v>0.121</c:v>
                </c:pt>
                <c:pt idx="316">
                  <c:v>0.123</c:v>
                </c:pt>
                <c:pt idx="317">
                  <c:v>0.125</c:v>
                </c:pt>
                <c:pt idx="318">
                  <c:v>0.127</c:v>
                </c:pt>
                <c:pt idx="319">
                  <c:v>0.129</c:v>
                </c:pt>
                <c:pt idx="320">
                  <c:v>0.13100000000000001</c:v>
                </c:pt>
                <c:pt idx="321">
                  <c:v>0.13300000000000001</c:v>
                </c:pt>
                <c:pt idx="322">
                  <c:v>0.13500000000000001</c:v>
                </c:pt>
                <c:pt idx="323">
                  <c:v>0.13700000000000001</c:v>
                </c:pt>
                <c:pt idx="324">
                  <c:v>0.13900000000000001</c:v>
                </c:pt>
                <c:pt idx="325">
                  <c:v>0.14099999999999999</c:v>
                </c:pt>
                <c:pt idx="326">
                  <c:v>0.14299999999999999</c:v>
                </c:pt>
                <c:pt idx="327">
                  <c:v>0.14499999999999999</c:v>
                </c:pt>
                <c:pt idx="328">
                  <c:v>0.14599999999999999</c:v>
                </c:pt>
                <c:pt idx="329">
                  <c:v>0.14799999999999999</c:v>
                </c:pt>
                <c:pt idx="330">
                  <c:v>0.15</c:v>
                </c:pt>
                <c:pt idx="331">
                  <c:v>0.152</c:v>
                </c:pt>
                <c:pt idx="332">
                  <c:v>0.154</c:v>
                </c:pt>
                <c:pt idx="333">
                  <c:v>0.156</c:v>
                </c:pt>
                <c:pt idx="334">
                  <c:v>0.158</c:v>
                </c:pt>
                <c:pt idx="335">
                  <c:v>0.16</c:v>
                </c:pt>
                <c:pt idx="336">
                  <c:v>0.16600000000000001</c:v>
                </c:pt>
                <c:pt idx="337">
                  <c:v>0.17100000000000001</c:v>
                </c:pt>
                <c:pt idx="338">
                  <c:v>0.17699999999999999</c:v>
                </c:pt>
                <c:pt idx="339">
                  <c:v>0.183</c:v>
                </c:pt>
                <c:pt idx="340">
                  <c:v>0.188</c:v>
                </c:pt>
                <c:pt idx="341">
                  <c:v>0.19400000000000001</c:v>
                </c:pt>
                <c:pt idx="342">
                  <c:v>0.2</c:v>
                </c:pt>
                <c:pt idx="343">
                  <c:v>0.20499999999999999</c:v>
                </c:pt>
                <c:pt idx="344">
                  <c:v>0.21099999999999999</c:v>
                </c:pt>
                <c:pt idx="345">
                  <c:v>0.217</c:v>
                </c:pt>
                <c:pt idx="346">
                  <c:v>0.222</c:v>
                </c:pt>
                <c:pt idx="347">
                  <c:v>0.22800000000000001</c:v>
                </c:pt>
                <c:pt idx="348">
                  <c:v>0.23400000000000001</c:v>
                </c:pt>
                <c:pt idx="349">
                  <c:v>0.23899999999999999</c:v>
                </c:pt>
                <c:pt idx="350">
                  <c:v>0.245</c:v>
                </c:pt>
                <c:pt idx="351">
                  <c:v>0.251</c:v>
                </c:pt>
                <c:pt idx="352">
                  <c:v>0.25600000000000001</c:v>
                </c:pt>
                <c:pt idx="353">
                  <c:v>0.26200000000000001</c:v>
                </c:pt>
                <c:pt idx="354">
                  <c:v>0.26800000000000002</c:v>
                </c:pt>
                <c:pt idx="355">
                  <c:v>0.27300000000000002</c:v>
                </c:pt>
                <c:pt idx="356">
                  <c:v>0.27900000000000003</c:v>
                </c:pt>
                <c:pt idx="357">
                  <c:v>0.28499999999999998</c:v>
                </c:pt>
                <c:pt idx="358">
                  <c:v>0.28999999999999998</c:v>
                </c:pt>
                <c:pt idx="359">
                  <c:v>0.29599999999999999</c:v>
                </c:pt>
                <c:pt idx="360">
                  <c:v>0.30199999999999999</c:v>
                </c:pt>
                <c:pt idx="361">
                  <c:v>0.307</c:v>
                </c:pt>
                <c:pt idx="362">
                  <c:v>0.313</c:v>
                </c:pt>
                <c:pt idx="363">
                  <c:v>0.31900000000000001</c:v>
                </c:pt>
                <c:pt idx="364">
                  <c:v>0.32400000000000001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A-4D9B-98B4-B1232E42C70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'[2]Données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'[2]Données gaz'!$Q$2:$Q$366</c:f>
              <c:numCache>
                <c:formatCode>General</c:formatCode>
                <c:ptCount val="365"/>
                <c:pt idx="0">
                  <c:v>0.58499999999999996</c:v>
                </c:pt>
                <c:pt idx="1">
                  <c:v>0.59</c:v>
                </c:pt>
                <c:pt idx="2">
                  <c:v>0.59399999999999997</c:v>
                </c:pt>
                <c:pt idx="3">
                  <c:v>0.59899999999999998</c:v>
                </c:pt>
                <c:pt idx="4">
                  <c:v>0.60399999999999998</c:v>
                </c:pt>
                <c:pt idx="5">
                  <c:v>0.60799999999999998</c:v>
                </c:pt>
                <c:pt idx="6">
                  <c:v>0.61299999999999999</c:v>
                </c:pt>
                <c:pt idx="7">
                  <c:v>0.61799999999999999</c:v>
                </c:pt>
                <c:pt idx="8">
                  <c:v>0.622</c:v>
                </c:pt>
                <c:pt idx="9">
                  <c:v>0.627</c:v>
                </c:pt>
                <c:pt idx="10">
                  <c:v>0.63200000000000001</c:v>
                </c:pt>
                <c:pt idx="11">
                  <c:v>0.63600000000000001</c:v>
                </c:pt>
                <c:pt idx="12">
                  <c:v>0.64100000000000001</c:v>
                </c:pt>
                <c:pt idx="13">
                  <c:v>0.64600000000000002</c:v>
                </c:pt>
                <c:pt idx="14">
                  <c:v>0.65</c:v>
                </c:pt>
                <c:pt idx="15">
                  <c:v>0.65500000000000003</c:v>
                </c:pt>
                <c:pt idx="16">
                  <c:v>0.66</c:v>
                </c:pt>
                <c:pt idx="17">
                  <c:v>0.66500000000000004</c:v>
                </c:pt>
                <c:pt idx="18">
                  <c:v>0.66900000000000004</c:v>
                </c:pt>
                <c:pt idx="19">
                  <c:v>0.67400000000000004</c:v>
                </c:pt>
                <c:pt idx="20">
                  <c:v>0.67900000000000005</c:v>
                </c:pt>
                <c:pt idx="21">
                  <c:v>0.68300000000000005</c:v>
                </c:pt>
                <c:pt idx="22">
                  <c:v>0.68799999999999994</c:v>
                </c:pt>
                <c:pt idx="23">
                  <c:v>0.69299999999999995</c:v>
                </c:pt>
                <c:pt idx="24">
                  <c:v>0.69699999999999995</c:v>
                </c:pt>
                <c:pt idx="25">
                  <c:v>0.70199999999999996</c:v>
                </c:pt>
                <c:pt idx="26">
                  <c:v>0.70699999999999996</c:v>
                </c:pt>
                <c:pt idx="27">
                  <c:v>0.71099999999999997</c:v>
                </c:pt>
                <c:pt idx="28">
                  <c:v>0.71599999999999997</c:v>
                </c:pt>
                <c:pt idx="29">
                  <c:v>0.72099999999999997</c:v>
                </c:pt>
                <c:pt idx="30">
                  <c:v>0.72499999999999998</c:v>
                </c:pt>
                <c:pt idx="31">
                  <c:v>0.73</c:v>
                </c:pt>
                <c:pt idx="32">
                  <c:v>0.73399999999999999</c:v>
                </c:pt>
                <c:pt idx="33">
                  <c:v>0.73699999999999999</c:v>
                </c:pt>
                <c:pt idx="34">
                  <c:v>0.74099999999999999</c:v>
                </c:pt>
                <c:pt idx="35">
                  <c:v>0.74399999999999999</c:v>
                </c:pt>
                <c:pt idx="36">
                  <c:v>0.748</c:v>
                </c:pt>
                <c:pt idx="37">
                  <c:v>0.751</c:v>
                </c:pt>
                <c:pt idx="38">
                  <c:v>0.755</c:v>
                </c:pt>
                <c:pt idx="39">
                  <c:v>0.75800000000000001</c:v>
                </c:pt>
                <c:pt idx="40">
                  <c:v>0.76200000000000001</c:v>
                </c:pt>
                <c:pt idx="41">
                  <c:v>0.76500000000000001</c:v>
                </c:pt>
                <c:pt idx="42">
                  <c:v>0.76900000000000002</c:v>
                </c:pt>
                <c:pt idx="43">
                  <c:v>0.77300000000000002</c:v>
                </c:pt>
                <c:pt idx="44">
                  <c:v>0.77600000000000002</c:v>
                </c:pt>
                <c:pt idx="45">
                  <c:v>0.78</c:v>
                </c:pt>
                <c:pt idx="46">
                  <c:v>0.78300000000000003</c:v>
                </c:pt>
                <c:pt idx="47">
                  <c:v>0.78700000000000003</c:v>
                </c:pt>
                <c:pt idx="48">
                  <c:v>0.79</c:v>
                </c:pt>
                <c:pt idx="49">
                  <c:v>0.79400000000000004</c:v>
                </c:pt>
                <c:pt idx="50">
                  <c:v>0.79700000000000004</c:v>
                </c:pt>
                <c:pt idx="51">
                  <c:v>0.80100000000000005</c:v>
                </c:pt>
                <c:pt idx="52">
                  <c:v>0.80500000000000005</c:v>
                </c:pt>
                <c:pt idx="53">
                  <c:v>0.80800000000000005</c:v>
                </c:pt>
                <c:pt idx="54">
                  <c:v>0.81200000000000006</c:v>
                </c:pt>
                <c:pt idx="55">
                  <c:v>0.81499999999999995</c:v>
                </c:pt>
                <c:pt idx="56">
                  <c:v>0.81899999999999995</c:v>
                </c:pt>
                <c:pt idx="57">
                  <c:v>0.82199999999999995</c:v>
                </c:pt>
                <c:pt idx="58">
                  <c:v>0.82599999999999996</c:v>
                </c:pt>
                <c:pt idx="59">
                  <c:v>0.82899999999999996</c:v>
                </c:pt>
                <c:pt idx="60">
                  <c:v>0.83299999999999996</c:v>
                </c:pt>
                <c:pt idx="61">
                  <c:v>0.83599999999999997</c:v>
                </c:pt>
                <c:pt idx="62">
                  <c:v>0.84</c:v>
                </c:pt>
                <c:pt idx="63">
                  <c:v>0.84099999999999997</c:v>
                </c:pt>
                <c:pt idx="64">
                  <c:v>0.84299999999999997</c:v>
                </c:pt>
                <c:pt idx="65">
                  <c:v>0.84399999999999997</c:v>
                </c:pt>
                <c:pt idx="66">
                  <c:v>0.84499999999999997</c:v>
                </c:pt>
                <c:pt idx="67">
                  <c:v>0.84699999999999998</c:v>
                </c:pt>
                <c:pt idx="68">
                  <c:v>0.84799999999999998</c:v>
                </c:pt>
                <c:pt idx="69">
                  <c:v>0.84899999999999998</c:v>
                </c:pt>
                <c:pt idx="70">
                  <c:v>0.85099999999999998</c:v>
                </c:pt>
                <c:pt idx="71">
                  <c:v>0.85199999999999998</c:v>
                </c:pt>
                <c:pt idx="72">
                  <c:v>0.85299999999999998</c:v>
                </c:pt>
                <c:pt idx="73">
                  <c:v>0.85499999999999998</c:v>
                </c:pt>
                <c:pt idx="74">
                  <c:v>0.85599999999999998</c:v>
                </c:pt>
                <c:pt idx="75">
                  <c:v>0.85699999999999998</c:v>
                </c:pt>
                <c:pt idx="76">
                  <c:v>0.85899999999999999</c:v>
                </c:pt>
                <c:pt idx="77">
                  <c:v>0.86</c:v>
                </c:pt>
                <c:pt idx="78">
                  <c:v>0.86099999999999999</c:v>
                </c:pt>
                <c:pt idx="79">
                  <c:v>0.86299999999999999</c:v>
                </c:pt>
                <c:pt idx="80">
                  <c:v>0.86399999999999999</c:v>
                </c:pt>
                <c:pt idx="81">
                  <c:v>0.86499999999999999</c:v>
                </c:pt>
                <c:pt idx="82">
                  <c:v>0.86699999999999999</c:v>
                </c:pt>
                <c:pt idx="83">
                  <c:v>0.86799999999999999</c:v>
                </c:pt>
                <c:pt idx="84">
                  <c:v>0.86899999999999999</c:v>
                </c:pt>
                <c:pt idx="85">
                  <c:v>0.871</c:v>
                </c:pt>
                <c:pt idx="86">
                  <c:v>0.872</c:v>
                </c:pt>
                <c:pt idx="87">
                  <c:v>0.873</c:v>
                </c:pt>
                <c:pt idx="88">
                  <c:v>0.875</c:v>
                </c:pt>
                <c:pt idx="89">
                  <c:v>0.876</c:v>
                </c:pt>
                <c:pt idx="90">
                  <c:v>0.877</c:v>
                </c:pt>
                <c:pt idx="91">
                  <c:v>0.879</c:v>
                </c:pt>
                <c:pt idx="92">
                  <c:v>0.88</c:v>
                </c:pt>
                <c:pt idx="93">
                  <c:v>0.878</c:v>
                </c:pt>
                <c:pt idx="94">
                  <c:v>0.876</c:v>
                </c:pt>
                <c:pt idx="95">
                  <c:v>0.875</c:v>
                </c:pt>
                <c:pt idx="96">
                  <c:v>0.873</c:v>
                </c:pt>
                <c:pt idx="97">
                  <c:v>0.871</c:v>
                </c:pt>
                <c:pt idx="98">
                  <c:v>0.86899999999999999</c:v>
                </c:pt>
                <c:pt idx="99">
                  <c:v>0.86799999999999999</c:v>
                </c:pt>
                <c:pt idx="100">
                  <c:v>0.86599999999999999</c:v>
                </c:pt>
                <c:pt idx="101">
                  <c:v>0.86399999999999999</c:v>
                </c:pt>
                <c:pt idx="102">
                  <c:v>0.86199999999999999</c:v>
                </c:pt>
                <c:pt idx="103">
                  <c:v>0.86</c:v>
                </c:pt>
                <c:pt idx="104">
                  <c:v>0.85899999999999999</c:v>
                </c:pt>
                <c:pt idx="105">
                  <c:v>0.85699999999999998</c:v>
                </c:pt>
                <c:pt idx="106">
                  <c:v>0.85499999999999998</c:v>
                </c:pt>
                <c:pt idx="107">
                  <c:v>0.85299999999999998</c:v>
                </c:pt>
                <c:pt idx="108">
                  <c:v>0.85199999999999998</c:v>
                </c:pt>
                <c:pt idx="109">
                  <c:v>0.85</c:v>
                </c:pt>
                <c:pt idx="110">
                  <c:v>0.84799999999999998</c:v>
                </c:pt>
                <c:pt idx="111">
                  <c:v>0.84599999999999997</c:v>
                </c:pt>
                <c:pt idx="112">
                  <c:v>0.84499999999999997</c:v>
                </c:pt>
                <c:pt idx="113">
                  <c:v>0.84299999999999997</c:v>
                </c:pt>
                <c:pt idx="114">
                  <c:v>0.84099999999999997</c:v>
                </c:pt>
                <c:pt idx="115">
                  <c:v>0.83899999999999997</c:v>
                </c:pt>
                <c:pt idx="116">
                  <c:v>0.83699999999999997</c:v>
                </c:pt>
                <c:pt idx="117">
                  <c:v>0.83599999999999997</c:v>
                </c:pt>
                <c:pt idx="118">
                  <c:v>0.83399999999999996</c:v>
                </c:pt>
                <c:pt idx="119">
                  <c:v>0.83199999999999996</c:v>
                </c:pt>
                <c:pt idx="120">
                  <c:v>0.83</c:v>
                </c:pt>
                <c:pt idx="121">
                  <c:v>0.82899999999999996</c:v>
                </c:pt>
                <c:pt idx="122">
                  <c:v>0.82699999999999996</c:v>
                </c:pt>
                <c:pt idx="123">
                  <c:v>0.82499999999999996</c:v>
                </c:pt>
                <c:pt idx="124">
                  <c:v>0.82099999999999995</c:v>
                </c:pt>
                <c:pt idx="125">
                  <c:v>0.81599999999999995</c:v>
                </c:pt>
                <c:pt idx="126">
                  <c:v>0.81200000000000006</c:v>
                </c:pt>
                <c:pt idx="127">
                  <c:v>0.80700000000000005</c:v>
                </c:pt>
                <c:pt idx="128">
                  <c:v>0.80300000000000005</c:v>
                </c:pt>
                <c:pt idx="129">
                  <c:v>0.79800000000000004</c:v>
                </c:pt>
                <c:pt idx="130">
                  <c:v>0.79400000000000004</c:v>
                </c:pt>
                <c:pt idx="131">
                  <c:v>0.78900000000000003</c:v>
                </c:pt>
                <c:pt idx="132">
                  <c:v>0.78500000000000003</c:v>
                </c:pt>
                <c:pt idx="133">
                  <c:v>0.78</c:v>
                </c:pt>
                <c:pt idx="134">
                  <c:v>0.77600000000000002</c:v>
                </c:pt>
                <c:pt idx="135">
                  <c:v>0.77100000000000002</c:v>
                </c:pt>
                <c:pt idx="136">
                  <c:v>0.76700000000000002</c:v>
                </c:pt>
                <c:pt idx="137">
                  <c:v>0.76200000000000001</c:v>
                </c:pt>
                <c:pt idx="138">
                  <c:v>0.75800000000000001</c:v>
                </c:pt>
                <c:pt idx="139">
                  <c:v>0.753</c:v>
                </c:pt>
                <c:pt idx="140">
                  <c:v>0.749</c:v>
                </c:pt>
                <c:pt idx="141">
                  <c:v>0.74399999999999999</c:v>
                </c:pt>
                <c:pt idx="142">
                  <c:v>0.74</c:v>
                </c:pt>
                <c:pt idx="143">
                  <c:v>0.73499999999999999</c:v>
                </c:pt>
                <c:pt idx="144">
                  <c:v>0.73099999999999998</c:v>
                </c:pt>
                <c:pt idx="145">
                  <c:v>0.72599999999999998</c:v>
                </c:pt>
                <c:pt idx="146">
                  <c:v>0.72199999999999998</c:v>
                </c:pt>
                <c:pt idx="147">
                  <c:v>0.71699999999999997</c:v>
                </c:pt>
                <c:pt idx="148">
                  <c:v>0.71299999999999997</c:v>
                </c:pt>
                <c:pt idx="149">
                  <c:v>0.70799999999999996</c:v>
                </c:pt>
                <c:pt idx="150">
                  <c:v>0.70399999999999996</c:v>
                </c:pt>
                <c:pt idx="151">
                  <c:v>0.69899999999999995</c:v>
                </c:pt>
                <c:pt idx="152">
                  <c:v>0.69499999999999995</c:v>
                </c:pt>
                <c:pt idx="153">
                  <c:v>0.69</c:v>
                </c:pt>
                <c:pt idx="154">
                  <c:v>0.68500000000000005</c:v>
                </c:pt>
                <c:pt idx="155">
                  <c:v>0.67900000000000005</c:v>
                </c:pt>
                <c:pt idx="156">
                  <c:v>0.67400000000000004</c:v>
                </c:pt>
                <c:pt idx="157">
                  <c:v>0.66900000000000004</c:v>
                </c:pt>
                <c:pt idx="158">
                  <c:v>0.66300000000000003</c:v>
                </c:pt>
                <c:pt idx="159">
                  <c:v>0.65800000000000003</c:v>
                </c:pt>
                <c:pt idx="160">
                  <c:v>0.65300000000000002</c:v>
                </c:pt>
                <c:pt idx="161">
                  <c:v>0.64700000000000002</c:v>
                </c:pt>
                <c:pt idx="162">
                  <c:v>0.64200000000000002</c:v>
                </c:pt>
                <c:pt idx="163">
                  <c:v>0.63700000000000001</c:v>
                </c:pt>
                <c:pt idx="164">
                  <c:v>0.63100000000000001</c:v>
                </c:pt>
                <c:pt idx="165">
                  <c:v>0.626</c:v>
                </c:pt>
                <c:pt idx="166">
                  <c:v>0.621</c:v>
                </c:pt>
                <c:pt idx="167">
                  <c:v>0.61499999999999999</c:v>
                </c:pt>
                <c:pt idx="168">
                  <c:v>0.61</c:v>
                </c:pt>
                <c:pt idx="169">
                  <c:v>0.60499999999999998</c:v>
                </c:pt>
                <c:pt idx="170">
                  <c:v>0.6</c:v>
                </c:pt>
                <c:pt idx="171">
                  <c:v>0.59399999999999997</c:v>
                </c:pt>
                <c:pt idx="172">
                  <c:v>0.58899999999999997</c:v>
                </c:pt>
                <c:pt idx="173">
                  <c:v>0.58399999999999996</c:v>
                </c:pt>
                <c:pt idx="174">
                  <c:v>0.57799999999999996</c:v>
                </c:pt>
                <c:pt idx="175">
                  <c:v>0.57299999999999995</c:v>
                </c:pt>
                <c:pt idx="176">
                  <c:v>0.56799999999999995</c:v>
                </c:pt>
                <c:pt idx="177">
                  <c:v>0.56200000000000006</c:v>
                </c:pt>
                <c:pt idx="178">
                  <c:v>0.55700000000000005</c:v>
                </c:pt>
                <c:pt idx="179">
                  <c:v>0.55200000000000005</c:v>
                </c:pt>
                <c:pt idx="180">
                  <c:v>0.54600000000000004</c:v>
                </c:pt>
                <c:pt idx="181">
                  <c:v>0.54100000000000004</c:v>
                </c:pt>
                <c:pt idx="182">
                  <c:v>0.53600000000000003</c:v>
                </c:pt>
                <c:pt idx="183">
                  <c:v>0.53</c:v>
                </c:pt>
                <c:pt idx="184">
                  <c:v>0.52500000000000002</c:v>
                </c:pt>
                <c:pt idx="185">
                  <c:v>0.52100000000000002</c:v>
                </c:pt>
                <c:pt idx="186">
                  <c:v>0.51600000000000001</c:v>
                </c:pt>
                <c:pt idx="187">
                  <c:v>0.51200000000000001</c:v>
                </c:pt>
                <c:pt idx="188">
                  <c:v>0.50800000000000001</c:v>
                </c:pt>
                <c:pt idx="189">
                  <c:v>0.503</c:v>
                </c:pt>
                <c:pt idx="190">
                  <c:v>0.499</c:v>
                </c:pt>
                <c:pt idx="191">
                  <c:v>0.495</c:v>
                </c:pt>
                <c:pt idx="192">
                  <c:v>0.49</c:v>
                </c:pt>
                <c:pt idx="193">
                  <c:v>0.48599999999999999</c:v>
                </c:pt>
                <c:pt idx="194">
                  <c:v>0.48099999999999998</c:v>
                </c:pt>
                <c:pt idx="195">
                  <c:v>0.47699999999999998</c:v>
                </c:pt>
                <c:pt idx="196">
                  <c:v>0.47299999999999998</c:v>
                </c:pt>
                <c:pt idx="197">
                  <c:v>0.46800000000000003</c:v>
                </c:pt>
                <c:pt idx="198">
                  <c:v>0.46400000000000002</c:v>
                </c:pt>
                <c:pt idx="199">
                  <c:v>0.46</c:v>
                </c:pt>
                <c:pt idx="200">
                  <c:v>0.45500000000000002</c:v>
                </c:pt>
                <c:pt idx="201">
                  <c:v>0.45100000000000001</c:v>
                </c:pt>
                <c:pt idx="202">
                  <c:v>0.44700000000000001</c:v>
                </c:pt>
                <c:pt idx="203">
                  <c:v>0.442</c:v>
                </c:pt>
                <c:pt idx="204">
                  <c:v>0.438</c:v>
                </c:pt>
                <c:pt idx="205">
                  <c:v>0.434</c:v>
                </c:pt>
                <c:pt idx="206">
                  <c:v>0.42899999999999999</c:v>
                </c:pt>
                <c:pt idx="207">
                  <c:v>0.42499999999999999</c:v>
                </c:pt>
                <c:pt idx="208">
                  <c:v>0.42</c:v>
                </c:pt>
                <c:pt idx="209">
                  <c:v>0.41599999999999998</c:v>
                </c:pt>
                <c:pt idx="210">
                  <c:v>0.41199999999999998</c:v>
                </c:pt>
                <c:pt idx="211">
                  <c:v>0.40699999999999997</c:v>
                </c:pt>
                <c:pt idx="212">
                  <c:v>0.40300000000000002</c:v>
                </c:pt>
                <c:pt idx="213">
                  <c:v>0.39900000000000002</c:v>
                </c:pt>
                <c:pt idx="214">
                  <c:v>0.39400000000000002</c:v>
                </c:pt>
                <c:pt idx="215">
                  <c:v>0.39</c:v>
                </c:pt>
                <c:pt idx="216">
                  <c:v>0.38900000000000001</c:v>
                </c:pt>
                <c:pt idx="217">
                  <c:v>0.38700000000000001</c:v>
                </c:pt>
                <c:pt idx="218">
                  <c:v>0.38600000000000001</c:v>
                </c:pt>
                <c:pt idx="219">
                  <c:v>0.38400000000000001</c:v>
                </c:pt>
                <c:pt idx="220">
                  <c:v>0.38300000000000001</c:v>
                </c:pt>
                <c:pt idx="221">
                  <c:v>0.38100000000000001</c:v>
                </c:pt>
                <c:pt idx="222">
                  <c:v>0.38</c:v>
                </c:pt>
                <c:pt idx="223">
                  <c:v>0.379</c:v>
                </c:pt>
                <c:pt idx="224">
                  <c:v>0.377</c:v>
                </c:pt>
                <c:pt idx="225">
                  <c:v>0.376</c:v>
                </c:pt>
                <c:pt idx="226">
                  <c:v>0.374</c:v>
                </c:pt>
                <c:pt idx="227">
                  <c:v>0.373</c:v>
                </c:pt>
                <c:pt idx="228">
                  <c:v>0.371</c:v>
                </c:pt>
                <c:pt idx="229">
                  <c:v>0.37</c:v>
                </c:pt>
                <c:pt idx="230">
                  <c:v>0.36899999999999999</c:v>
                </c:pt>
                <c:pt idx="231">
                  <c:v>0.36699999999999999</c:v>
                </c:pt>
                <c:pt idx="232">
                  <c:v>0.36599999999999999</c:v>
                </c:pt>
                <c:pt idx="233">
                  <c:v>0.36399999999999999</c:v>
                </c:pt>
                <c:pt idx="234">
                  <c:v>0.36299999999999999</c:v>
                </c:pt>
                <c:pt idx="235">
                  <c:v>0.36099999999999999</c:v>
                </c:pt>
                <c:pt idx="236">
                  <c:v>0.36</c:v>
                </c:pt>
                <c:pt idx="237">
                  <c:v>0.35899999999999999</c:v>
                </c:pt>
                <c:pt idx="238">
                  <c:v>0.35699999999999998</c:v>
                </c:pt>
                <c:pt idx="239">
                  <c:v>0.35599999999999998</c:v>
                </c:pt>
                <c:pt idx="240">
                  <c:v>0.35399999999999998</c:v>
                </c:pt>
                <c:pt idx="241">
                  <c:v>0.35299999999999998</c:v>
                </c:pt>
                <c:pt idx="242">
                  <c:v>0.35099999999999998</c:v>
                </c:pt>
                <c:pt idx="243">
                  <c:v>0.35</c:v>
                </c:pt>
                <c:pt idx="244">
                  <c:v>0.35</c:v>
                </c:pt>
                <c:pt idx="245">
                  <c:v>0.35099999999999998</c:v>
                </c:pt>
                <c:pt idx="246">
                  <c:v>0.35099999999999998</c:v>
                </c:pt>
                <c:pt idx="247">
                  <c:v>0.35099999999999998</c:v>
                </c:pt>
                <c:pt idx="248">
                  <c:v>0.35199999999999998</c:v>
                </c:pt>
                <c:pt idx="249">
                  <c:v>0.35199999999999998</c:v>
                </c:pt>
                <c:pt idx="250">
                  <c:v>0.35199999999999998</c:v>
                </c:pt>
                <c:pt idx="251">
                  <c:v>0.35299999999999998</c:v>
                </c:pt>
                <c:pt idx="252">
                  <c:v>0.35299999999999998</c:v>
                </c:pt>
                <c:pt idx="253">
                  <c:v>0.35299999999999998</c:v>
                </c:pt>
                <c:pt idx="254">
                  <c:v>0.35399999999999998</c:v>
                </c:pt>
                <c:pt idx="255">
                  <c:v>0.35399999999999998</c:v>
                </c:pt>
                <c:pt idx="256">
                  <c:v>0.35399999999999998</c:v>
                </c:pt>
                <c:pt idx="257">
                  <c:v>0.35499999999999998</c:v>
                </c:pt>
                <c:pt idx="258">
                  <c:v>0.35499999999999998</c:v>
                </c:pt>
                <c:pt idx="259">
                  <c:v>0.35499999999999998</c:v>
                </c:pt>
                <c:pt idx="260">
                  <c:v>0.35499999999999998</c:v>
                </c:pt>
                <c:pt idx="261">
                  <c:v>0.35599999999999998</c:v>
                </c:pt>
                <c:pt idx="262">
                  <c:v>0.35599999999999998</c:v>
                </c:pt>
                <c:pt idx="263">
                  <c:v>0.35599999999999998</c:v>
                </c:pt>
                <c:pt idx="264">
                  <c:v>0.35699999999999998</c:v>
                </c:pt>
                <c:pt idx="265">
                  <c:v>0.35699999999999998</c:v>
                </c:pt>
                <c:pt idx="266">
                  <c:v>0.35699999999999998</c:v>
                </c:pt>
                <c:pt idx="267">
                  <c:v>0.35799999999999998</c:v>
                </c:pt>
                <c:pt idx="268">
                  <c:v>0.35799999999999998</c:v>
                </c:pt>
                <c:pt idx="269">
                  <c:v>0.35799999999999998</c:v>
                </c:pt>
                <c:pt idx="270">
                  <c:v>0.35899999999999999</c:v>
                </c:pt>
                <c:pt idx="271">
                  <c:v>0.35899999999999999</c:v>
                </c:pt>
                <c:pt idx="272">
                  <c:v>0.35899999999999999</c:v>
                </c:pt>
                <c:pt idx="273">
                  <c:v>0.36</c:v>
                </c:pt>
                <c:pt idx="274">
                  <c:v>0.36</c:v>
                </c:pt>
                <c:pt idx="275">
                  <c:v>0.36099999999999999</c:v>
                </c:pt>
                <c:pt idx="276">
                  <c:v>0.36199999999999999</c:v>
                </c:pt>
                <c:pt idx="277">
                  <c:v>0.36299999999999999</c:v>
                </c:pt>
                <c:pt idx="278">
                  <c:v>0.36299999999999999</c:v>
                </c:pt>
                <c:pt idx="279">
                  <c:v>0.36399999999999999</c:v>
                </c:pt>
                <c:pt idx="280">
                  <c:v>0.36499999999999999</c:v>
                </c:pt>
                <c:pt idx="281">
                  <c:v>0.36599999999999999</c:v>
                </c:pt>
                <c:pt idx="282">
                  <c:v>0.36699999999999999</c:v>
                </c:pt>
                <c:pt idx="283">
                  <c:v>0.36799999999999999</c:v>
                </c:pt>
                <c:pt idx="284">
                  <c:v>0.36799999999999999</c:v>
                </c:pt>
                <c:pt idx="285">
                  <c:v>0.36899999999999999</c:v>
                </c:pt>
                <c:pt idx="286">
                  <c:v>0.37</c:v>
                </c:pt>
                <c:pt idx="287">
                  <c:v>0.371</c:v>
                </c:pt>
                <c:pt idx="288">
                  <c:v>0.372</c:v>
                </c:pt>
                <c:pt idx="289">
                  <c:v>0.373</c:v>
                </c:pt>
                <c:pt idx="290">
                  <c:v>0.373</c:v>
                </c:pt>
                <c:pt idx="291">
                  <c:v>0.374</c:v>
                </c:pt>
                <c:pt idx="292">
                  <c:v>0.375</c:v>
                </c:pt>
                <c:pt idx="293">
                  <c:v>0.376</c:v>
                </c:pt>
                <c:pt idx="294">
                  <c:v>0.377</c:v>
                </c:pt>
                <c:pt idx="295">
                  <c:v>0.378</c:v>
                </c:pt>
                <c:pt idx="296">
                  <c:v>0.378</c:v>
                </c:pt>
                <c:pt idx="297">
                  <c:v>0.379</c:v>
                </c:pt>
                <c:pt idx="298">
                  <c:v>0.38</c:v>
                </c:pt>
                <c:pt idx="299">
                  <c:v>0.38100000000000001</c:v>
                </c:pt>
                <c:pt idx="300">
                  <c:v>0.38200000000000001</c:v>
                </c:pt>
                <c:pt idx="301">
                  <c:v>0.38300000000000001</c:v>
                </c:pt>
                <c:pt idx="302">
                  <c:v>0.38300000000000001</c:v>
                </c:pt>
                <c:pt idx="303">
                  <c:v>0.38400000000000001</c:v>
                </c:pt>
                <c:pt idx="304">
                  <c:v>0.38500000000000001</c:v>
                </c:pt>
                <c:pt idx="305">
                  <c:v>0.38700000000000001</c:v>
                </c:pt>
                <c:pt idx="306">
                  <c:v>0.39</c:v>
                </c:pt>
                <c:pt idx="307">
                  <c:v>0.39200000000000002</c:v>
                </c:pt>
                <c:pt idx="308">
                  <c:v>0.39500000000000002</c:v>
                </c:pt>
                <c:pt idx="309">
                  <c:v>0.39700000000000002</c:v>
                </c:pt>
                <c:pt idx="310">
                  <c:v>0.4</c:v>
                </c:pt>
                <c:pt idx="311">
                  <c:v>0.40200000000000002</c:v>
                </c:pt>
                <c:pt idx="312">
                  <c:v>0.40400000000000003</c:v>
                </c:pt>
                <c:pt idx="313">
                  <c:v>0.40699999999999997</c:v>
                </c:pt>
                <c:pt idx="314">
                  <c:v>0.40899999999999997</c:v>
                </c:pt>
                <c:pt idx="315">
                  <c:v>0.41199999999999998</c:v>
                </c:pt>
                <c:pt idx="316">
                  <c:v>0.41399999999999998</c:v>
                </c:pt>
                <c:pt idx="317">
                  <c:v>0.41599999999999998</c:v>
                </c:pt>
                <c:pt idx="318">
                  <c:v>0.41899999999999998</c:v>
                </c:pt>
                <c:pt idx="319">
                  <c:v>0.42099999999999999</c:v>
                </c:pt>
                <c:pt idx="320">
                  <c:v>0.42399999999999999</c:v>
                </c:pt>
                <c:pt idx="321">
                  <c:v>0.42599999999999999</c:v>
                </c:pt>
                <c:pt idx="322">
                  <c:v>0.42899999999999999</c:v>
                </c:pt>
                <c:pt idx="323">
                  <c:v>0.43099999999999999</c:v>
                </c:pt>
                <c:pt idx="324">
                  <c:v>0.433</c:v>
                </c:pt>
                <c:pt idx="325">
                  <c:v>0.436</c:v>
                </c:pt>
                <c:pt idx="326">
                  <c:v>0.438</c:v>
                </c:pt>
                <c:pt idx="327">
                  <c:v>0.441</c:v>
                </c:pt>
                <c:pt idx="328">
                  <c:v>0.443</c:v>
                </c:pt>
                <c:pt idx="329">
                  <c:v>0.44500000000000001</c:v>
                </c:pt>
                <c:pt idx="330">
                  <c:v>0.44800000000000001</c:v>
                </c:pt>
                <c:pt idx="331">
                  <c:v>0.45</c:v>
                </c:pt>
                <c:pt idx="332">
                  <c:v>0.45300000000000001</c:v>
                </c:pt>
                <c:pt idx="333">
                  <c:v>0.45500000000000002</c:v>
                </c:pt>
                <c:pt idx="334">
                  <c:v>0.45800000000000002</c:v>
                </c:pt>
                <c:pt idx="335">
                  <c:v>0.46</c:v>
                </c:pt>
                <c:pt idx="336">
                  <c:v>0.46400000000000002</c:v>
                </c:pt>
                <c:pt idx="337">
                  <c:v>0.46800000000000003</c:v>
                </c:pt>
                <c:pt idx="338">
                  <c:v>0.47299999999999998</c:v>
                </c:pt>
                <c:pt idx="339">
                  <c:v>0.47699999999999998</c:v>
                </c:pt>
                <c:pt idx="340">
                  <c:v>0.48099999999999998</c:v>
                </c:pt>
                <c:pt idx="341">
                  <c:v>0.48499999999999999</c:v>
                </c:pt>
                <c:pt idx="342">
                  <c:v>0.48899999999999999</c:v>
                </c:pt>
                <c:pt idx="343">
                  <c:v>0.49299999999999999</c:v>
                </c:pt>
                <c:pt idx="344">
                  <c:v>0.498</c:v>
                </c:pt>
                <c:pt idx="345">
                  <c:v>0.502</c:v>
                </c:pt>
                <c:pt idx="346">
                  <c:v>0.50600000000000001</c:v>
                </c:pt>
                <c:pt idx="347">
                  <c:v>0.51</c:v>
                </c:pt>
                <c:pt idx="348">
                  <c:v>0.51400000000000001</c:v>
                </c:pt>
                <c:pt idx="349">
                  <c:v>0.51800000000000002</c:v>
                </c:pt>
                <c:pt idx="350">
                  <c:v>0.52300000000000002</c:v>
                </c:pt>
                <c:pt idx="351">
                  <c:v>0.52700000000000002</c:v>
                </c:pt>
                <c:pt idx="352">
                  <c:v>0.53100000000000003</c:v>
                </c:pt>
                <c:pt idx="353">
                  <c:v>0.53500000000000003</c:v>
                </c:pt>
                <c:pt idx="354">
                  <c:v>0.53900000000000003</c:v>
                </c:pt>
                <c:pt idx="355">
                  <c:v>0.54300000000000004</c:v>
                </c:pt>
                <c:pt idx="356">
                  <c:v>0.54800000000000004</c:v>
                </c:pt>
                <c:pt idx="357">
                  <c:v>0.55200000000000005</c:v>
                </c:pt>
                <c:pt idx="358">
                  <c:v>0.55600000000000005</c:v>
                </c:pt>
                <c:pt idx="359">
                  <c:v>0.56000000000000005</c:v>
                </c:pt>
                <c:pt idx="360">
                  <c:v>0.56399999999999995</c:v>
                </c:pt>
                <c:pt idx="361">
                  <c:v>0.56799999999999995</c:v>
                </c:pt>
                <c:pt idx="362">
                  <c:v>0.57299999999999995</c:v>
                </c:pt>
                <c:pt idx="363">
                  <c:v>0.57699999999999996</c:v>
                </c:pt>
                <c:pt idx="364">
                  <c:v>0.58099999999999996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CA-4D9B-98B4-B1232E42C70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'[2]Données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'[2]Données gaz'!$R$2:$R$366</c:f>
              <c:numCache>
                <c:formatCode>General</c:formatCode>
                <c:ptCount val="365"/>
                <c:pt idx="0">
                  <c:v>0.84</c:v>
                </c:pt>
                <c:pt idx="1">
                  <c:v>0.84299999999999997</c:v>
                </c:pt>
                <c:pt idx="2">
                  <c:v>0.84599999999999997</c:v>
                </c:pt>
                <c:pt idx="3">
                  <c:v>0.84899999999999998</c:v>
                </c:pt>
                <c:pt idx="4">
                  <c:v>0.85199999999999998</c:v>
                </c:pt>
                <c:pt idx="5">
                  <c:v>0.85499999999999998</c:v>
                </c:pt>
                <c:pt idx="6">
                  <c:v>0.85699999999999998</c:v>
                </c:pt>
                <c:pt idx="7">
                  <c:v>0.86</c:v>
                </c:pt>
                <c:pt idx="8">
                  <c:v>0.86299999999999999</c:v>
                </c:pt>
                <c:pt idx="9">
                  <c:v>0.86599999999999999</c:v>
                </c:pt>
                <c:pt idx="10">
                  <c:v>0.86899999999999999</c:v>
                </c:pt>
                <c:pt idx="11">
                  <c:v>0.872</c:v>
                </c:pt>
                <c:pt idx="12">
                  <c:v>0.875</c:v>
                </c:pt>
                <c:pt idx="13">
                  <c:v>0.878</c:v>
                </c:pt>
                <c:pt idx="14">
                  <c:v>0.88100000000000001</c:v>
                </c:pt>
                <c:pt idx="15">
                  <c:v>0.88400000000000001</c:v>
                </c:pt>
                <c:pt idx="16">
                  <c:v>0.88600000000000001</c:v>
                </c:pt>
                <c:pt idx="17">
                  <c:v>0.88900000000000001</c:v>
                </c:pt>
                <c:pt idx="18">
                  <c:v>0.89200000000000002</c:v>
                </c:pt>
                <c:pt idx="19">
                  <c:v>0.89500000000000002</c:v>
                </c:pt>
                <c:pt idx="20">
                  <c:v>0.89800000000000002</c:v>
                </c:pt>
                <c:pt idx="21">
                  <c:v>0.90100000000000002</c:v>
                </c:pt>
                <c:pt idx="22">
                  <c:v>0.90400000000000003</c:v>
                </c:pt>
                <c:pt idx="23">
                  <c:v>0.90700000000000003</c:v>
                </c:pt>
                <c:pt idx="24">
                  <c:v>0.91</c:v>
                </c:pt>
                <c:pt idx="25">
                  <c:v>0.91300000000000003</c:v>
                </c:pt>
                <c:pt idx="26">
                  <c:v>0.91500000000000004</c:v>
                </c:pt>
                <c:pt idx="27">
                  <c:v>0.91800000000000004</c:v>
                </c:pt>
                <c:pt idx="28">
                  <c:v>0.92100000000000004</c:v>
                </c:pt>
                <c:pt idx="29">
                  <c:v>0.92400000000000004</c:v>
                </c:pt>
                <c:pt idx="30">
                  <c:v>0.92700000000000005</c:v>
                </c:pt>
                <c:pt idx="31">
                  <c:v>0.93</c:v>
                </c:pt>
                <c:pt idx="32">
                  <c:v>0.93200000000000005</c:v>
                </c:pt>
                <c:pt idx="33">
                  <c:v>0.93300000000000005</c:v>
                </c:pt>
                <c:pt idx="34">
                  <c:v>0.93500000000000005</c:v>
                </c:pt>
                <c:pt idx="35">
                  <c:v>0.93600000000000005</c:v>
                </c:pt>
                <c:pt idx="36">
                  <c:v>0.93799999999999994</c:v>
                </c:pt>
                <c:pt idx="37">
                  <c:v>0.94</c:v>
                </c:pt>
                <c:pt idx="38">
                  <c:v>0.94099999999999995</c:v>
                </c:pt>
                <c:pt idx="39">
                  <c:v>0.94299999999999995</c:v>
                </c:pt>
                <c:pt idx="40">
                  <c:v>0.94499999999999995</c:v>
                </c:pt>
                <c:pt idx="41">
                  <c:v>0.94599999999999995</c:v>
                </c:pt>
                <c:pt idx="42">
                  <c:v>0.94799999999999995</c:v>
                </c:pt>
                <c:pt idx="43">
                  <c:v>0.94899999999999995</c:v>
                </c:pt>
                <c:pt idx="44">
                  <c:v>0.95099999999999996</c:v>
                </c:pt>
                <c:pt idx="45">
                  <c:v>0.95299999999999996</c:v>
                </c:pt>
                <c:pt idx="46">
                  <c:v>0.95399999999999996</c:v>
                </c:pt>
                <c:pt idx="47">
                  <c:v>0.95599999999999996</c:v>
                </c:pt>
                <c:pt idx="48">
                  <c:v>0.95699999999999996</c:v>
                </c:pt>
                <c:pt idx="49">
                  <c:v>0.95899999999999996</c:v>
                </c:pt>
                <c:pt idx="50">
                  <c:v>0.96099999999999997</c:v>
                </c:pt>
                <c:pt idx="51">
                  <c:v>0.96199999999999997</c:v>
                </c:pt>
                <c:pt idx="52">
                  <c:v>0.96399999999999997</c:v>
                </c:pt>
                <c:pt idx="53">
                  <c:v>0.96499999999999997</c:v>
                </c:pt>
                <c:pt idx="54">
                  <c:v>0.96699999999999997</c:v>
                </c:pt>
                <c:pt idx="55">
                  <c:v>0.96899999999999997</c:v>
                </c:pt>
                <c:pt idx="56">
                  <c:v>0.97</c:v>
                </c:pt>
                <c:pt idx="57">
                  <c:v>0.97199999999999998</c:v>
                </c:pt>
                <c:pt idx="58">
                  <c:v>0.97399999999999998</c:v>
                </c:pt>
                <c:pt idx="59">
                  <c:v>0.97499999999999998</c:v>
                </c:pt>
                <c:pt idx="60">
                  <c:v>0.97699999999999998</c:v>
                </c:pt>
                <c:pt idx="61">
                  <c:v>0.97799999999999998</c:v>
                </c:pt>
                <c:pt idx="62">
                  <c:v>0.98</c:v>
                </c:pt>
                <c:pt idx="63">
                  <c:v>0.98099999999999998</c:v>
                </c:pt>
                <c:pt idx="64">
                  <c:v>0.98099999999999998</c:v>
                </c:pt>
                <c:pt idx="65">
                  <c:v>0.98199999999999998</c:v>
                </c:pt>
                <c:pt idx="66">
                  <c:v>0.98299999999999998</c:v>
                </c:pt>
                <c:pt idx="67">
                  <c:v>0.98299999999999998</c:v>
                </c:pt>
                <c:pt idx="68">
                  <c:v>0.98399999999999999</c:v>
                </c:pt>
                <c:pt idx="69">
                  <c:v>0.98499999999999999</c:v>
                </c:pt>
                <c:pt idx="70">
                  <c:v>0.98499999999999999</c:v>
                </c:pt>
                <c:pt idx="71">
                  <c:v>0.98599999999999999</c:v>
                </c:pt>
                <c:pt idx="72">
                  <c:v>0.98699999999999999</c:v>
                </c:pt>
                <c:pt idx="73">
                  <c:v>0.98699999999999999</c:v>
                </c:pt>
                <c:pt idx="74">
                  <c:v>0.98799999999999999</c:v>
                </c:pt>
                <c:pt idx="75">
                  <c:v>0.98899999999999999</c:v>
                </c:pt>
                <c:pt idx="76">
                  <c:v>0.98899999999999999</c:v>
                </c:pt>
                <c:pt idx="77">
                  <c:v>0.99</c:v>
                </c:pt>
                <c:pt idx="78">
                  <c:v>0.99099999999999999</c:v>
                </c:pt>
                <c:pt idx="79">
                  <c:v>0.99099999999999999</c:v>
                </c:pt>
                <c:pt idx="80">
                  <c:v>0.99199999999999999</c:v>
                </c:pt>
                <c:pt idx="81">
                  <c:v>0.99299999999999999</c:v>
                </c:pt>
                <c:pt idx="82">
                  <c:v>0.99299999999999999</c:v>
                </c:pt>
                <c:pt idx="83">
                  <c:v>0.99399999999999999</c:v>
                </c:pt>
                <c:pt idx="84">
                  <c:v>0.995</c:v>
                </c:pt>
                <c:pt idx="85">
                  <c:v>0.995</c:v>
                </c:pt>
                <c:pt idx="86">
                  <c:v>0.996</c:v>
                </c:pt>
                <c:pt idx="87">
                  <c:v>0.997</c:v>
                </c:pt>
                <c:pt idx="88">
                  <c:v>0.997</c:v>
                </c:pt>
                <c:pt idx="89">
                  <c:v>0.998</c:v>
                </c:pt>
                <c:pt idx="90">
                  <c:v>0.999</c:v>
                </c:pt>
                <c:pt idx="91">
                  <c:v>0.999</c:v>
                </c:pt>
                <c:pt idx="92">
                  <c:v>0.88</c:v>
                </c:pt>
                <c:pt idx="93">
                  <c:v>0.999</c:v>
                </c:pt>
                <c:pt idx="94">
                  <c:v>0.997</c:v>
                </c:pt>
                <c:pt idx="95">
                  <c:v>0.996</c:v>
                </c:pt>
                <c:pt idx="96">
                  <c:v>0.995</c:v>
                </c:pt>
                <c:pt idx="97">
                  <c:v>0.99399999999999999</c:v>
                </c:pt>
                <c:pt idx="98">
                  <c:v>0.99199999999999999</c:v>
                </c:pt>
                <c:pt idx="99">
                  <c:v>0.99099999999999999</c:v>
                </c:pt>
                <c:pt idx="100">
                  <c:v>0.99</c:v>
                </c:pt>
                <c:pt idx="101">
                  <c:v>0.98799999999999999</c:v>
                </c:pt>
                <c:pt idx="102">
                  <c:v>0.98699999999999999</c:v>
                </c:pt>
                <c:pt idx="103">
                  <c:v>0.98599999999999999</c:v>
                </c:pt>
                <c:pt idx="104">
                  <c:v>0.98499999999999999</c:v>
                </c:pt>
                <c:pt idx="105">
                  <c:v>0.98299999999999998</c:v>
                </c:pt>
                <c:pt idx="106">
                  <c:v>0.98199999999999998</c:v>
                </c:pt>
                <c:pt idx="107">
                  <c:v>0.98099999999999998</c:v>
                </c:pt>
                <c:pt idx="108">
                  <c:v>0.97899999999999998</c:v>
                </c:pt>
                <c:pt idx="109">
                  <c:v>0.97799999999999998</c:v>
                </c:pt>
                <c:pt idx="110">
                  <c:v>0.97699999999999998</c:v>
                </c:pt>
                <c:pt idx="111">
                  <c:v>0.97499999999999998</c:v>
                </c:pt>
                <c:pt idx="112">
                  <c:v>0.97399999999999998</c:v>
                </c:pt>
                <c:pt idx="113">
                  <c:v>0.97299999999999998</c:v>
                </c:pt>
                <c:pt idx="114">
                  <c:v>0.97199999999999998</c:v>
                </c:pt>
                <c:pt idx="115">
                  <c:v>0.97</c:v>
                </c:pt>
                <c:pt idx="116">
                  <c:v>0.96899999999999997</c:v>
                </c:pt>
                <c:pt idx="117">
                  <c:v>0.96799999999999997</c:v>
                </c:pt>
                <c:pt idx="118">
                  <c:v>0.96599999999999997</c:v>
                </c:pt>
                <c:pt idx="119">
                  <c:v>0.96499999999999997</c:v>
                </c:pt>
                <c:pt idx="120">
                  <c:v>0.96399999999999997</c:v>
                </c:pt>
                <c:pt idx="121">
                  <c:v>0.96299999999999997</c:v>
                </c:pt>
                <c:pt idx="122">
                  <c:v>0.96099999999999997</c:v>
                </c:pt>
                <c:pt idx="123">
                  <c:v>0.96</c:v>
                </c:pt>
                <c:pt idx="124">
                  <c:v>0.95699999999999996</c:v>
                </c:pt>
                <c:pt idx="125">
                  <c:v>0.95299999999999996</c:v>
                </c:pt>
                <c:pt idx="126">
                  <c:v>0.95</c:v>
                </c:pt>
                <c:pt idx="127">
                  <c:v>0.94699999999999995</c:v>
                </c:pt>
                <c:pt idx="128">
                  <c:v>0.94299999999999995</c:v>
                </c:pt>
                <c:pt idx="129">
                  <c:v>0.94</c:v>
                </c:pt>
                <c:pt idx="130">
                  <c:v>0.93700000000000006</c:v>
                </c:pt>
                <c:pt idx="131">
                  <c:v>0.93300000000000005</c:v>
                </c:pt>
                <c:pt idx="132">
                  <c:v>0.93</c:v>
                </c:pt>
                <c:pt idx="133">
                  <c:v>0.92700000000000005</c:v>
                </c:pt>
                <c:pt idx="134">
                  <c:v>0.92300000000000004</c:v>
                </c:pt>
                <c:pt idx="135">
                  <c:v>0.92</c:v>
                </c:pt>
                <c:pt idx="136">
                  <c:v>0.91700000000000004</c:v>
                </c:pt>
                <c:pt idx="137">
                  <c:v>0.91300000000000003</c:v>
                </c:pt>
                <c:pt idx="138">
                  <c:v>0.91</c:v>
                </c:pt>
                <c:pt idx="139">
                  <c:v>0.90700000000000003</c:v>
                </c:pt>
                <c:pt idx="140">
                  <c:v>0.90300000000000002</c:v>
                </c:pt>
                <c:pt idx="141">
                  <c:v>0.9</c:v>
                </c:pt>
                <c:pt idx="142">
                  <c:v>0.89700000000000002</c:v>
                </c:pt>
                <c:pt idx="143">
                  <c:v>0.89300000000000002</c:v>
                </c:pt>
                <c:pt idx="144">
                  <c:v>0.89</c:v>
                </c:pt>
                <c:pt idx="145">
                  <c:v>0.88700000000000001</c:v>
                </c:pt>
                <c:pt idx="146">
                  <c:v>0.88300000000000001</c:v>
                </c:pt>
                <c:pt idx="147">
                  <c:v>0.88</c:v>
                </c:pt>
                <c:pt idx="148">
                  <c:v>0.877</c:v>
                </c:pt>
                <c:pt idx="149">
                  <c:v>0.873</c:v>
                </c:pt>
                <c:pt idx="150">
                  <c:v>0.87</c:v>
                </c:pt>
                <c:pt idx="151">
                  <c:v>0.86699999999999999</c:v>
                </c:pt>
                <c:pt idx="152">
                  <c:v>0.86299999999999999</c:v>
                </c:pt>
                <c:pt idx="153">
                  <c:v>0.86</c:v>
                </c:pt>
                <c:pt idx="154">
                  <c:v>0.85599999999999998</c:v>
                </c:pt>
                <c:pt idx="155">
                  <c:v>0.85199999999999998</c:v>
                </c:pt>
                <c:pt idx="156">
                  <c:v>0.84699999999999998</c:v>
                </c:pt>
                <c:pt idx="157">
                  <c:v>0.84299999999999997</c:v>
                </c:pt>
                <c:pt idx="158">
                  <c:v>0.83899999999999997</c:v>
                </c:pt>
                <c:pt idx="159">
                  <c:v>0.83499999999999996</c:v>
                </c:pt>
                <c:pt idx="160">
                  <c:v>0.83099999999999996</c:v>
                </c:pt>
                <c:pt idx="161">
                  <c:v>0.82599999999999996</c:v>
                </c:pt>
                <c:pt idx="162">
                  <c:v>0.82199999999999995</c:v>
                </c:pt>
                <c:pt idx="163">
                  <c:v>0.81799999999999995</c:v>
                </c:pt>
                <c:pt idx="164">
                  <c:v>0.81399999999999995</c:v>
                </c:pt>
                <c:pt idx="165">
                  <c:v>0.81</c:v>
                </c:pt>
                <c:pt idx="166">
                  <c:v>0.80500000000000005</c:v>
                </c:pt>
                <c:pt idx="167">
                  <c:v>0.80100000000000005</c:v>
                </c:pt>
                <c:pt idx="168">
                  <c:v>0.79700000000000004</c:v>
                </c:pt>
                <c:pt idx="169">
                  <c:v>0.79300000000000004</c:v>
                </c:pt>
                <c:pt idx="170">
                  <c:v>0.78900000000000003</c:v>
                </c:pt>
                <c:pt idx="171">
                  <c:v>0.78500000000000003</c:v>
                </c:pt>
                <c:pt idx="172">
                  <c:v>0.78</c:v>
                </c:pt>
                <c:pt idx="173">
                  <c:v>0.77600000000000002</c:v>
                </c:pt>
                <c:pt idx="174">
                  <c:v>0.77200000000000002</c:v>
                </c:pt>
                <c:pt idx="175">
                  <c:v>0.76800000000000002</c:v>
                </c:pt>
                <c:pt idx="176">
                  <c:v>0.76400000000000001</c:v>
                </c:pt>
                <c:pt idx="177">
                  <c:v>0.75900000000000001</c:v>
                </c:pt>
                <c:pt idx="178">
                  <c:v>0.755</c:v>
                </c:pt>
                <c:pt idx="179">
                  <c:v>0.751</c:v>
                </c:pt>
                <c:pt idx="180">
                  <c:v>0.747</c:v>
                </c:pt>
                <c:pt idx="181">
                  <c:v>0.74299999999999999</c:v>
                </c:pt>
                <c:pt idx="182">
                  <c:v>0.73799999999999999</c:v>
                </c:pt>
                <c:pt idx="183">
                  <c:v>0.73399999999999999</c:v>
                </c:pt>
                <c:pt idx="184">
                  <c:v>0.73</c:v>
                </c:pt>
                <c:pt idx="185">
                  <c:v>0.72699999999999998</c:v>
                </c:pt>
                <c:pt idx="186">
                  <c:v>0.72399999999999998</c:v>
                </c:pt>
                <c:pt idx="187">
                  <c:v>0.72</c:v>
                </c:pt>
                <c:pt idx="188">
                  <c:v>0.71699999999999997</c:v>
                </c:pt>
                <c:pt idx="189">
                  <c:v>0.71399999999999997</c:v>
                </c:pt>
                <c:pt idx="190">
                  <c:v>0.71099999999999997</c:v>
                </c:pt>
                <c:pt idx="191">
                  <c:v>0.70699999999999996</c:v>
                </c:pt>
                <c:pt idx="192">
                  <c:v>0.70399999999999996</c:v>
                </c:pt>
                <c:pt idx="193">
                  <c:v>0.70099999999999996</c:v>
                </c:pt>
                <c:pt idx="194">
                  <c:v>0.69799999999999995</c:v>
                </c:pt>
                <c:pt idx="195">
                  <c:v>0.69499999999999995</c:v>
                </c:pt>
                <c:pt idx="196">
                  <c:v>0.69099999999999995</c:v>
                </c:pt>
                <c:pt idx="197">
                  <c:v>0.68799999999999994</c:v>
                </c:pt>
                <c:pt idx="198">
                  <c:v>0.68500000000000005</c:v>
                </c:pt>
                <c:pt idx="199">
                  <c:v>0.68200000000000005</c:v>
                </c:pt>
                <c:pt idx="200">
                  <c:v>0.67800000000000005</c:v>
                </c:pt>
                <c:pt idx="201">
                  <c:v>0.67500000000000004</c:v>
                </c:pt>
                <c:pt idx="202">
                  <c:v>0.67200000000000004</c:v>
                </c:pt>
                <c:pt idx="203">
                  <c:v>0.66900000000000004</c:v>
                </c:pt>
                <c:pt idx="204">
                  <c:v>0.66500000000000004</c:v>
                </c:pt>
                <c:pt idx="205">
                  <c:v>0.66200000000000003</c:v>
                </c:pt>
                <c:pt idx="206">
                  <c:v>0.65900000000000003</c:v>
                </c:pt>
                <c:pt idx="207">
                  <c:v>0.65600000000000003</c:v>
                </c:pt>
                <c:pt idx="208">
                  <c:v>0.65300000000000002</c:v>
                </c:pt>
                <c:pt idx="209">
                  <c:v>0.64900000000000002</c:v>
                </c:pt>
                <c:pt idx="210">
                  <c:v>0.64600000000000002</c:v>
                </c:pt>
                <c:pt idx="211">
                  <c:v>0.64300000000000002</c:v>
                </c:pt>
                <c:pt idx="212">
                  <c:v>0.64</c:v>
                </c:pt>
                <c:pt idx="213">
                  <c:v>0.63600000000000001</c:v>
                </c:pt>
                <c:pt idx="214">
                  <c:v>0.63300000000000001</c:v>
                </c:pt>
                <c:pt idx="215">
                  <c:v>0.63</c:v>
                </c:pt>
                <c:pt idx="216">
                  <c:v>0.629</c:v>
                </c:pt>
                <c:pt idx="217">
                  <c:v>0.628</c:v>
                </c:pt>
                <c:pt idx="218">
                  <c:v>0.627</c:v>
                </c:pt>
                <c:pt idx="219">
                  <c:v>0.626</c:v>
                </c:pt>
                <c:pt idx="220">
                  <c:v>0.625</c:v>
                </c:pt>
                <c:pt idx="221">
                  <c:v>0.624</c:v>
                </c:pt>
                <c:pt idx="222">
                  <c:v>0.623</c:v>
                </c:pt>
                <c:pt idx="223">
                  <c:v>0.621</c:v>
                </c:pt>
                <c:pt idx="224">
                  <c:v>0.62</c:v>
                </c:pt>
                <c:pt idx="225">
                  <c:v>0.61899999999999999</c:v>
                </c:pt>
                <c:pt idx="226">
                  <c:v>0.61799999999999999</c:v>
                </c:pt>
                <c:pt idx="227">
                  <c:v>0.61699999999999999</c:v>
                </c:pt>
                <c:pt idx="228">
                  <c:v>0.61599999999999999</c:v>
                </c:pt>
                <c:pt idx="229">
                  <c:v>0.61499999999999999</c:v>
                </c:pt>
                <c:pt idx="230">
                  <c:v>0.61399999999999999</c:v>
                </c:pt>
                <c:pt idx="231">
                  <c:v>0.61299999999999999</c:v>
                </c:pt>
                <c:pt idx="232">
                  <c:v>0.61199999999999999</c:v>
                </c:pt>
                <c:pt idx="233">
                  <c:v>0.61099999999999999</c:v>
                </c:pt>
                <c:pt idx="234">
                  <c:v>0.61</c:v>
                </c:pt>
                <c:pt idx="235">
                  <c:v>0.60899999999999999</c:v>
                </c:pt>
                <c:pt idx="236">
                  <c:v>0.60799999999999998</c:v>
                </c:pt>
                <c:pt idx="237">
                  <c:v>0.60599999999999998</c:v>
                </c:pt>
                <c:pt idx="238">
                  <c:v>0.60499999999999998</c:v>
                </c:pt>
                <c:pt idx="239">
                  <c:v>0.60399999999999998</c:v>
                </c:pt>
                <c:pt idx="240">
                  <c:v>0.60299999999999998</c:v>
                </c:pt>
                <c:pt idx="241">
                  <c:v>0.60199999999999998</c:v>
                </c:pt>
                <c:pt idx="242">
                  <c:v>0.60099999999999998</c:v>
                </c:pt>
                <c:pt idx="243">
                  <c:v>0.6</c:v>
                </c:pt>
                <c:pt idx="244">
                  <c:v>0.60099999999999998</c:v>
                </c:pt>
                <c:pt idx="245">
                  <c:v>0.60099999999999998</c:v>
                </c:pt>
                <c:pt idx="246">
                  <c:v>0.60199999999999998</c:v>
                </c:pt>
                <c:pt idx="247">
                  <c:v>0.60299999999999998</c:v>
                </c:pt>
                <c:pt idx="248">
                  <c:v>0.60299999999999998</c:v>
                </c:pt>
                <c:pt idx="249">
                  <c:v>0.60399999999999998</c:v>
                </c:pt>
                <c:pt idx="250">
                  <c:v>0.60499999999999998</c:v>
                </c:pt>
                <c:pt idx="251">
                  <c:v>0.60499999999999998</c:v>
                </c:pt>
                <c:pt idx="252">
                  <c:v>0.60599999999999998</c:v>
                </c:pt>
                <c:pt idx="253">
                  <c:v>0.60599999999999998</c:v>
                </c:pt>
                <c:pt idx="254">
                  <c:v>0.60699999999999998</c:v>
                </c:pt>
                <c:pt idx="255">
                  <c:v>0.60799999999999998</c:v>
                </c:pt>
                <c:pt idx="256">
                  <c:v>0.60799999999999998</c:v>
                </c:pt>
                <c:pt idx="257">
                  <c:v>0.60899999999999999</c:v>
                </c:pt>
                <c:pt idx="258">
                  <c:v>0.61</c:v>
                </c:pt>
                <c:pt idx="259">
                  <c:v>0.61</c:v>
                </c:pt>
                <c:pt idx="260">
                  <c:v>0.61099999999999999</c:v>
                </c:pt>
                <c:pt idx="261">
                  <c:v>0.61199999999999999</c:v>
                </c:pt>
                <c:pt idx="262">
                  <c:v>0.61199999999999999</c:v>
                </c:pt>
                <c:pt idx="263">
                  <c:v>0.61299999999999999</c:v>
                </c:pt>
                <c:pt idx="264">
                  <c:v>0.61399999999999999</c:v>
                </c:pt>
                <c:pt idx="265">
                  <c:v>0.61399999999999999</c:v>
                </c:pt>
                <c:pt idx="266">
                  <c:v>0.61499999999999999</c:v>
                </c:pt>
                <c:pt idx="267">
                  <c:v>0.61499999999999999</c:v>
                </c:pt>
                <c:pt idx="268">
                  <c:v>0.61599999999999999</c:v>
                </c:pt>
                <c:pt idx="269">
                  <c:v>0.61699999999999999</c:v>
                </c:pt>
                <c:pt idx="270">
                  <c:v>0.61699999999999999</c:v>
                </c:pt>
                <c:pt idx="271">
                  <c:v>0.61799999999999999</c:v>
                </c:pt>
                <c:pt idx="272">
                  <c:v>0.61899999999999999</c:v>
                </c:pt>
                <c:pt idx="273">
                  <c:v>0.61899999999999999</c:v>
                </c:pt>
                <c:pt idx="274">
                  <c:v>0.62</c:v>
                </c:pt>
                <c:pt idx="275">
                  <c:v>0.622</c:v>
                </c:pt>
                <c:pt idx="276">
                  <c:v>0.623</c:v>
                </c:pt>
                <c:pt idx="277">
                  <c:v>0.625</c:v>
                </c:pt>
                <c:pt idx="278">
                  <c:v>0.627</c:v>
                </c:pt>
                <c:pt idx="279">
                  <c:v>0.628</c:v>
                </c:pt>
                <c:pt idx="280">
                  <c:v>0.63</c:v>
                </c:pt>
                <c:pt idx="281">
                  <c:v>0.63200000000000001</c:v>
                </c:pt>
                <c:pt idx="282">
                  <c:v>0.63300000000000001</c:v>
                </c:pt>
                <c:pt idx="283">
                  <c:v>0.63500000000000001</c:v>
                </c:pt>
                <c:pt idx="284">
                  <c:v>0.63700000000000001</c:v>
                </c:pt>
                <c:pt idx="285">
                  <c:v>0.63800000000000001</c:v>
                </c:pt>
                <c:pt idx="286">
                  <c:v>0.64</c:v>
                </c:pt>
                <c:pt idx="287">
                  <c:v>0.64200000000000002</c:v>
                </c:pt>
                <c:pt idx="288">
                  <c:v>0.64300000000000002</c:v>
                </c:pt>
                <c:pt idx="289">
                  <c:v>0.64500000000000002</c:v>
                </c:pt>
                <c:pt idx="290">
                  <c:v>0.64700000000000002</c:v>
                </c:pt>
                <c:pt idx="291">
                  <c:v>0.64800000000000002</c:v>
                </c:pt>
                <c:pt idx="292">
                  <c:v>0.65</c:v>
                </c:pt>
                <c:pt idx="293">
                  <c:v>0.65200000000000002</c:v>
                </c:pt>
                <c:pt idx="294">
                  <c:v>0.65300000000000002</c:v>
                </c:pt>
                <c:pt idx="295">
                  <c:v>0.65500000000000003</c:v>
                </c:pt>
                <c:pt idx="296">
                  <c:v>0.65700000000000003</c:v>
                </c:pt>
                <c:pt idx="297">
                  <c:v>0.65800000000000003</c:v>
                </c:pt>
                <c:pt idx="298">
                  <c:v>0.66</c:v>
                </c:pt>
                <c:pt idx="299">
                  <c:v>0.66200000000000003</c:v>
                </c:pt>
                <c:pt idx="300">
                  <c:v>0.66300000000000003</c:v>
                </c:pt>
                <c:pt idx="301">
                  <c:v>0.66500000000000004</c:v>
                </c:pt>
                <c:pt idx="302">
                  <c:v>0.66700000000000004</c:v>
                </c:pt>
                <c:pt idx="303">
                  <c:v>0.66800000000000004</c:v>
                </c:pt>
                <c:pt idx="304">
                  <c:v>0.67</c:v>
                </c:pt>
                <c:pt idx="305">
                  <c:v>0.67300000000000004</c:v>
                </c:pt>
                <c:pt idx="306">
                  <c:v>0.67600000000000005</c:v>
                </c:pt>
                <c:pt idx="307">
                  <c:v>0.67900000000000005</c:v>
                </c:pt>
                <c:pt idx="308">
                  <c:v>0.68200000000000005</c:v>
                </c:pt>
                <c:pt idx="309">
                  <c:v>0.68500000000000005</c:v>
                </c:pt>
                <c:pt idx="310">
                  <c:v>0.68700000000000006</c:v>
                </c:pt>
                <c:pt idx="311">
                  <c:v>0.69</c:v>
                </c:pt>
                <c:pt idx="312">
                  <c:v>0.69299999999999995</c:v>
                </c:pt>
                <c:pt idx="313">
                  <c:v>0.69599999999999995</c:v>
                </c:pt>
                <c:pt idx="314">
                  <c:v>0.69899999999999995</c:v>
                </c:pt>
                <c:pt idx="315">
                  <c:v>0.70199999999999996</c:v>
                </c:pt>
                <c:pt idx="316">
                  <c:v>0.70499999999999996</c:v>
                </c:pt>
                <c:pt idx="317">
                  <c:v>0.70799999999999996</c:v>
                </c:pt>
                <c:pt idx="318">
                  <c:v>0.71099999999999997</c:v>
                </c:pt>
                <c:pt idx="319">
                  <c:v>0.71399999999999997</c:v>
                </c:pt>
                <c:pt idx="320">
                  <c:v>0.71599999999999997</c:v>
                </c:pt>
                <c:pt idx="321">
                  <c:v>0.71899999999999997</c:v>
                </c:pt>
                <c:pt idx="322">
                  <c:v>0.72199999999999998</c:v>
                </c:pt>
                <c:pt idx="323">
                  <c:v>0.72499999999999998</c:v>
                </c:pt>
                <c:pt idx="324">
                  <c:v>0.72799999999999998</c:v>
                </c:pt>
                <c:pt idx="325">
                  <c:v>0.73099999999999998</c:v>
                </c:pt>
                <c:pt idx="326">
                  <c:v>0.73399999999999999</c:v>
                </c:pt>
                <c:pt idx="327">
                  <c:v>0.73699999999999999</c:v>
                </c:pt>
                <c:pt idx="328">
                  <c:v>0.74</c:v>
                </c:pt>
                <c:pt idx="329">
                  <c:v>0.74299999999999999</c:v>
                </c:pt>
                <c:pt idx="330">
                  <c:v>0.745</c:v>
                </c:pt>
                <c:pt idx="331">
                  <c:v>0.748</c:v>
                </c:pt>
                <c:pt idx="332">
                  <c:v>0.751</c:v>
                </c:pt>
                <c:pt idx="333">
                  <c:v>0.754</c:v>
                </c:pt>
                <c:pt idx="334">
                  <c:v>0.75700000000000001</c:v>
                </c:pt>
                <c:pt idx="335">
                  <c:v>0.76</c:v>
                </c:pt>
                <c:pt idx="336">
                  <c:v>0.76300000000000001</c:v>
                </c:pt>
                <c:pt idx="337">
                  <c:v>0.76500000000000001</c:v>
                </c:pt>
                <c:pt idx="338">
                  <c:v>0.76800000000000002</c:v>
                </c:pt>
                <c:pt idx="339">
                  <c:v>0.77100000000000002</c:v>
                </c:pt>
                <c:pt idx="340">
                  <c:v>0.77300000000000002</c:v>
                </c:pt>
                <c:pt idx="341">
                  <c:v>0.77600000000000002</c:v>
                </c:pt>
                <c:pt idx="342">
                  <c:v>0.77900000000000003</c:v>
                </c:pt>
                <c:pt idx="343">
                  <c:v>0.78100000000000003</c:v>
                </c:pt>
                <c:pt idx="344">
                  <c:v>0.78400000000000003</c:v>
                </c:pt>
                <c:pt idx="345">
                  <c:v>0.78700000000000003</c:v>
                </c:pt>
                <c:pt idx="346">
                  <c:v>0.78900000000000003</c:v>
                </c:pt>
                <c:pt idx="347">
                  <c:v>0.79200000000000004</c:v>
                </c:pt>
                <c:pt idx="348">
                  <c:v>0.79500000000000004</c:v>
                </c:pt>
                <c:pt idx="349">
                  <c:v>0.79700000000000004</c:v>
                </c:pt>
                <c:pt idx="350">
                  <c:v>0.8</c:v>
                </c:pt>
                <c:pt idx="351">
                  <c:v>0.80300000000000005</c:v>
                </c:pt>
                <c:pt idx="352">
                  <c:v>0.80500000000000005</c:v>
                </c:pt>
                <c:pt idx="353">
                  <c:v>0.80800000000000005</c:v>
                </c:pt>
                <c:pt idx="354">
                  <c:v>0.81100000000000005</c:v>
                </c:pt>
                <c:pt idx="355">
                  <c:v>0.81299999999999994</c:v>
                </c:pt>
                <c:pt idx="356">
                  <c:v>0.81599999999999995</c:v>
                </c:pt>
                <c:pt idx="357">
                  <c:v>0.81899999999999995</c:v>
                </c:pt>
                <c:pt idx="358">
                  <c:v>0.82099999999999995</c:v>
                </c:pt>
                <c:pt idx="359">
                  <c:v>0.82399999999999995</c:v>
                </c:pt>
                <c:pt idx="360">
                  <c:v>0.82699999999999996</c:v>
                </c:pt>
                <c:pt idx="361">
                  <c:v>0.82899999999999996</c:v>
                </c:pt>
                <c:pt idx="362">
                  <c:v>0.83199999999999996</c:v>
                </c:pt>
                <c:pt idx="363">
                  <c:v>0.83499999999999996</c:v>
                </c:pt>
                <c:pt idx="364">
                  <c:v>0.83699999999999997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CA-4D9B-98B4-B1232E42C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3112272"/>
        <c:axId val="1223112664"/>
      </c:lineChart>
      <c:catAx>
        <c:axId val="12231122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23112664"/>
        <c:crosses val="autoZero"/>
        <c:auto val="1"/>
        <c:lblAlgn val="ctr"/>
        <c:lblOffset val="100"/>
        <c:noMultiLvlLbl val="0"/>
      </c:catAx>
      <c:valAx>
        <c:axId val="1223112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311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548640</xdr:colOff>
      <xdr:row>3</xdr:row>
      <xdr:rowOff>53340</xdr:rowOff>
    </xdr:from>
    <xdr:to>
      <xdr:col>10</xdr:col>
      <xdr:colOff>365760</xdr:colOff>
      <xdr:row>18</xdr:row>
      <xdr:rowOff>53340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548640</xdr:colOff>
      <xdr:row>3</xdr:row>
      <xdr:rowOff>53340</xdr:rowOff>
    </xdr:from>
    <xdr:to>
      <xdr:col>10</xdr:col>
      <xdr:colOff>365760</xdr:colOff>
      <xdr:row>18</xdr:row>
      <xdr:rowOff>53340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0B9F2B4-DA62-473C-9800-B1DB777DC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777240</xdr:colOff>
      <xdr:row>2</xdr:row>
      <xdr:rowOff>152400</xdr:rowOff>
    </xdr:from>
    <xdr:to>
      <xdr:col>8</xdr:col>
      <xdr:colOff>594360</xdr:colOff>
      <xdr:row>17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</xdr:row>
      <xdr:rowOff>0</xdr:rowOff>
    </xdr:from>
    <xdr:to>
      <xdr:col>25</xdr:col>
      <xdr:colOff>0</xdr:colOff>
      <xdr:row>11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B40CE3B-2F8C-466B-AB65-050BFB7E2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96683/OneDrive%20-%20EDF/Administratif/Personnel/Cours%20Supa&#233;ro/Donn&#233;es%20&#233;tude%20de%20cas-20240127/Donnees_revues_hydro_etude_de_cas_ETE3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4106GX/OneDrive%20-%20GRTgaz/donnees_projet_DETE305_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hydro"/>
    </sheetNames>
    <sheetDataSet>
      <sheetData sheetId="0">
        <row r="3">
          <cell r="B3" t="str">
            <v>Lev Low (%)</v>
          </cell>
          <cell r="C3" t="str">
            <v>Lev High (%)</v>
          </cell>
        </row>
        <row r="4">
          <cell r="A4" t="str">
            <v xml:space="preserve">  JUL 04</v>
          </cell>
          <cell r="B4">
            <v>59</v>
          </cell>
          <cell r="C4">
            <v>81</v>
          </cell>
        </row>
        <row r="5">
          <cell r="A5" t="str">
            <v xml:space="preserve">  JUL 05</v>
          </cell>
          <cell r="B5">
            <v>59.2</v>
          </cell>
          <cell r="C5">
            <v>81.2</v>
          </cell>
        </row>
        <row r="6">
          <cell r="A6" t="str">
            <v xml:space="preserve">  JUL 06</v>
          </cell>
          <cell r="B6">
            <v>59.3</v>
          </cell>
          <cell r="C6">
            <v>81.400000000000006</v>
          </cell>
        </row>
        <row r="7">
          <cell r="A7" t="str">
            <v xml:space="preserve">  JUL 07</v>
          </cell>
          <cell r="B7">
            <v>59.5</v>
          </cell>
          <cell r="C7">
            <v>81.599999999999994</v>
          </cell>
        </row>
        <row r="8">
          <cell r="A8" t="str">
            <v xml:space="preserve">  JUL 08</v>
          </cell>
          <cell r="B8">
            <v>59.6</v>
          </cell>
          <cell r="C8">
            <v>81.8</v>
          </cell>
        </row>
        <row r="9">
          <cell r="A9" t="str">
            <v xml:space="preserve">  JUL 09</v>
          </cell>
          <cell r="B9">
            <v>59.8</v>
          </cell>
          <cell r="C9">
            <v>82</v>
          </cell>
        </row>
        <row r="10">
          <cell r="A10" t="str">
            <v xml:space="preserve">  JUL 10</v>
          </cell>
          <cell r="B10">
            <v>60</v>
          </cell>
          <cell r="C10">
            <v>82.2</v>
          </cell>
        </row>
        <row r="11">
          <cell r="A11" t="str">
            <v xml:space="preserve">  JUL 11</v>
          </cell>
          <cell r="B11">
            <v>60.1</v>
          </cell>
          <cell r="C11">
            <v>82.4</v>
          </cell>
        </row>
        <row r="12">
          <cell r="A12" t="str">
            <v xml:space="preserve">  JUL 12</v>
          </cell>
          <cell r="B12">
            <v>60.3</v>
          </cell>
          <cell r="C12">
            <v>82.5</v>
          </cell>
        </row>
        <row r="13">
          <cell r="A13" t="str">
            <v xml:space="preserve">  JUL 13</v>
          </cell>
          <cell r="B13">
            <v>60.5</v>
          </cell>
          <cell r="C13">
            <v>82.7</v>
          </cell>
        </row>
        <row r="14">
          <cell r="A14" t="str">
            <v xml:space="preserve">  JUL 14</v>
          </cell>
          <cell r="B14">
            <v>60.6</v>
          </cell>
          <cell r="C14">
            <v>82.9</v>
          </cell>
        </row>
        <row r="15">
          <cell r="A15" t="str">
            <v xml:space="preserve">  JUL 15</v>
          </cell>
          <cell r="B15">
            <v>60.8</v>
          </cell>
          <cell r="C15">
            <v>83.1</v>
          </cell>
        </row>
        <row r="16">
          <cell r="A16" t="str">
            <v xml:space="preserve">  JUL 16</v>
          </cell>
          <cell r="B16">
            <v>60.9</v>
          </cell>
          <cell r="C16">
            <v>83.3</v>
          </cell>
        </row>
        <row r="17">
          <cell r="A17" t="str">
            <v xml:space="preserve">  JUL 17</v>
          </cell>
          <cell r="B17">
            <v>61.1</v>
          </cell>
          <cell r="C17">
            <v>83.5</v>
          </cell>
        </row>
        <row r="18">
          <cell r="A18" t="str">
            <v xml:space="preserve">  JUL 18</v>
          </cell>
          <cell r="B18">
            <v>61.3</v>
          </cell>
          <cell r="C18">
            <v>83.7</v>
          </cell>
        </row>
        <row r="19">
          <cell r="A19" t="str">
            <v xml:space="preserve">  JUL 19</v>
          </cell>
          <cell r="B19">
            <v>61.4</v>
          </cell>
          <cell r="C19">
            <v>83.9</v>
          </cell>
        </row>
        <row r="20">
          <cell r="A20" t="str">
            <v xml:space="preserve">  JUL 20</v>
          </cell>
          <cell r="B20">
            <v>61.6</v>
          </cell>
          <cell r="C20">
            <v>84.1</v>
          </cell>
        </row>
        <row r="21">
          <cell r="A21" t="str">
            <v xml:space="preserve">  JUL 21</v>
          </cell>
          <cell r="B21">
            <v>61.7</v>
          </cell>
          <cell r="C21">
            <v>84.3</v>
          </cell>
        </row>
        <row r="22">
          <cell r="A22" t="str">
            <v xml:space="preserve">  JUL 22</v>
          </cell>
          <cell r="B22">
            <v>61.9</v>
          </cell>
          <cell r="C22">
            <v>84.5</v>
          </cell>
        </row>
        <row r="23">
          <cell r="A23" t="str">
            <v xml:space="preserve">  JUL 23</v>
          </cell>
          <cell r="B23">
            <v>62.1</v>
          </cell>
          <cell r="C23">
            <v>84.7</v>
          </cell>
        </row>
        <row r="24">
          <cell r="A24" t="str">
            <v xml:space="preserve">  JUL 24</v>
          </cell>
          <cell r="B24">
            <v>62.2</v>
          </cell>
          <cell r="C24">
            <v>84.9</v>
          </cell>
        </row>
        <row r="25">
          <cell r="A25" t="str">
            <v xml:space="preserve">  JUL 25</v>
          </cell>
          <cell r="B25">
            <v>62.4</v>
          </cell>
          <cell r="C25">
            <v>85.1</v>
          </cell>
        </row>
        <row r="26">
          <cell r="A26" t="str">
            <v xml:space="preserve">  JUL 26</v>
          </cell>
          <cell r="B26">
            <v>62.5</v>
          </cell>
          <cell r="C26">
            <v>85.3</v>
          </cell>
        </row>
        <row r="27">
          <cell r="A27" t="str">
            <v xml:space="preserve">  JUL 27</v>
          </cell>
          <cell r="B27">
            <v>62.7</v>
          </cell>
          <cell r="C27">
            <v>85.5</v>
          </cell>
        </row>
        <row r="28">
          <cell r="A28" t="str">
            <v xml:space="preserve">  JUL 28</v>
          </cell>
          <cell r="B28">
            <v>62.9</v>
          </cell>
          <cell r="C28">
            <v>85.6</v>
          </cell>
        </row>
        <row r="29">
          <cell r="A29" t="str">
            <v xml:space="preserve">  JUL 29</v>
          </cell>
          <cell r="B29">
            <v>63</v>
          </cell>
          <cell r="C29">
            <v>85.8</v>
          </cell>
        </row>
        <row r="30">
          <cell r="A30" t="str">
            <v xml:space="preserve">  JUL 30</v>
          </cell>
          <cell r="B30">
            <v>63.2</v>
          </cell>
          <cell r="C30">
            <v>86</v>
          </cell>
        </row>
        <row r="31">
          <cell r="A31" t="str">
            <v xml:space="preserve">  JUL 31</v>
          </cell>
          <cell r="B31">
            <v>63.4</v>
          </cell>
          <cell r="C31">
            <v>86.2</v>
          </cell>
        </row>
        <row r="32">
          <cell r="A32" t="str">
            <v xml:space="preserve">  AUG 01</v>
          </cell>
          <cell r="B32">
            <v>63.5</v>
          </cell>
          <cell r="C32">
            <v>86.4</v>
          </cell>
        </row>
        <row r="33">
          <cell r="A33" t="str">
            <v xml:space="preserve">  AUG 02</v>
          </cell>
          <cell r="B33">
            <v>63.7</v>
          </cell>
          <cell r="C33">
            <v>86.6</v>
          </cell>
        </row>
        <row r="34">
          <cell r="A34" t="str">
            <v xml:space="preserve">  AUG 03</v>
          </cell>
          <cell r="B34">
            <v>63.8</v>
          </cell>
          <cell r="C34">
            <v>86.8</v>
          </cell>
        </row>
        <row r="35">
          <cell r="A35" t="str">
            <v xml:space="preserve">  AUG 04</v>
          </cell>
          <cell r="B35">
            <v>64</v>
          </cell>
          <cell r="C35">
            <v>87</v>
          </cell>
        </row>
        <row r="36">
          <cell r="A36" t="str">
            <v xml:space="preserve">  AUG 05</v>
          </cell>
          <cell r="B36">
            <v>64</v>
          </cell>
          <cell r="C36">
            <v>87.1</v>
          </cell>
        </row>
        <row r="37">
          <cell r="A37" t="str">
            <v xml:space="preserve">  AUG 06</v>
          </cell>
          <cell r="B37">
            <v>63.9</v>
          </cell>
          <cell r="C37">
            <v>87.2</v>
          </cell>
        </row>
        <row r="38">
          <cell r="A38" t="str">
            <v xml:space="preserve">  AUG 07</v>
          </cell>
          <cell r="B38">
            <v>63.9</v>
          </cell>
          <cell r="C38">
            <v>87.3</v>
          </cell>
        </row>
        <row r="39">
          <cell r="A39" t="str">
            <v xml:space="preserve">  AUG 08</v>
          </cell>
          <cell r="B39">
            <v>63.9</v>
          </cell>
          <cell r="C39">
            <v>87.4</v>
          </cell>
        </row>
        <row r="40">
          <cell r="A40" t="str">
            <v xml:space="preserve">  AUG 09</v>
          </cell>
          <cell r="B40">
            <v>63.8</v>
          </cell>
          <cell r="C40">
            <v>87.5</v>
          </cell>
        </row>
        <row r="41">
          <cell r="A41" t="str">
            <v xml:space="preserve">  AUG 10</v>
          </cell>
          <cell r="B41">
            <v>63.8</v>
          </cell>
          <cell r="C41">
            <v>87.6</v>
          </cell>
        </row>
        <row r="42">
          <cell r="A42" t="str">
            <v xml:space="preserve">  AUG 11</v>
          </cell>
          <cell r="B42">
            <v>63.8</v>
          </cell>
          <cell r="C42">
            <v>87.7</v>
          </cell>
        </row>
        <row r="43">
          <cell r="A43" t="str">
            <v xml:space="preserve">  AUG 12</v>
          </cell>
          <cell r="B43">
            <v>63.7</v>
          </cell>
          <cell r="C43">
            <v>87.8</v>
          </cell>
        </row>
        <row r="44">
          <cell r="A44" t="str">
            <v xml:space="preserve">  AUG 13</v>
          </cell>
          <cell r="B44">
            <v>63.7</v>
          </cell>
          <cell r="C44">
            <v>87.9</v>
          </cell>
        </row>
        <row r="45">
          <cell r="A45" t="str">
            <v xml:space="preserve">  AUG 14</v>
          </cell>
          <cell r="B45">
            <v>63.7</v>
          </cell>
          <cell r="C45">
            <v>88</v>
          </cell>
        </row>
        <row r="46">
          <cell r="A46" t="str">
            <v xml:space="preserve">  AUG 15</v>
          </cell>
          <cell r="B46">
            <v>63.6</v>
          </cell>
          <cell r="C46">
            <v>88.1</v>
          </cell>
        </row>
        <row r="47">
          <cell r="A47" t="str">
            <v xml:space="preserve">  AUG 16</v>
          </cell>
          <cell r="B47">
            <v>63.6</v>
          </cell>
          <cell r="C47">
            <v>88.2</v>
          </cell>
        </row>
        <row r="48">
          <cell r="A48" t="str">
            <v xml:space="preserve">  AUG 17</v>
          </cell>
          <cell r="B48">
            <v>63.6</v>
          </cell>
          <cell r="C48">
            <v>88.3</v>
          </cell>
        </row>
        <row r="49">
          <cell r="A49" t="str">
            <v xml:space="preserve">  AUG 18</v>
          </cell>
          <cell r="B49">
            <v>63.5</v>
          </cell>
          <cell r="C49">
            <v>88.4</v>
          </cell>
        </row>
        <row r="50">
          <cell r="A50" t="str">
            <v xml:space="preserve">  AUG 19</v>
          </cell>
          <cell r="B50">
            <v>63.5</v>
          </cell>
          <cell r="C50">
            <v>88.5</v>
          </cell>
        </row>
        <row r="51">
          <cell r="A51" t="str">
            <v xml:space="preserve">  AUG 20</v>
          </cell>
          <cell r="B51">
            <v>63.5</v>
          </cell>
          <cell r="C51">
            <v>88.5</v>
          </cell>
        </row>
        <row r="52">
          <cell r="A52" t="str">
            <v xml:space="preserve">  AUG 21</v>
          </cell>
          <cell r="B52">
            <v>63.5</v>
          </cell>
          <cell r="C52">
            <v>88.6</v>
          </cell>
        </row>
        <row r="53">
          <cell r="A53" t="str">
            <v xml:space="preserve">  AUG 22</v>
          </cell>
          <cell r="B53">
            <v>63.4</v>
          </cell>
          <cell r="C53">
            <v>88.7</v>
          </cell>
        </row>
        <row r="54">
          <cell r="A54" t="str">
            <v xml:space="preserve">  AUG 23</v>
          </cell>
          <cell r="B54">
            <v>63.4</v>
          </cell>
          <cell r="C54">
            <v>88.8</v>
          </cell>
        </row>
        <row r="55">
          <cell r="A55" t="str">
            <v xml:space="preserve">  AUG 24</v>
          </cell>
          <cell r="B55">
            <v>63.4</v>
          </cell>
          <cell r="C55">
            <v>88.9</v>
          </cell>
        </row>
        <row r="56">
          <cell r="A56" t="str">
            <v xml:space="preserve">  AUG 25</v>
          </cell>
          <cell r="B56">
            <v>63.3</v>
          </cell>
          <cell r="C56">
            <v>89</v>
          </cell>
        </row>
        <row r="57">
          <cell r="A57" t="str">
            <v xml:space="preserve">  AUG 26</v>
          </cell>
          <cell r="B57">
            <v>63.3</v>
          </cell>
          <cell r="C57">
            <v>89.1</v>
          </cell>
        </row>
        <row r="58">
          <cell r="A58" t="str">
            <v xml:space="preserve">  AUG 27</v>
          </cell>
          <cell r="B58">
            <v>63.3</v>
          </cell>
          <cell r="C58">
            <v>89.2</v>
          </cell>
        </row>
        <row r="59">
          <cell r="A59" t="str">
            <v xml:space="preserve">  AUG 28</v>
          </cell>
          <cell r="B59">
            <v>63.2</v>
          </cell>
          <cell r="C59">
            <v>89.3</v>
          </cell>
        </row>
        <row r="60">
          <cell r="A60" t="str">
            <v xml:space="preserve">  AUG 29</v>
          </cell>
          <cell r="B60">
            <v>63.2</v>
          </cell>
          <cell r="C60">
            <v>89.4</v>
          </cell>
        </row>
        <row r="61">
          <cell r="A61" t="str">
            <v xml:space="preserve">  AUG 30</v>
          </cell>
          <cell r="B61">
            <v>63.2</v>
          </cell>
          <cell r="C61">
            <v>89.5</v>
          </cell>
        </row>
        <row r="62">
          <cell r="A62" t="str">
            <v xml:space="preserve">  AUG 31</v>
          </cell>
          <cell r="B62">
            <v>63.1</v>
          </cell>
          <cell r="C62">
            <v>89.6</v>
          </cell>
        </row>
        <row r="63">
          <cell r="A63" t="str">
            <v xml:space="preserve">  SEP 01</v>
          </cell>
          <cell r="B63">
            <v>63.1</v>
          </cell>
          <cell r="C63">
            <v>89.7</v>
          </cell>
        </row>
        <row r="64">
          <cell r="A64" t="str">
            <v xml:space="preserve">  SEP 02</v>
          </cell>
          <cell r="B64">
            <v>63.1</v>
          </cell>
          <cell r="C64">
            <v>89.8</v>
          </cell>
        </row>
        <row r="65">
          <cell r="A65" t="str">
            <v xml:space="preserve">  SEP 03</v>
          </cell>
          <cell r="B65">
            <v>63</v>
          </cell>
          <cell r="C65">
            <v>89.9</v>
          </cell>
        </row>
        <row r="66">
          <cell r="A66" t="str">
            <v xml:space="preserve">  SEP 04</v>
          </cell>
          <cell r="B66">
            <v>63</v>
          </cell>
          <cell r="C66">
            <v>90</v>
          </cell>
        </row>
        <row r="67">
          <cell r="A67" t="str">
            <v xml:space="preserve">  SEP 05</v>
          </cell>
          <cell r="B67">
            <v>62.9</v>
          </cell>
          <cell r="C67">
            <v>90</v>
          </cell>
        </row>
        <row r="68">
          <cell r="A68" t="str">
            <v xml:space="preserve">  SEP 06</v>
          </cell>
          <cell r="B68">
            <v>62.9</v>
          </cell>
          <cell r="C68">
            <v>90</v>
          </cell>
        </row>
        <row r="69">
          <cell r="A69" t="str">
            <v xml:space="preserve">  SEP 07</v>
          </cell>
          <cell r="B69">
            <v>62.8</v>
          </cell>
          <cell r="C69">
            <v>90</v>
          </cell>
        </row>
        <row r="70">
          <cell r="A70" t="str">
            <v xml:space="preserve">  SEP 08</v>
          </cell>
          <cell r="B70">
            <v>62.7</v>
          </cell>
          <cell r="C70">
            <v>90</v>
          </cell>
        </row>
        <row r="71">
          <cell r="A71" t="str">
            <v xml:space="preserve">  SEP 09</v>
          </cell>
          <cell r="B71">
            <v>62.7</v>
          </cell>
          <cell r="C71">
            <v>90</v>
          </cell>
        </row>
        <row r="72">
          <cell r="A72" t="str">
            <v xml:space="preserve">  SEP 10</v>
          </cell>
          <cell r="B72">
            <v>62.6</v>
          </cell>
          <cell r="C72">
            <v>90</v>
          </cell>
        </row>
        <row r="73">
          <cell r="A73" t="str">
            <v xml:space="preserve">  SEP 11</v>
          </cell>
          <cell r="B73">
            <v>62.5</v>
          </cell>
          <cell r="C73">
            <v>90</v>
          </cell>
        </row>
        <row r="74">
          <cell r="A74" t="str">
            <v xml:space="preserve">  SEP 12</v>
          </cell>
          <cell r="B74">
            <v>62.5</v>
          </cell>
          <cell r="C74">
            <v>90</v>
          </cell>
        </row>
        <row r="75">
          <cell r="A75" t="str">
            <v xml:space="preserve">  SEP 13</v>
          </cell>
          <cell r="B75">
            <v>62.4</v>
          </cell>
          <cell r="C75">
            <v>90</v>
          </cell>
        </row>
        <row r="76">
          <cell r="A76" t="str">
            <v xml:space="preserve">  SEP 14</v>
          </cell>
          <cell r="B76">
            <v>62.3</v>
          </cell>
          <cell r="C76">
            <v>90</v>
          </cell>
        </row>
        <row r="77">
          <cell r="A77" t="str">
            <v xml:space="preserve">  SEP 15</v>
          </cell>
          <cell r="B77">
            <v>62.3</v>
          </cell>
          <cell r="C77">
            <v>90</v>
          </cell>
        </row>
        <row r="78">
          <cell r="A78" t="str">
            <v xml:space="preserve">  SEP 16</v>
          </cell>
          <cell r="B78">
            <v>62.2</v>
          </cell>
          <cell r="C78">
            <v>90</v>
          </cell>
        </row>
        <row r="79">
          <cell r="A79" t="str">
            <v xml:space="preserve">  SEP 17</v>
          </cell>
          <cell r="B79">
            <v>62.1</v>
          </cell>
          <cell r="C79">
            <v>90</v>
          </cell>
        </row>
        <row r="80">
          <cell r="A80" t="str">
            <v xml:space="preserve">  SEP 18</v>
          </cell>
          <cell r="B80">
            <v>62.1</v>
          </cell>
          <cell r="C80">
            <v>90</v>
          </cell>
        </row>
        <row r="81">
          <cell r="A81" t="str">
            <v xml:space="preserve">  SEP 19</v>
          </cell>
          <cell r="B81">
            <v>62</v>
          </cell>
          <cell r="C81">
            <v>90</v>
          </cell>
        </row>
        <row r="82">
          <cell r="A82" t="str">
            <v xml:space="preserve">  SEP 20</v>
          </cell>
          <cell r="B82">
            <v>61.9</v>
          </cell>
          <cell r="C82">
            <v>90</v>
          </cell>
        </row>
        <row r="83">
          <cell r="A83" t="str">
            <v xml:space="preserve">  SEP 21</v>
          </cell>
          <cell r="B83">
            <v>61.9</v>
          </cell>
          <cell r="C83">
            <v>90</v>
          </cell>
        </row>
        <row r="84">
          <cell r="A84" t="str">
            <v xml:space="preserve">  SEP 22</v>
          </cell>
          <cell r="B84">
            <v>61.8</v>
          </cell>
          <cell r="C84">
            <v>90</v>
          </cell>
        </row>
        <row r="85">
          <cell r="A85" t="str">
            <v xml:space="preserve">  SEP 23</v>
          </cell>
          <cell r="B85">
            <v>61.7</v>
          </cell>
          <cell r="C85">
            <v>90</v>
          </cell>
        </row>
        <row r="86">
          <cell r="A86" t="str">
            <v xml:space="preserve">  SEP 24</v>
          </cell>
          <cell r="B86">
            <v>61.7</v>
          </cell>
          <cell r="C86">
            <v>90</v>
          </cell>
        </row>
        <row r="87">
          <cell r="A87" t="str">
            <v xml:space="preserve">  SEP 25</v>
          </cell>
          <cell r="B87">
            <v>61.6</v>
          </cell>
          <cell r="C87">
            <v>90</v>
          </cell>
        </row>
        <row r="88">
          <cell r="A88" t="str">
            <v xml:space="preserve">  SEP 26</v>
          </cell>
          <cell r="B88">
            <v>61.5</v>
          </cell>
          <cell r="C88">
            <v>90</v>
          </cell>
        </row>
        <row r="89">
          <cell r="A89" t="str">
            <v xml:space="preserve">  SEP 27</v>
          </cell>
          <cell r="B89">
            <v>61.5</v>
          </cell>
          <cell r="C89">
            <v>90</v>
          </cell>
        </row>
        <row r="90">
          <cell r="A90" t="str">
            <v xml:space="preserve">  SEP 28</v>
          </cell>
          <cell r="B90">
            <v>61.4</v>
          </cell>
          <cell r="C90">
            <v>90</v>
          </cell>
        </row>
        <row r="91">
          <cell r="A91" t="str">
            <v xml:space="preserve">  SEP 29</v>
          </cell>
          <cell r="B91">
            <v>61.3</v>
          </cell>
          <cell r="C91">
            <v>90</v>
          </cell>
        </row>
        <row r="92">
          <cell r="A92" t="str">
            <v xml:space="preserve">  SEP 30</v>
          </cell>
          <cell r="B92">
            <v>61.3</v>
          </cell>
          <cell r="C92">
            <v>90</v>
          </cell>
        </row>
        <row r="93">
          <cell r="A93" t="str">
            <v xml:space="preserve">  OCT 01</v>
          </cell>
          <cell r="B93">
            <v>61.2</v>
          </cell>
          <cell r="C93">
            <v>90</v>
          </cell>
        </row>
        <row r="94">
          <cell r="A94" t="str">
            <v xml:space="preserve">  OCT 02</v>
          </cell>
          <cell r="B94">
            <v>61.1</v>
          </cell>
          <cell r="C94">
            <v>90</v>
          </cell>
        </row>
        <row r="95">
          <cell r="A95" t="str">
            <v xml:space="preserve">  OCT 03</v>
          </cell>
          <cell r="B95">
            <v>61.1</v>
          </cell>
          <cell r="C95">
            <v>90</v>
          </cell>
        </row>
        <row r="96">
          <cell r="A96" t="str">
            <v xml:space="preserve">  OCT 04</v>
          </cell>
          <cell r="B96">
            <v>61</v>
          </cell>
          <cell r="C96">
            <v>90</v>
          </cell>
        </row>
        <row r="97">
          <cell r="A97" t="str">
            <v xml:space="preserve">  OCT 05</v>
          </cell>
          <cell r="B97">
            <v>60.8</v>
          </cell>
          <cell r="C97">
            <v>90</v>
          </cell>
        </row>
        <row r="98">
          <cell r="A98" t="str">
            <v xml:space="preserve">  OCT 06</v>
          </cell>
          <cell r="B98">
            <v>60.6</v>
          </cell>
          <cell r="C98">
            <v>90.1</v>
          </cell>
        </row>
        <row r="99">
          <cell r="A99" t="str">
            <v xml:space="preserve">  OCT 07</v>
          </cell>
          <cell r="B99">
            <v>60.4</v>
          </cell>
          <cell r="C99">
            <v>90.1</v>
          </cell>
        </row>
        <row r="100">
          <cell r="A100" t="str">
            <v xml:space="preserve">  OCT 08</v>
          </cell>
          <cell r="B100">
            <v>60.2</v>
          </cell>
          <cell r="C100">
            <v>90.1</v>
          </cell>
        </row>
        <row r="101">
          <cell r="A101" t="str">
            <v xml:space="preserve">  OCT 09</v>
          </cell>
          <cell r="B101">
            <v>60</v>
          </cell>
          <cell r="C101">
            <v>90.2</v>
          </cell>
        </row>
        <row r="102">
          <cell r="A102" t="str">
            <v xml:space="preserve">  OCT 10</v>
          </cell>
          <cell r="B102">
            <v>59.8</v>
          </cell>
          <cell r="C102">
            <v>90.2</v>
          </cell>
        </row>
        <row r="103">
          <cell r="A103" t="str">
            <v xml:space="preserve">  OCT 11</v>
          </cell>
          <cell r="B103">
            <v>59.6</v>
          </cell>
          <cell r="C103">
            <v>90.2</v>
          </cell>
        </row>
        <row r="104">
          <cell r="A104" t="str">
            <v xml:space="preserve">  OCT 12</v>
          </cell>
          <cell r="B104">
            <v>59.5</v>
          </cell>
          <cell r="C104">
            <v>90.3</v>
          </cell>
        </row>
        <row r="105">
          <cell r="A105" t="str">
            <v xml:space="preserve">  OCT 13</v>
          </cell>
          <cell r="B105">
            <v>59.3</v>
          </cell>
          <cell r="C105">
            <v>90.3</v>
          </cell>
        </row>
        <row r="106">
          <cell r="A106" t="str">
            <v xml:space="preserve">  OCT 14</v>
          </cell>
          <cell r="B106">
            <v>59.1</v>
          </cell>
          <cell r="C106">
            <v>90.3</v>
          </cell>
        </row>
        <row r="107">
          <cell r="A107" t="str">
            <v xml:space="preserve">  OCT 15</v>
          </cell>
          <cell r="B107">
            <v>58.9</v>
          </cell>
          <cell r="C107">
            <v>90.4</v>
          </cell>
        </row>
        <row r="108">
          <cell r="A108" t="str">
            <v xml:space="preserve">  OCT 16</v>
          </cell>
          <cell r="B108">
            <v>58.7</v>
          </cell>
          <cell r="C108">
            <v>90.4</v>
          </cell>
        </row>
        <row r="109">
          <cell r="A109" t="str">
            <v xml:space="preserve">  OCT 17</v>
          </cell>
          <cell r="B109">
            <v>58.5</v>
          </cell>
          <cell r="C109">
            <v>90.4</v>
          </cell>
        </row>
        <row r="110">
          <cell r="A110" t="str">
            <v xml:space="preserve">  OCT 18</v>
          </cell>
          <cell r="B110">
            <v>58.3</v>
          </cell>
          <cell r="C110">
            <v>90.5</v>
          </cell>
        </row>
        <row r="111">
          <cell r="A111" t="str">
            <v xml:space="preserve">  OCT 19</v>
          </cell>
          <cell r="B111">
            <v>58.1</v>
          </cell>
          <cell r="C111">
            <v>90.5</v>
          </cell>
        </row>
        <row r="112">
          <cell r="A112" t="str">
            <v xml:space="preserve">  OCT 20</v>
          </cell>
          <cell r="B112">
            <v>57.9</v>
          </cell>
          <cell r="C112">
            <v>90.5</v>
          </cell>
        </row>
        <row r="113">
          <cell r="A113" t="str">
            <v xml:space="preserve">  OCT 21</v>
          </cell>
          <cell r="B113">
            <v>57.7</v>
          </cell>
          <cell r="C113">
            <v>90.5</v>
          </cell>
        </row>
        <row r="114">
          <cell r="A114" t="str">
            <v xml:space="preserve">  OCT 22</v>
          </cell>
          <cell r="B114">
            <v>57.5</v>
          </cell>
          <cell r="C114">
            <v>90.6</v>
          </cell>
        </row>
        <row r="115">
          <cell r="A115" t="str">
            <v xml:space="preserve">  OCT 23</v>
          </cell>
          <cell r="B115">
            <v>57.3</v>
          </cell>
          <cell r="C115">
            <v>90.6</v>
          </cell>
        </row>
        <row r="116">
          <cell r="A116" t="str">
            <v xml:space="preserve">  OCT 24</v>
          </cell>
          <cell r="B116">
            <v>57.1</v>
          </cell>
          <cell r="C116">
            <v>90.6</v>
          </cell>
        </row>
        <row r="117">
          <cell r="A117" t="str">
            <v xml:space="preserve">  OCT 25</v>
          </cell>
          <cell r="B117">
            <v>56.9</v>
          </cell>
          <cell r="C117">
            <v>90.7</v>
          </cell>
        </row>
        <row r="118">
          <cell r="A118" t="str">
            <v xml:space="preserve">  OCT 26</v>
          </cell>
          <cell r="B118">
            <v>56.7</v>
          </cell>
          <cell r="C118">
            <v>90.7</v>
          </cell>
        </row>
        <row r="119">
          <cell r="A119" t="str">
            <v xml:space="preserve">  OCT 27</v>
          </cell>
          <cell r="B119">
            <v>56.5</v>
          </cell>
          <cell r="C119">
            <v>90.7</v>
          </cell>
        </row>
        <row r="120">
          <cell r="A120" t="str">
            <v xml:space="preserve">  OCT 28</v>
          </cell>
          <cell r="B120">
            <v>56.4</v>
          </cell>
          <cell r="C120">
            <v>90.8</v>
          </cell>
        </row>
        <row r="121">
          <cell r="A121" t="str">
            <v xml:space="preserve">  OCT 29</v>
          </cell>
          <cell r="B121">
            <v>56.2</v>
          </cell>
          <cell r="C121">
            <v>90.8</v>
          </cell>
        </row>
        <row r="122">
          <cell r="A122" t="str">
            <v xml:space="preserve">  OCT 30</v>
          </cell>
          <cell r="B122">
            <v>56</v>
          </cell>
          <cell r="C122">
            <v>90.8</v>
          </cell>
        </row>
        <row r="123">
          <cell r="A123" t="str">
            <v xml:space="preserve">  OCT 31</v>
          </cell>
          <cell r="B123">
            <v>55.8</v>
          </cell>
          <cell r="C123">
            <v>90.9</v>
          </cell>
        </row>
        <row r="124">
          <cell r="A124" t="str">
            <v xml:space="preserve">  NOV 01</v>
          </cell>
          <cell r="B124">
            <v>55.6</v>
          </cell>
          <cell r="C124">
            <v>90.9</v>
          </cell>
        </row>
        <row r="125">
          <cell r="A125" t="str">
            <v xml:space="preserve">  NOV 02</v>
          </cell>
          <cell r="B125">
            <v>55.4</v>
          </cell>
          <cell r="C125">
            <v>90.9</v>
          </cell>
        </row>
        <row r="126">
          <cell r="A126" t="str">
            <v xml:space="preserve">  NOV 03</v>
          </cell>
          <cell r="B126">
            <v>55.2</v>
          </cell>
          <cell r="C126">
            <v>91</v>
          </cell>
        </row>
        <row r="127">
          <cell r="A127" t="str">
            <v xml:space="preserve">  NOV 04</v>
          </cell>
          <cell r="B127">
            <v>55</v>
          </cell>
          <cell r="C127">
            <v>91</v>
          </cell>
        </row>
        <row r="128">
          <cell r="A128" t="str">
            <v xml:space="preserve">  NOV 05</v>
          </cell>
          <cell r="B128">
            <v>54.5</v>
          </cell>
          <cell r="C128">
            <v>91</v>
          </cell>
        </row>
        <row r="129">
          <cell r="A129" t="str">
            <v xml:space="preserve">  NOV 06</v>
          </cell>
          <cell r="B129">
            <v>54.1</v>
          </cell>
          <cell r="C129">
            <v>91.1</v>
          </cell>
        </row>
        <row r="130">
          <cell r="A130" t="str">
            <v xml:space="preserve">  NOV 07</v>
          </cell>
          <cell r="B130">
            <v>53.6</v>
          </cell>
          <cell r="C130">
            <v>91.1</v>
          </cell>
        </row>
        <row r="131">
          <cell r="A131" t="str">
            <v xml:space="preserve">  NOV 08</v>
          </cell>
          <cell r="B131">
            <v>53.1</v>
          </cell>
          <cell r="C131">
            <v>91.1</v>
          </cell>
        </row>
        <row r="132">
          <cell r="A132" t="str">
            <v xml:space="preserve">  NOV 09</v>
          </cell>
          <cell r="B132">
            <v>52.7</v>
          </cell>
          <cell r="C132">
            <v>91.2</v>
          </cell>
        </row>
        <row r="133">
          <cell r="A133" t="str">
            <v xml:space="preserve">  NOV 10</v>
          </cell>
          <cell r="B133">
            <v>52.2</v>
          </cell>
          <cell r="C133">
            <v>91.2</v>
          </cell>
        </row>
        <row r="134">
          <cell r="A134" t="str">
            <v xml:space="preserve">  NOV 11</v>
          </cell>
          <cell r="B134">
            <v>51.7</v>
          </cell>
          <cell r="C134">
            <v>91.2</v>
          </cell>
        </row>
        <row r="135">
          <cell r="A135" t="str">
            <v xml:space="preserve">  NOV 12</v>
          </cell>
          <cell r="B135">
            <v>51.3</v>
          </cell>
          <cell r="C135">
            <v>91.3</v>
          </cell>
        </row>
        <row r="136">
          <cell r="A136" t="str">
            <v xml:space="preserve">  NOV 13</v>
          </cell>
          <cell r="B136">
            <v>50.8</v>
          </cell>
          <cell r="C136">
            <v>91.3</v>
          </cell>
        </row>
        <row r="137">
          <cell r="A137" t="str">
            <v xml:space="preserve">  NOV 14</v>
          </cell>
          <cell r="B137">
            <v>50.3</v>
          </cell>
          <cell r="C137">
            <v>91.3</v>
          </cell>
        </row>
        <row r="138">
          <cell r="A138" t="str">
            <v xml:space="preserve">  NOV 15</v>
          </cell>
          <cell r="B138">
            <v>49.9</v>
          </cell>
          <cell r="C138">
            <v>91.4</v>
          </cell>
        </row>
        <row r="139">
          <cell r="A139" t="str">
            <v xml:space="preserve">  NOV 16</v>
          </cell>
          <cell r="B139">
            <v>49.4</v>
          </cell>
          <cell r="C139">
            <v>91.4</v>
          </cell>
        </row>
        <row r="140">
          <cell r="A140" t="str">
            <v xml:space="preserve">  NOV 17</v>
          </cell>
          <cell r="B140">
            <v>48.9</v>
          </cell>
          <cell r="C140">
            <v>91.4</v>
          </cell>
        </row>
        <row r="141">
          <cell r="A141" t="str">
            <v xml:space="preserve">  NOV 18</v>
          </cell>
          <cell r="B141">
            <v>48.5</v>
          </cell>
          <cell r="C141">
            <v>91.5</v>
          </cell>
        </row>
        <row r="142">
          <cell r="A142" t="str">
            <v xml:space="preserve">  NOV 19</v>
          </cell>
          <cell r="B142">
            <v>48</v>
          </cell>
          <cell r="C142">
            <v>91.5</v>
          </cell>
        </row>
        <row r="143">
          <cell r="A143" t="str">
            <v xml:space="preserve">  NOV 20</v>
          </cell>
          <cell r="B143">
            <v>47.5</v>
          </cell>
          <cell r="C143">
            <v>91.5</v>
          </cell>
        </row>
        <row r="144">
          <cell r="A144" t="str">
            <v xml:space="preserve">  NOV 21</v>
          </cell>
          <cell r="B144">
            <v>47.1</v>
          </cell>
          <cell r="C144">
            <v>91.6</v>
          </cell>
        </row>
        <row r="145">
          <cell r="A145" t="str">
            <v xml:space="preserve">  NOV 22</v>
          </cell>
          <cell r="B145">
            <v>46.6</v>
          </cell>
          <cell r="C145">
            <v>91.6</v>
          </cell>
        </row>
        <row r="146">
          <cell r="A146" t="str">
            <v xml:space="preserve">  NOV 23</v>
          </cell>
          <cell r="B146">
            <v>46.1</v>
          </cell>
          <cell r="C146">
            <v>91.6</v>
          </cell>
        </row>
        <row r="147">
          <cell r="A147" t="str">
            <v xml:space="preserve">  NOV 24</v>
          </cell>
          <cell r="B147">
            <v>45.7</v>
          </cell>
          <cell r="C147">
            <v>91.7</v>
          </cell>
        </row>
        <row r="148">
          <cell r="A148" t="str">
            <v xml:space="preserve">  NOV 25</v>
          </cell>
          <cell r="B148">
            <v>45.2</v>
          </cell>
          <cell r="C148">
            <v>91.7</v>
          </cell>
        </row>
        <row r="149">
          <cell r="A149" t="str">
            <v xml:space="preserve">  NOV 26</v>
          </cell>
          <cell r="B149">
            <v>44.7</v>
          </cell>
          <cell r="C149">
            <v>91.7</v>
          </cell>
        </row>
        <row r="150">
          <cell r="A150" t="str">
            <v xml:space="preserve">  NOV 27</v>
          </cell>
          <cell r="B150">
            <v>44.3</v>
          </cell>
          <cell r="C150">
            <v>91.8</v>
          </cell>
        </row>
        <row r="151">
          <cell r="A151" t="str">
            <v xml:space="preserve">  NOV 28</v>
          </cell>
          <cell r="B151">
            <v>43.8</v>
          </cell>
          <cell r="C151">
            <v>91.8</v>
          </cell>
        </row>
        <row r="152">
          <cell r="A152" t="str">
            <v xml:space="preserve">  NOV 29</v>
          </cell>
          <cell r="B152">
            <v>43.3</v>
          </cell>
          <cell r="C152">
            <v>91.8</v>
          </cell>
        </row>
        <row r="153">
          <cell r="A153" t="str">
            <v xml:space="preserve">  NOV 30</v>
          </cell>
          <cell r="B153">
            <v>42.9</v>
          </cell>
          <cell r="C153">
            <v>91.9</v>
          </cell>
        </row>
        <row r="154">
          <cell r="A154" t="str">
            <v xml:space="preserve">  DEC 01</v>
          </cell>
          <cell r="B154">
            <v>42.4</v>
          </cell>
          <cell r="C154">
            <v>91.9</v>
          </cell>
        </row>
        <row r="155">
          <cell r="A155" t="str">
            <v xml:space="preserve">  DEC 02</v>
          </cell>
          <cell r="B155">
            <v>41.9</v>
          </cell>
          <cell r="C155">
            <v>91.9</v>
          </cell>
        </row>
        <row r="156">
          <cell r="A156" t="str">
            <v xml:space="preserve">  DEC 03</v>
          </cell>
          <cell r="B156">
            <v>41.5</v>
          </cell>
          <cell r="C156">
            <v>92</v>
          </cell>
        </row>
        <row r="157">
          <cell r="A157" t="str">
            <v xml:space="preserve">  DEC 04</v>
          </cell>
          <cell r="B157">
            <v>41</v>
          </cell>
          <cell r="C157">
            <v>92</v>
          </cell>
        </row>
        <row r="158">
          <cell r="A158" t="str">
            <v xml:space="preserve">  DEC 05</v>
          </cell>
          <cell r="B158">
            <v>40.700000000000003</v>
          </cell>
          <cell r="C158">
            <v>91.6</v>
          </cell>
        </row>
        <row r="159">
          <cell r="A159" t="str">
            <v xml:space="preserve">  DEC 06</v>
          </cell>
          <cell r="B159">
            <v>40.4</v>
          </cell>
          <cell r="C159">
            <v>91.2</v>
          </cell>
        </row>
        <row r="160">
          <cell r="A160" t="str">
            <v xml:space="preserve">  DEC 07</v>
          </cell>
          <cell r="B160">
            <v>40.1</v>
          </cell>
          <cell r="C160">
            <v>90.7</v>
          </cell>
        </row>
        <row r="161">
          <cell r="A161" t="str">
            <v xml:space="preserve">  DEC 08</v>
          </cell>
          <cell r="B161">
            <v>39.799999999999997</v>
          </cell>
          <cell r="C161">
            <v>90.3</v>
          </cell>
        </row>
        <row r="162">
          <cell r="A162" t="str">
            <v xml:space="preserve">  DEC 09</v>
          </cell>
          <cell r="B162">
            <v>39.5</v>
          </cell>
          <cell r="C162">
            <v>89.9</v>
          </cell>
        </row>
        <row r="163">
          <cell r="A163" t="str">
            <v xml:space="preserve">  DEC 10</v>
          </cell>
          <cell r="B163">
            <v>39.299999999999997</v>
          </cell>
          <cell r="C163">
            <v>89.5</v>
          </cell>
        </row>
        <row r="164">
          <cell r="A164" t="str">
            <v xml:space="preserve">  DEC 11</v>
          </cell>
          <cell r="B164">
            <v>39</v>
          </cell>
          <cell r="C164">
            <v>89.1</v>
          </cell>
        </row>
        <row r="165">
          <cell r="A165" t="str">
            <v xml:space="preserve">  DEC 12</v>
          </cell>
          <cell r="B165">
            <v>38.700000000000003</v>
          </cell>
          <cell r="C165">
            <v>88.6</v>
          </cell>
        </row>
        <row r="166">
          <cell r="A166" t="str">
            <v xml:space="preserve">  DEC 13</v>
          </cell>
          <cell r="B166">
            <v>38.4</v>
          </cell>
          <cell r="C166">
            <v>88.2</v>
          </cell>
        </row>
        <row r="167">
          <cell r="A167" t="str">
            <v xml:space="preserve">  DEC 14</v>
          </cell>
          <cell r="B167">
            <v>38.1</v>
          </cell>
          <cell r="C167">
            <v>87.8</v>
          </cell>
        </row>
        <row r="168">
          <cell r="A168" t="str">
            <v xml:space="preserve">  DEC 15</v>
          </cell>
          <cell r="B168">
            <v>37.799999999999997</v>
          </cell>
          <cell r="C168">
            <v>87.4</v>
          </cell>
        </row>
        <row r="169">
          <cell r="A169" t="str">
            <v xml:space="preserve">  DEC 16</v>
          </cell>
          <cell r="B169">
            <v>37.5</v>
          </cell>
          <cell r="C169">
            <v>87</v>
          </cell>
        </row>
        <row r="170">
          <cell r="A170" t="str">
            <v xml:space="preserve">  DEC 17</v>
          </cell>
          <cell r="B170">
            <v>37.200000000000003</v>
          </cell>
          <cell r="C170">
            <v>86.5</v>
          </cell>
        </row>
        <row r="171">
          <cell r="A171" t="str">
            <v xml:space="preserve">  DEC 18</v>
          </cell>
          <cell r="B171">
            <v>36.9</v>
          </cell>
          <cell r="C171">
            <v>86.1</v>
          </cell>
        </row>
        <row r="172">
          <cell r="A172" t="str">
            <v xml:space="preserve">  DEC 19</v>
          </cell>
          <cell r="B172">
            <v>36.6</v>
          </cell>
          <cell r="C172">
            <v>85.7</v>
          </cell>
        </row>
        <row r="173">
          <cell r="A173" t="str">
            <v xml:space="preserve">  DEC 20</v>
          </cell>
          <cell r="B173">
            <v>36.4</v>
          </cell>
          <cell r="C173">
            <v>85.3</v>
          </cell>
        </row>
        <row r="174">
          <cell r="A174" t="str">
            <v xml:space="preserve">  DEC 21</v>
          </cell>
          <cell r="B174">
            <v>36.1</v>
          </cell>
          <cell r="C174">
            <v>84.9</v>
          </cell>
        </row>
        <row r="175">
          <cell r="A175" t="str">
            <v xml:space="preserve">  DEC 22</v>
          </cell>
          <cell r="B175">
            <v>35.799999999999997</v>
          </cell>
          <cell r="C175">
            <v>84.5</v>
          </cell>
        </row>
        <row r="176">
          <cell r="A176" t="str">
            <v xml:space="preserve">  DEC 23</v>
          </cell>
          <cell r="B176">
            <v>35.5</v>
          </cell>
          <cell r="C176">
            <v>84</v>
          </cell>
        </row>
        <row r="177">
          <cell r="A177" t="str">
            <v xml:space="preserve">  DEC 24</v>
          </cell>
          <cell r="B177">
            <v>35.200000000000003</v>
          </cell>
          <cell r="C177">
            <v>83.6</v>
          </cell>
        </row>
        <row r="178">
          <cell r="A178" t="str">
            <v xml:space="preserve">  DEC 25</v>
          </cell>
          <cell r="B178">
            <v>34.9</v>
          </cell>
          <cell r="C178">
            <v>83.2</v>
          </cell>
        </row>
        <row r="179">
          <cell r="A179" t="str">
            <v xml:space="preserve">  DEC 26</v>
          </cell>
          <cell r="B179">
            <v>34.6</v>
          </cell>
          <cell r="C179">
            <v>82.8</v>
          </cell>
        </row>
        <row r="180">
          <cell r="A180" t="str">
            <v xml:space="preserve">  DEC 27</v>
          </cell>
          <cell r="B180">
            <v>34.299999999999997</v>
          </cell>
          <cell r="C180">
            <v>82.4</v>
          </cell>
        </row>
        <row r="181">
          <cell r="A181" t="str">
            <v xml:space="preserve">  DEC 28</v>
          </cell>
          <cell r="B181">
            <v>34</v>
          </cell>
          <cell r="C181">
            <v>81.900000000000006</v>
          </cell>
        </row>
        <row r="182">
          <cell r="A182" t="str">
            <v xml:space="preserve">  DEC 29</v>
          </cell>
          <cell r="B182">
            <v>33.700000000000003</v>
          </cell>
          <cell r="C182">
            <v>81.5</v>
          </cell>
        </row>
        <row r="183">
          <cell r="A183" t="str">
            <v xml:space="preserve">  DEC 30</v>
          </cell>
          <cell r="B183">
            <v>33.5</v>
          </cell>
          <cell r="C183">
            <v>81.099999999999994</v>
          </cell>
        </row>
        <row r="184">
          <cell r="A184" t="str">
            <v xml:space="preserve">  DEC 31</v>
          </cell>
          <cell r="B184">
            <v>33.200000000000003</v>
          </cell>
          <cell r="C184">
            <v>80.7</v>
          </cell>
        </row>
        <row r="185">
          <cell r="A185" t="str">
            <v xml:space="preserve">  JAN 01</v>
          </cell>
          <cell r="B185">
            <v>32.9</v>
          </cell>
          <cell r="C185">
            <v>80.3</v>
          </cell>
        </row>
        <row r="186">
          <cell r="A186" t="str">
            <v xml:space="preserve">  JAN 02</v>
          </cell>
          <cell r="B186">
            <v>32.6</v>
          </cell>
          <cell r="C186">
            <v>79.8</v>
          </cell>
        </row>
        <row r="187">
          <cell r="A187" t="str">
            <v xml:space="preserve">  JAN 03</v>
          </cell>
          <cell r="B187">
            <v>32.299999999999997</v>
          </cell>
          <cell r="C187">
            <v>79.400000000000006</v>
          </cell>
        </row>
        <row r="188">
          <cell r="A188" t="str">
            <v xml:space="preserve">  JAN 04</v>
          </cell>
          <cell r="B188">
            <v>32</v>
          </cell>
          <cell r="C188">
            <v>79</v>
          </cell>
        </row>
        <row r="189">
          <cell r="A189" t="str">
            <v xml:space="preserve">  JAN 05</v>
          </cell>
          <cell r="B189">
            <v>31.8</v>
          </cell>
          <cell r="C189">
            <v>78.7</v>
          </cell>
        </row>
        <row r="190">
          <cell r="A190" t="str">
            <v xml:space="preserve">  JAN 06</v>
          </cell>
          <cell r="B190">
            <v>31.5</v>
          </cell>
          <cell r="C190">
            <v>78.400000000000006</v>
          </cell>
        </row>
        <row r="191">
          <cell r="A191" t="str">
            <v xml:space="preserve">  JAN 07</v>
          </cell>
          <cell r="B191">
            <v>31.3</v>
          </cell>
          <cell r="C191">
            <v>78.099999999999994</v>
          </cell>
        </row>
        <row r="192">
          <cell r="A192" t="str">
            <v xml:space="preserve">  JAN 08</v>
          </cell>
          <cell r="B192">
            <v>31.1</v>
          </cell>
          <cell r="C192">
            <v>77.8</v>
          </cell>
        </row>
        <row r="193">
          <cell r="A193" t="str">
            <v xml:space="preserve">  JAN 09</v>
          </cell>
          <cell r="B193">
            <v>30.9</v>
          </cell>
          <cell r="C193">
            <v>77.5</v>
          </cell>
        </row>
        <row r="194">
          <cell r="A194" t="str">
            <v xml:space="preserve">  JAN 10</v>
          </cell>
          <cell r="B194">
            <v>30.6</v>
          </cell>
          <cell r="C194">
            <v>77.3</v>
          </cell>
        </row>
        <row r="195">
          <cell r="A195" t="str">
            <v xml:space="preserve">  JAN 11</v>
          </cell>
          <cell r="B195">
            <v>30.4</v>
          </cell>
          <cell r="C195">
            <v>77</v>
          </cell>
        </row>
        <row r="196">
          <cell r="A196" t="str">
            <v xml:space="preserve">  JAN 12</v>
          </cell>
          <cell r="B196">
            <v>30.2</v>
          </cell>
          <cell r="C196">
            <v>76.7</v>
          </cell>
        </row>
        <row r="197">
          <cell r="A197" t="str">
            <v xml:space="preserve">  JAN 13</v>
          </cell>
          <cell r="B197">
            <v>30</v>
          </cell>
          <cell r="C197">
            <v>76.400000000000006</v>
          </cell>
        </row>
        <row r="198">
          <cell r="A198" t="str">
            <v xml:space="preserve">  JAN 14</v>
          </cell>
          <cell r="B198">
            <v>29.7</v>
          </cell>
          <cell r="C198">
            <v>76.099999999999994</v>
          </cell>
        </row>
        <row r="199">
          <cell r="A199" t="str">
            <v xml:space="preserve">  JAN 15</v>
          </cell>
          <cell r="B199">
            <v>29.5</v>
          </cell>
          <cell r="C199">
            <v>75.8</v>
          </cell>
        </row>
        <row r="200">
          <cell r="A200" t="str">
            <v xml:space="preserve">  JAN 16</v>
          </cell>
          <cell r="B200">
            <v>29.3</v>
          </cell>
          <cell r="C200">
            <v>75.5</v>
          </cell>
        </row>
        <row r="201">
          <cell r="A201" t="str">
            <v xml:space="preserve">  JAN 17</v>
          </cell>
          <cell r="B201">
            <v>29.1</v>
          </cell>
          <cell r="C201">
            <v>75.2</v>
          </cell>
        </row>
        <row r="202">
          <cell r="A202" t="str">
            <v xml:space="preserve">  JAN 18</v>
          </cell>
          <cell r="B202">
            <v>28.8</v>
          </cell>
          <cell r="C202">
            <v>74.900000000000006</v>
          </cell>
        </row>
        <row r="203">
          <cell r="A203" t="str">
            <v xml:space="preserve">  JAN 19</v>
          </cell>
          <cell r="B203">
            <v>28.6</v>
          </cell>
          <cell r="C203">
            <v>74.599999999999994</v>
          </cell>
        </row>
        <row r="204">
          <cell r="A204" t="str">
            <v xml:space="preserve">  JAN 20</v>
          </cell>
          <cell r="B204">
            <v>28.4</v>
          </cell>
          <cell r="C204">
            <v>74.400000000000006</v>
          </cell>
        </row>
        <row r="205">
          <cell r="A205" t="str">
            <v xml:space="preserve">  JAN 21</v>
          </cell>
          <cell r="B205">
            <v>28.2</v>
          </cell>
          <cell r="C205">
            <v>74.099999999999994</v>
          </cell>
        </row>
        <row r="206">
          <cell r="A206" t="str">
            <v xml:space="preserve">  JAN 22</v>
          </cell>
          <cell r="B206">
            <v>27.9</v>
          </cell>
          <cell r="C206">
            <v>73.8</v>
          </cell>
        </row>
        <row r="207">
          <cell r="A207" t="str">
            <v xml:space="preserve">  JAN 23</v>
          </cell>
          <cell r="B207">
            <v>27.7</v>
          </cell>
          <cell r="C207">
            <v>73.5</v>
          </cell>
        </row>
        <row r="208">
          <cell r="A208" t="str">
            <v xml:space="preserve">  JAN 24</v>
          </cell>
          <cell r="B208">
            <v>27.5</v>
          </cell>
          <cell r="C208">
            <v>73.2</v>
          </cell>
        </row>
        <row r="209">
          <cell r="A209" t="str">
            <v xml:space="preserve">  JAN 25</v>
          </cell>
          <cell r="B209">
            <v>27.3</v>
          </cell>
          <cell r="C209">
            <v>72.900000000000006</v>
          </cell>
        </row>
        <row r="210">
          <cell r="A210" t="str">
            <v xml:space="preserve">  JAN 26</v>
          </cell>
          <cell r="B210">
            <v>27</v>
          </cell>
          <cell r="C210">
            <v>72.599999999999994</v>
          </cell>
        </row>
        <row r="211">
          <cell r="A211" t="str">
            <v xml:space="preserve">  JAN 27</v>
          </cell>
          <cell r="B211">
            <v>26.8</v>
          </cell>
          <cell r="C211">
            <v>72.3</v>
          </cell>
        </row>
        <row r="212">
          <cell r="A212" t="str">
            <v xml:space="preserve">  JAN 28</v>
          </cell>
          <cell r="B212">
            <v>26.6</v>
          </cell>
          <cell r="C212">
            <v>72</v>
          </cell>
        </row>
        <row r="213">
          <cell r="A213" t="str">
            <v xml:space="preserve">  JAN 29</v>
          </cell>
          <cell r="B213">
            <v>26.4</v>
          </cell>
          <cell r="C213">
            <v>71.7</v>
          </cell>
        </row>
        <row r="214">
          <cell r="A214" t="str">
            <v xml:space="preserve">  JAN 30</v>
          </cell>
          <cell r="B214">
            <v>26.1</v>
          </cell>
          <cell r="C214">
            <v>71.5</v>
          </cell>
        </row>
        <row r="215">
          <cell r="A215" t="str">
            <v xml:space="preserve">  JAN 31</v>
          </cell>
          <cell r="B215">
            <v>25.9</v>
          </cell>
          <cell r="C215">
            <v>71.2</v>
          </cell>
        </row>
        <row r="216">
          <cell r="A216" t="str">
            <v xml:space="preserve">  FEB 01</v>
          </cell>
          <cell r="B216">
            <v>25.5</v>
          </cell>
          <cell r="C216">
            <v>70.900000000000006</v>
          </cell>
        </row>
        <row r="217">
          <cell r="A217" t="str">
            <v xml:space="preserve">  FEB 02</v>
          </cell>
          <cell r="B217">
            <v>25.1</v>
          </cell>
          <cell r="C217">
            <v>70.599999999999994</v>
          </cell>
        </row>
        <row r="218">
          <cell r="A218" t="str">
            <v xml:space="preserve">  FEB 03</v>
          </cell>
          <cell r="B218">
            <v>24.700000000000003</v>
          </cell>
          <cell r="C218">
            <v>70.3</v>
          </cell>
        </row>
        <row r="219">
          <cell r="A219" t="str">
            <v xml:space="preserve">  FEB 04</v>
          </cell>
          <cell r="B219">
            <v>24.300000000000004</v>
          </cell>
          <cell r="C219">
            <v>70</v>
          </cell>
        </row>
        <row r="220">
          <cell r="A220" t="str">
            <v xml:space="preserve">  FEB 05</v>
          </cell>
          <cell r="B220">
            <v>23.900000000000006</v>
          </cell>
          <cell r="C220">
            <v>69.5</v>
          </cell>
        </row>
        <row r="221">
          <cell r="A221" t="str">
            <v xml:space="preserve">  FEB 06</v>
          </cell>
          <cell r="B221">
            <v>23.500000000000007</v>
          </cell>
          <cell r="C221">
            <v>69.099999999999994</v>
          </cell>
        </row>
        <row r="222">
          <cell r="A222" t="str">
            <v xml:space="preserve">  FEB 07</v>
          </cell>
          <cell r="B222">
            <v>23.100000000000009</v>
          </cell>
          <cell r="C222">
            <v>68.599999999999994</v>
          </cell>
        </row>
        <row r="223">
          <cell r="A223" t="str">
            <v xml:space="preserve">  FEB 08</v>
          </cell>
          <cell r="B223">
            <v>22.70000000000001</v>
          </cell>
          <cell r="C223">
            <v>68.099999999999994</v>
          </cell>
        </row>
        <row r="224">
          <cell r="A224" t="str">
            <v xml:space="preserve">  FEB 09</v>
          </cell>
          <cell r="B224">
            <v>22.300000000000011</v>
          </cell>
          <cell r="C224">
            <v>67.7</v>
          </cell>
        </row>
        <row r="225">
          <cell r="A225" t="str">
            <v xml:space="preserve">  FEB 10</v>
          </cell>
          <cell r="B225">
            <v>21.900000000000013</v>
          </cell>
          <cell r="C225">
            <v>67.2</v>
          </cell>
        </row>
        <row r="226">
          <cell r="A226" t="str">
            <v xml:space="preserve">  FEB 11</v>
          </cell>
          <cell r="B226">
            <v>21.500000000000014</v>
          </cell>
          <cell r="C226">
            <v>66.8</v>
          </cell>
        </row>
        <row r="227">
          <cell r="A227" t="str">
            <v xml:space="preserve">  FEB 12</v>
          </cell>
          <cell r="B227">
            <v>21.100000000000016</v>
          </cell>
          <cell r="C227">
            <v>66.3</v>
          </cell>
        </row>
        <row r="228">
          <cell r="A228" t="str">
            <v xml:space="preserve">  FEB 13</v>
          </cell>
          <cell r="B228">
            <v>20.700000000000017</v>
          </cell>
          <cell r="C228">
            <v>65.8</v>
          </cell>
        </row>
        <row r="229">
          <cell r="A229" t="str">
            <v xml:space="preserve">  FEB 14</v>
          </cell>
          <cell r="B229">
            <v>20.300000000000018</v>
          </cell>
          <cell r="C229">
            <v>65.400000000000006</v>
          </cell>
        </row>
        <row r="230">
          <cell r="A230" t="str">
            <v xml:space="preserve">  FEB 15</v>
          </cell>
          <cell r="B230">
            <v>20</v>
          </cell>
          <cell r="C230">
            <v>64.900000000000006</v>
          </cell>
        </row>
        <row r="231">
          <cell r="A231" t="str">
            <v xml:space="preserve">  FEB 16</v>
          </cell>
          <cell r="B231">
            <v>19.8</v>
          </cell>
          <cell r="C231">
            <v>64.400000000000006</v>
          </cell>
        </row>
        <row r="232">
          <cell r="A232" t="str">
            <v xml:space="preserve">  FEB 17</v>
          </cell>
          <cell r="B232">
            <v>19.7</v>
          </cell>
          <cell r="C232">
            <v>64</v>
          </cell>
        </row>
        <row r="233">
          <cell r="A233" t="str">
            <v xml:space="preserve">  FEB 18</v>
          </cell>
          <cell r="B233">
            <v>19.600000000000001</v>
          </cell>
          <cell r="C233">
            <v>63.5</v>
          </cell>
        </row>
        <row r="234">
          <cell r="A234" t="str">
            <v xml:space="preserve">  FEB 19</v>
          </cell>
          <cell r="B234">
            <v>19.5</v>
          </cell>
          <cell r="C234">
            <v>63</v>
          </cell>
        </row>
        <row r="235">
          <cell r="A235" t="str">
            <v xml:space="preserve">  FEB 20</v>
          </cell>
          <cell r="B235">
            <v>19.399999999999999</v>
          </cell>
          <cell r="C235">
            <v>62.6</v>
          </cell>
        </row>
        <row r="236">
          <cell r="A236" t="str">
            <v xml:space="preserve">  FEB 21</v>
          </cell>
          <cell r="B236">
            <v>19.3</v>
          </cell>
          <cell r="C236">
            <v>62.1</v>
          </cell>
        </row>
        <row r="237">
          <cell r="A237" t="str">
            <v xml:space="preserve">  FEB 22</v>
          </cell>
          <cell r="B237">
            <v>19.2</v>
          </cell>
          <cell r="C237">
            <v>61.6</v>
          </cell>
        </row>
        <row r="238">
          <cell r="A238" t="str">
            <v xml:space="preserve">  FEB 23</v>
          </cell>
          <cell r="B238">
            <v>19.100000000000001</v>
          </cell>
          <cell r="C238">
            <v>61.2</v>
          </cell>
        </row>
        <row r="239">
          <cell r="A239" t="str">
            <v xml:space="preserve">  FEB 24</v>
          </cell>
          <cell r="B239">
            <v>19</v>
          </cell>
          <cell r="C239">
            <v>60.7</v>
          </cell>
        </row>
        <row r="240">
          <cell r="A240" t="str">
            <v xml:space="preserve">  FEB 25</v>
          </cell>
          <cell r="B240">
            <v>18.899999999999999</v>
          </cell>
          <cell r="C240">
            <v>60.2</v>
          </cell>
        </row>
        <row r="241">
          <cell r="A241" t="str">
            <v xml:space="preserve">  FEB 26</v>
          </cell>
          <cell r="B241">
            <v>18.8</v>
          </cell>
          <cell r="C241">
            <v>59.8</v>
          </cell>
        </row>
        <row r="242">
          <cell r="A242" t="str">
            <v xml:space="preserve">  FEB 27</v>
          </cell>
          <cell r="B242">
            <v>18.7</v>
          </cell>
          <cell r="C242">
            <v>59.3</v>
          </cell>
        </row>
        <row r="243">
          <cell r="A243" t="str">
            <v xml:space="preserve">  FEB 28</v>
          </cell>
          <cell r="B243">
            <v>18.600000000000001</v>
          </cell>
          <cell r="C243">
            <v>58.9</v>
          </cell>
        </row>
        <row r="244">
          <cell r="A244" t="str">
            <v xml:space="preserve">  MAR 01</v>
          </cell>
          <cell r="B244">
            <v>18.5</v>
          </cell>
          <cell r="C244">
            <v>58.4</v>
          </cell>
        </row>
        <row r="245">
          <cell r="A245" t="str">
            <v xml:space="preserve">  MAR 02</v>
          </cell>
          <cell r="B245">
            <v>18.399999999999999</v>
          </cell>
          <cell r="C245">
            <v>57.9</v>
          </cell>
        </row>
        <row r="246">
          <cell r="A246" t="str">
            <v xml:space="preserve">  MAR 03</v>
          </cell>
          <cell r="B246">
            <v>18.3</v>
          </cell>
          <cell r="C246">
            <v>57.5</v>
          </cell>
        </row>
        <row r="247">
          <cell r="A247" t="str">
            <v xml:space="preserve">  MAR 04</v>
          </cell>
          <cell r="B247">
            <v>18</v>
          </cell>
          <cell r="C247">
            <v>57</v>
          </cell>
        </row>
        <row r="248">
          <cell r="A248" t="str">
            <v xml:space="preserve">  MAR 05</v>
          </cell>
          <cell r="B248">
            <v>17.899999999999999</v>
          </cell>
          <cell r="C248">
            <v>57</v>
          </cell>
        </row>
        <row r="249">
          <cell r="A249" t="str">
            <v xml:space="preserve">  MAR 06</v>
          </cell>
          <cell r="B249">
            <v>17.899999999999999</v>
          </cell>
          <cell r="C249">
            <v>56.9</v>
          </cell>
        </row>
        <row r="250">
          <cell r="A250" t="str">
            <v xml:space="preserve">  MAR 07</v>
          </cell>
          <cell r="B250">
            <v>17.8</v>
          </cell>
          <cell r="C250">
            <v>56.9</v>
          </cell>
        </row>
        <row r="251">
          <cell r="A251" t="str">
            <v xml:space="preserve">  MAR 08</v>
          </cell>
          <cell r="B251">
            <v>17.7</v>
          </cell>
          <cell r="C251">
            <v>56.9</v>
          </cell>
        </row>
        <row r="252">
          <cell r="A252" t="str">
            <v xml:space="preserve">  MAR 09</v>
          </cell>
          <cell r="B252">
            <v>17.7</v>
          </cell>
          <cell r="C252">
            <v>56.8</v>
          </cell>
        </row>
        <row r="253">
          <cell r="A253" t="str">
            <v xml:space="preserve">  MAR 10</v>
          </cell>
          <cell r="B253">
            <v>17.600000000000001</v>
          </cell>
          <cell r="C253">
            <v>56.8</v>
          </cell>
        </row>
        <row r="254">
          <cell r="A254" t="str">
            <v xml:space="preserve">  MAR 11</v>
          </cell>
          <cell r="B254">
            <v>17.5</v>
          </cell>
          <cell r="C254">
            <v>56.8</v>
          </cell>
        </row>
        <row r="255">
          <cell r="A255" t="str">
            <v xml:space="preserve">  MAR 12</v>
          </cell>
          <cell r="B255">
            <v>17.5</v>
          </cell>
          <cell r="C255">
            <v>56.7</v>
          </cell>
        </row>
        <row r="256">
          <cell r="A256" t="str">
            <v xml:space="preserve">  MAR 13</v>
          </cell>
          <cell r="B256">
            <v>17.399999999999999</v>
          </cell>
          <cell r="C256">
            <v>56.7</v>
          </cell>
        </row>
        <row r="257">
          <cell r="A257" t="str">
            <v xml:space="preserve">  MAR 14</v>
          </cell>
          <cell r="B257">
            <v>17.399999999999999</v>
          </cell>
          <cell r="C257">
            <v>56.7</v>
          </cell>
        </row>
        <row r="258">
          <cell r="A258" t="str">
            <v xml:space="preserve">  MAR 15</v>
          </cell>
          <cell r="B258">
            <v>17.3</v>
          </cell>
          <cell r="C258">
            <v>56.6</v>
          </cell>
        </row>
        <row r="259">
          <cell r="A259" t="str">
            <v xml:space="preserve">  MAR 16</v>
          </cell>
          <cell r="B259">
            <v>17.2</v>
          </cell>
          <cell r="C259">
            <v>56.6</v>
          </cell>
        </row>
        <row r="260">
          <cell r="A260" t="str">
            <v xml:space="preserve">  MAR 17</v>
          </cell>
          <cell r="B260">
            <v>17.2</v>
          </cell>
          <cell r="C260">
            <v>56.6</v>
          </cell>
        </row>
        <row r="261">
          <cell r="A261" t="str">
            <v xml:space="preserve">  MAR 18</v>
          </cell>
          <cell r="B261">
            <v>17.100000000000001</v>
          </cell>
          <cell r="C261">
            <v>56.5</v>
          </cell>
        </row>
        <row r="262">
          <cell r="A262" t="str">
            <v xml:space="preserve">  MAR 19</v>
          </cell>
          <cell r="B262">
            <v>17</v>
          </cell>
          <cell r="C262">
            <v>56.5</v>
          </cell>
        </row>
        <row r="263">
          <cell r="A263" t="str">
            <v xml:space="preserve">  MAR 20</v>
          </cell>
          <cell r="B263">
            <v>17</v>
          </cell>
          <cell r="C263">
            <v>56.5</v>
          </cell>
        </row>
        <row r="264">
          <cell r="A264" t="str">
            <v xml:space="preserve">  MAR 21</v>
          </cell>
          <cell r="B264">
            <v>16.899999999999999</v>
          </cell>
          <cell r="C264">
            <v>56.5</v>
          </cell>
        </row>
        <row r="265">
          <cell r="A265" t="str">
            <v xml:space="preserve">  MAR 22</v>
          </cell>
          <cell r="B265">
            <v>16.8</v>
          </cell>
          <cell r="C265">
            <v>56.4</v>
          </cell>
        </row>
        <row r="266">
          <cell r="A266" t="str">
            <v xml:space="preserve">  MAR 23</v>
          </cell>
          <cell r="B266">
            <v>16.8</v>
          </cell>
          <cell r="C266">
            <v>56.4</v>
          </cell>
        </row>
        <row r="267">
          <cell r="A267" t="str">
            <v xml:space="preserve">  MAR 24</v>
          </cell>
          <cell r="B267">
            <v>16.7</v>
          </cell>
          <cell r="C267">
            <v>56.4</v>
          </cell>
        </row>
        <row r="268">
          <cell r="A268" t="str">
            <v xml:space="preserve">  MAR 25</v>
          </cell>
          <cell r="B268">
            <v>16.600000000000001</v>
          </cell>
          <cell r="C268">
            <v>56.3</v>
          </cell>
        </row>
        <row r="269">
          <cell r="A269" t="str">
            <v xml:space="preserve">  MAR 26</v>
          </cell>
          <cell r="B269">
            <v>16.600000000000001</v>
          </cell>
          <cell r="C269">
            <v>56.3</v>
          </cell>
        </row>
        <row r="270">
          <cell r="A270" t="str">
            <v xml:space="preserve">  MAR 27</v>
          </cell>
          <cell r="B270">
            <v>16.5</v>
          </cell>
          <cell r="C270">
            <v>56.3</v>
          </cell>
        </row>
        <row r="271">
          <cell r="A271" t="str">
            <v xml:space="preserve">  MAR 28</v>
          </cell>
          <cell r="B271">
            <v>16.5</v>
          </cell>
          <cell r="C271">
            <v>56.2</v>
          </cell>
        </row>
        <row r="272">
          <cell r="A272" t="str">
            <v xml:space="preserve">  MAR 29</v>
          </cell>
          <cell r="B272">
            <v>16.399999999999999</v>
          </cell>
          <cell r="C272">
            <v>56.2</v>
          </cell>
        </row>
        <row r="273">
          <cell r="A273" t="str">
            <v xml:space="preserve">  MAR 30</v>
          </cell>
          <cell r="B273">
            <v>16.3</v>
          </cell>
          <cell r="C273">
            <v>56.2</v>
          </cell>
        </row>
        <row r="274">
          <cell r="A274" t="str">
            <v xml:space="preserve">  MAR 31</v>
          </cell>
          <cell r="B274">
            <v>16.3</v>
          </cell>
          <cell r="C274">
            <v>56.1</v>
          </cell>
        </row>
        <row r="275">
          <cell r="A275" t="str">
            <v xml:space="preserve">  APR 01</v>
          </cell>
          <cell r="B275">
            <v>16.2</v>
          </cell>
          <cell r="C275">
            <v>56.1</v>
          </cell>
        </row>
        <row r="276">
          <cell r="A276" t="str">
            <v xml:space="preserve">  APR 02</v>
          </cell>
          <cell r="B276">
            <v>16.100000000000001</v>
          </cell>
          <cell r="C276">
            <v>56.1</v>
          </cell>
        </row>
        <row r="277">
          <cell r="A277" t="str">
            <v xml:space="preserve">  APR 03</v>
          </cell>
          <cell r="B277">
            <v>16.100000000000001</v>
          </cell>
          <cell r="C277">
            <v>56</v>
          </cell>
        </row>
        <row r="278">
          <cell r="A278" t="str">
            <v xml:space="preserve">  APR 04</v>
          </cell>
          <cell r="B278">
            <v>16</v>
          </cell>
          <cell r="C278">
            <v>56</v>
          </cell>
        </row>
        <row r="279">
          <cell r="A279" t="str">
            <v xml:space="preserve">  APR 05</v>
          </cell>
          <cell r="B279">
            <v>16.2</v>
          </cell>
          <cell r="C279">
            <v>55.7</v>
          </cell>
        </row>
        <row r="280">
          <cell r="A280" t="str">
            <v xml:space="preserve">  APR 06</v>
          </cell>
          <cell r="B280">
            <v>16.399999999999999</v>
          </cell>
          <cell r="C280">
            <v>55.5</v>
          </cell>
        </row>
        <row r="281">
          <cell r="A281" t="str">
            <v xml:space="preserve">  APR 07</v>
          </cell>
          <cell r="B281">
            <v>16.600000000000001</v>
          </cell>
          <cell r="C281">
            <v>55.2</v>
          </cell>
        </row>
        <row r="282">
          <cell r="A282" t="str">
            <v xml:space="preserve">  APR 08</v>
          </cell>
          <cell r="B282">
            <v>16.8</v>
          </cell>
          <cell r="C282">
            <v>54.9</v>
          </cell>
        </row>
        <row r="283">
          <cell r="A283" t="str">
            <v xml:space="preserve">  APR 09</v>
          </cell>
          <cell r="B283">
            <v>17</v>
          </cell>
          <cell r="C283">
            <v>54.7</v>
          </cell>
        </row>
        <row r="284">
          <cell r="A284" t="str">
            <v xml:space="preserve">  APR 10</v>
          </cell>
          <cell r="B284">
            <v>17.2</v>
          </cell>
          <cell r="C284">
            <v>54.4</v>
          </cell>
        </row>
        <row r="285">
          <cell r="A285" t="str">
            <v xml:space="preserve">  APR 11</v>
          </cell>
          <cell r="B285">
            <v>17.399999999999999</v>
          </cell>
          <cell r="C285">
            <v>54.1</v>
          </cell>
        </row>
        <row r="286">
          <cell r="A286" t="str">
            <v xml:space="preserve">  APR 12</v>
          </cell>
          <cell r="B286">
            <v>17.600000000000001</v>
          </cell>
          <cell r="C286">
            <v>53.9</v>
          </cell>
        </row>
        <row r="287">
          <cell r="A287" t="str">
            <v xml:space="preserve">  APR 13</v>
          </cell>
          <cell r="B287">
            <v>17.8</v>
          </cell>
          <cell r="C287">
            <v>53.6</v>
          </cell>
        </row>
        <row r="288">
          <cell r="A288" t="str">
            <v xml:space="preserve">  APR 14</v>
          </cell>
          <cell r="B288">
            <v>18</v>
          </cell>
          <cell r="C288">
            <v>53.3</v>
          </cell>
        </row>
        <row r="289">
          <cell r="A289" t="str">
            <v xml:space="preserve">  APR 15</v>
          </cell>
          <cell r="B289">
            <v>18.2</v>
          </cell>
          <cell r="C289">
            <v>53.1</v>
          </cell>
        </row>
        <row r="290">
          <cell r="A290" t="str">
            <v xml:space="preserve">  APR 16</v>
          </cell>
          <cell r="B290">
            <v>18.399999999999999</v>
          </cell>
          <cell r="C290">
            <v>52.8</v>
          </cell>
        </row>
        <row r="291">
          <cell r="A291" t="str">
            <v xml:space="preserve">  APR 17</v>
          </cell>
          <cell r="B291">
            <v>18.600000000000001</v>
          </cell>
          <cell r="C291">
            <v>52.5</v>
          </cell>
        </row>
        <row r="292">
          <cell r="A292" t="str">
            <v xml:space="preserve">  APR 18</v>
          </cell>
          <cell r="B292">
            <v>18.8</v>
          </cell>
          <cell r="C292">
            <v>52.3</v>
          </cell>
        </row>
        <row r="293">
          <cell r="A293" t="str">
            <v xml:space="preserve">  APR 19</v>
          </cell>
          <cell r="B293">
            <v>19</v>
          </cell>
          <cell r="C293">
            <v>52</v>
          </cell>
        </row>
        <row r="294">
          <cell r="A294" t="str">
            <v xml:space="preserve">  APR 20</v>
          </cell>
          <cell r="B294">
            <v>19.2</v>
          </cell>
          <cell r="C294">
            <v>51.7</v>
          </cell>
        </row>
        <row r="295">
          <cell r="A295" t="str">
            <v xml:space="preserve">  APR 21</v>
          </cell>
          <cell r="B295">
            <v>19.399999999999999</v>
          </cell>
          <cell r="C295">
            <v>51.5</v>
          </cell>
        </row>
        <row r="296">
          <cell r="A296" t="str">
            <v xml:space="preserve">  APR 22</v>
          </cell>
          <cell r="B296">
            <v>19.600000000000001</v>
          </cell>
          <cell r="C296">
            <v>51.8</v>
          </cell>
        </row>
        <row r="297">
          <cell r="A297" t="str">
            <v xml:space="preserve">  APR 23</v>
          </cell>
          <cell r="B297">
            <v>19.8</v>
          </cell>
          <cell r="C297">
            <v>52.099999999999994</v>
          </cell>
        </row>
        <row r="298">
          <cell r="A298" t="str">
            <v xml:space="preserve">  APR 24</v>
          </cell>
          <cell r="B298">
            <v>20</v>
          </cell>
          <cell r="C298">
            <v>52.399999999999991</v>
          </cell>
        </row>
        <row r="299">
          <cell r="A299" t="str">
            <v xml:space="preserve">  APR 25</v>
          </cell>
          <cell r="B299">
            <v>20.2</v>
          </cell>
          <cell r="C299">
            <v>52.699999999999989</v>
          </cell>
        </row>
        <row r="300">
          <cell r="A300" t="str">
            <v xml:space="preserve">  APR 26</v>
          </cell>
          <cell r="B300">
            <v>20.399999999999999</v>
          </cell>
          <cell r="C300">
            <v>52.999999999999986</v>
          </cell>
        </row>
        <row r="301">
          <cell r="A301" t="str">
            <v xml:space="preserve">  APR 27</v>
          </cell>
          <cell r="B301">
            <v>20.6</v>
          </cell>
          <cell r="C301">
            <v>53.299999999999983</v>
          </cell>
        </row>
        <row r="302">
          <cell r="A302" t="str">
            <v xml:space="preserve">  APR 28</v>
          </cell>
          <cell r="B302">
            <v>20.8</v>
          </cell>
          <cell r="C302">
            <v>53.59999999999998</v>
          </cell>
        </row>
        <row r="303">
          <cell r="A303" t="str">
            <v xml:space="preserve">  APR 29</v>
          </cell>
          <cell r="B303">
            <v>21</v>
          </cell>
          <cell r="C303">
            <v>53.899999999999977</v>
          </cell>
        </row>
        <row r="304">
          <cell r="A304" t="str">
            <v xml:space="preserve">  APR 30</v>
          </cell>
          <cell r="B304">
            <v>21.2</v>
          </cell>
          <cell r="C304">
            <v>54.199999999999974</v>
          </cell>
        </row>
        <row r="305">
          <cell r="A305" t="str">
            <v xml:space="preserve">  MAY 01</v>
          </cell>
          <cell r="B305">
            <v>21.4</v>
          </cell>
          <cell r="C305">
            <v>54.499999999999972</v>
          </cell>
        </row>
        <row r="306">
          <cell r="A306" t="str">
            <v xml:space="preserve">  MAY 02</v>
          </cell>
          <cell r="B306">
            <v>21.6</v>
          </cell>
          <cell r="C306">
            <v>54.799999999999969</v>
          </cell>
        </row>
        <row r="307">
          <cell r="A307" t="str">
            <v xml:space="preserve">  MAY 03</v>
          </cell>
          <cell r="B307">
            <v>21.8</v>
          </cell>
          <cell r="C307">
            <v>55.099999999999966</v>
          </cell>
        </row>
        <row r="308">
          <cell r="A308" t="str">
            <v xml:space="preserve">  MAY 04</v>
          </cell>
          <cell r="B308">
            <v>22</v>
          </cell>
          <cell r="C308">
            <v>55.399999999999963</v>
          </cell>
        </row>
        <row r="309">
          <cell r="A309" t="str">
            <v xml:space="preserve">  MAY 05</v>
          </cell>
          <cell r="B309">
            <v>22.4</v>
          </cell>
          <cell r="C309">
            <v>55.69999999999996</v>
          </cell>
        </row>
        <row r="310">
          <cell r="A310" t="str">
            <v xml:space="preserve">  MAY 06</v>
          </cell>
          <cell r="B310">
            <v>22.7</v>
          </cell>
          <cell r="C310">
            <v>55.999999999999957</v>
          </cell>
        </row>
        <row r="311">
          <cell r="A311" t="str">
            <v xml:space="preserve">  MAY 07</v>
          </cell>
          <cell r="B311">
            <v>23.1</v>
          </cell>
          <cell r="C311">
            <v>56.299999999999955</v>
          </cell>
        </row>
        <row r="312">
          <cell r="A312" t="str">
            <v xml:space="preserve">  MAY 08</v>
          </cell>
          <cell r="B312">
            <v>23.4</v>
          </cell>
          <cell r="C312">
            <v>56.599999999999952</v>
          </cell>
        </row>
        <row r="313">
          <cell r="A313" t="str">
            <v xml:space="preserve">  MAY 09</v>
          </cell>
          <cell r="B313">
            <v>23.8</v>
          </cell>
          <cell r="C313">
            <v>56.899999999999949</v>
          </cell>
        </row>
        <row r="314">
          <cell r="A314" t="str">
            <v xml:space="preserve">  MAY 10</v>
          </cell>
          <cell r="B314">
            <v>24.1</v>
          </cell>
          <cell r="C314">
            <v>57.199999999999946</v>
          </cell>
        </row>
        <row r="315">
          <cell r="A315" t="str">
            <v xml:space="preserve">  MAY 11</v>
          </cell>
          <cell r="B315">
            <v>24.5</v>
          </cell>
          <cell r="C315">
            <v>57.499999999999943</v>
          </cell>
        </row>
        <row r="316">
          <cell r="A316" t="str">
            <v xml:space="preserve">  MAY 12</v>
          </cell>
          <cell r="B316">
            <v>24.8</v>
          </cell>
          <cell r="C316">
            <v>57.79999999999994</v>
          </cell>
        </row>
        <row r="317">
          <cell r="A317" t="str">
            <v xml:space="preserve">  MAY 13</v>
          </cell>
          <cell r="B317">
            <v>25.2</v>
          </cell>
          <cell r="C317">
            <v>58.099999999999937</v>
          </cell>
        </row>
        <row r="318">
          <cell r="A318" t="str">
            <v xml:space="preserve">  MAY 14</v>
          </cell>
          <cell r="B318">
            <v>25.5</v>
          </cell>
          <cell r="C318">
            <v>58.399999999999935</v>
          </cell>
        </row>
        <row r="319">
          <cell r="A319" t="str">
            <v xml:space="preserve">  MAY 15</v>
          </cell>
          <cell r="B319">
            <v>25.9</v>
          </cell>
          <cell r="C319">
            <v>58.699999999999932</v>
          </cell>
        </row>
        <row r="320">
          <cell r="A320" t="str">
            <v xml:space="preserve">  MAY 16</v>
          </cell>
          <cell r="B320">
            <v>26.3</v>
          </cell>
          <cell r="C320">
            <v>58.999999999999929</v>
          </cell>
        </row>
        <row r="321">
          <cell r="A321" t="str">
            <v xml:space="preserve">  MAY 17</v>
          </cell>
          <cell r="B321">
            <v>26.6</v>
          </cell>
          <cell r="C321">
            <v>59.399999999999928</v>
          </cell>
        </row>
        <row r="322">
          <cell r="A322" t="str">
            <v xml:space="preserve">  MAY 18</v>
          </cell>
          <cell r="B322">
            <v>27</v>
          </cell>
          <cell r="C322">
            <v>59.799999999999926</v>
          </cell>
        </row>
        <row r="323">
          <cell r="A323" t="str">
            <v xml:space="preserve">  MAY 19</v>
          </cell>
          <cell r="B323">
            <v>27.3</v>
          </cell>
          <cell r="C323">
            <v>60.199999999999925</v>
          </cell>
        </row>
        <row r="324">
          <cell r="A324" t="str">
            <v xml:space="preserve">  MAY 20</v>
          </cell>
          <cell r="B324">
            <v>27.7</v>
          </cell>
          <cell r="C324">
            <v>60.599999999999923</v>
          </cell>
        </row>
        <row r="325">
          <cell r="A325" t="str">
            <v xml:space="preserve">  MAY 21</v>
          </cell>
          <cell r="B325">
            <v>28</v>
          </cell>
          <cell r="C325">
            <v>60.6</v>
          </cell>
        </row>
        <row r="326">
          <cell r="A326" t="str">
            <v xml:space="preserve">  MAY 22</v>
          </cell>
          <cell r="B326">
            <v>28.4</v>
          </cell>
          <cell r="C326">
            <v>61.4</v>
          </cell>
        </row>
        <row r="327">
          <cell r="A327" t="str">
            <v xml:space="preserve">  MAY 23</v>
          </cell>
          <cell r="B327">
            <v>28.7</v>
          </cell>
          <cell r="C327">
            <v>62.1</v>
          </cell>
        </row>
        <row r="328">
          <cell r="A328" t="str">
            <v xml:space="preserve">  MAY 24</v>
          </cell>
          <cell r="B328">
            <v>29.1</v>
          </cell>
          <cell r="C328">
            <v>62.8</v>
          </cell>
        </row>
        <row r="329">
          <cell r="A329" t="str">
            <v xml:space="preserve">  MAY 25</v>
          </cell>
          <cell r="B329">
            <v>29.5</v>
          </cell>
          <cell r="C329">
            <v>63.6</v>
          </cell>
        </row>
        <row r="330">
          <cell r="A330" t="str">
            <v xml:space="preserve">  MAY 26</v>
          </cell>
          <cell r="B330">
            <v>29.8</v>
          </cell>
          <cell r="C330">
            <v>64.3</v>
          </cell>
        </row>
        <row r="331">
          <cell r="A331" t="str">
            <v xml:space="preserve">  MAY 27</v>
          </cell>
          <cell r="B331">
            <v>30.2</v>
          </cell>
          <cell r="C331">
            <v>65.099999999999994</v>
          </cell>
        </row>
        <row r="332">
          <cell r="A332" t="str">
            <v xml:space="preserve">  MAY 28</v>
          </cell>
          <cell r="B332">
            <v>30.5</v>
          </cell>
          <cell r="C332">
            <v>65.8</v>
          </cell>
        </row>
        <row r="333">
          <cell r="A333" t="str">
            <v xml:space="preserve">  MAY 29</v>
          </cell>
          <cell r="B333">
            <v>30.9</v>
          </cell>
          <cell r="C333">
            <v>66.5</v>
          </cell>
        </row>
        <row r="334">
          <cell r="A334" t="str">
            <v xml:space="preserve">  MAY 30</v>
          </cell>
          <cell r="B334">
            <v>31.2</v>
          </cell>
          <cell r="C334">
            <v>67.3</v>
          </cell>
        </row>
        <row r="335">
          <cell r="A335" t="str">
            <v xml:space="preserve">  MAY 31</v>
          </cell>
          <cell r="B335">
            <v>31.6</v>
          </cell>
          <cell r="C335">
            <v>68</v>
          </cell>
        </row>
        <row r="336">
          <cell r="A336" t="str">
            <v xml:space="preserve">  JUN 01</v>
          </cell>
          <cell r="B336">
            <v>31.9</v>
          </cell>
          <cell r="C336">
            <v>68.8</v>
          </cell>
        </row>
        <row r="337">
          <cell r="A337" t="str">
            <v xml:space="preserve">  JUN 02</v>
          </cell>
          <cell r="B337">
            <v>32.299999999999997</v>
          </cell>
          <cell r="C337">
            <v>69.5</v>
          </cell>
        </row>
        <row r="338">
          <cell r="A338" t="str">
            <v xml:space="preserve">  JUN 03</v>
          </cell>
          <cell r="B338">
            <v>32.6</v>
          </cell>
          <cell r="C338">
            <v>70.3</v>
          </cell>
        </row>
        <row r="339">
          <cell r="A339" t="str">
            <v xml:space="preserve">  JUN 04</v>
          </cell>
          <cell r="B339">
            <v>33</v>
          </cell>
          <cell r="C339">
            <v>71</v>
          </cell>
        </row>
        <row r="340">
          <cell r="A340" t="str">
            <v xml:space="preserve">  JUN 05</v>
          </cell>
          <cell r="B340">
            <v>33.9</v>
          </cell>
          <cell r="C340">
            <v>71.3</v>
          </cell>
        </row>
        <row r="341">
          <cell r="A341" t="str">
            <v xml:space="preserve">  JUN 06</v>
          </cell>
          <cell r="B341">
            <v>34.700000000000003</v>
          </cell>
          <cell r="C341">
            <v>71.7</v>
          </cell>
        </row>
        <row r="342">
          <cell r="A342" t="str">
            <v xml:space="preserve">  JUN 07</v>
          </cell>
          <cell r="B342">
            <v>35.6</v>
          </cell>
          <cell r="C342">
            <v>72</v>
          </cell>
        </row>
        <row r="343">
          <cell r="A343" t="str">
            <v xml:space="preserve">  JUN 08</v>
          </cell>
          <cell r="B343">
            <v>36.5</v>
          </cell>
          <cell r="C343">
            <v>72.3</v>
          </cell>
        </row>
        <row r="344">
          <cell r="A344" t="str">
            <v xml:space="preserve">  JUN 09</v>
          </cell>
          <cell r="B344">
            <v>37.299999999999997</v>
          </cell>
          <cell r="C344">
            <v>72.7</v>
          </cell>
        </row>
        <row r="345">
          <cell r="A345" t="str">
            <v xml:space="preserve">  JUN 10</v>
          </cell>
          <cell r="B345">
            <v>38.200000000000003</v>
          </cell>
          <cell r="C345">
            <v>73</v>
          </cell>
        </row>
        <row r="346">
          <cell r="A346" t="str">
            <v xml:space="preserve">  JUN 11</v>
          </cell>
          <cell r="B346">
            <v>39.1</v>
          </cell>
          <cell r="C346">
            <v>73.3</v>
          </cell>
        </row>
        <row r="347">
          <cell r="A347" t="str">
            <v xml:space="preserve">  JUN 12</v>
          </cell>
          <cell r="B347">
            <v>39.9</v>
          </cell>
          <cell r="C347">
            <v>73.7</v>
          </cell>
        </row>
        <row r="348">
          <cell r="A348" t="str">
            <v xml:space="preserve">  JUN 13</v>
          </cell>
          <cell r="B348">
            <v>40.799999999999997</v>
          </cell>
          <cell r="C348">
            <v>74</v>
          </cell>
        </row>
        <row r="349">
          <cell r="A349" t="str">
            <v xml:space="preserve">  JUN 14</v>
          </cell>
          <cell r="B349">
            <v>41.7</v>
          </cell>
          <cell r="C349">
            <v>74.3</v>
          </cell>
        </row>
        <row r="350">
          <cell r="A350" t="str">
            <v xml:space="preserve">  JUN 15</v>
          </cell>
          <cell r="B350">
            <v>42.5</v>
          </cell>
          <cell r="C350">
            <v>74.7</v>
          </cell>
        </row>
        <row r="351">
          <cell r="A351" t="str">
            <v xml:space="preserve">  JUN 16</v>
          </cell>
          <cell r="B351">
            <v>43.4</v>
          </cell>
          <cell r="C351">
            <v>75</v>
          </cell>
        </row>
        <row r="352">
          <cell r="A352" t="str">
            <v xml:space="preserve">  JUN 17</v>
          </cell>
          <cell r="B352">
            <v>44.3</v>
          </cell>
          <cell r="C352">
            <v>75.3</v>
          </cell>
        </row>
        <row r="353">
          <cell r="A353" t="str">
            <v xml:space="preserve">  JUN 18</v>
          </cell>
          <cell r="B353">
            <v>45.1</v>
          </cell>
          <cell r="C353">
            <v>75.7</v>
          </cell>
        </row>
        <row r="354">
          <cell r="A354" t="str">
            <v xml:space="preserve">  JUN 19</v>
          </cell>
          <cell r="B354">
            <v>46</v>
          </cell>
          <cell r="C354">
            <v>76</v>
          </cell>
        </row>
        <row r="355">
          <cell r="A355" t="str">
            <v xml:space="preserve">  JUN 20</v>
          </cell>
          <cell r="B355">
            <v>46.9</v>
          </cell>
          <cell r="C355">
            <v>76.3</v>
          </cell>
        </row>
        <row r="356">
          <cell r="A356" t="str">
            <v xml:space="preserve">  JUN 21</v>
          </cell>
          <cell r="B356">
            <v>47.7</v>
          </cell>
          <cell r="C356">
            <v>76.7</v>
          </cell>
        </row>
        <row r="357">
          <cell r="A357" t="str">
            <v xml:space="preserve">  JUN 22</v>
          </cell>
          <cell r="B357">
            <v>48.6</v>
          </cell>
          <cell r="C357">
            <v>77</v>
          </cell>
        </row>
        <row r="358">
          <cell r="A358" t="str">
            <v xml:space="preserve">  JUN 23</v>
          </cell>
          <cell r="B358">
            <v>49.5</v>
          </cell>
          <cell r="C358">
            <v>77.3</v>
          </cell>
        </row>
        <row r="359">
          <cell r="A359" t="str">
            <v xml:space="preserve">  JUN 24</v>
          </cell>
          <cell r="B359">
            <v>50.3</v>
          </cell>
          <cell r="C359">
            <v>77.7</v>
          </cell>
        </row>
        <row r="360">
          <cell r="A360" t="str">
            <v xml:space="preserve">  JUN 25</v>
          </cell>
          <cell r="B360">
            <v>51.2</v>
          </cell>
          <cell r="C360">
            <v>78</v>
          </cell>
        </row>
        <row r="361">
          <cell r="A361" t="str">
            <v xml:space="preserve">  JUN 26</v>
          </cell>
          <cell r="B361">
            <v>52.1</v>
          </cell>
          <cell r="C361">
            <v>78.3</v>
          </cell>
        </row>
        <row r="362">
          <cell r="A362" t="str">
            <v xml:space="preserve">  JUN 27</v>
          </cell>
          <cell r="B362">
            <v>52.9</v>
          </cell>
          <cell r="C362">
            <v>78.7</v>
          </cell>
        </row>
        <row r="363">
          <cell r="A363" t="str">
            <v xml:space="preserve">  JUN 28</v>
          </cell>
          <cell r="B363">
            <v>53.8</v>
          </cell>
          <cell r="C363">
            <v>79</v>
          </cell>
        </row>
        <row r="364">
          <cell r="A364" t="str">
            <v xml:space="preserve">  JUN 29</v>
          </cell>
          <cell r="B364">
            <v>54.7</v>
          </cell>
          <cell r="C364">
            <v>79.3</v>
          </cell>
        </row>
        <row r="365">
          <cell r="A365" t="str">
            <v xml:space="preserve">  JUN 30</v>
          </cell>
          <cell r="B365">
            <v>55.5</v>
          </cell>
          <cell r="C365">
            <v>79.7</v>
          </cell>
        </row>
        <row r="366">
          <cell r="A366" t="str">
            <v xml:space="preserve">  JUL 01</v>
          </cell>
          <cell r="B366">
            <v>56.4</v>
          </cell>
          <cell r="C366">
            <v>80</v>
          </cell>
        </row>
        <row r="367">
          <cell r="A367" t="str">
            <v xml:space="preserve">  JUL 02</v>
          </cell>
          <cell r="B367">
            <v>57.3</v>
          </cell>
          <cell r="C367">
            <v>80.3</v>
          </cell>
        </row>
        <row r="368">
          <cell r="A368" t="str">
            <v xml:space="preserve">  JUL 03</v>
          </cell>
          <cell r="B368">
            <v>58.1</v>
          </cell>
          <cell r="C368">
            <v>80.7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gaz"/>
      <sheetName val="Rendements"/>
    </sheetNames>
    <sheetDataSet>
      <sheetData sheetId="0">
        <row r="2">
          <cell r="O2" t="str">
            <v xml:space="preserve"> 2017-07-01</v>
          </cell>
          <cell r="P2">
            <v>0.33</v>
          </cell>
          <cell r="Q2">
            <v>0.58499999999999996</v>
          </cell>
          <cell r="R2">
            <v>0.84</v>
          </cell>
        </row>
        <row r="3">
          <cell r="O3" t="str">
            <v xml:space="preserve"> 2017-07-02 </v>
          </cell>
          <cell r="P3">
            <v>0.33600000000000002</v>
          </cell>
          <cell r="Q3">
            <v>0.59</v>
          </cell>
          <cell r="R3">
            <v>0.84299999999999997</v>
          </cell>
        </row>
        <row r="4">
          <cell r="O4" t="str">
            <v xml:space="preserve"> 2017-07-03 </v>
          </cell>
          <cell r="P4">
            <v>0.34300000000000003</v>
          </cell>
          <cell r="Q4">
            <v>0.59399999999999997</v>
          </cell>
          <cell r="R4">
            <v>0.84599999999999997</v>
          </cell>
        </row>
        <row r="5">
          <cell r="O5" t="str">
            <v xml:space="preserve"> 2017-07-04 </v>
          </cell>
          <cell r="P5">
            <v>0.34899999999999998</v>
          </cell>
          <cell r="Q5">
            <v>0.59899999999999998</v>
          </cell>
          <cell r="R5">
            <v>0.84899999999999998</v>
          </cell>
        </row>
        <row r="6">
          <cell r="O6" t="str">
            <v xml:space="preserve"> 2017-07-05 </v>
          </cell>
          <cell r="P6">
            <v>0.35599999999999998</v>
          </cell>
          <cell r="Q6">
            <v>0.60399999999999998</v>
          </cell>
          <cell r="R6">
            <v>0.85199999999999998</v>
          </cell>
        </row>
        <row r="7">
          <cell r="O7" t="str">
            <v xml:space="preserve"> 2017-07-06 </v>
          </cell>
          <cell r="P7">
            <v>0.36199999999999999</v>
          </cell>
          <cell r="Q7">
            <v>0.60799999999999998</v>
          </cell>
          <cell r="R7">
            <v>0.85499999999999998</v>
          </cell>
        </row>
        <row r="8">
          <cell r="O8" t="str">
            <v xml:space="preserve"> 2017-07-07 </v>
          </cell>
          <cell r="P8">
            <v>0.36899999999999999</v>
          </cell>
          <cell r="Q8">
            <v>0.61299999999999999</v>
          </cell>
          <cell r="R8">
            <v>0.85699999999999998</v>
          </cell>
        </row>
        <row r="9">
          <cell r="O9" t="str">
            <v xml:space="preserve"> 2017-07-08 </v>
          </cell>
          <cell r="P9">
            <v>0.375</v>
          </cell>
          <cell r="Q9">
            <v>0.61799999999999999</v>
          </cell>
          <cell r="R9">
            <v>0.86</v>
          </cell>
        </row>
        <row r="10">
          <cell r="O10" t="str">
            <v xml:space="preserve"> 2017-07-09 </v>
          </cell>
          <cell r="P10">
            <v>0.38200000000000001</v>
          </cell>
          <cell r="Q10">
            <v>0.622</v>
          </cell>
          <cell r="R10">
            <v>0.86299999999999999</v>
          </cell>
        </row>
        <row r="11">
          <cell r="O11" t="str">
            <v xml:space="preserve"> 2017-07-10 </v>
          </cell>
          <cell r="P11">
            <v>0.38800000000000001</v>
          </cell>
          <cell r="Q11">
            <v>0.627</v>
          </cell>
          <cell r="R11">
            <v>0.86599999999999999</v>
          </cell>
        </row>
        <row r="12">
          <cell r="O12" t="str">
            <v xml:space="preserve"> 2017-07-11 </v>
          </cell>
          <cell r="P12">
            <v>0.39500000000000002</v>
          </cell>
          <cell r="Q12">
            <v>0.63200000000000001</v>
          </cell>
          <cell r="R12">
            <v>0.86899999999999999</v>
          </cell>
        </row>
        <row r="13">
          <cell r="O13" t="str">
            <v xml:space="preserve"> 2017-07-12 </v>
          </cell>
          <cell r="P13">
            <v>0.40100000000000002</v>
          </cell>
          <cell r="Q13">
            <v>0.63600000000000001</v>
          </cell>
          <cell r="R13">
            <v>0.872</v>
          </cell>
        </row>
        <row r="14">
          <cell r="O14" t="str">
            <v xml:space="preserve"> 2017-07-13 </v>
          </cell>
          <cell r="P14">
            <v>0.40699999999999997</v>
          </cell>
          <cell r="Q14">
            <v>0.64100000000000001</v>
          </cell>
          <cell r="R14">
            <v>0.875</v>
          </cell>
        </row>
        <row r="15">
          <cell r="O15" t="str">
            <v xml:space="preserve"> 2017-07-14 </v>
          </cell>
          <cell r="P15">
            <v>0.41399999999999998</v>
          </cell>
          <cell r="Q15">
            <v>0.64600000000000002</v>
          </cell>
          <cell r="R15">
            <v>0.878</v>
          </cell>
        </row>
        <row r="16">
          <cell r="O16" t="str">
            <v xml:space="preserve"> 2017-07-15 </v>
          </cell>
          <cell r="P16">
            <v>0.42</v>
          </cell>
          <cell r="Q16">
            <v>0.65</v>
          </cell>
          <cell r="R16">
            <v>0.88100000000000001</v>
          </cell>
        </row>
        <row r="17">
          <cell r="O17" t="str">
            <v xml:space="preserve"> 2017-07-16 </v>
          </cell>
          <cell r="P17">
            <v>0.42699999999999999</v>
          </cell>
          <cell r="Q17">
            <v>0.65500000000000003</v>
          </cell>
          <cell r="R17">
            <v>0.88400000000000001</v>
          </cell>
        </row>
        <row r="18">
          <cell r="O18" t="str">
            <v xml:space="preserve"> 2017-07-17 </v>
          </cell>
          <cell r="P18">
            <v>0.433</v>
          </cell>
          <cell r="Q18">
            <v>0.66</v>
          </cell>
          <cell r="R18">
            <v>0.88600000000000001</v>
          </cell>
        </row>
        <row r="19">
          <cell r="O19" t="str">
            <v xml:space="preserve"> 2017-07-18 </v>
          </cell>
          <cell r="P19">
            <v>0.44</v>
          </cell>
          <cell r="Q19">
            <v>0.66500000000000004</v>
          </cell>
          <cell r="R19">
            <v>0.88900000000000001</v>
          </cell>
        </row>
        <row r="20">
          <cell r="O20" t="str">
            <v xml:space="preserve"> 2017-07-19 </v>
          </cell>
          <cell r="P20">
            <v>0.44600000000000001</v>
          </cell>
          <cell r="Q20">
            <v>0.66900000000000004</v>
          </cell>
          <cell r="R20">
            <v>0.89200000000000002</v>
          </cell>
        </row>
        <row r="21">
          <cell r="O21" t="str">
            <v xml:space="preserve"> 2017-07-20 </v>
          </cell>
          <cell r="P21">
            <v>0.45300000000000001</v>
          </cell>
          <cell r="Q21">
            <v>0.67400000000000004</v>
          </cell>
          <cell r="R21">
            <v>0.89500000000000002</v>
          </cell>
        </row>
        <row r="22">
          <cell r="O22" t="str">
            <v xml:space="preserve"> 2017-07-21 </v>
          </cell>
          <cell r="P22">
            <v>0.45900000000000002</v>
          </cell>
          <cell r="Q22">
            <v>0.67900000000000005</v>
          </cell>
          <cell r="R22">
            <v>0.89800000000000002</v>
          </cell>
        </row>
        <row r="23">
          <cell r="O23" t="str">
            <v xml:space="preserve"> 2017-07-22 </v>
          </cell>
          <cell r="P23">
            <v>0.46500000000000002</v>
          </cell>
          <cell r="Q23">
            <v>0.68300000000000005</v>
          </cell>
          <cell r="R23">
            <v>0.90100000000000002</v>
          </cell>
        </row>
        <row r="24">
          <cell r="O24" t="str">
            <v xml:space="preserve"> 2017-07-23 </v>
          </cell>
          <cell r="P24">
            <v>0.47199999999999998</v>
          </cell>
          <cell r="Q24">
            <v>0.68799999999999994</v>
          </cell>
          <cell r="R24">
            <v>0.90400000000000003</v>
          </cell>
        </row>
        <row r="25">
          <cell r="O25" t="str">
            <v xml:space="preserve"> 2017-07-24 </v>
          </cell>
          <cell r="P25">
            <v>0.47799999999999998</v>
          </cell>
          <cell r="Q25">
            <v>0.69299999999999995</v>
          </cell>
          <cell r="R25">
            <v>0.90700000000000003</v>
          </cell>
        </row>
        <row r="26">
          <cell r="O26" t="str">
            <v xml:space="preserve"> 2017-07-25 </v>
          </cell>
          <cell r="P26">
            <v>0.48499999999999999</v>
          </cell>
          <cell r="Q26">
            <v>0.69699999999999995</v>
          </cell>
          <cell r="R26">
            <v>0.91</v>
          </cell>
        </row>
        <row r="27">
          <cell r="O27" t="str">
            <v xml:space="preserve"> 2017-07-26 </v>
          </cell>
          <cell r="P27">
            <v>0.49099999999999999</v>
          </cell>
          <cell r="Q27">
            <v>0.70199999999999996</v>
          </cell>
          <cell r="R27">
            <v>0.91300000000000003</v>
          </cell>
        </row>
        <row r="28">
          <cell r="O28" t="str">
            <v xml:space="preserve"> 2017-07-27 </v>
          </cell>
          <cell r="P28">
            <v>0.498</v>
          </cell>
          <cell r="Q28">
            <v>0.70699999999999996</v>
          </cell>
          <cell r="R28">
            <v>0.91500000000000004</v>
          </cell>
        </row>
        <row r="29">
          <cell r="O29" t="str">
            <v xml:space="preserve"> 2017-07-28 </v>
          </cell>
          <cell r="P29">
            <v>0.504</v>
          </cell>
          <cell r="Q29">
            <v>0.71099999999999997</v>
          </cell>
          <cell r="R29">
            <v>0.91800000000000004</v>
          </cell>
        </row>
        <row r="30">
          <cell r="O30" t="str">
            <v xml:space="preserve"> 2017-07-29 </v>
          </cell>
          <cell r="P30">
            <v>0.51100000000000001</v>
          </cell>
          <cell r="Q30">
            <v>0.71599999999999997</v>
          </cell>
          <cell r="R30">
            <v>0.92100000000000004</v>
          </cell>
        </row>
        <row r="31">
          <cell r="O31" t="str">
            <v xml:space="preserve"> 2017-07-30 </v>
          </cell>
          <cell r="P31">
            <v>0.51700000000000002</v>
          </cell>
          <cell r="Q31">
            <v>0.72099999999999997</v>
          </cell>
          <cell r="R31">
            <v>0.92400000000000004</v>
          </cell>
        </row>
        <row r="32">
          <cell r="O32" t="str">
            <v xml:space="preserve"> 2017-07-31 </v>
          </cell>
          <cell r="P32">
            <v>0.52400000000000002</v>
          </cell>
          <cell r="Q32">
            <v>0.72499999999999998</v>
          </cell>
          <cell r="R32">
            <v>0.92700000000000005</v>
          </cell>
        </row>
        <row r="33">
          <cell r="O33" t="str">
            <v xml:space="preserve"> 2017-08-01 </v>
          </cell>
          <cell r="P33">
            <v>0.53</v>
          </cell>
          <cell r="Q33">
            <v>0.73</v>
          </cell>
          <cell r="R33">
            <v>0.93</v>
          </cell>
        </row>
        <row r="34">
          <cell r="O34" t="str">
            <v xml:space="preserve"> 2017-08-02 </v>
          </cell>
          <cell r="P34">
            <v>0.53500000000000003</v>
          </cell>
          <cell r="Q34">
            <v>0.73399999999999999</v>
          </cell>
          <cell r="R34">
            <v>0.93200000000000005</v>
          </cell>
        </row>
        <row r="35">
          <cell r="O35" t="str">
            <v xml:space="preserve"> 2017-08-03 </v>
          </cell>
          <cell r="P35">
            <v>0.54100000000000004</v>
          </cell>
          <cell r="Q35">
            <v>0.73699999999999999</v>
          </cell>
          <cell r="R35">
            <v>0.93300000000000005</v>
          </cell>
        </row>
        <row r="36">
          <cell r="O36" t="str">
            <v xml:space="preserve"> 2017-08-04 </v>
          </cell>
          <cell r="P36">
            <v>0.54600000000000004</v>
          </cell>
          <cell r="Q36">
            <v>0.74099999999999999</v>
          </cell>
          <cell r="R36">
            <v>0.93500000000000005</v>
          </cell>
        </row>
        <row r="37">
          <cell r="O37" t="str">
            <v xml:space="preserve"> 2017-08-05 </v>
          </cell>
          <cell r="P37">
            <v>0.55200000000000005</v>
          </cell>
          <cell r="Q37">
            <v>0.74399999999999999</v>
          </cell>
          <cell r="R37">
            <v>0.93600000000000005</v>
          </cell>
        </row>
        <row r="38">
          <cell r="O38" t="str">
            <v xml:space="preserve"> 2017-08-06 </v>
          </cell>
          <cell r="P38">
            <v>0.55700000000000005</v>
          </cell>
          <cell r="Q38">
            <v>0.748</v>
          </cell>
          <cell r="R38">
            <v>0.93799999999999994</v>
          </cell>
        </row>
        <row r="39">
          <cell r="O39" t="str">
            <v xml:space="preserve"> 2017-08-07 </v>
          </cell>
          <cell r="P39">
            <v>0.56299999999999994</v>
          </cell>
          <cell r="Q39">
            <v>0.751</v>
          </cell>
          <cell r="R39">
            <v>0.94</v>
          </cell>
        </row>
        <row r="40">
          <cell r="O40" t="str">
            <v xml:space="preserve"> 2017-08-08 </v>
          </cell>
          <cell r="P40">
            <v>0.56799999999999995</v>
          </cell>
          <cell r="Q40">
            <v>0.755</v>
          </cell>
          <cell r="R40">
            <v>0.94099999999999995</v>
          </cell>
        </row>
        <row r="41">
          <cell r="O41" t="str">
            <v xml:space="preserve"> 2017-08-09 </v>
          </cell>
          <cell r="P41">
            <v>0.57399999999999995</v>
          </cell>
          <cell r="Q41">
            <v>0.75800000000000001</v>
          </cell>
          <cell r="R41">
            <v>0.94299999999999995</v>
          </cell>
        </row>
        <row r="42">
          <cell r="O42" t="str">
            <v xml:space="preserve"> 2017-08-10 </v>
          </cell>
          <cell r="P42">
            <v>0.57899999999999996</v>
          </cell>
          <cell r="Q42">
            <v>0.76200000000000001</v>
          </cell>
          <cell r="R42">
            <v>0.94499999999999995</v>
          </cell>
        </row>
        <row r="43">
          <cell r="O43" t="str">
            <v xml:space="preserve"> 2017-08-11 </v>
          </cell>
          <cell r="P43">
            <v>0.58499999999999996</v>
          </cell>
          <cell r="Q43">
            <v>0.76500000000000001</v>
          </cell>
          <cell r="R43">
            <v>0.94599999999999995</v>
          </cell>
        </row>
        <row r="44">
          <cell r="O44" t="str">
            <v xml:space="preserve"> 2017-08-12 </v>
          </cell>
          <cell r="P44">
            <v>0.59</v>
          </cell>
          <cell r="Q44">
            <v>0.76900000000000002</v>
          </cell>
          <cell r="R44">
            <v>0.94799999999999995</v>
          </cell>
        </row>
        <row r="45">
          <cell r="O45" t="str">
            <v xml:space="preserve"> 2017-08-13 </v>
          </cell>
          <cell r="P45">
            <v>0.59599999999999997</v>
          </cell>
          <cell r="Q45">
            <v>0.77300000000000002</v>
          </cell>
          <cell r="R45">
            <v>0.94899999999999995</v>
          </cell>
        </row>
        <row r="46">
          <cell r="O46" t="str">
            <v xml:space="preserve"> 2017-08-14 </v>
          </cell>
          <cell r="P46">
            <v>0.60099999999999998</v>
          </cell>
          <cell r="Q46">
            <v>0.77600000000000002</v>
          </cell>
          <cell r="R46">
            <v>0.95099999999999996</v>
          </cell>
        </row>
        <row r="47">
          <cell r="O47" t="str">
            <v xml:space="preserve"> 2017-08-15 </v>
          </cell>
          <cell r="P47">
            <v>0.60699999999999998</v>
          </cell>
          <cell r="Q47">
            <v>0.78</v>
          </cell>
          <cell r="R47">
            <v>0.95299999999999996</v>
          </cell>
        </row>
        <row r="48">
          <cell r="O48" t="str">
            <v xml:space="preserve"> 2017-08-16 </v>
          </cell>
          <cell r="P48">
            <v>0.61199999999999999</v>
          </cell>
          <cell r="Q48">
            <v>0.78300000000000003</v>
          </cell>
          <cell r="R48">
            <v>0.95399999999999996</v>
          </cell>
        </row>
        <row r="49">
          <cell r="O49" t="str">
            <v xml:space="preserve"> 2017-08-17 </v>
          </cell>
          <cell r="P49">
            <v>0.61799999999999999</v>
          </cell>
          <cell r="Q49">
            <v>0.78700000000000003</v>
          </cell>
          <cell r="R49">
            <v>0.95599999999999996</v>
          </cell>
        </row>
        <row r="50">
          <cell r="O50" t="str">
            <v xml:space="preserve"> 2017-08-18 </v>
          </cell>
          <cell r="P50">
            <v>0.623</v>
          </cell>
          <cell r="Q50">
            <v>0.79</v>
          </cell>
          <cell r="R50">
            <v>0.95699999999999996</v>
          </cell>
        </row>
        <row r="51">
          <cell r="O51" t="str">
            <v xml:space="preserve"> 2017-08-19 </v>
          </cell>
          <cell r="P51">
            <v>0.629</v>
          </cell>
          <cell r="Q51">
            <v>0.79400000000000004</v>
          </cell>
          <cell r="R51">
            <v>0.95899999999999996</v>
          </cell>
        </row>
        <row r="52">
          <cell r="O52" t="str">
            <v xml:space="preserve"> 2017-08-20 </v>
          </cell>
          <cell r="P52">
            <v>0.63400000000000001</v>
          </cell>
          <cell r="Q52">
            <v>0.79700000000000004</v>
          </cell>
          <cell r="R52">
            <v>0.96099999999999997</v>
          </cell>
        </row>
        <row r="53">
          <cell r="O53" t="str">
            <v xml:space="preserve"> 2017-08-21 </v>
          </cell>
          <cell r="P53">
            <v>0.64</v>
          </cell>
          <cell r="Q53">
            <v>0.80100000000000005</v>
          </cell>
          <cell r="R53">
            <v>0.96199999999999997</v>
          </cell>
        </row>
        <row r="54">
          <cell r="O54" t="str">
            <v xml:space="preserve"> 2017-08-22 </v>
          </cell>
          <cell r="P54">
            <v>0.64500000000000002</v>
          </cell>
          <cell r="Q54">
            <v>0.80500000000000005</v>
          </cell>
          <cell r="R54">
            <v>0.96399999999999997</v>
          </cell>
        </row>
        <row r="55">
          <cell r="O55" t="str">
            <v xml:space="preserve"> 2017-08-23 </v>
          </cell>
          <cell r="P55">
            <v>0.65100000000000002</v>
          </cell>
          <cell r="Q55">
            <v>0.80800000000000005</v>
          </cell>
          <cell r="R55">
            <v>0.96499999999999997</v>
          </cell>
        </row>
        <row r="56">
          <cell r="O56" t="str">
            <v xml:space="preserve"> 2017-08-24 </v>
          </cell>
          <cell r="P56">
            <v>0.65600000000000003</v>
          </cell>
          <cell r="Q56">
            <v>0.81200000000000006</v>
          </cell>
          <cell r="R56">
            <v>0.96699999999999997</v>
          </cell>
        </row>
        <row r="57">
          <cell r="O57" t="str">
            <v xml:space="preserve"> 2017-08-25 </v>
          </cell>
          <cell r="P57">
            <v>0.66200000000000003</v>
          </cell>
          <cell r="Q57">
            <v>0.81499999999999995</v>
          </cell>
          <cell r="R57">
            <v>0.96899999999999997</v>
          </cell>
        </row>
        <row r="58">
          <cell r="O58" t="str">
            <v xml:space="preserve"> 2017-08-26 </v>
          </cell>
          <cell r="P58">
            <v>0.66700000000000004</v>
          </cell>
          <cell r="Q58">
            <v>0.81899999999999995</v>
          </cell>
          <cell r="R58">
            <v>0.97</v>
          </cell>
        </row>
        <row r="59">
          <cell r="O59" t="str">
            <v xml:space="preserve"> 2017-08-27 </v>
          </cell>
          <cell r="P59">
            <v>0.67300000000000004</v>
          </cell>
          <cell r="Q59">
            <v>0.82199999999999995</v>
          </cell>
          <cell r="R59">
            <v>0.97199999999999998</v>
          </cell>
        </row>
        <row r="60">
          <cell r="O60" t="str">
            <v xml:space="preserve"> 2017-08-28 </v>
          </cell>
          <cell r="P60">
            <v>0.67800000000000005</v>
          </cell>
          <cell r="Q60">
            <v>0.82599999999999996</v>
          </cell>
          <cell r="R60">
            <v>0.97399999999999998</v>
          </cell>
        </row>
        <row r="61">
          <cell r="O61" t="str">
            <v xml:space="preserve"> 2017-08-29 </v>
          </cell>
          <cell r="P61">
            <v>0.68400000000000005</v>
          </cell>
          <cell r="Q61">
            <v>0.82899999999999996</v>
          </cell>
          <cell r="R61">
            <v>0.97499999999999998</v>
          </cell>
        </row>
        <row r="62">
          <cell r="O62" t="str">
            <v xml:space="preserve"> 2017-08-30 </v>
          </cell>
          <cell r="P62">
            <v>0.68899999999999995</v>
          </cell>
          <cell r="Q62">
            <v>0.83299999999999996</v>
          </cell>
          <cell r="R62">
            <v>0.97699999999999998</v>
          </cell>
        </row>
        <row r="63">
          <cell r="O63" t="str">
            <v xml:space="preserve"> 2017-08-31 </v>
          </cell>
          <cell r="P63">
            <v>0.69499999999999995</v>
          </cell>
          <cell r="Q63">
            <v>0.83599999999999997</v>
          </cell>
          <cell r="R63">
            <v>0.97799999999999998</v>
          </cell>
        </row>
        <row r="64">
          <cell r="O64" t="str">
            <v xml:space="preserve"> 2017-09-01 </v>
          </cell>
          <cell r="P64">
            <v>0.7</v>
          </cell>
          <cell r="Q64">
            <v>0.84</v>
          </cell>
          <cell r="R64">
            <v>0.98</v>
          </cell>
        </row>
        <row r="65">
          <cell r="O65" t="str">
            <v xml:space="preserve"> 2017-09-02 </v>
          </cell>
          <cell r="P65">
            <v>0.70199999999999996</v>
          </cell>
          <cell r="Q65">
            <v>0.84099999999999997</v>
          </cell>
          <cell r="R65">
            <v>0.98099999999999998</v>
          </cell>
        </row>
        <row r="66">
          <cell r="O66" t="str">
            <v xml:space="preserve"> 2017-09-03 </v>
          </cell>
          <cell r="P66">
            <v>0.70399999999999996</v>
          </cell>
          <cell r="Q66">
            <v>0.84299999999999997</v>
          </cell>
          <cell r="R66">
            <v>0.98099999999999998</v>
          </cell>
        </row>
        <row r="67">
          <cell r="O67" t="str">
            <v xml:space="preserve"> 2017-09-04 </v>
          </cell>
          <cell r="P67">
            <v>0.70599999999999996</v>
          </cell>
          <cell r="Q67">
            <v>0.84399999999999997</v>
          </cell>
          <cell r="R67">
            <v>0.98199999999999998</v>
          </cell>
        </row>
        <row r="68">
          <cell r="O68" t="str">
            <v xml:space="preserve"> 2017-09-05 </v>
          </cell>
          <cell r="P68">
            <v>0.70799999999999996</v>
          </cell>
          <cell r="Q68">
            <v>0.84499999999999997</v>
          </cell>
          <cell r="R68">
            <v>0.98299999999999998</v>
          </cell>
        </row>
        <row r="69">
          <cell r="O69" t="str">
            <v xml:space="preserve"> 2017-09-06 </v>
          </cell>
          <cell r="P69">
            <v>0.71</v>
          </cell>
          <cell r="Q69">
            <v>0.84699999999999998</v>
          </cell>
          <cell r="R69">
            <v>0.98299999999999998</v>
          </cell>
        </row>
        <row r="70">
          <cell r="O70" t="str">
            <v xml:space="preserve"> 2017-09-07 </v>
          </cell>
          <cell r="P70">
            <v>0.71199999999999997</v>
          </cell>
          <cell r="Q70">
            <v>0.84799999999999998</v>
          </cell>
          <cell r="R70">
            <v>0.98399999999999999</v>
          </cell>
        </row>
        <row r="71">
          <cell r="O71" t="str">
            <v xml:space="preserve"> 2017-09-08 </v>
          </cell>
          <cell r="P71">
            <v>0.71399999999999997</v>
          </cell>
          <cell r="Q71">
            <v>0.84899999999999998</v>
          </cell>
          <cell r="R71">
            <v>0.98499999999999999</v>
          </cell>
        </row>
        <row r="72">
          <cell r="O72" t="str">
            <v xml:space="preserve"> 2017-09-09 </v>
          </cell>
          <cell r="P72">
            <v>0.71599999999999997</v>
          </cell>
          <cell r="Q72">
            <v>0.85099999999999998</v>
          </cell>
          <cell r="R72">
            <v>0.98499999999999999</v>
          </cell>
        </row>
        <row r="73">
          <cell r="O73" t="str">
            <v xml:space="preserve"> 2017-09-10 </v>
          </cell>
          <cell r="P73">
            <v>0.71799999999999997</v>
          </cell>
          <cell r="Q73">
            <v>0.85199999999999998</v>
          </cell>
          <cell r="R73">
            <v>0.98599999999999999</v>
          </cell>
        </row>
        <row r="74">
          <cell r="O74" t="str">
            <v xml:space="preserve"> 2017-09-11 </v>
          </cell>
          <cell r="P74">
            <v>0.72</v>
          </cell>
          <cell r="Q74">
            <v>0.85299999999999998</v>
          </cell>
          <cell r="R74">
            <v>0.98699999999999999</v>
          </cell>
        </row>
        <row r="75">
          <cell r="O75" t="str">
            <v xml:space="preserve"> 2017-09-12 </v>
          </cell>
          <cell r="P75">
            <v>0.72199999999999998</v>
          </cell>
          <cell r="Q75">
            <v>0.85499999999999998</v>
          </cell>
          <cell r="R75">
            <v>0.98699999999999999</v>
          </cell>
        </row>
        <row r="76">
          <cell r="O76" t="str">
            <v xml:space="preserve"> 2017-09-13 </v>
          </cell>
          <cell r="P76">
            <v>0.72399999999999998</v>
          </cell>
          <cell r="Q76">
            <v>0.85599999999999998</v>
          </cell>
          <cell r="R76">
            <v>0.98799999999999999</v>
          </cell>
        </row>
        <row r="77">
          <cell r="O77" t="str">
            <v xml:space="preserve"> 2017-09-14 </v>
          </cell>
          <cell r="P77">
            <v>0.72599999999999998</v>
          </cell>
          <cell r="Q77">
            <v>0.85699999999999998</v>
          </cell>
          <cell r="R77">
            <v>0.98899999999999999</v>
          </cell>
        </row>
        <row r="78">
          <cell r="O78" t="str">
            <v xml:space="preserve"> 2017-09-15 </v>
          </cell>
          <cell r="P78">
            <v>0.72799999999999998</v>
          </cell>
          <cell r="Q78">
            <v>0.85899999999999999</v>
          </cell>
          <cell r="R78">
            <v>0.98899999999999999</v>
          </cell>
        </row>
        <row r="79">
          <cell r="O79" t="str">
            <v xml:space="preserve"> 2017-09-16 </v>
          </cell>
          <cell r="P79">
            <v>0.73</v>
          </cell>
          <cell r="Q79">
            <v>0.86</v>
          </cell>
          <cell r="R79">
            <v>0.99</v>
          </cell>
        </row>
        <row r="80">
          <cell r="O80" t="str">
            <v xml:space="preserve"> 2017-09-17 </v>
          </cell>
          <cell r="P80">
            <v>0.73199999999999998</v>
          </cell>
          <cell r="Q80">
            <v>0.86099999999999999</v>
          </cell>
          <cell r="R80">
            <v>0.99099999999999999</v>
          </cell>
        </row>
        <row r="81">
          <cell r="O81" t="str">
            <v xml:space="preserve"> 2017-09-18 </v>
          </cell>
          <cell r="P81">
            <v>0.73399999999999999</v>
          </cell>
          <cell r="Q81">
            <v>0.86299999999999999</v>
          </cell>
          <cell r="R81">
            <v>0.99099999999999999</v>
          </cell>
        </row>
        <row r="82">
          <cell r="O82" t="str">
            <v xml:space="preserve"> 2017-09-19 </v>
          </cell>
          <cell r="P82">
            <v>0.73599999999999999</v>
          </cell>
          <cell r="Q82">
            <v>0.86399999999999999</v>
          </cell>
          <cell r="R82">
            <v>0.99199999999999999</v>
          </cell>
        </row>
        <row r="83">
          <cell r="O83" t="str">
            <v xml:space="preserve"> 2017-09-20 </v>
          </cell>
          <cell r="P83">
            <v>0.73799999999999999</v>
          </cell>
          <cell r="Q83">
            <v>0.86499999999999999</v>
          </cell>
          <cell r="R83">
            <v>0.99299999999999999</v>
          </cell>
        </row>
        <row r="84">
          <cell r="O84" t="str">
            <v xml:space="preserve"> 2017-09-21 </v>
          </cell>
          <cell r="P84">
            <v>0.74</v>
          </cell>
          <cell r="Q84">
            <v>0.86699999999999999</v>
          </cell>
          <cell r="R84">
            <v>0.99299999999999999</v>
          </cell>
        </row>
        <row r="85">
          <cell r="O85" t="str">
            <v xml:space="preserve"> 2017-09-22 </v>
          </cell>
          <cell r="P85">
            <v>0.74199999999999999</v>
          </cell>
          <cell r="Q85">
            <v>0.86799999999999999</v>
          </cell>
          <cell r="R85">
            <v>0.99399999999999999</v>
          </cell>
        </row>
        <row r="86">
          <cell r="O86" t="str">
            <v xml:space="preserve"> 2017-09-23 </v>
          </cell>
          <cell r="P86">
            <v>0.74399999999999999</v>
          </cell>
          <cell r="Q86">
            <v>0.86899999999999999</v>
          </cell>
          <cell r="R86">
            <v>0.995</v>
          </cell>
        </row>
        <row r="87">
          <cell r="O87" t="str">
            <v xml:space="preserve"> 2017-09-24 </v>
          </cell>
          <cell r="P87">
            <v>0.746</v>
          </cell>
          <cell r="Q87">
            <v>0.871</v>
          </cell>
          <cell r="R87">
            <v>0.995</v>
          </cell>
        </row>
        <row r="88">
          <cell r="O88" t="str">
            <v xml:space="preserve"> 2017-09-25 </v>
          </cell>
          <cell r="P88">
            <v>0.748</v>
          </cell>
          <cell r="Q88">
            <v>0.872</v>
          </cell>
          <cell r="R88">
            <v>0.996</v>
          </cell>
        </row>
        <row r="89">
          <cell r="O89" t="str">
            <v xml:space="preserve"> 2017-09-26 </v>
          </cell>
          <cell r="P89">
            <v>0.75</v>
          </cell>
          <cell r="Q89">
            <v>0.873</v>
          </cell>
          <cell r="R89">
            <v>0.997</v>
          </cell>
        </row>
        <row r="90">
          <cell r="O90" t="str">
            <v xml:space="preserve"> 2017-09-27 </v>
          </cell>
          <cell r="P90">
            <v>0.752</v>
          </cell>
          <cell r="Q90">
            <v>0.875</v>
          </cell>
          <cell r="R90">
            <v>0.997</v>
          </cell>
        </row>
        <row r="91">
          <cell r="O91" t="str">
            <v xml:space="preserve"> 2017-09-28 </v>
          </cell>
          <cell r="P91">
            <v>0.754</v>
          </cell>
          <cell r="Q91">
            <v>0.876</v>
          </cell>
          <cell r="R91">
            <v>0.998</v>
          </cell>
        </row>
        <row r="92">
          <cell r="O92" t="str">
            <v xml:space="preserve"> 2017-09-29 </v>
          </cell>
          <cell r="P92">
            <v>0.75600000000000001</v>
          </cell>
          <cell r="Q92">
            <v>0.877</v>
          </cell>
          <cell r="R92">
            <v>0.999</v>
          </cell>
        </row>
        <row r="93">
          <cell r="O93" t="str">
            <v xml:space="preserve"> 2017-09-30 </v>
          </cell>
          <cell r="P93">
            <v>0.75800000000000001</v>
          </cell>
          <cell r="Q93">
            <v>0.879</v>
          </cell>
          <cell r="R93">
            <v>0.999</v>
          </cell>
        </row>
        <row r="94">
          <cell r="O94" t="str">
            <v xml:space="preserve"> 2017-10-01 </v>
          </cell>
          <cell r="P94">
            <v>0.88</v>
          </cell>
          <cell r="Q94">
            <v>0.88</v>
          </cell>
          <cell r="R94">
            <v>0.88</v>
          </cell>
        </row>
        <row r="95">
          <cell r="O95" t="str">
            <v xml:space="preserve"> 2017-10-02 </v>
          </cell>
          <cell r="P95">
            <v>0.75800000000000001</v>
          </cell>
          <cell r="Q95">
            <v>0.878</v>
          </cell>
          <cell r="R95">
            <v>0.999</v>
          </cell>
        </row>
        <row r="96">
          <cell r="O96" t="str">
            <v xml:space="preserve"> 2017-10-03 </v>
          </cell>
          <cell r="P96">
            <v>0.755</v>
          </cell>
          <cell r="Q96">
            <v>0.876</v>
          </cell>
          <cell r="R96">
            <v>0.997</v>
          </cell>
        </row>
        <row r="97">
          <cell r="O97" t="str">
            <v xml:space="preserve"> 2017-10-04 </v>
          </cell>
          <cell r="P97">
            <v>0.753</v>
          </cell>
          <cell r="Q97">
            <v>0.875</v>
          </cell>
          <cell r="R97">
            <v>0.996</v>
          </cell>
        </row>
        <row r="98">
          <cell r="O98" t="str">
            <v xml:space="preserve"> 2017-10-05 </v>
          </cell>
          <cell r="P98">
            <v>0.751</v>
          </cell>
          <cell r="Q98">
            <v>0.873</v>
          </cell>
          <cell r="R98">
            <v>0.995</v>
          </cell>
        </row>
        <row r="99">
          <cell r="O99" t="str">
            <v xml:space="preserve"> 2017-10-06 </v>
          </cell>
          <cell r="P99">
            <v>0.749</v>
          </cell>
          <cell r="Q99">
            <v>0.871</v>
          </cell>
          <cell r="R99">
            <v>0.99399999999999999</v>
          </cell>
        </row>
        <row r="100">
          <cell r="O100" t="str">
            <v xml:space="preserve"> 2017-10-07 </v>
          </cell>
          <cell r="P100">
            <v>0.746</v>
          </cell>
          <cell r="Q100">
            <v>0.86899999999999999</v>
          </cell>
          <cell r="R100">
            <v>0.99199999999999999</v>
          </cell>
        </row>
        <row r="101">
          <cell r="O101" t="str">
            <v xml:space="preserve"> 2017-10-08 </v>
          </cell>
          <cell r="P101">
            <v>0.74399999999999999</v>
          </cell>
          <cell r="Q101">
            <v>0.86799999999999999</v>
          </cell>
          <cell r="R101">
            <v>0.99099999999999999</v>
          </cell>
        </row>
        <row r="102">
          <cell r="O102" t="str">
            <v xml:space="preserve"> 2017-10-09 </v>
          </cell>
          <cell r="P102">
            <v>0.74199999999999999</v>
          </cell>
          <cell r="Q102">
            <v>0.86599999999999999</v>
          </cell>
          <cell r="R102">
            <v>0.99</v>
          </cell>
        </row>
        <row r="103">
          <cell r="O103" t="str">
            <v xml:space="preserve"> 2017-10-10 </v>
          </cell>
          <cell r="P103">
            <v>0.74</v>
          </cell>
          <cell r="Q103">
            <v>0.86399999999999999</v>
          </cell>
          <cell r="R103">
            <v>0.98799999999999999</v>
          </cell>
        </row>
        <row r="104">
          <cell r="O104" t="str">
            <v xml:space="preserve"> 2017-10-11 </v>
          </cell>
          <cell r="P104">
            <v>0.73699999999999999</v>
          </cell>
          <cell r="Q104">
            <v>0.86199999999999999</v>
          </cell>
          <cell r="R104">
            <v>0.98699999999999999</v>
          </cell>
        </row>
        <row r="105">
          <cell r="O105" t="str">
            <v xml:space="preserve"> 2017-10-12 </v>
          </cell>
          <cell r="P105">
            <v>0.73499999999999999</v>
          </cell>
          <cell r="Q105">
            <v>0.86</v>
          </cell>
          <cell r="R105">
            <v>0.98599999999999999</v>
          </cell>
        </row>
        <row r="106">
          <cell r="O106" t="str">
            <v xml:space="preserve"> 2017-10-13 </v>
          </cell>
          <cell r="P106">
            <v>0.73299999999999998</v>
          </cell>
          <cell r="Q106">
            <v>0.85899999999999999</v>
          </cell>
          <cell r="R106">
            <v>0.98499999999999999</v>
          </cell>
        </row>
        <row r="107">
          <cell r="O107" t="str">
            <v xml:space="preserve"> 2017-10-14 </v>
          </cell>
          <cell r="P107">
            <v>0.73099999999999998</v>
          </cell>
          <cell r="Q107">
            <v>0.85699999999999998</v>
          </cell>
          <cell r="R107">
            <v>0.98299999999999998</v>
          </cell>
        </row>
        <row r="108">
          <cell r="O108" t="str">
            <v xml:space="preserve"> 2017-10-15 </v>
          </cell>
          <cell r="P108">
            <v>0.72799999999999998</v>
          </cell>
          <cell r="Q108">
            <v>0.85499999999999998</v>
          </cell>
          <cell r="R108">
            <v>0.98199999999999998</v>
          </cell>
        </row>
        <row r="109">
          <cell r="O109" t="str">
            <v xml:space="preserve"> 2017-10-16 </v>
          </cell>
          <cell r="P109">
            <v>0.72599999999999998</v>
          </cell>
          <cell r="Q109">
            <v>0.85299999999999998</v>
          </cell>
          <cell r="R109">
            <v>0.98099999999999998</v>
          </cell>
        </row>
        <row r="110">
          <cell r="O110" t="str">
            <v xml:space="preserve"> 2017-10-17 </v>
          </cell>
          <cell r="P110">
            <v>0.72399999999999998</v>
          </cell>
          <cell r="Q110">
            <v>0.85199999999999998</v>
          </cell>
          <cell r="R110">
            <v>0.97899999999999998</v>
          </cell>
        </row>
        <row r="111">
          <cell r="O111" t="str">
            <v xml:space="preserve"> 2017-10-18 </v>
          </cell>
          <cell r="P111">
            <v>0.72199999999999998</v>
          </cell>
          <cell r="Q111">
            <v>0.85</v>
          </cell>
          <cell r="R111">
            <v>0.97799999999999998</v>
          </cell>
        </row>
        <row r="112">
          <cell r="O112" t="str">
            <v xml:space="preserve"> 2017-10-19 </v>
          </cell>
          <cell r="P112">
            <v>0.71899999999999997</v>
          </cell>
          <cell r="Q112">
            <v>0.84799999999999998</v>
          </cell>
          <cell r="R112">
            <v>0.97699999999999998</v>
          </cell>
        </row>
        <row r="113">
          <cell r="O113" t="str">
            <v xml:space="preserve"> 2017-10-20 </v>
          </cell>
          <cell r="P113">
            <v>0.71699999999999997</v>
          </cell>
          <cell r="Q113">
            <v>0.84599999999999997</v>
          </cell>
          <cell r="R113">
            <v>0.97499999999999998</v>
          </cell>
        </row>
        <row r="114">
          <cell r="O114" t="str">
            <v xml:space="preserve"> 2017-10-21 </v>
          </cell>
          <cell r="P114">
            <v>0.71499999999999997</v>
          </cell>
          <cell r="Q114">
            <v>0.84499999999999997</v>
          </cell>
          <cell r="R114">
            <v>0.97399999999999998</v>
          </cell>
        </row>
        <row r="115">
          <cell r="O115" t="str">
            <v xml:space="preserve"> 2017-10-22 </v>
          </cell>
          <cell r="P115">
            <v>0.71299999999999997</v>
          </cell>
          <cell r="Q115">
            <v>0.84299999999999997</v>
          </cell>
          <cell r="R115">
            <v>0.97299999999999998</v>
          </cell>
        </row>
        <row r="116">
          <cell r="O116" t="str">
            <v xml:space="preserve"> 2017-10-23 </v>
          </cell>
          <cell r="P116">
            <v>0.71</v>
          </cell>
          <cell r="Q116">
            <v>0.84099999999999997</v>
          </cell>
          <cell r="R116">
            <v>0.97199999999999998</v>
          </cell>
        </row>
        <row r="117">
          <cell r="O117" t="str">
            <v xml:space="preserve"> 2017-10-24 </v>
          </cell>
          <cell r="P117">
            <v>0.70799999999999996</v>
          </cell>
          <cell r="Q117">
            <v>0.83899999999999997</v>
          </cell>
          <cell r="R117">
            <v>0.97</v>
          </cell>
        </row>
        <row r="118">
          <cell r="O118" t="str">
            <v xml:space="preserve"> 2017-10-25 </v>
          </cell>
          <cell r="P118">
            <v>0.70599999999999996</v>
          </cell>
          <cell r="Q118">
            <v>0.83699999999999997</v>
          </cell>
          <cell r="R118">
            <v>0.96899999999999997</v>
          </cell>
        </row>
        <row r="119">
          <cell r="O119" t="str">
            <v xml:space="preserve"> 2017-10-26 </v>
          </cell>
          <cell r="P119">
            <v>0.70399999999999996</v>
          </cell>
          <cell r="Q119">
            <v>0.83599999999999997</v>
          </cell>
          <cell r="R119">
            <v>0.96799999999999997</v>
          </cell>
        </row>
        <row r="120">
          <cell r="O120" t="str">
            <v xml:space="preserve"> 2017-10-27 </v>
          </cell>
          <cell r="P120">
            <v>0.70099999999999996</v>
          </cell>
          <cell r="Q120">
            <v>0.83399999999999996</v>
          </cell>
          <cell r="R120">
            <v>0.96599999999999997</v>
          </cell>
        </row>
        <row r="121">
          <cell r="O121" t="str">
            <v xml:space="preserve"> 2017-10-28 </v>
          </cell>
          <cell r="P121">
            <v>0.69899999999999995</v>
          </cell>
          <cell r="Q121">
            <v>0.83199999999999996</v>
          </cell>
          <cell r="R121">
            <v>0.96499999999999997</v>
          </cell>
        </row>
        <row r="122">
          <cell r="O122" t="str">
            <v xml:space="preserve"> 2017-10-29 </v>
          </cell>
          <cell r="P122">
            <v>0.69699999999999995</v>
          </cell>
          <cell r="Q122">
            <v>0.83</v>
          </cell>
          <cell r="R122">
            <v>0.96399999999999997</v>
          </cell>
        </row>
        <row r="123">
          <cell r="O123" t="str">
            <v xml:space="preserve"> 2017-10-30 </v>
          </cell>
          <cell r="P123">
            <v>0.69499999999999995</v>
          </cell>
          <cell r="Q123">
            <v>0.82899999999999996</v>
          </cell>
          <cell r="R123">
            <v>0.96299999999999997</v>
          </cell>
        </row>
        <row r="124">
          <cell r="O124" t="str">
            <v xml:space="preserve"> 2017-10-31 </v>
          </cell>
          <cell r="P124">
            <v>0.69199999999999995</v>
          </cell>
          <cell r="Q124">
            <v>0.82699999999999996</v>
          </cell>
          <cell r="R124">
            <v>0.96099999999999997</v>
          </cell>
        </row>
        <row r="125">
          <cell r="O125" t="str">
            <v xml:space="preserve"> 2017-11-01 </v>
          </cell>
          <cell r="P125">
            <v>0.69</v>
          </cell>
          <cell r="Q125">
            <v>0.82499999999999996</v>
          </cell>
          <cell r="R125">
            <v>0.96</v>
          </cell>
        </row>
        <row r="126">
          <cell r="O126" t="str">
            <v xml:space="preserve"> 2017-11-02 </v>
          </cell>
          <cell r="P126">
            <v>0.68400000000000005</v>
          </cell>
          <cell r="Q126">
            <v>0.82099999999999995</v>
          </cell>
          <cell r="R126">
            <v>0.95699999999999996</v>
          </cell>
        </row>
        <row r="127">
          <cell r="O127" t="str">
            <v xml:space="preserve"> 2017-11-03 </v>
          </cell>
          <cell r="P127">
            <v>0.67900000000000005</v>
          </cell>
          <cell r="Q127">
            <v>0.81599999999999995</v>
          </cell>
          <cell r="R127">
            <v>0.95299999999999996</v>
          </cell>
        </row>
        <row r="128">
          <cell r="O128" t="str">
            <v xml:space="preserve"> 2017-11-04 </v>
          </cell>
          <cell r="P128">
            <v>0.67300000000000004</v>
          </cell>
          <cell r="Q128">
            <v>0.81200000000000006</v>
          </cell>
          <cell r="R128">
            <v>0.95</v>
          </cell>
        </row>
        <row r="129">
          <cell r="O129" t="str">
            <v xml:space="preserve"> 2017-11-05 </v>
          </cell>
          <cell r="P129">
            <v>0.66700000000000004</v>
          </cell>
          <cell r="Q129">
            <v>0.80700000000000005</v>
          </cell>
          <cell r="R129">
            <v>0.94699999999999995</v>
          </cell>
        </row>
        <row r="130">
          <cell r="O130" t="str">
            <v xml:space="preserve"> 2017-11-06 </v>
          </cell>
          <cell r="P130">
            <v>0.66200000000000003</v>
          </cell>
          <cell r="Q130">
            <v>0.80300000000000005</v>
          </cell>
          <cell r="R130">
            <v>0.94299999999999995</v>
          </cell>
        </row>
        <row r="131">
          <cell r="O131" t="str">
            <v xml:space="preserve"> 2017-11-07 </v>
          </cell>
          <cell r="P131">
            <v>0.65600000000000003</v>
          </cell>
          <cell r="Q131">
            <v>0.79800000000000004</v>
          </cell>
          <cell r="R131">
            <v>0.94</v>
          </cell>
        </row>
        <row r="132">
          <cell r="O132" t="str">
            <v xml:space="preserve"> 2017-11-08 </v>
          </cell>
          <cell r="P132">
            <v>0.65</v>
          </cell>
          <cell r="Q132">
            <v>0.79400000000000004</v>
          </cell>
          <cell r="R132">
            <v>0.93700000000000006</v>
          </cell>
        </row>
        <row r="133">
          <cell r="O133" t="str">
            <v xml:space="preserve"> 2017-11-09 </v>
          </cell>
          <cell r="P133">
            <v>0.64500000000000002</v>
          </cell>
          <cell r="Q133">
            <v>0.78900000000000003</v>
          </cell>
          <cell r="R133">
            <v>0.93300000000000005</v>
          </cell>
        </row>
        <row r="134">
          <cell r="O134" t="str">
            <v xml:space="preserve"> 2017-11-10 </v>
          </cell>
          <cell r="P134">
            <v>0.63900000000000001</v>
          </cell>
          <cell r="Q134">
            <v>0.78500000000000003</v>
          </cell>
          <cell r="R134">
            <v>0.93</v>
          </cell>
        </row>
        <row r="135">
          <cell r="O135" t="str">
            <v xml:space="preserve"> 2017-11-11 </v>
          </cell>
          <cell r="P135">
            <v>0.63300000000000001</v>
          </cell>
          <cell r="Q135">
            <v>0.78</v>
          </cell>
          <cell r="R135">
            <v>0.92700000000000005</v>
          </cell>
        </row>
        <row r="136">
          <cell r="O136" t="str">
            <v xml:space="preserve"> 2017-11-12 </v>
          </cell>
          <cell r="P136">
            <v>0.628</v>
          </cell>
          <cell r="Q136">
            <v>0.77600000000000002</v>
          </cell>
          <cell r="R136">
            <v>0.92300000000000004</v>
          </cell>
        </row>
        <row r="137">
          <cell r="O137" t="str">
            <v xml:space="preserve"> 2017-11-13 </v>
          </cell>
          <cell r="P137">
            <v>0.622</v>
          </cell>
          <cell r="Q137">
            <v>0.77100000000000002</v>
          </cell>
          <cell r="R137">
            <v>0.92</v>
          </cell>
        </row>
        <row r="138">
          <cell r="O138" t="str">
            <v xml:space="preserve"> 2017-11-14 </v>
          </cell>
          <cell r="P138">
            <v>0.61599999999999999</v>
          </cell>
          <cell r="Q138">
            <v>0.76700000000000002</v>
          </cell>
          <cell r="R138">
            <v>0.91700000000000004</v>
          </cell>
        </row>
        <row r="139">
          <cell r="O139" t="str">
            <v xml:space="preserve"> 2017-11-15 </v>
          </cell>
          <cell r="P139">
            <v>0.61099999999999999</v>
          </cell>
          <cell r="Q139">
            <v>0.76200000000000001</v>
          </cell>
          <cell r="R139">
            <v>0.91300000000000003</v>
          </cell>
        </row>
        <row r="140">
          <cell r="O140" t="str">
            <v xml:space="preserve"> 2017-11-16 </v>
          </cell>
          <cell r="P140">
            <v>0.60499999999999998</v>
          </cell>
          <cell r="Q140">
            <v>0.75800000000000001</v>
          </cell>
          <cell r="R140">
            <v>0.91</v>
          </cell>
        </row>
        <row r="141">
          <cell r="O141" t="str">
            <v xml:space="preserve"> 2017-11-17 </v>
          </cell>
          <cell r="P141">
            <v>0.59899999999999998</v>
          </cell>
          <cell r="Q141">
            <v>0.753</v>
          </cell>
          <cell r="R141">
            <v>0.90700000000000003</v>
          </cell>
        </row>
        <row r="142">
          <cell r="O142" t="str">
            <v xml:space="preserve"> 2017-11-18 </v>
          </cell>
          <cell r="P142">
            <v>0.59399999999999997</v>
          </cell>
          <cell r="Q142">
            <v>0.749</v>
          </cell>
          <cell r="R142">
            <v>0.90300000000000002</v>
          </cell>
        </row>
        <row r="143">
          <cell r="O143" t="str">
            <v xml:space="preserve"> 2017-11-19 </v>
          </cell>
          <cell r="P143">
            <v>0.58799999999999997</v>
          </cell>
          <cell r="Q143">
            <v>0.74399999999999999</v>
          </cell>
          <cell r="R143">
            <v>0.9</v>
          </cell>
        </row>
        <row r="144">
          <cell r="O144" t="str">
            <v xml:space="preserve"> 2017-11-20 </v>
          </cell>
          <cell r="P144">
            <v>0.58199999999999996</v>
          </cell>
          <cell r="Q144">
            <v>0.74</v>
          </cell>
          <cell r="R144">
            <v>0.89700000000000002</v>
          </cell>
        </row>
        <row r="145">
          <cell r="O145" t="str">
            <v xml:space="preserve"> 2017-11-21 </v>
          </cell>
          <cell r="P145">
            <v>0.57699999999999996</v>
          </cell>
          <cell r="Q145">
            <v>0.73499999999999999</v>
          </cell>
          <cell r="R145">
            <v>0.89300000000000002</v>
          </cell>
        </row>
        <row r="146">
          <cell r="O146" t="str">
            <v xml:space="preserve"> 2017-11-22 </v>
          </cell>
          <cell r="P146">
            <v>0.57099999999999995</v>
          </cell>
          <cell r="Q146">
            <v>0.73099999999999998</v>
          </cell>
          <cell r="R146">
            <v>0.89</v>
          </cell>
        </row>
        <row r="147">
          <cell r="O147" t="str">
            <v xml:space="preserve"> 2017-11-23 </v>
          </cell>
          <cell r="P147">
            <v>0.56499999999999995</v>
          </cell>
          <cell r="Q147">
            <v>0.72599999999999998</v>
          </cell>
          <cell r="R147">
            <v>0.88700000000000001</v>
          </cell>
        </row>
        <row r="148">
          <cell r="O148" t="str">
            <v xml:space="preserve"> 2017-11-24 </v>
          </cell>
          <cell r="P148">
            <v>0.56000000000000005</v>
          </cell>
          <cell r="Q148">
            <v>0.72199999999999998</v>
          </cell>
          <cell r="R148">
            <v>0.88300000000000001</v>
          </cell>
        </row>
        <row r="149">
          <cell r="O149" t="str">
            <v xml:space="preserve"> 2017-11-25 </v>
          </cell>
          <cell r="P149">
            <v>0.55400000000000005</v>
          </cell>
          <cell r="Q149">
            <v>0.71699999999999997</v>
          </cell>
          <cell r="R149">
            <v>0.88</v>
          </cell>
        </row>
        <row r="150">
          <cell r="O150" t="str">
            <v xml:space="preserve"> 2017-11-26 </v>
          </cell>
          <cell r="P150">
            <v>0.54800000000000004</v>
          </cell>
          <cell r="Q150">
            <v>0.71299999999999997</v>
          </cell>
          <cell r="R150">
            <v>0.877</v>
          </cell>
        </row>
        <row r="151">
          <cell r="O151" t="str">
            <v xml:space="preserve"> 2017-11-27 </v>
          </cell>
          <cell r="P151">
            <v>0.54300000000000004</v>
          </cell>
          <cell r="Q151">
            <v>0.70799999999999996</v>
          </cell>
          <cell r="R151">
            <v>0.873</v>
          </cell>
        </row>
        <row r="152">
          <cell r="O152" t="str">
            <v xml:space="preserve"> 2017-11-28 </v>
          </cell>
          <cell r="P152">
            <v>0.53700000000000003</v>
          </cell>
          <cell r="Q152">
            <v>0.70399999999999996</v>
          </cell>
          <cell r="R152">
            <v>0.87</v>
          </cell>
        </row>
        <row r="153">
          <cell r="O153" t="str">
            <v xml:space="preserve"> 2017-11-29 </v>
          </cell>
          <cell r="P153">
            <v>0.53100000000000003</v>
          </cell>
          <cell r="Q153">
            <v>0.69899999999999995</v>
          </cell>
          <cell r="R153">
            <v>0.86699999999999999</v>
          </cell>
        </row>
        <row r="154">
          <cell r="O154" t="str">
            <v xml:space="preserve"> 2017-11-30 </v>
          </cell>
          <cell r="P154">
            <v>0.52600000000000002</v>
          </cell>
          <cell r="Q154">
            <v>0.69499999999999995</v>
          </cell>
          <cell r="R154">
            <v>0.86299999999999999</v>
          </cell>
        </row>
        <row r="155">
          <cell r="O155" t="str">
            <v xml:space="preserve"> 2017-12-01 </v>
          </cell>
          <cell r="P155">
            <v>0.52</v>
          </cell>
          <cell r="Q155">
            <v>0.69</v>
          </cell>
          <cell r="R155">
            <v>0.86</v>
          </cell>
        </row>
        <row r="156">
          <cell r="O156" t="str">
            <v xml:space="preserve"> 2017-12-02 </v>
          </cell>
          <cell r="P156">
            <v>0.51400000000000001</v>
          </cell>
          <cell r="Q156">
            <v>0.68500000000000005</v>
          </cell>
          <cell r="R156">
            <v>0.85599999999999998</v>
          </cell>
        </row>
        <row r="157">
          <cell r="O157" t="str">
            <v xml:space="preserve"> 2017-12-03 </v>
          </cell>
          <cell r="P157">
            <v>0.50700000000000001</v>
          </cell>
          <cell r="Q157">
            <v>0.67900000000000005</v>
          </cell>
          <cell r="R157">
            <v>0.85199999999999998</v>
          </cell>
        </row>
        <row r="158">
          <cell r="O158" t="str">
            <v xml:space="preserve"> 2017-12-04 </v>
          </cell>
          <cell r="P158">
            <v>0.501</v>
          </cell>
          <cell r="Q158">
            <v>0.67400000000000004</v>
          </cell>
          <cell r="R158">
            <v>0.84699999999999998</v>
          </cell>
        </row>
        <row r="159">
          <cell r="O159" t="str">
            <v xml:space="preserve"> 2017-12-05 </v>
          </cell>
          <cell r="P159">
            <v>0.49399999999999999</v>
          </cell>
          <cell r="Q159">
            <v>0.66900000000000004</v>
          </cell>
          <cell r="R159">
            <v>0.84299999999999997</v>
          </cell>
        </row>
        <row r="160">
          <cell r="O160" t="str">
            <v xml:space="preserve"> 2017-12-06 </v>
          </cell>
          <cell r="P160">
            <v>0.48799999999999999</v>
          </cell>
          <cell r="Q160">
            <v>0.66300000000000003</v>
          </cell>
          <cell r="R160">
            <v>0.83899999999999997</v>
          </cell>
        </row>
        <row r="161">
          <cell r="O161" t="str">
            <v xml:space="preserve"> 2017-12-07 </v>
          </cell>
          <cell r="P161">
            <v>0.48099999999999998</v>
          </cell>
          <cell r="Q161">
            <v>0.65800000000000003</v>
          </cell>
          <cell r="R161">
            <v>0.83499999999999996</v>
          </cell>
        </row>
        <row r="162">
          <cell r="O162" t="str">
            <v xml:space="preserve"> 2017-12-08 </v>
          </cell>
          <cell r="P162">
            <v>0.47499999999999998</v>
          </cell>
          <cell r="Q162">
            <v>0.65300000000000002</v>
          </cell>
          <cell r="R162">
            <v>0.83099999999999996</v>
          </cell>
        </row>
        <row r="163">
          <cell r="O163" t="str">
            <v xml:space="preserve"> 2017-12-09 </v>
          </cell>
          <cell r="P163">
            <v>0.46800000000000003</v>
          </cell>
          <cell r="Q163">
            <v>0.64700000000000002</v>
          </cell>
          <cell r="R163">
            <v>0.82599999999999996</v>
          </cell>
        </row>
        <row r="164">
          <cell r="O164" t="str">
            <v xml:space="preserve"> 2017-12-10 </v>
          </cell>
          <cell r="P164">
            <v>0.46200000000000002</v>
          </cell>
          <cell r="Q164">
            <v>0.64200000000000002</v>
          </cell>
          <cell r="R164">
            <v>0.82199999999999995</v>
          </cell>
        </row>
        <row r="165">
          <cell r="O165" t="str">
            <v xml:space="preserve"> 2017-12-11 </v>
          </cell>
          <cell r="P165">
            <v>0.45500000000000002</v>
          </cell>
          <cell r="Q165">
            <v>0.63700000000000001</v>
          </cell>
          <cell r="R165">
            <v>0.81799999999999995</v>
          </cell>
        </row>
        <row r="166">
          <cell r="O166" t="str">
            <v xml:space="preserve"> 2017-12-12 </v>
          </cell>
          <cell r="P166">
            <v>0.44900000000000001</v>
          </cell>
          <cell r="Q166">
            <v>0.63100000000000001</v>
          </cell>
          <cell r="R166">
            <v>0.81399999999999995</v>
          </cell>
        </row>
        <row r="167">
          <cell r="O167" t="str">
            <v xml:space="preserve"> 2017-12-13 </v>
          </cell>
          <cell r="P167">
            <v>0.443</v>
          </cell>
          <cell r="Q167">
            <v>0.626</v>
          </cell>
          <cell r="R167">
            <v>0.81</v>
          </cell>
        </row>
        <row r="168">
          <cell r="O168" t="str">
            <v xml:space="preserve"> 2017-12-14 </v>
          </cell>
          <cell r="P168">
            <v>0.436</v>
          </cell>
          <cell r="Q168">
            <v>0.621</v>
          </cell>
          <cell r="R168">
            <v>0.80500000000000005</v>
          </cell>
        </row>
        <row r="169">
          <cell r="O169" t="str">
            <v xml:space="preserve"> 2017-12-15 </v>
          </cell>
          <cell r="P169">
            <v>0.43</v>
          </cell>
          <cell r="Q169">
            <v>0.61499999999999999</v>
          </cell>
          <cell r="R169">
            <v>0.80100000000000005</v>
          </cell>
        </row>
        <row r="170">
          <cell r="O170" t="str">
            <v xml:space="preserve"> 2017-12-16 </v>
          </cell>
          <cell r="P170">
            <v>0.42299999999999999</v>
          </cell>
          <cell r="Q170">
            <v>0.61</v>
          </cell>
          <cell r="R170">
            <v>0.79700000000000004</v>
          </cell>
        </row>
        <row r="171">
          <cell r="O171" t="str">
            <v xml:space="preserve"> 2017-12-17 </v>
          </cell>
          <cell r="P171">
            <v>0.41699999999999998</v>
          </cell>
          <cell r="Q171">
            <v>0.60499999999999998</v>
          </cell>
          <cell r="R171">
            <v>0.79300000000000004</v>
          </cell>
        </row>
        <row r="172">
          <cell r="O172" t="str">
            <v xml:space="preserve"> 2017-12-18 </v>
          </cell>
          <cell r="P172">
            <v>0.41</v>
          </cell>
          <cell r="Q172">
            <v>0.6</v>
          </cell>
          <cell r="R172">
            <v>0.78900000000000003</v>
          </cell>
        </row>
        <row r="173">
          <cell r="O173" t="str">
            <v xml:space="preserve"> 2017-12-19 </v>
          </cell>
          <cell r="P173">
            <v>0.40400000000000003</v>
          </cell>
          <cell r="Q173">
            <v>0.59399999999999997</v>
          </cell>
          <cell r="R173">
            <v>0.78500000000000003</v>
          </cell>
        </row>
        <row r="174">
          <cell r="O174" t="str">
            <v xml:space="preserve"> 2017-12-20 </v>
          </cell>
          <cell r="P174">
            <v>0.39700000000000002</v>
          </cell>
          <cell r="Q174">
            <v>0.58899999999999997</v>
          </cell>
          <cell r="R174">
            <v>0.78</v>
          </cell>
        </row>
        <row r="175">
          <cell r="O175" t="str">
            <v xml:space="preserve"> 2017-12-21 </v>
          </cell>
          <cell r="P175">
            <v>0.39100000000000001</v>
          </cell>
          <cell r="Q175">
            <v>0.58399999999999996</v>
          </cell>
          <cell r="R175">
            <v>0.77600000000000002</v>
          </cell>
        </row>
        <row r="176">
          <cell r="O176" t="str">
            <v xml:space="preserve"> 2017-12-22 </v>
          </cell>
          <cell r="P176">
            <v>0.38500000000000001</v>
          </cell>
          <cell r="Q176">
            <v>0.57799999999999996</v>
          </cell>
          <cell r="R176">
            <v>0.77200000000000002</v>
          </cell>
        </row>
        <row r="177">
          <cell r="O177" t="str">
            <v xml:space="preserve"> 2017-12-23 </v>
          </cell>
          <cell r="P177">
            <v>0.378</v>
          </cell>
          <cell r="Q177">
            <v>0.57299999999999995</v>
          </cell>
          <cell r="R177">
            <v>0.76800000000000002</v>
          </cell>
        </row>
        <row r="178">
          <cell r="O178" t="str">
            <v xml:space="preserve"> 2017-12-24 </v>
          </cell>
          <cell r="P178">
            <v>0.372</v>
          </cell>
          <cell r="Q178">
            <v>0.56799999999999995</v>
          </cell>
          <cell r="R178">
            <v>0.76400000000000001</v>
          </cell>
        </row>
        <row r="179">
          <cell r="O179" t="str">
            <v xml:space="preserve"> 2017-12-25 </v>
          </cell>
          <cell r="P179">
            <v>0.36499999999999999</v>
          </cell>
          <cell r="Q179">
            <v>0.56200000000000006</v>
          </cell>
          <cell r="R179">
            <v>0.75900000000000001</v>
          </cell>
        </row>
        <row r="180">
          <cell r="O180" t="str">
            <v xml:space="preserve"> 2017-12-26 </v>
          </cell>
          <cell r="P180">
            <v>0.35899999999999999</v>
          </cell>
          <cell r="Q180">
            <v>0.55700000000000005</v>
          </cell>
          <cell r="R180">
            <v>0.755</v>
          </cell>
        </row>
        <row r="181">
          <cell r="O181" t="str">
            <v xml:space="preserve"> 2017-12-27 </v>
          </cell>
          <cell r="P181">
            <v>0.35199999999999998</v>
          </cell>
          <cell r="Q181">
            <v>0.55200000000000005</v>
          </cell>
          <cell r="R181">
            <v>0.751</v>
          </cell>
        </row>
        <row r="182">
          <cell r="O182" t="str">
            <v xml:space="preserve"> 2017-12-28 </v>
          </cell>
          <cell r="P182">
            <v>0.34599999999999997</v>
          </cell>
          <cell r="Q182">
            <v>0.54600000000000004</v>
          </cell>
          <cell r="R182">
            <v>0.747</v>
          </cell>
        </row>
        <row r="183">
          <cell r="O183" t="str">
            <v xml:space="preserve"> 2017-12-29 </v>
          </cell>
          <cell r="P183">
            <v>0.33900000000000002</v>
          </cell>
          <cell r="Q183">
            <v>0.54100000000000004</v>
          </cell>
          <cell r="R183">
            <v>0.74299999999999999</v>
          </cell>
        </row>
        <row r="184">
          <cell r="O184" t="str">
            <v xml:space="preserve"> 2017-12-30 </v>
          </cell>
          <cell r="P184">
            <v>0.33300000000000002</v>
          </cell>
          <cell r="Q184">
            <v>0.53600000000000003</v>
          </cell>
          <cell r="R184">
            <v>0.73799999999999999</v>
          </cell>
        </row>
        <row r="185">
          <cell r="O185" t="str">
            <v xml:space="preserve"> 2017-12-31 </v>
          </cell>
          <cell r="P185">
            <v>0.32600000000000001</v>
          </cell>
          <cell r="Q185">
            <v>0.53</v>
          </cell>
          <cell r="R185">
            <v>0.73399999999999999</v>
          </cell>
        </row>
        <row r="186">
          <cell r="O186" t="str">
            <v xml:space="preserve"> 2018-01-01 </v>
          </cell>
          <cell r="P186">
            <v>0.32</v>
          </cell>
          <cell r="Q186">
            <v>0.52500000000000002</v>
          </cell>
          <cell r="R186">
            <v>0.73</v>
          </cell>
        </row>
        <row r="187">
          <cell r="O187" t="str">
            <v xml:space="preserve"> 2018-01-02 </v>
          </cell>
          <cell r="P187">
            <v>0.315</v>
          </cell>
          <cell r="Q187">
            <v>0.52100000000000002</v>
          </cell>
          <cell r="R187">
            <v>0.72699999999999998</v>
          </cell>
        </row>
        <row r="188">
          <cell r="O188" t="str">
            <v xml:space="preserve"> 2018-01-03 </v>
          </cell>
          <cell r="P188">
            <v>0.309</v>
          </cell>
          <cell r="Q188">
            <v>0.51600000000000001</v>
          </cell>
          <cell r="R188">
            <v>0.72399999999999998</v>
          </cell>
        </row>
        <row r="189">
          <cell r="O189" t="str">
            <v xml:space="preserve"> 2018-01-04 </v>
          </cell>
          <cell r="P189">
            <v>0.30399999999999999</v>
          </cell>
          <cell r="Q189">
            <v>0.51200000000000001</v>
          </cell>
          <cell r="R189">
            <v>0.72</v>
          </cell>
        </row>
        <row r="190">
          <cell r="O190" t="str">
            <v xml:space="preserve"> 2018-01-05 </v>
          </cell>
          <cell r="P190">
            <v>0.29799999999999999</v>
          </cell>
          <cell r="Q190">
            <v>0.50800000000000001</v>
          </cell>
          <cell r="R190">
            <v>0.71699999999999997</v>
          </cell>
        </row>
        <row r="191">
          <cell r="O191" t="str">
            <v xml:space="preserve"> 2018-01-06 </v>
          </cell>
          <cell r="P191">
            <v>0.29299999999999998</v>
          </cell>
          <cell r="Q191">
            <v>0.503</v>
          </cell>
          <cell r="R191">
            <v>0.71399999999999997</v>
          </cell>
        </row>
        <row r="192">
          <cell r="O192" t="str">
            <v xml:space="preserve"> 2018-01-07 </v>
          </cell>
          <cell r="P192">
            <v>0.28699999999999998</v>
          </cell>
          <cell r="Q192">
            <v>0.499</v>
          </cell>
          <cell r="R192">
            <v>0.71099999999999997</v>
          </cell>
        </row>
        <row r="193">
          <cell r="O193" t="str">
            <v xml:space="preserve"> 2018-01-08 </v>
          </cell>
          <cell r="P193">
            <v>0.28199999999999997</v>
          </cell>
          <cell r="Q193">
            <v>0.495</v>
          </cell>
          <cell r="R193">
            <v>0.70699999999999996</v>
          </cell>
        </row>
        <row r="194">
          <cell r="O194" t="str">
            <v xml:space="preserve"> 2018-01-09 </v>
          </cell>
          <cell r="P194">
            <v>0.27600000000000002</v>
          </cell>
          <cell r="Q194">
            <v>0.49</v>
          </cell>
          <cell r="R194">
            <v>0.70399999999999996</v>
          </cell>
        </row>
        <row r="195">
          <cell r="O195" t="str">
            <v xml:space="preserve"> 2018-01-10 </v>
          </cell>
          <cell r="P195">
            <v>0.27100000000000002</v>
          </cell>
          <cell r="Q195">
            <v>0.48599999999999999</v>
          </cell>
          <cell r="R195">
            <v>0.70099999999999996</v>
          </cell>
        </row>
        <row r="196">
          <cell r="O196" t="str">
            <v xml:space="preserve"> 2018-01-11 </v>
          </cell>
          <cell r="P196">
            <v>0.26500000000000001</v>
          </cell>
          <cell r="Q196">
            <v>0.48099999999999998</v>
          </cell>
          <cell r="R196">
            <v>0.69799999999999995</v>
          </cell>
        </row>
        <row r="197">
          <cell r="O197" t="str">
            <v xml:space="preserve"> 2018-01-12 </v>
          </cell>
          <cell r="P197">
            <v>0.26</v>
          </cell>
          <cell r="Q197">
            <v>0.47699999999999998</v>
          </cell>
          <cell r="R197">
            <v>0.69499999999999995</v>
          </cell>
        </row>
        <row r="198">
          <cell r="O198" t="str">
            <v xml:space="preserve"> 2018-01-13 </v>
          </cell>
          <cell r="P198">
            <v>0.254</v>
          </cell>
          <cell r="Q198">
            <v>0.47299999999999998</v>
          </cell>
          <cell r="R198">
            <v>0.69099999999999995</v>
          </cell>
        </row>
        <row r="199">
          <cell r="O199" t="str">
            <v xml:space="preserve"> 2018-01-14 </v>
          </cell>
          <cell r="P199">
            <v>0.249</v>
          </cell>
          <cell r="Q199">
            <v>0.46800000000000003</v>
          </cell>
          <cell r="R199">
            <v>0.68799999999999994</v>
          </cell>
        </row>
        <row r="200">
          <cell r="O200" t="str">
            <v xml:space="preserve"> 2018-01-15 </v>
          </cell>
          <cell r="P200">
            <v>0.24299999999999999</v>
          </cell>
          <cell r="Q200">
            <v>0.46400000000000002</v>
          </cell>
          <cell r="R200">
            <v>0.68500000000000005</v>
          </cell>
        </row>
        <row r="201">
          <cell r="O201" t="str">
            <v xml:space="preserve"> 2018-01-16 </v>
          </cell>
          <cell r="P201">
            <v>0.23799999999999999</v>
          </cell>
          <cell r="Q201">
            <v>0.46</v>
          </cell>
          <cell r="R201">
            <v>0.68200000000000005</v>
          </cell>
        </row>
        <row r="202">
          <cell r="O202" t="str">
            <v xml:space="preserve"> 2018-01-17 </v>
          </cell>
          <cell r="P202">
            <v>0.23200000000000001</v>
          </cell>
          <cell r="Q202">
            <v>0.45500000000000002</v>
          </cell>
          <cell r="R202">
            <v>0.67800000000000005</v>
          </cell>
        </row>
        <row r="203">
          <cell r="O203" t="str">
            <v xml:space="preserve"> 2018-01-18 </v>
          </cell>
          <cell r="P203">
            <v>0.22700000000000001</v>
          </cell>
          <cell r="Q203">
            <v>0.45100000000000001</v>
          </cell>
          <cell r="R203">
            <v>0.67500000000000004</v>
          </cell>
        </row>
        <row r="204">
          <cell r="O204" t="str">
            <v xml:space="preserve"> 2018-01-19 </v>
          </cell>
          <cell r="P204">
            <v>0.221</v>
          </cell>
          <cell r="Q204">
            <v>0.44700000000000001</v>
          </cell>
          <cell r="R204">
            <v>0.67200000000000004</v>
          </cell>
        </row>
        <row r="205">
          <cell r="O205" t="str">
            <v xml:space="preserve"> 2018-01-20 </v>
          </cell>
          <cell r="P205">
            <v>0.216</v>
          </cell>
          <cell r="Q205">
            <v>0.442</v>
          </cell>
          <cell r="R205">
            <v>0.66900000000000004</v>
          </cell>
        </row>
        <row r="206">
          <cell r="O206" t="str">
            <v xml:space="preserve"> 2018-01-21 </v>
          </cell>
          <cell r="P206">
            <v>0.21</v>
          </cell>
          <cell r="Q206">
            <v>0.438</v>
          </cell>
          <cell r="R206">
            <v>0.66500000000000004</v>
          </cell>
        </row>
        <row r="207">
          <cell r="O207" t="str">
            <v xml:space="preserve"> 2018-01-22 </v>
          </cell>
          <cell r="P207">
            <v>0.20499999999999999</v>
          </cell>
          <cell r="Q207">
            <v>0.434</v>
          </cell>
          <cell r="R207">
            <v>0.66200000000000003</v>
          </cell>
        </row>
        <row r="208">
          <cell r="O208" t="str">
            <v xml:space="preserve"> 2018-01-23 </v>
          </cell>
          <cell r="P208">
            <v>0.19900000000000001</v>
          </cell>
          <cell r="Q208">
            <v>0.42899999999999999</v>
          </cell>
          <cell r="R208">
            <v>0.65900000000000003</v>
          </cell>
        </row>
        <row r="209">
          <cell r="O209" t="str">
            <v xml:space="preserve"> 2018-01-24 </v>
          </cell>
          <cell r="P209">
            <v>0.19400000000000001</v>
          </cell>
          <cell r="Q209">
            <v>0.42499999999999999</v>
          </cell>
          <cell r="R209">
            <v>0.65600000000000003</v>
          </cell>
        </row>
        <row r="210">
          <cell r="O210" t="str">
            <v xml:space="preserve"> 2018-01-25 </v>
          </cell>
          <cell r="P210">
            <v>0.188</v>
          </cell>
          <cell r="Q210">
            <v>0.42</v>
          </cell>
          <cell r="R210">
            <v>0.65300000000000002</v>
          </cell>
        </row>
        <row r="211">
          <cell r="O211" t="str">
            <v xml:space="preserve"> 2018-01-26 </v>
          </cell>
          <cell r="P211">
            <v>0.183</v>
          </cell>
          <cell r="Q211">
            <v>0.41599999999999998</v>
          </cell>
          <cell r="R211">
            <v>0.64900000000000002</v>
          </cell>
        </row>
        <row r="212">
          <cell r="O212" t="str">
            <v xml:space="preserve"> 2018-01-27 </v>
          </cell>
          <cell r="P212">
            <v>0.17699999999999999</v>
          </cell>
          <cell r="Q212">
            <v>0.41199999999999998</v>
          </cell>
          <cell r="R212">
            <v>0.64600000000000002</v>
          </cell>
        </row>
        <row r="213">
          <cell r="O213" t="str">
            <v xml:space="preserve"> 2018-01-28 </v>
          </cell>
          <cell r="P213">
            <v>0.17199999999999999</v>
          </cell>
          <cell r="Q213">
            <v>0.40699999999999997</v>
          </cell>
          <cell r="R213">
            <v>0.64300000000000002</v>
          </cell>
        </row>
        <row r="214">
          <cell r="O214" t="str">
            <v xml:space="preserve"> 2018-01-29 </v>
          </cell>
          <cell r="P214">
            <v>0.16600000000000001</v>
          </cell>
          <cell r="Q214">
            <v>0.40300000000000002</v>
          </cell>
          <cell r="R214">
            <v>0.64</v>
          </cell>
        </row>
        <row r="215">
          <cell r="O215" t="str">
            <v xml:space="preserve"> 2018-01-30 </v>
          </cell>
          <cell r="P215">
            <v>0.161</v>
          </cell>
          <cell r="Q215">
            <v>0.39900000000000002</v>
          </cell>
          <cell r="R215">
            <v>0.63600000000000001</v>
          </cell>
        </row>
        <row r="216">
          <cell r="O216" t="str">
            <v xml:space="preserve"> 2018-01-31 </v>
          </cell>
          <cell r="P216">
            <v>0.155</v>
          </cell>
          <cell r="Q216">
            <v>0.39400000000000002</v>
          </cell>
          <cell r="R216">
            <v>0.63300000000000001</v>
          </cell>
        </row>
        <row r="217">
          <cell r="O217" t="str">
            <v xml:space="preserve"> 2018-02-01 </v>
          </cell>
          <cell r="P217">
            <v>0.15</v>
          </cell>
          <cell r="Q217">
            <v>0.39</v>
          </cell>
          <cell r="R217">
            <v>0.63</v>
          </cell>
        </row>
        <row r="218">
          <cell r="O218" t="str">
            <v xml:space="preserve"> 2018-02-02 </v>
          </cell>
          <cell r="P218">
            <v>0.14799999999999999</v>
          </cell>
          <cell r="Q218">
            <v>0.38900000000000001</v>
          </cell>
          <cell r="R218">
            <v>0.629</v>
          </cell>
        </row>
        <row r="219">
          <cell r="O219" t="str">
            <v xml:space="preserve"> 2018-02-03 </v>
          </cell>
          <cell r="P219">
            <v>0.14599999999999999</v>
          </cell>
          <cell r="Q219">
            <v>0.38700000000000001</v>
          </cell>
          <cell r="R219">
            <v>0.628</v>
          </cell>
        </row>
        <row r="220">
          <cell r="O220" t="str">
            <v xml:space="preserve"> 2018-02-04 </v>
          </cell>
          <cell r="P220">
            <v>0.14499999999999999</v>
          </cell>
          <cell r="Q220">
            <v>0.38600000000000001</v>
          </cell>
          <cell r="R220">
            <v>0.627</v>
          </cell>
        </row>
        <row r="221">
          <cell r="O221" t="str">
            <v xml:space="preserve"> 2018-02-05 </v>
          </cell>
          <cell r="P221">
            <v>0.14299999999999999</v>
          </cell>
          <cell r="Q221">
            <v>0.38400000000000001</v>
          </cell>
          <cell r="R221">
            <v>0.626</v>
          </cell>
        </row>
        <row r="222">
          <cell r="O222" t="str">
            <v xml:space="preserve"> 2018-02-06 </v>
          </cell>
          <cell r="P222">
            <v>0.14099999999999999</v>
          </cell>
          <cell r="Q222">
            <v>0.38300000000000001</v>
          </cell>
          <cell r="R222">
            <v>0.625</v>
          </cell>
        </row>
        <row r="223">
          <cell r="O223" t="str">
            <v xml:space="preserve"> 2018-02-07 </v>
          </cell>
          <cell r="P223">
            <v>0.13900000000000001</v>
          </cell>
          <cell r="Q223">
            <v>0.38100000000000001</v>
          </cell>
          <cell r="R223">
            <v>0.624</v>
          </cell>
        </row>
        <row r="224">
          <cell r="O224" t="str">
            <v xml:space="preserve"> 2018-02-08 </v>
          </cell>
          <cell r="P224">
            <v>0.13800000000000001</v>
          </cell>
          <cell r="Q224">
            <v>0.38</v>
          </cell>
          <cell r="R224">
            <v>0.623</v>
          </cell>
        </row>
        <row r="225">
          <cell r="O225" t="str">
            <v xml:space="preserve"> 2018-02-09 </v>
          </cell>
          <cell r="P225">
            <v>0.13600000000000001</v>
          </cell>
          <cell r="Q225">
            <v>0.379</v>
          </cell>
          <cell r="R225">
            <v>0.621</v>
          </cell>
        </row>
        <row r="226">
          <cell r="O226" t="str">
            <v xml:space="preserve"> 2018-02-10 </v>
          </cell>
          <cell r="P226">
            <v>0.13400000000000001</v>
          </cell>
          <cell r="Q226">
            <v>0.377</v>
          </cell>
          <cell r="R226">
            <v>0.62</v>
          </cell>
        </row>
        <row r="227">
          <cell r="O227" t="str">
            <v xml:space="preserve"> 2018-02-11 </v>
          </cell>
          <cell r="P227">
            <v>0.13200000000000001</v>
          </cell>
          <cell r="Q227">
            <v>0.376</v>
          </cell>
          <cell r="R227">
            <v>0.61899999999999999</v>
          </cell>
        </row>
        <row r="228">
          <cell r="O228" t="str">
            <v xml:space="preserve"> 2018-02-12 </v>
          </cell>
          <cell r="P228">
            <v>0.13</v>
          </cell>
          <cell r="Q228">
            <v>0.374</v>
          </cell>
          <cell r="R228">
            <v>0.61799999999999999</v>
          </cell>
        </row>
        <row r="229">
          <cell r="O229" t="str">
            <v xml:space="preserve"> 2018-02-13 </v>
          </cell>
          <cell r="P229">
            <v>0.129</v>
          </cell>
          <cell r="Q229">
            <v>0.373</v>
          </cell>
          <cell r="R229">
            <v>0.61699999999999999</v>
          </cell>
        </row>
        <row r="230">
          <cell r="O230" t="str">
            <v xml:space="preserve"> 2018-02-14 </v>
          </cell>
          <cell r="P230">
            <v>0.127</v>
          </cell>
          <cell r="Q230">
            <v>0.371</v>
          </cell>
          <cell r="R230">
            <v>0.61599999999999999</v>
          </cell>
        </row>
        <row r="231">
          <cell r="O231" t="str">
            <v xml:space="preserve"> 2018-02-15 </v>
          </cell>
          <cell r="P231">
            <v>0.125</v>
          </cell>
          <cell r="Q231">
            <v>0.37</v>
          </cell>
          <cell r="R231">
            <v>0.61499999999999999</v>
          </cell>
        </row>
        <row r="232">
          <cell r="O232" t="str">
            <v xml:space="preserve"> 2018-02-16 </v>
          </cell>
          <cell r="P232">
            <v>0.123</v>
          </cell>
          <cell r="Q232">
            <v>0.36899999999999999</v>
          </cell>
          <cell r="R232">
            <v>0.61399999999999999</v>
          </cell>
        </row>
        <row r="233">
          <cell r="O233" t="str">
            <v xml:space="preserve"> 2018-02-17 </v>
          </cell>
          <cell r="P233">
            <v>0.121</v>
          </cell>
          <cell r="Q233">
            <v>0.36699999999999999</v>
          </cell>
          <cell r="R233">
            <v>0.61299999999999999</v>
          </cell>
        </row>
        <row r="234">
          <cell r="O234" t="str">
            <v xml:space="preserve"> 2018-02-18 </v>
          </cell>
          <cell r="P234">
            <v>0.12</v>
          </cell>
          <cell r="Q234">
            <v>0.36599999999999999</v>
          </cell>
          <cell r="R234">
            <v>0.61199999999999999</v>
          </cell>
        </row>
        <row r="235">
          <cell r="O235" t="str">
            <v xml:space="preserve"> 2018-02-19 </v>
          </cell>
          <cell r="P235">
            <v>0.11799999999999999</v>
          </cell>
          <cell r="Q235">
            <v>0.36399999999999999</v>
          </cell>
          <cell r="R235">
            <v>0.61099999999999999</v>
          </cell>
        </row>
        <row r="236">
          <cell r="O236" t="str">
            <v xml:space="preserve"> 2018-02-20 </v>
          </cell>
          <cell r="P236">
            <v>0.11600000000000001</v>
          </cell>
          <cell r="Q236">
            <v>0.36299999999999999</v>
          </cell>
          <cell r="R236">
            <v>0.61</v>
          </cell>
        </row>
        <row r="237">
          <cell r="O237" t="str">
            <v xml:space="preserve"> 2018-02-21 </v>
          </cell>
          <cell r="P237">
            <v>0.114</v>
          </cell>
          <cell r="Q237">
            <v>0.36099999999999999</v>
          </cell>
          <cell r="R237">
            <v>0.60899999999999999</v>
          </cell>
        </row>
        <row r="238">
          <cell r="O238" t="str">
            <v xml:space="preserve"> 2018-02-22 </v>
          </cell>
          <cell r="P238">
            <v>0.113</v>
          </cell>
          <cell r="Q238">
            <v>0.36</v>
          </cell>
          <cell r="R238">
            <v>0.60799999999999998</v>
          </cell>
        </row>
        <row r="239">
          <cell r="O239" t="str">
            <v xml:space="preserve"> 2018-02-23 </v>
          </cell>
          <cell r="P239">
            <v>0.111</v>
          </cell>
          <cell r="Q239">
            <v>0.35899999999999999</v>
          </cell>
          <cell r="R239">
            <v>0.60599999999999998</v>
          </cell>
        </row>
        <row r="240">
          <cell r="O240" t="str">
            <v xml:space="preserve"> 2018-02-24 </v>
          </cell>
          <cell r="P240">
            <v>0.109</v>
          </cell>
          <cell r="Q240">
            <v>0.35699999999999998</v>
          </cell>
          <cell r="R240">
            <v>0.60499999999999998</v>
          </cell>
        </row>
        <row r="241">
          <cell r="O241" t="str">
            <v xml:space="preserve"> 2018-02-25 </v>
          </cell>
          <cell r="P241">
            <v>0.107</v>
          </cell>
          <cell r="Q241">
            <v>0.35599999999999998</v>
          </cell>
          <cell r="R241">
            <v>0.60399999999999998</v>
          </cell>
        </row>
        <row r="242">
          <cell r="O242" t="str">
            <v xml:space="preserve"> 2018-02-26 </v>
          </cell>
          <cell r="P242">
            <v>0.105</v>
          </cell>
          <cell r="Q242">
            <v>0.35399999999999998</v>
          </cell>
          <cell r="R242">
            <v>0.60299999999999998</v>
          </cell>
        </row>
        <row r="243">
          <cell r="O243" t="str">
            <v xml:space="preserve"> 2018-02-27 </v>
          </cell>
          <cell r="P243">
            <v>0.104</v>
          </cell>
          <cell r="Q243">
            <v>0.35299999999999998</v>
          </cell>
          <cell r="R243">
            <v>0.60199999999999998</v>
          </cell>
        </row>
        <row r="244">
          <cell r="O244" t="str">
            <v xml:space="preserve"> 2018-02-28 </v>
          </cell>
          <cell r="P244">
            <v>0.10199999999999999</v>
          </cell>
          <cell r="Q244">
            <v>0.35099999999999998</v>
          </cell>
          <cell r="R244">
            <v>0.60099999999999998</v>
          </cell>
        </row>
        <row r="245">
          <cell r="O245" t="str">
            <v xml:space="preserve"> 2018-03-01 </v>
          </cell>
          <cell r="P245">
            <v>0.1</v>
          </cell>
          <cell r="Q245">
            <v>0.35</v>
          </cell>
          <cell r="R245">
            <v>0.6</v>
          </cell>
        </row>
        <row r="246">
          <cell r="O246" t="str">
            <v xml:space="preserve"> 2018-03-02 </v>
          </cell>
          <cell r="P246">
            <v>0.1</v>
          </cell>
          <cell r="Q246">
            <v>0.35</v>
          </cell>
          <cell r="R246">
            <v>0.60099999999999998</v>
          </cell>
        </row>
        <row r="247">
          <cell r="O247" t="str">
            <v xml:space="preserve"> 2018-03-03 </v>
          </cell>
          <cell r="P247">
            <v>0.1</v>
          </cell>
          <cell r="Q247">
            <v>0.35099999999999998</v>
          </cell>
          <cell r="R247">
            <v>0.60099999999999998</v>
          </cell>
        </row>
        <row r="248">
          <cell r="O248" t="str">
            <v xml:space="preserve"> 2018-03-04 </v>
          </cell>
          <cell r="P248">
            <v>0.1</v>
          </cell>
          <cell r="Q248">
            <v>0.35099999999999998</v>
          </cell>
          <cell r="R248">
            <v>0.60199999999999998</v>
          </cell>
        </row>
        <row r="249">
          <cell r="O249" t="str">
            <v xml:space="preserve"> 2018-03-05 </v>
          </cell>
          <cell r="P249">
            <v>0.1</v>
          </cell>
          <cell r="Q249">
            <v>0.35099999999999998</v>
          </cell>
          <cell r="R249">
            <v>0.60299999999999998</v>
          </cell>
        </row>
        <row r="250">
          <cell r="O250" t="str">
            <v xml:space="preserve"> 2018-03-06 </v>
          </cell>
          <cell r="P250">
            <v>0.1</v>
          </cell>
          <cell r="Q250">
            <v>0.35199999999999998</v>
          </cell>
          <cell r="R250">
            <v>0.60299999999999998</v>
          </cell>
        </row>
        <row r="251">
          <cell r="O251" t="str">
            <v xml:space="preserve"> 2018-03-07 </v>
          </cell>
          <cell r="P251">
            <v>0.1</v>
          </cell>
          <cell r="Q251">
            <v>0.35199999999999998</v>
          </cell>
          <cell r="R251">
            <v>0.60399999999999998</v>
          </cell>
        </row>
        <row r="252">
          <cell r="O252" t="str">
            <v xml:space="preserve"> 2018-03-08 </v>
          </cell>
          <cell r="P252">
            <v>0.1</v>
          </cell>
          <cell r="Q252">
            <v>0.35199999999999998</v>
          </cell>
          <cell r="R252">
            <v>0.60499999999999998</v>
          </cell>
        </row>
        <row r="253">
          <cell r="O253" t="str">
            <v xml:space="preserve"> 2018-03-09 </v>
          </cell>
          <cell r="P253">
            <v>0.1</v>
          </cell>
          <cell r="Q253">
            <v>0.35299999999999998</v>
          </cell>
          <cell r="R253">
            <v>0.60499999999999998</v>
          </cell>
        </row>
        <row r="254">
          <cell r="O254" t="str">
            <v xml:space="preserve"> 2018-03-10 </v>
          </cell>
          <cell r="P254">
            <v>0.1</v>
          </cell>
          <cell r="Q254">
            <v>0.35299999999999998</v>
          </cell>
          <cell r="R254">
            <v>0.60599999999999998</v>
          </cell>
        </row>
        <row r="255">
          <cell r="O255" t="str">
            <v xml:space="preserve"> 2018-03-11 </v>
          </cell>
          <cell r="P255">
            <v>0.1</v>
          </cell>
          <cell r="Q255">
            <v>0.35299999999999998</v>
          </cell>
          <cell r="R255">
            <v>0.60599999999999998</v>
          </cell>
        </row>
        <row r="256">
          <cell r="O256" t="str">
            <v xml:space="preserve"> 2018-03-12 </v>
          </cell>
          <cell r="P256">
            <v>0.1</v>
          </cell>
          <cell r="Q256">
            <v>0.35399999999999998</v>
          </cell>
          <cell r="R256">
            <v>0.60699999999999998</v>
          </cell>
        </row>
        <row r="257">
          <cell r="O257" t="str">
            <v xml:space="preserve"> 2018-03-13 </v>
          </cell>
          <cell r="P257">
            <v>0.1</v>
          </cell>
          <cell r="Q257">
            <v>0.35399999999999998</v>
          </cell>
          <cell r="R257">
            <v>0.60799999999999998</v>
          </cell>
        </row>
        <row r="258">
          <cell r="O258" t="str">
            <v xml:space="preserve"> 2018-03-14 </v>
          </cell>
          <cell r="P258">
            <v>0.1</v>
          </cell>
          <cell r="Q258">
            <v>0.35399999999999998</v>
          </cell>
          <cell r="R258">
            <v>0.60799999999999998</v>
          </cell>
        </row>
        <row r="259">
          <cell r="O259" t="str">
            <v xml:space="preserve"> 2018-03-15 </v>
          </cell>
          <cell r="P259">
            <v>0.1</v>
          </cell>
          <cell r="Q259">
            <v>0.35499999999999998</v>
          </cell>
          <cell r="R259">
            <v>0.60899999999999999</v>
          </cell>
        </row>
        <row r="260">
          <cell r="O260" t="str">
            <v xml:space="preserve"> 2018-03-16 </v>
          </cell>
          <cell r="P260">
            <v>0.1</v>
          </cell>
          <cell r="Q260">
            <v>0.35499999999999998</v>
          </cell>
          <cell r="R260">
            <v>0.61</v>
          </cell>
        </row>
        <row r="261">
          <cell r="O261" t="str">
            <v xml:space="preserve"> 2018-03-17 </v>
          </cell>
          <cell r="P261">
            <v>0.1</v>
          </cell>
          <cell r="Q261">
            <v>0.35499999999999998</v>
          </cell>
          <cell r="R261">
            <v>0.61</v>
          </cell>
        </row>
        <row r="262">
          <cell r="O262" t="str">
            <v xml:space="preserve"> 2018-03-18 </v>
          </cell>
          <cell r="P262">
            <v>0.1</v>
          </cell>
          <cell r="Q262">
            <v>0.35499999999999998</v>
          </cell>
          <cell r="R262">
            <v>0.61099999999999999</v>
          </cell>
        </row>
        <row r="263">
          <cell r="O263" t="str">
            <v xml:space="preserve"> 2018-03-19 </v>
          </cell>
          <cell r="P263">
            <v>0.1</v>
          </cell>
          <cell r="Q263">
            <v>0.35599999999999998</v>
          </cell>
          <cell r="R263">
            <v>0.61199999999999999</v>
          </cell>
        </row>
        <row r="264">
          <cell r="O264" t="str">
            <v xml:space="preserve"> 2018-03-20 </v>
          </cell>
          <cell r="P264">
            <v>0.1</v>
          </cell>
          <cell r="Q264">
            <v>0.35599999999999998</v>
          </cell>
          <cell r="R264">
            <v>0.61199999999999999</v>
          </cell>
        </row>
        <row r="265">
          <cell r="O265" t="str">
            <v xml:space="preserve"> 2018-03-21 </v>
          </cell>
          <cell r="P265">
            <v>0.1</v>
          </cell>
          <cell r="Q265">
            <v>0.35599999999999998</v>
          </cell>
          <cell r="R265">
            <v>0.61299999999999999</v>
          </cell>
        </row>
        <row r="266">
          <cell r="O266" t="str">
            <v xml:space="preserve"> 2018-03-22 </v>
          </cell>
          <cell r="P266">
            <v>0.1</v>
          </cell>
          <cell r="Q266">
            <v>0.35699999999999998</v>
          </cell>
          <cell r="R266">
            <v>0.61399999999999999</v>
          </cell>
        </row>
        <row r="267">
          <cell r="O267" t="str">
            <v xml:space="preserve"> 2018-03-23 </v>
          </cell>
          <cell r="P267">
            <v>0.1</v>
          </cell>
          <cell r="Q267">
            <v>0.35699999999999998</v>
          </cell>
          <cell r="R267">
            <v>0.61399999999999999</v>
          </cell>
        </row>
        <row r="268">
          <cell r="O268" t="str">
            <v xml:space="preserve"> 2018-03-24 </v>
          </cell>
          <cell r="P268">
            <v>0.1</v>
          </cell>
          <cell r="Q268">
            <v>0.35699999999999998</v>
          </cell>
          <cell r="R268">
            <v>0.61499999999999999</v>
          </cell>
        </row>
        <row r="269">
          <cell r="O269" t="str">
            <v xml:space="preserve"> 2018-03-25 </v>
          </cell>
          <cell r="P269">
            <v>0.1</v>
          </cell>
          <cell r="Q269">
            <v>0.35799999999999998</v>
          </cell>
          <cell r="R269">
            <v>0.61499999999999999</v>
          </cell>
        </row>
        <row r="270">
          <cell r="O270" t="str">
            <v xml:space="preserve"> 2018-03-26 </v>
          </cell>
          <cell r="P270">
            <v>0.1</v>
          </cell>
          <cell r="Q270">
            <v>0.35799999999999998</v>
          </cell>
          <cell r="R270">
            <v>0.61599999999999999</v>
          </cell>
        </row>
        <row r="271">
          <cell r="O271" t="str">
            <v xml:space="preserve"> 2018-03-27 </v>
          </cell>
          <cell r="P271">
            <v>0.1</v>
          </cell>
          <cell r="Q271">
            <v>0.35799999999999998</v>
          </cell>
          <cell r="R271">
            <v>0.61699999999999999</v>
          </cell>
        </row>
        <row r="272">
          <cell r="O272" t="str">
            <v xml:space="preserve"> 2018-03-28 </v>
          </cell>
          <cell r="P272">
            <v>0.1</v>
          </cell>
          <cell r="Q272">
            <v>0.35899999999999999</v>
          </cell>
          <cell r="R272">
            <v>0.61699999999999999</v>
          </cell>
        </row>
        <row r="273">
          <cell r="O273" t="str">
            <v xml:space="preserve"> 2018-03-29 </v>
          </cell>
          <cell r="P273">
            <v>0.1</v>
          </cell>
          <cell r="Q273">
            <v>0.35899999999999999</v>
          </cell>
          <cell r="R273">
            <v>0.61799999999999999</v>
          </cell>
        </row>
        <row r="274">
          <cell r="O274" t="str">
            <v xml:space="preserve"> 2018-03-30 </v>
          </cell>
          <cell r="P274">
            <v>0.1</v>
          </cell>
          <cell r="Q274">
            <v>0.35899999999999999</v>
          </cell>
          <cell r="R274">
            <v>0.61899999999999999</v>
          </cell>
        </row>
        <row r="275">
          <cell r="O275" t="str">
            <v xml:space="preserve"> 2018-03-31 </v>
          </cell>
          <cell r="P275">
            <v>0.1</v>
          </cell>
          <cell r="Q275">
            <v>0.36</v>
          </cell>
          <cell r="R275">
            <v>0.61899999999999999</v>
          </cell>
        </row>
        <row r="276">
          <cell r="O276" t="str">
            <v xml:space="preserve"> 2018-04-01 </v>
          </cell>
          <cell r="P276">
            <v>0.1</v>
          </cell>
          <cell r="Q276">
            <v>0.36</v>
          </cell>
          <cell r="R276">
            <v>0.62</v>
          </cell>
        </row>
        <row r="277">
          <cell r="O277" t="str">
            <v xml:space="preserve"> 2018-04-02 </v>
          </cell>
          <cell r="P277">
            <v>0.1</v>
          </cell>
          <cell r="Q277">
            <v>0.36099999999999999</v>
          </cell>
          <cell r="R277">
            <v>0.622</v>
          </cell>
        </row>
        <row r="278">
          <cell r="O278" t="str">
            <v xml:space="preserve"> 2018-04-03 </v>
          </cell>
          <cell r="P278">
            <v>0.1</v>
          </cell>
          <cell r="Q278">
            <v>0.36199999999999999</v>
          </cell>
          <cell r="R278">
            <v>0.623</v>
          </cell>
        </row>
        <row r="279">
          <cell r="O279" t="str">
            <v xml:space="preserve"> 2018-04-04 </v>
          </cell>
          <cell r="P279">
            <v>0.1</v>
          </cell>
          <cell r="Q279">
            <v>0.36299999999999999</v>
          </cell>
          <cell r="R279">
            <v>0.625</v>
          </cell>
        </row>
        <row r="280">
          <cell r="O280" t="str">
            <v xml:space="preserve"> 2018-04-05 </v>
          </cell>
          <cell r="P280">
            <v>0.1</v>
          </cell>
          <cell r="Q280">
            <v>0.36299999999999999</v>
          </cell>
          <cell r="R280">
            <v>0.627</v>
          </cell>
        </row>
        <row r="281">
          <cell r="O281" t="str">
            <v xml:space="preserve"> 2018-04-06 </v>
          </cell>
          <cell r="P281">
            <v>0.1</v>
          </cell>
          <cell r="Q281">
            <v>0.36399999999999999</v>
          </cell>
          <cell r="R281">
            <v>0.628</v>
          </cell>
        </row>
        <row r="282">
          <cell r="O282" t="str">
            <v xml:space="preserve"> 2018-04-07 </v>
          </cell>
          <cell r="P282">
            <v>0.1</v>
          </cell>
          <cell r="Q282">
            <v>0.36499999999999999</v>
          </cell>
          <cell r="R282">
            <v>0.63</v>
          </cell>
        </row>
        <row r="283">
          <cell r="O283" t="str">
            <v xml:space="preserve"> 2018-04-08 </v>
          </cell>
          <cell r="P283">
            <v>0.1</v>
          </cell>
          <cell r="Q283">
            <v>0.36599999999999999</v>
          </cell>
          <cell r="R283">
            <v>0.63200000000000001</v>
          </cell>
        </row>
        <row r="284">
          <cell r="O284" t="str">
            <v xml:space="preserve"> 2018-04-09 </v>
          </cell>
          <cell r="P284">
            <v>0.1</v>
          </cell>
          <cell r="Q284">
            <v>0.36699999999999999</v>
          </cell>
          <cell r="R284">
            <v>0.63300000000000001</v>
          </cell>
        </row>
        <row r="285">
          <cell r="O285" t="str">
            <v xml:space="preserve"> 2018-04-10 </v>
          </cell>
          <cell r="P285">
            <v>0.1</v>
          </cell>
          <cell r="Q285">
            <v>0.36799999999999999</v>
          </cell>
          <cell r="R285">
            <v>0.63500000000000001</v>
          </cell>
        </row>
        <row r="286">
          <cell r="O286" t="str">
            <v xml:space="preserve"> 2018-04-11 </v>
          </cell>
          <cell r="P286">
            <v>0.1</v>
          </cell>
          <cell r="Q286">
            <v>0.36799999999999999</v>
          </cell>
          <cell r="R286">
            <v>0.63700000000000001</v>
          </cell>
        </row>
        <row r="287">
          <cell r="O287" t="str">
            <v xml:space="preserve"> 2018-04-12 </v>
          </cell>
          <cell r="P287">
            <v>0.1</v>
          </cell>
          <cell r="Q287">
            <v>0.36899999999999999</v>
          </cell>
          <cell r="R287">
            <v>0.63800000000000001</v>
          </cell>
        </row>
        <row r="288">
          <cell r="O288" t="str">
            <v xml:space="preserve"> 2018-04-13 </v>
          </cell>
          <cell r="P288">
            <v>0.1</v>
          </cell>
          <cell r="Q288">
            <v>0.37</v>
          </cell>
          <cell r="R288">
            <v>0.64</v>
          </cell>
        </row>
        <row r="289">
          <cell r="O289" t="str">
            <v xml:space="preserve"> 2018-04-14 </v>
          </cell>
          <cell r="P289">
            <v>0.1</v>
          </cell>
          <cell r="Q289">
            <v>0.371</v>
          </cell>
          <cell r="R289">
            <v>0.64200000000000002</v>
          </cell>
        </row>
        <row r="290">
          <cell r="O290" t="str">
            <v xml:space="preserve"> 2018-04-15 </v>
          </cell>
          <cell r="P290">
            <v>0.1</v>
          </cell>
          <cell r="Q290">
            <v>0.372</v>
          </cell>
          <cell r="R290">
            <v>0.64300000000000002</v>
          </cell>
        </row>
        <row r="291">
          <cell r="O291" t="str">
            <v xml:space="preserve"> 2018-04-16 </v>
          </cell>
          <cell r="P291">
            <v>0.1</v>
          </cell>
          <cell r="Q291">
            <v>0.373</v>
          </cell>
          <cell r="R291">
            <v>0.64500000000000002</v>
          </cell>
        </row>
        <row r="292">
          <cell r="O292" t="str">
            <v xml:space="preserve"> 2018-04-17 </v>
          </cell>
          <cell r="P292">
            <v>0.1</v>
          </cell>
          <cell r="Q292">
            <v>0.373</v>
          </cell>
          <cell r="R292">
            <v>0.64700000000000002</v>
          </cell>
        </row>
        <row r="293">
          <cell r="O293" t="str">
            <v xml:space="preserve"> 2018-04-18 </v>
          </cell>
          <cell r="P293">
            <v>0.1</v>
          </cell>
          <cell r="Q293">
            <v>0.374</v>
          </cell>
          <cell r="R293">
            <v>0.64800000000000002</v>
          </cell>
        </row>
        <row r="294">
          <cell r="O294" t="str">
            <v xml:space="preserve"> 2018-04-19 </v>
          </cell>
          <cell r="P294">
            <v>0.1</v>
          </cell>
          <cell r="Q294">
            <v>0.375</v>
          </cell>
          <cell r="R294">
            <v>0.65</v>
          </cell>
        </row>
        <row r="295">
          <cell r="O295" t="str">
            <v xml:space="preserve"> 2018-04-20 </v>
          </cell>
          <cell r="P295">
            <v>0.1</v>
          </cell>
          <cell r="Q295">
            <v>0.376</v>
          </cell>
          <cell r="R295">
            <v>0.65200000000000002</v>
          </cell>
        </row>
        <row r="296">
          <cell r="O296" t="str">
            <v xml:space="preserve"> 2018-04-21 </v>
          </cell>
          <cell r="P296">
            <v>0.1</v>
          </cell>
          <cell r="Q296">
            <v>0.377</v>
          </cell>
          <cell r="R296">
            <v>0.65300000000000002</v>
          </cell>
        </row>
        <row r="297">
          <cell r="O297" t="str">
            <v xml:space="preserve"> 2018-04-22 </v>
          </cell>
          <cell r="P297">
            <v>0.1</v>
          </cell>
          <cell r="Q297">
            <v>0.378</v>
          </cell>
          <cell r="R297">
            <v>0.65500000000000003</v>
          </cell>
        </row>
        <row r="298">
          <cell r="O298" t="str">
            <v xml:space="preserve"> 2018-04-23 </v>
          </cell>
          <cell r="P298">
            <v>0.1</v>
          </cell>
          <cell r="Q298">
            <v>0.378</v>
          </cell>
          <cell r="R298">
            <v>0.65700000000000003</v>
          </cell>
        </row>
        <row r="299">
          <cell r="O299" t="str">
            <v xml:space="preserve"> 2018-04-24 </v>
          </cell>
          <cell r="P299">
            <v>0.1</v>
          </cell>
          <cell r="Q299">
            <v>0.379</v>
          </cell>
          <cell r="R299">
            <v>0.65800000000000003</v>
          </cell>
        </row>
        <row r="300">
          <cell r="O300" t="str">
            <v xml:space="preserve"> 2018-04-25 </v>
          </cell>
          <cell r="P300">
            <v>0.1</v>
          </cell>
          <cell r="Q300">
            <v>0.38</v>
          </cell>
          <cell r="R300">
            <v>0.66</v>
          </cell>
        </row>
        <row r="301">
          <cell r="O301" t="str">
            <v xml:space="preserve"> 2018-04-26 </v>
          </cell>
          <cell r="P301">
            <v>0.1</v>
          </cell>
          <cell r="Q301">
            <v>0.38100000000000001</v>
          </cell>
          <cell r="R301">
            <v>0.66200000000000003</v>
          </cell>
        </row>
        <row r="302">
          <cell r="O302" t="str">
            <v xml:space="preserve"> 2018-04-27 </v>
          </cell>
          <cell r="P302">
            <v>0.1</v>
          </cell>
          <cell r="Q302">
            <v>0.38200000000000001</v>
          </cell>
          <cell r="R302">
            <v>0.66300000000000003</v>
          </cell>
        </row>
        <row r="303">
          <cell r="O303" t="str">
            <v xml:space="preserve"> 2018-04-28 </v>
          </cell>
          <cell r="P303">
            <v>0.1</v>
          </cell>
          <cell r="Q303">
            <v>0.38300000000000001</v>
          </cell>
          <cell r="R303">
            <v>0.66500000000000004</v>
          </cell>
        </row>
        <row r="304">
          <cell r="O304" t="str">
            <v xml:space="preserve"> 2018-04-29 </v>
          </cell>
          <cell r="P304">
            <v>0.1</v>
          </cell>
          <cell r="Q304">
            <v>0.38300000000000001</v>
          </cell>
          <cell r="R304">
            <v>0.66700000000000004</v>
          </cell>
        </row>
        <row r="305">
          <cell r="O305" t="str">
            <v xml:space="preserve"> 2018-04-30 </v>
          </cell>
          <cell r="P305">
            <v>0.1</v>
          </cell>
          <cell r="Q305">
            <v>0.38400000000000001</v>
          </cell>
          <cell r="R305">
            <v>0.66800000000000004</v>
          </cell>
        </row>
        <row r="306">
          <cell r="O306" t="str">
            <v xml:space="preserve"> 2018-05-01 </v>
          </cell>
          <cell r="P306">
            <v>0.1</v>
          </cell>
          <cell r="Q306">
            <v>0.38500000000000001</v>
          </cell>
          <cell r="R306">
            <v>0.67</v>
          </cell>
        </row>
        <row r="307">
          <cell r="O307" t="str">
            <v xml:space="preserve"> 2018-05-02 </v>
          </cell>
          <cell r="P307">
            <v>0.10199999999999999</v>
          </cell>
          <cell r="Q307">
            <v>0.38700000000000001</v>
          </cell>
          <cell r="R307">
            <v>0.67300000000000004</v>
          </cell>
        </row>
        <row r="308">
          <cell r="O308" t="str">
            <v xml:space="preserve"> 2018-05-03 </v>
          </cell>
          <cell r="P308">
            <v>0.104</v>
          </cell>
          <cell r="Q308">
            <v>0.39</v>
          </cell>
          <cell r="R308">
            <v>0.67600000000000005</v>
          </cell>
        </row>
        <row r="309">
          <cell r="O309" t="str">
            <v xml:space="preserve"> 2018-05-04 </v>
          </cell>
          <cell r="P309">
            <v>0.106</v>
          </cell>
          <cell r="Q309">
            <v>0.39200000000000002</v>
          </cell>
          <cell r="R309">
            <v>0.67900000000000005</v>
          </cell>
        </row>
        <row r="310">
          <cell r="O310" t="str">
            <v xml:space="preserve"> 2018-05-05 </v>
          </cell>
          <cell r="P310">
            <v>0.108</v>
          </cell>
          <cell r="Q310">
            <v>0.39500000000000002</v>
          </cell>
          <cell r="R310">
            <v>0.68200000000000005</v>
          </cell>
        </row>
        <row r="311">
          <cell r="O311" t="str">
            <v xml:space="preserve"> 2018-05-06 </v>
          </cell>
          <cell r="P311">
            <v>0.11</v>
          </cell>
          <cell r="Q311">
            <v>0.39700000000000002</v>
          </cell>
          <cell r="R311">
            <v>0.68500000000000005</v>
          </cell>
        </row>
        <row r="312">
          <cell r="O312" t="str">
            <v xml:space="preserve"> 2018-05-07 </v>
          </cell>
          <cell r="P312">
            <v>0.112</v>
          </cell>
          <cell r="Q312">
            <v>0.4</v>
          </cell>
          <cell r="R312">
            <v>0.68700000000000006</v>
          </cell>
        </row>
        <row r="313">
          <cell r="O313" t="str">
            <v xml:space="preserve"> 2018-05-08 </v>
          </cell>
          <cell r="P313">
            <v>0.114</v>
          </cell>
          <cell r="Q313">
            <v>0.40200000000000002</v>
          </cell>
          <cell r="R313">
            <v>0.69</v>
          </cell>
        </row>
        <row r="314">
          <cell r="O314" t="str">
            <v xml:space="preserve"> 2018-05-09 </v>
          </cell>
          <cell r="P314">
            <v>0.115</v>
          </cell>
          <cell r="Q314">
            <v>0.40400000000000003</v>
          </cell>
          <cell r="R314">
            <v>0.69299999999999995</v>
          </cell>
        </row>
        <row r="315">
          <cell r="O315" t="str">
            <v xml:space="preserve"> 2018-05-10 </v>
          </cell>
          <cell r="P315">
            <v>0.11700000000000001</v>
          </cell>
          <cell r="Q315">
            <v>0.40699999999999997</v>
          </cell>
          <cell r="R315">
            <v>0.69599999999999995</v>
          </cell>
        </row>
        <row r="316">
          <cell r="O316" t="str">
            <v xml:space="preserve"> 2018-05-11 </v>
          </cell>
          <cell r="P316">
            <v>0.11899999999999999</v>
          </cell>
          <cell r="Q316">
            <v>0.40899999999999997</v>
          </cell>
          <cell r="R316">
            <v>0.69899999999999995</v>
          </cell>
        </row>
        <row r="317">
          <cell r="O317" t="str">
            <v xml:space="preserve"> 2018-05-12 </v>
          </cell>
          <cell r="P317">
            <v>0.121</v>
          </cell>
          <cell r="Q317">
            <v>0.41199999999999998</v>
          </cell>
          <cell r="R317">
            <v>0.70199999999999996</v>
          </cell>
        </row>
        <row r="318">
          <cell r="O318" t="str">
            <v xml:space="preserve"> 2018-05-13 </v>
          </cell>
          <cell r="P318">
            <v>0.123</v>
          </cell>
          <cell r="Q318">
            <v>0.41399999999999998</v>
          </cell>
          <cell r="R318">
            <v>0.70499999999999996</v>
          </cell>
        </row>
        <row r="319">
          <cell r="O319" t="str">
            <v xml:space="preserve"> 2018-05-14 </v>
          </cell>
          <cell r="P319">
            <v>0.125</v>
          </cell>
          <cell r="Q319">
            <v>0.41599999999999998</v>
          </cell>
          <cell r="R319">
            <v>0.70799999999999996</v>
          </cell>
        </row>
        <row r="320">
          <cell r="O320" t="str">
            <v xml:space="preserve"> 2018-05-15 </v>
          </cell>
          <cell r="P320">
            <v>0.127</v>
          </cell>
          <cell r="Q320">
            <v>0.41899999999999998</v>
          </cell>
          <cell r="R320">
            <v>0.71099999999999997</v>
          </cell>
        </row>
        <row r="321">
          <cell r="O321" t="str">
            <v xml:space="preserve"> 2018-05-16 </v>
          </cell>
          <cell r="P321">
            <v>0.129</v>
          </cell>
          <cell r="Q321">
            <v>0.42099999999999999</v>
          </cell>
          <cell r="R321">
            <v>0.71399999999999997</v>
          </cell>
        </row>
        <row r="322">
          <cell r="O322" t="str">
            <v xml:space="preserve"> 2018-05-17 </v>
          </cell>
          <cell r="P322">
            <v>0.13100000000000001</v>
          </cell>
          <cell r="Q322">
            <v>0.42399999999999999</v>
          </cell>
          <cell r="R322">
            <v>0.71599999999999997</v>
          </cell>
        </row>
        <row r="323">
          <cell r="O323" t="str">
            <v xml:space="preserve"> 2018-05-18 </v>
          </cell>
          <cell r="P323">
            <v>0.13300000000000001</v>
          </cell>
          <cell r="Q323">
            <v>0.42599999999999999</v>
          </cell>
          <cell r="R323">
            <v>0.71899999999999997</v>
          </cell>
        </row>
        <row r="324">
          <cell r="O324" t="str">
            <v xml:space="preserve"> 2018-05-19 </v>
          </cell>
          <cell r="P324">
            <v>0.13500000000000001</v>
          </cell>
          <cell r="Q324">
            <v>0.42899999999999999</v>
          </cell>
          <cell r="R324">
            <v>0.72199999999999998</v>
          </cell>
        </row>
        <row r="325">
          <cell r="O325" t="str">
            <v xml:space="preserve"> 2018-05-20 </v>
          </cell>
          <cell r="P325">
            <v>0.13700000000000001</v>
          </cell>
          <cell r="Q325">
            <v>0.43099999999999999</v>
          </cell>
          <cell r="R325">
            <v>0.72499999999999998</v>
          </cell>
        </row>
        <row r="326">
          <cell r="O326" t="str">
            <v xml:space="preserve"> 2018-05-21 </v>
          </cell>
          <cell r="P326">
            <v>0.13900000000000001</v>
          </cell>
          <cell r="Q326">
            <v>0.433</v>
          </cell>
          <cell r="R326">
            <v>0.72799999999999998</v>
          </cell>
        </row>
        <row r="327">
          <cell r="O327" t="str">
            <v xml:space="preserve"> 2018-05-22 </v>
          </cell>
          <cell r="P327">
            <v>0.14099999999999999</v>
          </cell>
          <cell r="Q327">
            <v>0.436</v>
          </cell>
          <cell r="R327">
            <v>0.73099999999999998</v>
          </cell>
        </row>
        <row r="328">
          <cell r="O328" t="str">
            <v xml:space="preserve"> 2018-05-23 </v>
          </cell>
          <cell r="P328">
            <v>0.14299999999999999</v>
          </cell>
          <cell r="Q328">
            <v>0.438</v>
          </cell>
          <cell r="R328">
            <v>0.73399999999999999</v>
          </cell>
        </row>
        <row r="329">
          <cell r="O329" t="str">
            <v xml:space="preserve"> 2018-05-24 </v>
          </cell>
          <cell r="P329">
            <v>0.14499999999999999</v>
          </cell>
          <cell r="Q329">
            <v>0.441</v>
          </cell>
          <cell r="R329">
            <v>0.73699999999999999</v>
          </cell>
        </row>
        <row r="330">
          <cell r="O330" t="str">
            <v xml:space="preserve"> 2018-05-25 </v>
          </cell>
          <cell r="P330">
            <v>0.14599999999999999</v>
          </cell>
          <cell r="Q330">
            <v>0.443</v>
          </cell>
          <cell r="R330">
            <v>0.74</v>
          </cell>
        </row>
        <row r="331">
          <cell r="O331" t="str">
            <v xml:space="preserve"> 2018-05-26 </v>
          </cell>
          <cell r="P331">
            <v>0.14799999999999999</v>
          </cell>
          <cell r="Q331">
            <v>0.44500000000000001</v>
          </cell>
          <cell r="R331">
            <v>0.74299999999999999</v>
          </cell>
        </row>
        <row r="332">
          <cell r="O332" t="str">
            <v xml:space="preserve"> 2018-05-27 </v>
          </cell>
          <cell r="P332">
            <v>0.15</v>
          </cell>
          <cell r="Q332">
            <v>0.44800000000000001</v>
          </cell>
          <cell r="R332">
            <v>0.745</v>
          </cell>
        </row>
        <row r="333">
          <cell r="O333" t="str">
            <v xml:space="preserve"> 2018-05-28 </v>
          </cell>
          <cell r="P333">
            <v>0.152</v>
          </cell>
          <cell r="Q333">
            <v>0.45</v>
          </cell>
          <cell r="R333">
            <v>0.748</v>
          </cell>
        </row>
        <row r="334">
          <cell r="O334" t="str">
            <v xml:space="preserve"> 2018-05-29 </v>
          </cell>
          <cell r="P334">
            <v>0.154</v>
          </cell>
          <cell r="Q334">
            <v>0.45300000000000001</v>
          </cell>
          <cell r="R334">
            <v>0.751</v>
          </cell>
        </row>
        <row r="335">
          <cell r="O335" t="str">
            <v xml:space="preserve"> 2018-05-30 </v>
          </cell>
          <cell r="P335">
            <v>0.156</v>
          </cell>
          <cell r="Q335">
            <v>0.45500000000000002</v>
          </cell>
          <cell r="R335">
            <v>0.754</v>
          </cell>
        </row>
        <row r="336">
          <cell r="O336" t="str">
            <v xml:space="preserve"> 2018-05-31 </v>
          </cell>
          <cell r="P336">
            <v>0.158</v>
          </cell>
          <cell r="Q336">
            <v>0.45800000000000002</v>
          </cell>
          <cell r="R336">
            <v>0.75700000000000001</v>
          </cell>
        </row>
        <row r="337">
          <cell r="O337" t="str">
            <v xml:space="preserve"> 2018-06-01 </v>
          </cell>
          <cell r="P337">
            <v>0.16</v>
          </cell>
          <cell r="Q337">
            <v>0.46</v>
          </cell>
          <cell r="R337">
            <v>0.76</v>
          </cell>
        </row>
        <row r="338">
          <cell r="O338" t="str">
            <v xml:space="preserve"> 2018-06-02 </v>
          </cell>
          <cell r="P338">
            <v>0.16600000000000001</v>
          </cell>
          <cell r="Q338">
            <v>0.46400000000000002</v>
          </cell>
          <cell r="R338">
            <v>0.76300000000000001</v>
          </cell>
        </row>
        <row r="339">
          <cell r="O339" t="str">
            <v xml:space="preserve"> 2018-06-03 </v>
          </cell>
          <cell r="P339">
            <v>0.17100000000000001</v>
          </cell>
          <cell r="Q339">
            <v>0.46800000000000003</v>
          </cell>
          <cell r="R339">
            <v>0.76500000000000001</v>
          </cell>
        </row>
        <row r="340">
          <cell r="O340" t="str">
            <v xml:space="preserve"> 2018-06-04 </v>
          </cell>
          <cell r="P340">
            <v>0.17699999999999999</v>
          </cell>
          <cell r="Q340">
            <v>0.47299999999999998</v>
          </cell>
          <cell r="R340">
            <v>0.76800000000000002</v>
          </cell>
        </row>
        <row r="341">
          <cell r="O341" t="str">
            <v xml:space="preserve"> 2018-06-05 </v>
          </cell>
          <cell r="P341">
            <v>0.183</v>
          </cell>
          <cell r="Q341">
            <v>0.47699999999999998</v>
          </cell>
          <cell r="R341">
            <v>0.77100000000000002</v>
          </cell>
        </row>
        <row r="342">
          <cell r="O342" t="str">
            <v xml:space="preserve"> 2018-06-06 </v>
          </cell>
          <cell r="P342">
            <v>0.188</v>
          </cell>
          <cell r="Q342">
            <v>0.48099999999999998</v>
          </cell>
          <cell r="R342">
            <v>0.77300000000000002</v>
          </cell>
        </row>
        <row r="343">
          <cell r="O343" t="str">
            <v xml:space="preserve"> 2018-06-07 </v>
          </cell>
          <cell r="P343">
            <v>0.19400000000000001</v>
          </cell>
          <cell r="Q343">
            <v>0.48499999999999999</v>
          </cell>
          <cell r="R343">
            <v>0.77600000000000002</v>
          </cell>
        </row>
        <row r="344">
          <cell r="O344" t="str">
            <v xml:space="preserve"> 2018-06-08 </v>
          </cell>
          <cell r="P344">
            <v>0.2</v>
          </cell>
          <cell r="Q344">
            <v>0.48899999999999999</v>
          </cell>
          <cell r="R344">
            <v>0.77900000000000003</v>
          </cell>
        </row>
        <row r="345">
          <cell r="O345" t="str">
            <v xml:space="preserve"> 2018-06-09 </v>
          </cell>
          <cell r="P345">
            <v>0.20499999999999999</v>
          </cell>
          <cell r="Q345">
            <v>0.49299999999999999</v>
          </cell>
          <cell r="R345">
            <v>0.78100000000000003</v>
          </cell>
        </row>
        <row r="346">
          <cell r="O346" t="str">
            <v xml:space="preserve"> 2018-06-10 </v>
          </cell>
          <cell r="P346">
            <v>0.21099999999999999</v>
          </cell>
          <cell r="Q346">
            <v>0.498</v>
          </cell>
          <cell r="R346">
            <v>0.78400000000000003</v>
          </cell>
        </row>
        <row r="347">
          <cell r="O347" t="str">
            <v xml:space="preserve"> 2018-06-11 </v>
          </cell>
          <cell r="P347">
            <v>0.217</v>
          </cell>
          <cell r="Q347">
            <v>0.502</v>
          </cell>
          <cell r="R347">
            <v>0.78700000000000003</v>
          </cell>
        </row>
        <row r="348">
          <cell r="O348" t="str">
            <v xml:space="preserve"> 2018-06-12 </v>
          </cell>
          <cell r="P348">
            <v>0.222</v>
          </cell>
          <cell r="Q348">
            <v>0.50600000000000001</v>
          </cell>
          <cell r="R348">
            <v>0.78900000000000003</v>
          </cell>
        </row>
        <row r="349">
          <cell r="O349" t="str">
            <v xml:space="preserve"> 2018-06-13 </v>
          </cell>
          <cell r="P349">
            <v>0.22800000000000001</v>
          </cell>
          <cell r="Q349">
            <v>0.51</v>
          </cell>
          <cell r="R349">
            <v>0.79200000000000004</v>
          </cell>
        </row>
        <row r="350">
          <cell r="O350" t="str">
            <v xml:space="preserve"> 2018-06-14 </v>
          </cell>
          <cell r="P350">
            <v>0.23400000000000001</v>
          </cell>
          <cell r="Q350">
            <v>0.51400000000000001</v>
          </cell>
          <cell r="R350">
            <v>0.79500000000000004</v>
          </cell>
        </row>
        <row r="351">
          <cell r="O351" t="str">
            <v xml:space="preserve"> 2018-06-15 </v>
          </cell>
          <cell r="P351">
            <v>0.23899999999999999</v>
          </cell>
          <cell r="Q351">
            <v>0.51800000000000002</v>
          </cell>
          <cell r="R351">
            <v>0.79700000000000004</v>
          </cell>
        </row>
        <row r="352">
          <cell r="O352" t="str">
            <v xml:space="preserve"> 2018-06-16 </v>
          </cell>
          <cell r="P352">
            <v>0.245</v>
          </cell>
          <cell r="Q352">
            <v>0.52300000000000002</v>
          </cell>
          <cell r="R352">
            <v>0.8</v>
          </cell>
        </row>
        <row r="353">
          <cell r="O353" t="str">
            <v xml:space="preserve"> 2018-06-17 </v>
          </cell>
          <cell r="P353">
            <v>0.251</v>
          </cell>
          <cell r="Q353">
            <v>0.52700000000000002</v>
          </cell>
          <cell r="R353">
            <v>0.80300000000000005</v>
          </cell>
        </row>
        <row r="354">
          <cell r="O354" t="str">
            <v xml:space="preserve"> 2018-06-18 </v>
          </cell>
          <cell r="P354">
            <v>0.25600000000000001</v>
          </cell>
          <cell r="Q354">
            <v>0.53100000000000003</v>
          </cell>
          <cell r="R354">
            <v>0.80500000000000005</v>
          </cell>
        </row>
        <row r="355">
          <cell r="O355" t="str">
            <v xml:space="preserve"> 2018-06-19 </v>
          </cell>
          <cell r="P355">
            <v>0.26200000000000001</v>
          </cell>
          <cell r="Q355">
            <v>0.53500000000000003</v>
          </cell>
          <cell r="R355">
            <v>0.80800000000000005</v>
          </cell>
        </row>
        <row r="356">
          <cell r="O356" t="str">
            <v xml:space="preserve"> 2018-06-20 </v>
          </cell>
          <cell r="P356">
            <v>0.26800000000000002</v>
          </cell>
          <cell r="Q356">
            <v>0.53900000000000003</v>
          </cell>
          <cell r="R356">
            <v>0.81100000000000005</v>
          </cell>
        </row>
        <row r="357">
          <cell r="O357" t="str">
            <v xml:space="preserve"> 2018-06-21 </v>
          </cell>
          <cell r="P357">
            <v>0.27300000000000002</v>
          </cell>
          <cell r="Q357">
            <v>0.54300000000000004</v>
          </cell>
          <cell r="R357">
            <v>0.81299999999999994</v>
          </cell>
        </row>
        <row r="358">
          <cell r="O358" t="str">
            <v xml:space="preserve"> 2018-06-22 </v>
          </cell>
          <cell r="P358">
            <v>0.27900000000000003</v>
          </cell>
          <cell r="Q358">
            <v>0.54800000000000004</v>
          </cell>
          <cell r="R358">
            <v>0.81599999999999995</v>
          </cell>
        </row>
        <row r="359">
          <cell r="O359" t="str">
            <v xml:space="preserve"> 2018-06-23 </v>
          </cell>
          <cell r="P359">
            <v>0.28499999999999998</v>
          </cell>
          <cell r="Q359">
            <v>0.55200000000000005</v>
          </cell>
          <cell r="R359">
            <v>0.81899999999999995</v>
          </cell>
        </row>
        <row r="360">
          <cell r="O360" t="str">
            <v xml:space="preserve"> 2018-06-24 </v>
          </cell>
          <cell r="P360">
            <v>0.28999999999999998</v>
          </cell>
          <cell r="Q360">
            <v>0.55600000000000005</v>
          </cell>
          <cell r="R360">
            <v>0.82099999999999995</v>
          </cell>
        </row>
        <row r="361">
          <cell r="O361" t="str">
            <v xml:space="preserve"> 2018-06-25 </v>
          </cell>
          <cell r="P361">
            <v>0.29599999999999999</v>
          </cell>
          <cell r="Q361">
            <v>0.56000000000000005</v>
          </cell>
          <cell r="R361">
            <v>0.82399999999999995</v>
          </cell>
        </row>
        <row r="362">
          <cell r="O362" t="str">
            <v xml:space="preserve"> 2018-06-26 </v>
          </cell>
          <cell r="P362">
            <v>0.30199999999999999</v>
          </cell>
          <cell r="Q362">
            <v>0.56399999999999995</v>
          </cell>
          <cell r="R362">
            <v>0.82699999999999996</v>
          </cell>
        </row>
        <row r="363">
          <cell r="O363" t="str">
            <v xml:space="preserve"> 2018-06-27 </v>
          </cell>
          <cell r="P363">
            <v>0.307</v>
          </cell>
          <cell r="Q363">
            <v>0.56799999999999995</v>
          </cell>
          <cell r="R363">
            <v>0.82899999999999996</v>
          </cell>
        </row>
        <row r="364">
          <cell r="O364" t="str">
            <v xml:space="preserve"> 2018-06-28 </v>
          </cell>
          <cell r="P364">
            <v>0.313</v>
          </cell>
          <cell r="Q364">
            <v>0.57299999999999995</v>
          </cell>
          <cell r="R364">
            <v>0.83199999999999996</v>
          </cell>
        </row>
        <row r="365">
          <cell r="O365" t="str">
            <v xml:space="preserve"> 2018-06-29 </v>
          </cell>
          <cell r="P365">
            <v>0.31900000000000001</v>
          </cell>
          <cell r="Q365">
            <v>0.57699999999999996</v>
          </cell>
          <cell r="R365">
            <v>0.83499999999999996</v>
          </cell>
        </row>
        <row r="366">
          <cell r="O366" t="str">
            <v xml:space="preserve"> 2018-06-30 </v>
          </cell>
          <cell r="P366">
            <v>0.32400000000000001</v>
          </cell>
          <cell r="Q366">
            <v>0.58099999999999996</v>
          </cell>
          <cell r="R366">
            <v>0.83699999999999997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activeCell="H21" sqref="H21"/>
    </sheetView>
  </sheetViews>
  <sheetFormatPr baseColWidth="10" defaultColWidth="11.5546875" defaultRowHeight="14.4" x14ac:dyDescent="0.3"/>
  <cols>
    <col min="1" max="1" width="14.77734375" style="1" customWidth="1"/>
    <col min="2" max="2" width="14.88671875" style="1" bestFit="1" customWidth="1"/>
    <col min="3" max="3" width="15.109375" style="6" bestFit="1" customWidth="1"/>
    <col min="4" max="4" width="9.33203125" style="1" customWidth="1"/>
    <col min="5" max="5" width="15.109375" style="1" customWidth="1"/>
    <col min="6" max="7" width="15.33203125" style="1" customWidth="1"/>
    <col min="8" max="8" width="15.5546875" style="1" customWidth="1"/>
    <col min="9" max="9" width="12.33203125" style="1" customWidth="1"/>
    <col min="10" max="10" width="19.33203125" style="1" customWidth="1"/>
    <col min="11" max="11" width="15.33203125" style="1" customWidth="1"/>
    <col min="12" max="16384" width="11.5546875" style="1"/>
  </cols>
  <sheetData>
    <row r="1" spans="1:11" s="9" customFormat="1" ht="43.2" x14ac:dyDescent="0.3">
      <c r="A1" s="8" t="s">
        <v>3</v>
      </c>
      <c r="B1" s="8" t="s">
        <v>2</v>
      </c>
      <c r="C1" s="8" t="s">
        <v>32</v>
      </c>
      <c r="D1" s="8" t="s">
        <v>6</v>
      </c>
      <c r="E1" s="8" t="s">
        <v>7</v>
      </c>
      <c r="F1" s="8" t="s">
        <v>52</v>
      </c>
      <c r="G1" s="8" t="s">
        <v>51</v>
      </c>
      <c r="H1" s="8" t="s">
        <v>4</v>
      </c>
      <c r="I1" s="8" t="s">
        <v>19</v>
      </c>
      <c r="J1" s="8" t="s">
        <v>5</v>
      </c>
      <c r="K1" s="8" t="s">
        <v>462</v>
      </c>
    </row>
    <row r="2" spans="1:11" x14ac:dyDescent="0.3">
      <c r="A2" s="2" t="s">
        <v>9</v>
      </c>
      <c r="B2" s="2" t="s">
        <v>16</v>
      </c>
      <c r="C2" s="32">
        <f>3600+2600</f>
        <v>6200</v>
      </c>
      <c r="D2" s="2">
        <v>2</v>
      </c>
      <c r="E2" s="2">
        <v>900</v>
      </c>
      <c r="F2" s="2">
        <v>300</v>
      </c>
      <c r="G2" s="2">
        <v>24</v>
      </c>
      <c r="H2" s="2" t="s">
        <v>11</v>
      </c>
      <c r="I2" s="2">
        <v>1977</v>
      </c>
      <c r="J2" s="2" t="s">
        <v>464</v>
      </c>
      <c r="K2" s="2"/>
    </row>
    <row r="3" spans="1:11" x14ac:dyDescent="0.3">
      <c r="A3" s="2" t="s">
        <v>10</v>
      </c>
      <c r="B3" s="2" t="s">
        <v>18</v>
      </c>
      <c r="C3" s="32"/>
      <c r="D3" s="2">
        <v>2</v>
      </c>
      <c r="E3" s="2">
        <v>900</v>
      </c>
      <c r="F3" s="2">
        <v>300</v>
      </c>
      <c r="G3" s="2">
        <v>24</v>
      </c>
      <c r="H3" s="2" t="s">
        <v>11</v>
      </c>
      <c r="I3" s="2">
        <v>1981</v>
      </c>
      <c r="J3" s="2" t="s">
        <v>464</v>
      </c>
      <c r="K3" s="2"/>
    </row>
    <row r="4" spans="1:11" x14ac:dyDescent="0.3">
      <c r="A4" s="2" t="s">
        <v>8</v>
      </c>
      <c r="B4" s="2" t="s">
        <v>17</v>
      </c>
      <c r="C4" s="32"/>
      <c r="D4" s="2">
        <v>2</v>
      </c>
      <c r="E4" s="2">
        <v>1300</v>
      </c>
      <c r="F4" s="2">
        <v>330</v>
      </c>
      <c r="G4" s="2">
        <v>24</v>
      </c>
      <c r="H4" s="2" t="s">
        <v>11</v>
      </c>
      <c r="I4" s="2">
        <v>1987</v>
      </c>
      <c r="J4" s="2" t="s">
        <v>464</v>
      </c>
      <c r="K4" s="2"/>
    </row>
    <row r="5" spans="1:11" x14ac:dyDescent="0.3">
      <c r="A5" s="2" t="s">
        <v>454</v>
      </c>
      <c r="B5" s="2" t="s">
        <v>455</v>
      </c>
      <c r="C5" s="32">
        <v>2898</v>
      </c>
      <c r="D5" s="2">
        <v>1</v>
      </c>
      <c r="E5" s="2">
        <v>390</v>
      </c>
      <c r="F5" s="2">
        <v>135</v>
      </c>
      <c r="G5" s="2">
        <v>4</v>
      </c>
      <c r="H5" s="2" t="s">
        <v>20</v>
      </c>
      <c r="I5" s="2">
        <v>1994</v>
      </c>
      <c r="J5" s="2" t="s">
        <v>464</v>
      </c>
      <c r="K5" s="2"/>
    </row>
    <row r="6" spans="1:11" x14ac:dyDescent="0.3">
      <c r="A6" s="2" t="s">
        <v>456</v>
      </c>
      <c r="B6" s="2" t="s">
        <v>455</v>
      </c>
      <c r="C6" s="32"/>
      <c r="D6" s="2">
        <v>2</v>
      </c>
      <c r="E6" s="2">
        <v>394</v>
      </c>
      <c r="F6" s="2">
        <v>137</v>
      </c>
      <c r="G6" s="2">
        <v>4</v>
      </c>
      <c r="H6" s="2" t="s">
        <v>20</v>
      </c>
      <c r="I6" s="2">
        <v>2000</v>
      </c>
      <c r="J6" s="2" t="s">
        <v>464</v>
      </c>
      <c r="K6" s="2"/>
    </row>
    <row r="7" spans="1:11" x14ac:dyDescent="0.3">
      <c r="A7" s="2" t="s">
        <v>457</v>
      </c>
      <c r="B7" s="2" t="s">
        <v>455</v>
      </c>
      <c r="C7" s="32"/>
      <c r="D7" s="2">
        <v>1</v>
      </c>
      <c r="E7" s="2">
        <v>430</v>
      </c>
      <c r="F7" s="2">
        <v>151</v>
      </c>
      <c r="G7" s="2">
        <v>4</v>
      </c>
      <c r="H7" s="2" t="s">
        <v>20</v>
      </c>
      <c r="I7" s="2">
        <v>2005</v>
      </c>
      <c r="J7" s="2" t="s">
        <v>464</v>
      </c>
      <c r="K7" s="2"/>
    </row>
    <row r="8" spans="1:11" x14ac:dyDescent="0.3">
      <c r="A8" s="2" t="s">
        <v>458</v>
      </c>
      <c r="B8" s="2" t="s">
        <v>455</v>
      </c>
      <c r="C8" s="32"/>
      <c r="D8" s="2">
        <v>2</v>
      </c>
      <c r="E8" s="2">
        <v>430</v>
      </c>
      <c r="F8" s="2">
        <v>151</v>
      </c>
      <c r="G8" s="2">
        <v>4</v>
      </c>
      <c r="H8" s="2" t="s">
        <v>20</v>
      </c>
      <c r="I8" s="2">
        <v>2009</v>
      </c>
      <c r="J8" s="2" t="s">
        <v>465</v>
      </c>
      <c r="K8" s="2"/>
    </row>
    <row r="9" spans="1:11" x14ac:dyDescent="0.3">
      <c r="A9" s="2" t="s">
        <v>459</v>
      </c>
      <c r="B9" s="2" t="s">
        <v>455</v>
      </c>
      <c r="C9" s="32"/>
      <c r="D9" s="2">
        <v>1</v>
      </c>
      <c r="E9" s="2">
        <v>430</v>
      </c>
      <c r="F9" s="2">
        <v>151</v>
      </c>
      <c r="G9" s="2">
        <v>4</v>
      </c>
      <c r="H9" s="2" t="s">
        <v>20</v>
      </c>
      <c r="I9" s="2">
        <v>2015</v>
      </c>
      <c r="J9" s="2" t="s">
        <v>466</v>
      </c>
      <c r="K9" s="2"/>
    </row>
    <row r="10" spans="1:11" x14ac:dyDescent="0.3">
      <c r="A10" s="2" t="s">
        <v>460</v>
      </c>
      <c r="B10" s="2" t="s">
        <v>461</v>
      </c>
      <c r="C10" s="7">
        <v>170</v>
      </c>
      <c r="D10" s="2">
        <v>2</v>
      </c>
      <c r="E10" s="2">
        <v>85</v>
      </c>
      <c r="F10" s="2">
        <f>0.4*E10</f>
        <v>34</v>
      </c>
      <c r="G10" s="2">
        <v>1</v>
      </c>
      <c r="H10" s="2" t="s">
        <v>21</v>
      </c>
      <c r="I10" s="2">
        <v>2004</v>
      </c>
      <c r="J10" s="2" t="s">
        <v>466</v>
      </c>
      <c r="K10" s="2"/>
    </row>
    <row r="11" spans="1:11" ht="72" x14ac:dyDescent="0.3">
      <c r="A11" s="2" t="s">
        <v>15</v>
      </c>
      <c r="B11" s="2" t="s">
        <v>12</v>
      </c>
      <c r="C11" s="7">
        <v>882</v>
      </c>
      <c r="D11" s="2" t="s">
        <v>27</v>
      </c>
      <c r="E11" s="2" t="s">
        <v>13</v>
      </c>
      <c r="F11" s="2"/>
      <c r="G11" s="2"/>
      <c r="H11" s="2" t="s">
        <v>21</v>
      </c>
      <c r="I11" s="2" t="s">
        <v>48</v>
      </c>
      <c r="J11" s="2" t="s">
        <v>466</v>
      </c>
      <c r="K11" s="2" t="s">
        <v>14</v>
      </c>
    </row>
    <row r="12" spans="1:11" x14ac:dyDescent="0.3">
      <c r="A12" s="2" t="s">
        <v>22</v>
      </c>
      <c r="B12" s="2" t="s">
        <v>1</v>
      </c>
      <c r="C12" s="32">
        <v>2400</v>
      </c>
      <c r="D12" s="2">
        <v>2</v>
      </c>
      <c r="E12" s="2">
        <v>600</v>
      </c>
      <c r="F12" s="11">
        <f>0.35*E12</f>
        <v>210</v>
      </c>
      <c r="G12" s="2">
        <v>8</v>
      </c>
      <c r="H12" s="2" t="s">
        <v>24</v>
      </c>
      <c r="I12" s="2">
        <v>1997</v>
      </c>
      <c r="J12" s="2" t="s">
        <v>464</v>
      </c>
      <c r="K12" s="2" t="s">
        <v>41</v>
      </c>
    </row>
    <row r="13" spans="1:11" x14ac:dyDescent="0.3">
      <c r="A13" s="2" t="s">
        <v>37</v>
      </c>
      <c r="B13" s="2" t="s">
        <v>1</v>
      </c>
      <c r="C13" s="32"/>
      <c r="D13" s="2">
        <v>1</v>
      </c>
      <c r="E13" s="2">
        <v>600</v>
      </c>
      <c r="F13" s="11">
        <f t="shared" ref="F13:F14" si="0">0.35*E13</f>
        <v>210</v>
      </c>
      <c r="G13" s="2">
        <v>8</v>
      </c>
      <c r="H13" s="2" t="s">
        <v>24</v>
      </c>
      <c r="I13" s="2">
        <v>1990</v>
      </c>
      <c r="J13" s="2" t="s">
        <v>464</v>
      </c>
      <c r="K13" s="2" t="s">
        <v>41</v>
      </c>
    </row>
    <row r="14" spans="1:11" x14ac:dyDescent="0.3">
      <c r="A14" s="2" t="s">
        <v>23</v>
      </c>
      <c r="B14" s="2" t="s">
        <v>1</v>
      </c>
      <c r="C14" s="32"/>
      <c r="D14" s="2">
        <v>1</v>
      </c>
      <c r="E14" s="2">
        <v>600</v>
      </c>
      <c r="F14" s="11">
        <f t="shared" si="0"/>
        <v>210</v>
      </c>
      <c r="G14" s="2">
        <v>8</v>
      </c>
      <c r="H14" s="2" t="s">
        <v>24</v>
      </c>
      <c r="I14" s="2">
        <v>1984</v>
      </c>
      <c r="J14" s="2" t="s">
        <v>464</v>
      </c>
      <c r="K14" s="2" t="s">
        <v>41</v>
      </c>
    </row>
    <row r="15" spans="1:11" x14ac:dyDescent="0.3">
      <c r="A15" s="2" t="s">
        <v>888</v>
      </c>
      <c r="B15" s="2" t="s">
        <v>25</v>
      </c>
      <c r="C15" s="7">
        <v>60</v>
      </c>
      <c r="D15" s="2" t="s">
        <v>27</v>
      </c>
      <c r="E15" s="2"/>
      <c r="F15" s="2"/>
      <c r="G15" s="2"/>
      <c r="H15" s="2"/>
      <c r="I15" s="2"/>
      <c r="J15" s="2" t="s">
        <v>464</v>
      </c>
      <c r="K15" s="2" t="s">
        <v>31</v>
      </c>
    </row>
    <row r="16" spans="1:11" ht="28.8" x14ac:dyDescent="0.3">
      <c r="A16" s="2" t="s">
        <v>887</v>
      </c>
      <c r="B16" s="2" t="s">
        <v>28</v>
      </c>
      <c r="C16" s="7">
        <v>365</v>
      </c>
      <c r="D16" s="2" t="s">
        <v>27</v>
      </c>
      <c r="E16" s="2"/>
      <c r="F16" s="2"/>
      <c r="G16" s="2"/>
      <c r="H16" s="3" t="s">
        <v>30</v>
      </c>
      <c r="I16" s="2"/>
      <c r="J16" s="2"/>
      <c r="K16" s="2" t="s">
        <v>49</v>
      </c>
    </row>
    <row r="17" spans="1:11" x14ac:dyDescent="0.3">
      <c r="A17" s="2" t="s">
        <v>463</v>
      </c>
      <c r="B17" s="2" t="s">
        <v>26</v>
      </c>
      <c r="C17" s="32">
        <v>160</v>
      </c>
      <c r="D17" s="2">
        <v>1</v>
      </c>
      <c r="E17" s="2">
        <v>65</v>
      </c>
      <c r="F17" s="2">
        <v>20</v>
      </c>
      <c r="G17" s="2">
        <v>1</v>
      </c>
      <c r="H17" s="2" t="s">
        <v>29</v>
      </c>
      <c r="I17" s="2">
        <v>1990</v>
      </c>
      <c r="J17" s="2"/>
      <c r="K17" s="2"/>
    </row>
    <row r="18" spans="1:11" x14ac:dyDescent="0.3">
      <c r="A18" s="2" t="s">
        <v>38</v>
      </c>
      <c r="B18" s="2" t="s">
        <v>26</v>
      </c>
      <c r="C18" s="32"/>
      <c r="D18" s="2">
        <v>1</v>
      </c>
      <c r="E18" s="2">
        <v>95</v>
      </c>
      <c r="F18" s="2">
        <v>30</v>
      </c>
      <c r="G18" s="2">
        <v>1</v>
      </c>
      <c r="H18" s="2" t="s">
        <v>29</v>
      </c>
      <c r="I18" s="2">
        <v>2005</v>
      </c>
      <c r="J18" s="2" t="s">
        <v>464</v>
      </c>
      <c r="K18" s="2"/>
    </row>
    <row r="19" spans="1:11" ht="28.8" x14ac:dyDescent="0.3">
      <c r="A19" s="2" t="s">
        <v>886</v>
      </c>
      <c r="B19" s="2" t="s">
        <v>50</v>
      </c>
      <c r="C19" s="7">
        <v>1000</v>
      </c>
      <c r="D19" s="2" t="s">
        <v>27</v>
      </c>
      <c r="E19" s="2"/>
      <c r="F19" s="2"/>
      <c r="G19" s="2"/>
      <c r="H19" s="3" t="s">
        <v>30</v>
      </c>
      <c r="I19" s="2"/>
      <c r="J19" s="2"/>
      <c r="K19" s="2"/>
    </row>
    <row r="20" spans="1:11" ht="28.8" x14ac:dyDescent="0.3">
      <c r="A20" s="2" t="s">
        <v>885</v>
      </c>
      <c r="B20" s="2" t="s">
        <v>40</v>
      </c>
      <c r="C20" s="7">
        <v>6000</v>
      </c>
      <c r="D20" s="2"/>
      <c r="E20" s="2"/>
      <c r="F20" s="2"/>
      <c r="G20" s="2"/>
      <c r="H20" s="3" t="s">
        <v>30</v>
      </c>
      <c r="I20" s="2"/>
      <c r="J20" s="2" t="s">
        <v>464</v>
      </c>
      <c r="K20" s="2" t="s">
        <v>53</v>
      </c>
    </row>
    <row r="21" spans="1:11" ht="57.6" x14ac:dyDescent="0.3">
      <c r="A21" s="2" t="s">
        <v>39</v>
      </c>
      <c r="B21" s="2" t="s">
        <v>33</v>
      </c>
      <c r="C21" s="7">
        <v>1200</v>
      </c>
      <c r="D21" s="2" t="s">
        <v>34</v>
      </c>
      <c r="E21" s="2">
        <v>1200</v>
      </c>
      <c r="F21" s="2"/>
      <c r="G21" s="2"/>
      <c r="H21" s="3" t="s">
        <v>30</v>
      </c>
      <c r="I21" s="2"/>
      <c r="J21" s="2" t="s">
        <v>464</v>
      </c>
      <c r="K21" s="2" t="s">
        <v>35</v>
      </c>
    </row>
    <row r="22" spans="1:11" ht="28.8" x14ac:dyDescent="0.3">
      <c r="A22" s="2" t="s">
        <v>884</v>
      </c>
      <c r="B22" s="2" t="s">
        <v>44</v>
      </c>
      <c r="C22" s="7">
        <v>5900</v>
      </c>
      <c r="D22" s="2"/>
      <c r="E22" s="2"/>
      <c r="F22" s="2"/>
      <c r="G22" s="2"/>
      <c r="H22" s="2"/>
      <c r="I22" s="2">
        <v>2017</v>
      </c>
      <c r="J22" s="2" t="s">
        <v>464</v>
      </c>
      <c r="K22" s="2"/>
    </row>
    <row r="23" spans="1:11" ht="57.6" x14ac:dyDescent="0.3">
      <c r="A23" s="2" t="s">
        <v>46</v>
      </c>
      <c r="B23" s="2" t="s">
        <v>45</v>
      </c>
      <c r="C23" s="7">
        <v>500</v>
      </c>
      <c r="D23" s="2"/>
      <c r="E23" s="2"/>
      <c r="F23" s="2"/>
      <c r="G23" s="2"/>
      <c r="H23" s="2"/>
      <c r="I23" s="2"/>
      <c r="J23" s="2" t="s">
        <v>467</v>
      </c>
      <c r="K23" s="2"/>
    </row>
    <row r="24" spans="1:11" ht="43.2" x14ac:dyDescent="0.3">
      <c r="A24" s="2" t="s">
        <v>883</v>
      </c>
      <c r="B24" s="2" t="s">
        <v>36</v>
      </c>
      <c r="C24" s="7">
        <v>3000</v>
      </c>
      <c r="D24" s="2"/>
      <c r="E24" s="2"/>
      <c r="F24" s="2"/>
      <c r="G24" s="2"/>
      <c r="H24" s="2"/>
      <c r="I24" s="2"/>
      <c r="J24" s="2"/>
      <c r="K24" s="2" t="s">
        <v>47</v>
      </c>
    </row>
    <row r="25" spans="1:11" ht="57.6" x14ac:dyDescent="0.3">
      <c r="J25" s="1" t="s">
        <v>468</v>
      </c>
    </row>
  </sheetData>
  <mergeCells count="4">
    <mergeCell ref="C2:C4"/>
    <mergeCell ref="C5:C9"/>
    <mergeCell ref="C12:C14"/>
    <mergeCell ref="C17:C18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8"/>
  <sheetViews>
    <sheetView workbookViewId="0">
      <selection activeCell="B2" sqref="B2"/>
    </sheetView>
  </sheetViews>
  <sheetFormatPr baseColWidth="10" defaultColWidth="10.88671875" defaultRowHeight="14.4" x14ac:dyDescent="0.3"/>
  <sheetData>
    <row r="1" spans="1:3" x14ac:dyDescent="0.3">
      <c r="A1" t="s">
        <v>68</v>
      </c>
      <c r="B1">
        <v>1</v>
      </c>
      <c r="C1" t="s">
        <v>0</v>
      </c>
    </row>
    <row r="3" spans="1:3" x14ac:dyDescent="0.3">
      <c r="B3" s="12" t="s">
        <v>69</v>
      </c>
      <c r="C3" s="12" t="s">
        <v>70</v>
      </c>
    </row>
    <row r="4" spans="1:3" x14ac:dyDescent="0.3">
      <c r="A4" t="s">
        <v>71</v>
      </c>
      <c r="B4" s="13">
        <v>59</v>
      </c>
      <c r="C4" s="13">
        <v>81</v>
      </c>
    </row>
    <row r="5" spans="1:3" x14ac:dyDescent="0.3">
      <c r="A5" t="s">
        <v>72</v>
      </c>
      <c r="B5" s="13">
        <v>59.2</v>
      </c>
      <c r="C5" s="13">
        <v>81.2</v>
      </c>
    </row>
    <row r="6" spans="1:3" x14ac:dyDescent="0.3">
      <c r="A6" t="s">
        <v>73</v>
      </c>
      <c r="B6" s="13">
        <v>59.3</v>
      </c>
      <c r="C6" s="13">
        <v>81.400000000000006</v>
      </c>
    </row>
    <row r="7" spans="1:3" x14ac:dyDescent="0.3">
      <c r="A7" t="s">
        <v>74</v>
      </c>
      <c r="B7" s="13">
        <v>59.5</v>
      </c>
      <c r="C7" s="13">
        <v>81.599999999999994</v>
      </c>
    </row>
    <row r="8" spans="1:3" x14ac:dyDescent="0.3">
      <c r="A8" t="s">
        <v>75</v>
      </c>
      <c r="B8" s="13">
        <v>59.6</v>
      </c>
      <c r="C8" s="13">
        <v>81.8</v>
      </c>
    </row>
    <row r="9" spans="1:3" x14ac:dyDescent="0.3">
      <c r="A9" t="s">
        <v>76</v>
      </c>
      <c r="B9" s="13">
        <v>59.8</v>
      </c>
      <c r="C9" s="13">
        <v>82</v>
      </c>
    </row>
    <row r="10" spans="1:3" x14ac:dyDescent="0.3">
      <c r="A10" t="s">
        <v>77</v>
      </c>
      <c r="B10" s="13">
        <v>60</v>
      </c>
      <c r="C10" s="13">
        <v>82.2</v>
      </c>
    </row>
    <row r="11" spans="1:3" x14ac:dyDescent="0.3">
      <c r="A11" t="s">
        <v>78</v>
      </c>
      <c r="B11" s="13">
        <v>60.1</v>
      </c>
      <c r="C11" s="13">
        <v>82.4</v>
      </c>
    </row>
    <row r="12" spans="1:3" x14ac:dyDescent="0.3">
      <c r="A12" t="s">
        <v>79</v>
      </c>
      <c r="B12" s="13">
        <v>60.3</v>
      </c>
      <c r="C12" s="13">
        <v>82.5</v>
      </c>
    </row>
    <row r="13" spans="1:3" x14ac:dyDescent="0.3">
      <c r="A13" t="s">
        <v>80</v>
      </c>
      <c r="B13" s="13">
        <v>60.5</v>
      </c>
      <c r="C13" s="13">
        <v>82.7</v>
      </c>
    </row>
    <row r="14" spans="1:3" x14ac:dyDescent="0.3">
      <c r="A14" t="s">
        <v>81</v>
      </c>
      <c r="B14" s="13">
        <v>60.6</v>
      </c>
      <c r="C14" s="13">
        <v>82.9</v>
      </c>
    </row>
    <row r="15" spans="1:3" x14ac:dyDescent="0.3">
      <c r="A15" t="s">
        <v>82</v>
      </c>
      <c r="B15" s="13">
        <v>60.8</v>
      </c>
      <c r="C15" s="13">
        <v>83.1</v>
      </c>
    </row>
    <row r="16" spans="1:3" x14ac:dyDescent="0.3">
      <c r="A16" t="s">
        <v>83</v>
      </c>
      <c r="B16" s="13">
        <v>60.9</v>
      </c>
      <c r="C16" s="13">
        <v>83.3</v>
      </c>
    </row>
    <row r="17" spans="1:3" x14ac:dyDescent="0.3">
      <c r="A17" t="s">
        <v>84</v>
      </c>
      <c r="B17" s="13">
        <v>61.1</v>
      </c>
      <c r="C17" s="13">
        <v>83.5</v>
      </c>
    </row>
    <row r="18" spans="1:3" x14ac:dyDescent="0.3">
      <c r="A18" t="s">
        <v>85</v>
      </c>
      <c r="B18" s="13">
        <v>61.3</v>
      </c>
      <c r="C18" s="13">
        <v>83.7</v>
      </c>
    </row>
    <row r="19" spans="1:3" x14ac:dyDescent="0.3">
      <c r="A19" t="s">
        <v>86</v>
      </c>
      <c r="B19" s="13">
        <v>61.4</v>
      </c>
      <c r="C19" s="13">
        <v>83.9</v>
      </c>
    </row>
    <row r="20" spans="1:3" x14ac:dyDescent="0.3">
      <c r="A20" t="s">
        <v>87</v>
      </c>
      <c r="B20" s="13">
        <v>61.6</v>
      </c>
      <c r="C20" s="13">
        <v>84.1</v>
      </c>
    </row>
    <row r="21" spans="1:3" x14ac:dyDescent="0.3">
      <c r="A21" t="s">
        <v>88</v>
      </c>
      <c r="B21" s="13">
        <v>61.7</v>
      </c>
      <c r="C21" s="13">
        <v>84.3</v>
      </c>
    </row>
    <row r="22" spans="1:3" x14ac:dyDescent="0.3">
      <c r="A22" t="s">
        <v>89</v>
      </c>
      <c r="B22" s="13">
        <v>61.9</v>
      </c>
      <c r="C22" s="13">
        <v>84.5</v>
      </c>
    </row>
    <row r="23" spans="1:3" x14ac:dyDescent="0.3">
      <c r="A23" t="s">
        <v>90</v>
      </c>
      <c r="B23" s="13">
        <v>62.1</v>
      </c>
      <c r="C23" s="13">
        <v>84.7</v>
      </c>
    </row>
    <row r="24" spans="1:3" x14ac:dyDescent="0.3">
      <c r="A24" t="s">
        <v>91</v>
      </c>
      <c r="B24" s="13">
        <v>62.2</v>
      </c>
      <c r="C24" s="13">
        <v>84.9</v>
      </c>
    </row>
    <row r="25" spans="1:3" x14ac:dyDescent="0.3">
      <c r="A25" t="s">
        <v>92</v>
      </c>
      <c r="B25" s="13">
        <v>62.4</v>
      </c>
      <c r="C25" s="13">
        <v>85.1</v>
      </c>
    </row>
    <row r="26" spans="1:3" x14ac:dyDescent="0.3">
      <c r="A26" t="s">
        <v>93</v>
      </c>
      <c r="B26" s="13">
        <v>62.5</v>
      </c>
      <c r="C26" s="13">
        <v>85.3</v>
      </c>
    </row>
    <row r="27" spans="1:3" x14ac:dyDescent="0.3">
      <c r="A27" t="s">
        <v>94</v>
      </c>
      <c r="B27" s="13">
        <v>62.7</v>
      </c>
      <c r="C27" s="13">
        <v>85.5</v>
      </c>
    </row>
    <row r="28" spans="1:3" x14ac:dyDescent="0.3">
      <c r="A28" t="s">
        <v>95</v>
      </c>
      <c r="B28" s="13">
        <v>62.9</v>
      </c>
      <c r="C28" s="13">
        <v>85.6</v>
      </c>
    </row>
    <row r="29" spans="1:3" x14ac:dyDescent="0.3">
      <c r="A29" t="s">
        <v>96</v>
      </c>
      <c r="B29" s="13">
        <v>63</v>
      </c>
      <c r="C29" s="13">
        <v>85.8</v>
      </c>
    </row>
    <row r="30" spans="1:3" x14ac:dyDescent="0.3">
      <c r="A30" t="s">
        <v>97</v>
      </c>
      <c r="B30" s="13">
        <v>63.2</v>
      </c>
      <c r="C30" s="13">
        <v>86</v>
      </c>
    </row>
    <row r="31" spans="1:3" x14ac:dyDescent="0.3">
      <c r="A31" t="s">
        <v>98</v>
      </c>
      <c r="B31" s="13">
        <v>63.4</v>
      </c>
      <c r="C31" s="13">
        <v>86.2</v>
      </c>
    </row>
    <row r="32" spans="1:3" x14ac:dyDescent="0.3">
      <c r="A32" t="s">
        <v>99</v>
      </c>
      <c r="B32" s="13">
        <v>63.5</v>
      </c>
      <c r="C32" s="13">
        <v>86.4</v>
      </c>
    </row>
    <row r="33" spans="1:3" x14ac:dyDescent="0.3">
      <c r="A33" t="s">
        <v>100</v>
      </c>
      <c r="B33" s="13">
        <v>63.7</v>
      </c>
      <c r="C33" s="13">
        <v>86.6</v>
      </c>
    </row>
    <row r="34" spans="1:3" x14ac:dyDescent="0.3">
      <c r="A34" t="s">
        <v>101</v>
      </c>
      <c r="B34" s="13">
        <v>63.8</v>
      </c>
      <c r="C34" s="13">
        <v>86.8</v>
      </c>
    </row>
    <row r="35" spans="1:3" x14ac:dyDescent="0.3">
      <c r="A35" t="s">
        <v>102</v>
      </c>
      <c r="B35" s="13">
        <v>64</v>
      </c>
      <c r="C35" s="13">
        <v>87</v>
      </c>
    </row>
    <row r="36" spans="1:3" x14ac:dyDescent="0.3">
      <c r="A36" t="s">
        <v>103</v>
      </c>
      <c r="B36" s="13">
        <v>64</v>
      </c>
      <c r="C36" s="13">
        <v>87.1</v>
      </c>
    </row>
    <row r="37" spans="1:3" x14ac:dyDescent="0.3">
      <c r="A37" t="s">
        <v>104</v>
      </c>
      <c r="B37" s="13">
        <v>63.9</v>
      </c>
      <c r="C37" s="13">
        <v>87.2</v>
      </c>
    </row>
    <row r="38" spans="1:3" x14ac:dyDescent="0.3">
      <c r="A38" t="s">
        <v>105</v>
      </c>
      <c r="B38" s="13">
        <v>63.9</v>
      </c>
      <c r="C38" s="13">
        <v>87.3</v>
      </c>
    </row>
    <row r="39" spans="1:3" x14ac:dyDescent="0.3">
      <c r="A39" t="s">
        <v>106</v>
      </c>
      <c r="B39" s="13">
        <v>63.9</v>
      </c>
      <c r="C39" s="13">
        <v>87.4</v>
      </c>
    </row>
    <row r="40" spans="1:3" x14ac:dyDescent="0.3">
      <c r="A40" t="s">
        <v>107</v>
      </c>
      <c r="B40" s="13">
        <v>63.8</v>
      </c>
      <c r="C40" s="13">
        <v>87.5</v>
      </c>
    </row>
    <row r="41" spans="1:3" x14ac:dyDescent="0.3">
      <c r="A41" t="s">
        <v>108</v>
      </c>
      <c r="B41" s="13">
        <v>63.8</v>
      </c>
      <c r="C41" s="13">
        <v>87.6</v>
      </c>
    </row>
    <row r="42" spans="1:3" x14ac:dyDescent="0.3">
      <c r="A42" t="s">
        <v>109</v>
      </c>
      <c r="B42" s="13">
        <v>63.8</v>
      </c>
      <c r="C42" s="13">
        <v>87.7</v>
      </c>
    </row>
    <row r="43" spans="1:3" x14ac:dyDescent="0.3">
      <c r="A43" t="s">
        <v>110</v>
      </c>
      <c r="B43" s="13">
        <v>63.7</v>
      </c>
      <c r="C43" s="13">
        <v>87.8</v>
      </c>
    </row>
    <row r="44" spans="1:3" x14ac:dyDescent="0.3">
      <c r="A44" t="s">
        <v>111</v>
      </c>
      <c r="B44" s="13">
        <v>63.7</v>
      </c>
      <c r="C44" s="13">
        <v>87.9</v>
      </c>
    </row>
    <row r="45" spans="1:3" x14ac:dyDescent="0.3">
      <c r="A45" t="s">
        <v>112</v>
      </c>
      <c r="B45" s="13">
        <v>63.7</v>
      </c>
      <c r="C45" s="13">
        <v>88</v>
      </c>
    </row>
    <row r="46" spans="1:3" x14ac:dyDescent="0.3">
      <c r="A46" t="s">
        <v>113</v>
      </c>
      <c r="B46" s="13">
        <v>63.6</v>
      </c>
      <c r="C46" s="13">
        <v>88.1</v>
      </c>
    </row>
    <row r="47" spans="1:3" x14ac:dyDescent="0.3">
      <c r="A47" t="s">
        <v>114</v>
      </c>
      <c r="B47" s="13">
        <v>63.6</v>
      </c>
      <c r="C47" s="13">
        <v>88.2</v>
      </c>
    </row>
    <row r="48" spans="1:3" x14ac:dyDescent="0.3">
      <c r="A48" t="s">
        <v>115</v>
      </c>
      <c r="B48" s="13">
        <v>63.6</v>
      </c>
      <c r="C48" s="13">
        <v>88.3</v>
      </c>
    </row>
    <row r="49" spans="1:3" x14ac:dyDescent="0.3">
      <c r="A49" t="s">
        <v>116</v>
      </c>
      <c r="B49" s="13">
        <v>63.5</v>
      </c>
      <c r="C49" s="13">
        <v>88.4</v>
      </c>
    </row>
    <row r="50" spans="1:3" x14ac:dyDescent="0.3">
      <c r="A50" t="s">
        <v>117</v>
      </c>
      <c r="B50" s="13">
        <v>63.5</v>
      </c>
      <c r="C50" s="13">
        <v>88.5</v>
      </c>
    </row>
    <row r="51" spans="1:3" x14ac:dyDescent="0.3">
      <c r="A51" t="s">
        <v>118</v>
      </c>
      <c r="B51" s="13">
        <v>63.5</v>
      </c>
      <c r="C51" s="13">
        <v>88.5</v>
      </c>
    </row>
    <row r="52" spans="1:3" x14ac:dyDescent="0.3">
      <c r="A52" t="s">
        <v>119</v>
      </c>
      <c r="B52" s="13">
        <v>63.5</v>
      </c>
      <c r="C52" s="13">
        <v>88.6</v>
      </c>
    </row>
    <row r="53" spans="1:3" x14ac:dyDescent="0.3">
      <c r="A53" t="s">
        <v>120</v>
      </c>
      <c r="B53" s="13">
        <v>63.4</v>
      </c>
      <c r="C53" s="13">
        <v>88.7</v>
      </c>
    </row>
    <row r="54" spans="1:3" x14ac:dyDescent="0.3">
      <c r="A54" t="s">
        <v>121</v>
      </c>
      <c r="B54" s="13">
        <v>63.4</v>
      </c>
      <c r="C54" s="13">
        <v>88.8</v>
      </c>
    </row>
    <row r="55" spans="1:3" x14ac:dyDescent="0.3">
      <c r="A55" t="s">
        <v>122</v>
      </c>
      <c r="B55" s="13">
        <v>63.4</v>
      </c>
      <c r="C55" s="13">
        <v>88.9</v>
      </c>
    </row>
    <row r="56" spans="1:3" x14ac:dyDescent="0.3">
      <c r="A56" t="s">
        <v>123</v>
      </c>
      <c r="B56" s="13">
        <v>63.3</v>
      </c>
      <c r="C56" s="13">
        <v>89</v>
      </c>
    </row>
    <row r="57" spans="1:3" x14ac:dyDescent="0.3">
      <c r="A57" t="s">
        <v>124</v>
      </c>
      <c r="B57" s="13">
        <v>63.3</v>
      </c>
      <c r="C57" s="13">
        <v>89.1</v>
      </c>
    </row>
    <row r="58" spans="1:3" x14ac:dyDescent="0.3">
      <c r="A58" t="s">
        <v>125</v>
      </c>
      <c r="B58" s="13">
        <v>63.3</v>
      </c>
      <c r="C58" s="13">
        <v>89.2</v>
      </c>
    </row>
    <row r="59" spans="1:3" x14ac:dyDescent="0.3">
      <c r="A59" t="s">
        <v>126</v>
      </c>
      <c r="B59" s="13">
        <v>63.2</v>
      </c>
      <c r="C59" s="13">
        <v>89.3</v>
      </c>
    </row>
    <row r="60" spans="1:3" x14ac:dyDescent="0.3">
      <c r="A60" t="s">
        <v>127</v>
      </c>
      <c r="B60" s="13">
        <v>63.2</v>
      </c>
      <c r="C60" s="13">
        <v>89.4</v>
      </c>
    </row>
    <row r="61" spans="1:3" x14ac:dyDescent="0.3">
      <c r="A61" t="s">
        <v>128</v>
      </c>
      <c r="B61" s="13">
        <v>63.2</v>
      </c>
      <c r="C61" s="13">
        <v>89.5</v>
      </c>
    </row>
    <row r="62" spans="1:3" x14ac:dyDescent="0.3">
      <c r="A62" t="s">
        <v>129</v>
      </c>
      <c r="B62" s="13">
        <v>63.1</v>
      </c>
      <c r="C62" s="13">
        <v>89.6</v>
      </c>
    </row>
    <row r="63" spans="1:3" x14ac:dyDescent="0.3">
      <c r="A63" t="s">
        <v>130</v>
      </c>
      <c r="B63" s="13">
        <v>63.1</v>
      </c>
      <c r="C63" s="13">
        <v>89.7</v>
      </c>
    </row>
    <row r="64" spans="1:3" x14ac:dyDescent="0.3">
      <c r="A64" t="s">
        <v>131</v>
      </c>
      <c r="B64" s="13">
        <v>63.1</v>
      </c>
      <c r="C64" s="13">
        <v>89.8</v>
      </c>
    </row>
    <row r="65" spans="1:3" x14ac:dyDescent="0.3">
      <c r="A65" t="s">
        <v>132</v>
      </c>
      <c r="B65" s="13">
        <v>63</v>
      </c>
      <c r="C65" s="13">
        <v>89.9</v>
      </c>
    </row>
    <row r="66" spans="1:3" x14ac:dyDescent="0.3">
      <c r="A66" t="s">
        <v>133</v>
      </c>
      <c r="B66" s="13">
        <v>63</v>
      </c>
      <c r="C66" s="13">
        <v>90</v>
      </c>
    </row>
    <row r="67" spans="1:3" x14ac:dyDescent="0.3">
      <c r="A67" t="s">
        <v>134</v>
      </c>
      <c r="B67" s="13">
        <v>62.9</v>
      </c>
      <c r="C67" s="13">
        <v>90</v>
      </c>
    </row>
    <row r="68" spans="1:3" x14ac:dyDescent="0.3">
      <c r="A68" t="s">
        <v>135</v>
      </c>
      <c r="B68" s="13">
        <v>62.9</v>
      </c>
      <c r="C68" s="13">
        <v>90</v>
      </c>
    </row>
    <row r="69" spans="1:3" x14ac:dyDescent="0.3">
      <c r="A69" t="s">
        <v>136</v>
      </c>
      <c r="B69" s="13">
        <v>62.8</v>
      </c>
      <c r="C69" s="13">
        <v>90</v>
      </c>
    </row>
    <row r="70" spans="1:3" x14ac:dyDescent="0.3">
      <c r="A70" t="s">
        <v>137</v>
      </c>
      <c r="B70" s="13">
        <v>62.7</v>
      </c>
      <c r="C70" s="13">
        <v>90</v>
      </c>
    </row>
    <row r="71" spans="1:3" x14ac:dyDescent="0.3">
      <c r="A71" t="s">
        <v>138</v>
      </c>
      <c r="B71" s="13">
        <v>62.7</v>
      </c>
      <c r="C71" s="13">
        <v>90</v>
      </c>
    </row>
    <row r="72" spans="1:3" x14ac:dyDescent="0.3">
      <c r="A72" t="s">
        <v>139</v>
      </c>
      <c r="B72" s="13">
        <v>62.6</v>
      </c>
      <c r="C72" s="13">
        <v>90</v>
      </c>
    </row>
    <row r="73" spans="1:3" x14ac:dyDescent="0.3">
      <c r="A73" t="s">
        <v>140</v>
      </c>
      <c r="B73" s="13">
        <v>62.5</v>
      </c>
      <c r="C73" s="13">
        <v>90</v>
      </c>
    </row>
    <row r="74" spans="1:3" x14ac:dyDescent="0.3">
      <c r="A74" t="s">
        <v>141</v>
      </c>
      <c r="B74" s="13">
        <v>62.5</v>
      </c>
      <c r="C74" s="13">
        <v>90</v>
      </c>
    </row>
    <row r="75" spans="1:3" x14ac:dyDescent="0.3">
      <c r="A75" t="s">
        <v>142</v>
      </c>
      <c r="B75" s="13">
        <v>62.4</v>
      </c>
      <c r="C75" s="13">
        <v>90</v>
      </c>
    </row>
    <row r="76" spans="1:3" x14ac:dyDescent="0.3">
      <c r="A76" t="s">
        <v>143</v>
      </c>
      <c r="B76" s="13">
        <v>62.3</v>
      </c>
      <c r="C76" s="13">
        <v>90</v>
      </c>
    </row>
    <row r="77" spans="1:3" x14ac:dyDescent="0.3">
      <c r="A77" t="s">
        <v>144</v>
      </c>
      <c r="B77" s="13">
        <v>62.3</v>
      </c>
      <c r="C77" s="13">
        <v>90</v>
      </c>
    </row>
    <row r="78" spans="1:3" x14ac:dyDescent="0.3">
      <c r="A78" t="s">
        <v>145</v>
      </c>
      <c r="B78" s="13">
        <v>62.2</v>
      </c>
      <c r="C78" s="13">
        <v>90</v>
      </c>
    </row>
    <row r="79" spans="1:3" x14ac:dyDescent="0.3">
      <c r="A79" t="s">
        <v>146</v>
      </c>
      <c r="B79" s="13">
        <v>62.1</v>
      </c>
      <c r="C79" s="13">
        <v>90</v>
      </c>
    </row>
    <row r="80" spans="1:3" x14ac:dyDescent="0.3">
      <c r="A80" t="s">
        <v>147</v>
      </c>
      <c r="B80" s="13">
        <v>62.1</v>
      </c>
      <c r="C80" s="13">
        <v>90</v>
      </c>
    </row>
    <row r="81" spans="1:3" x14ac:dyDescent="0.3">
      <c r="A81" t="s">
        <v>148</v>
      </c>
      <c r="B81" s="13">
        <v>62</v>
      </c>
      <c r="C81" s="13">
        <v>90</v>
      </c>
    </row>
    <row r="82" spans="1:3" x14ac:dyDescent="0.3">
      <c r="A82" t="s">
        <v>149</v>
      </c>
      <c r="B82" s="13">
        <v>61.9</v>
      </c>
      <c r="C82" s="13">
        <v>90</v>
      </c>
    </row>
    <row r="83" spans="1:3" x14ac:dyDescent="0.3">
      <c r="A83" t="s">
        <v>150</v>
      </c>
      <c r="B83" s="13">
        <v>61.9</v>
      </c>
      <c r="C83" s="13">
        <v>90</v>
      </c>
    </row>
    <row r="84" spans="1:3" x14ac:dyDescent="0.3">
      <c r="A84" t="s">
        <v>151</v>
      </c>
      <c r="B84" s="13">
        <v>61.8</v>
      </c>
      <c r="C84" s="13">
        <v>90</v>
      </c>
    </row>
    <row r="85" spans="1:3" x14ac:dyDescent="0.3">
      <c r="A85" t="s">
        <v>152</v>
      </c>
      <c r="B85" s="13">
        <v>61.7</v>
      </c>
      <c r="C85" s="13">
        <v>90</v>
      </c>
    </row>
    <row r="86" spans="1:3" x14ac:dyDescent="0.3">
      <c r="A86" t="s">
        <v>153</v>
      </c>
      <c r="B86" s="13">
        <v>61.7</v>
      </c>
      <c r="C86" s="13">
        <v>90</v>
      </c>
    </row>
    <row r="87" spans="1:3" x14ac:dyDescent="0.3">
      <c r="A87" t="s">
        <v>154</v>
      </c>
      <c r="B87" s="13">
        <v>61.6</v>
      </c>
      <c r="C87" s="13">
        <v>90</v>
      </c>
    </row>
    <row r="88" spans="1:3" x14ac:dyDescent="0.3">
      <c r="A88" t="s">
        <v>155</v>
      </c>
      <c r="B88" s="13">
        <v>61.5</v>
      </c>
      <c r="C88" s="13">
        <v>90</v>
      </c>
    </row>
    <row r="89" spans="1:3" x14ac:dyDescent="0.3">
      <c r="A89" t="s">
        <v>156</v>
      </c>
      <c r="B89" s="13">
        <v>61.5</v>
      </c>
      <c r="C89" s="13">
        <v>90</v>
      </c>
    </row>
    <row r="90" spans="1:3" x14ac:dyDescent="0.3">
      <c r="A90" t="s">
        <v>157</v>
      </c>
      <c r="B90" s="13">
        <v>61.4</v>
      </c>
      <c r="C90" s="13">
        <v>90</v>
      </c>
    </row>
    <row r="91" spans="1:3" x14ac:dyDescent="0.3">
      <c r="A91" t="s">
        <v>158</v>
      </c>
      <c r="B91" s="13">
        <v>61.3</v>
      </c>
      <c r="C91" s="13">
        <v>90</v>
      </c>
    </row>
    <row r="92" spans="1:3" x14ac:dyDescent="0.3">
      <c r="A92" t="s">
        <v>159</v>
      </c>
      <c r="B92" s="13">
        <v>61.3</v>
      </c>
      <c r="C92" s="13">
        <v>90</v>
      </c>
    </row>
    <row r="93" spans="1:3" x14ac:dyDescent="0.3">
      <c r="A93" t="s">
        <v>160</v>
      </c>
      <c r="B93" s="13">
        <v>61.2</v>
      </c>
      <c r="C93" s="13">
        <v>90</v>
      </c>
    </row>
    <row r="94" spans="1:3" x14ac:dyDescent="0.3">
      <c r="A94" t="s">
        <v>161</v>
      </c>
      <c r="B94" s="13">
        <v>61.1</v>
      </c>
      <c r="C94" s="13">
        <v>90</v>
      </c>
    </row>
    <row r="95" spans="1:3" x14ac:dyDescent="0.3">
      <c r="A95" t="s">
        <v>162</v>
      </c>
      <c r="B95" s="13">
        <v>61.1</v>
      </c>
      <c r="C95" s="13">
        <v>90</v>
      </c>
    </row>
    <row r="96" spans="1:3" x14ac:dyDescent="0.3">
      <c r="A96" t="s">
        <v>163</v>
      </c>
      <c r="B96" s="13">
        <v>61</v>
      </c>
      <c r="C96" s="13">
        <v>90</v>
      </c>
    </row>
    <row r="97" spans="1:3" x14ac:dyDescent="0.3">
      <c r="A97" t="s">
        <v>164</v>
      </c>
      <c r="B97" s="13">
        <v>60.8</v>
      </c>
      <c r="C97" s="13">
        <v>90</v>
      </c>
    </row>
    <row r="98" spans="1:3" x14ac:dyDescent="0.3">
      <c r="A98" t="s">
        <v>165</v>
      </c>
      <c r="B98" s="13">
        <v>60.6</v>
      </c>
      <c r="C98" s="13">
        <v>90.1</v>
      </c>
    </row>
    <row r="99" spans="1:3" x14ac:dyDescent="0.3">
      <c r="A99" t="s">
        <v>166</v>
      </c>
      <c r="B99" s="13">
        <v>60.4</v>
      </c>
      <c r="C99" s="13">
        <v>90.1</v>
      </c>
    </row>
    <row r="100" spans="1:3" x14ac:dyDescent="0.3">
      <c r="A100" t="s">
        <v>167</v>
      </c>
      <c r="B100" s="13">
        <v>60.2</v>
      </c>
      <c r="C100" s="13">
        <v>90.1</v>
      </c>
    </row>
    <row r="101" spans="1:3" x14ac:dyDescent="0.3">
      <c r="A101" t="s">
        <v>168</v>
      </c>
      <c r="B101" s="13">
        <v>60</v>
      </c>
      <c r="C101" s="13">
        <v>90.2</v>
      </c>
    </row>
    <row r="102" spans="1:3" x14ac:dyDescent="0.3">
      <c r="A102" t="s">
        <v>169</v>
      </c>
      <c r="B102" s="13">
        <v>59.8</v>
      </c>
      <c r="C102" s="13">
        <v>90.2</v>
      </c>
    </row>
    <row r="103" spans="1:3" x14ac:dyDescent="0.3">
      <c r="A103" t="s">
        <v>170</v>
      </c>
      <c r="B103" s="13">
        <v>59.6</v>
      </c>
      <c r="C103" s="13">
        <v>90.2</v>
      </c>
    </row>
    <row r="104" spans="1:3" x14ac:dyDescent="0.3">
      <c r="A104" t="s">
        <v>171</v>
      </c>
      <c r="B104" s="13">
        <v>59.5</v>
      </c>
      <c r="C104" s="13">
        <v>90.3</v>
      </c>
    </row>
    <row r="105" spans="1:3" x14ac:dyDescent="0.3">
      <c r="A105" t="s">
        <v>172</v>
      </c>
      <c r="B105" s="13">
        <v>59.3</v>
      </c>
      <c r="C105" s="13">
        <v>90.3</v>
      </c>
    </row>
    <row r="106" spans="1:3" x14ac:dyDescent="0.3">
      <c r="A106" t="s">
        <v>173</v>
      </c>
      <c r="B106" s="13">
        <v>59.1</v>
      </c>
      <c r="C106" s="13">
        <v>90.3</v>
      </c>
    </row>
    <row r="107" spans="1:3" x14ac:dyDescent="0.3">
      <c r="A107" t="s">
        <v>174</v>
      </c>
      <c r="B107" s="13">
        <v>58.9</v>
      </c>
      <c r="C107" s="13">
        <v>90.4</v>
      </c>
    </row>
    <row r="108" spans="1:3" x14ac:dyDescent="0.3">
      <c r="A108" t="s">
        <v>175</v>
      </c>
      <c r="B108" s="13">
        <v>58.7</v>
      </c>
      <c r="C108" s="13">
        <v>90.4</v>
      </c>
    </row>
    <row r="109" spans="1:3" x14ac:dyDescent="0.3">
      <c r="A109" t="s">
        <v>176</v>
      </c>
      <c r="B109" s="13">
        <v>58.5</v>
      </c>
      <c r="C109" s="13">
        <v>90.4</v>
      </c>
    </row>
    <row r="110" spans="1:3" x14ac:dyDescent="0.3">
      <c r="A110" t="s">
        <v>177</v>
      </c>
      <c r="B110" s="13">
        <v>58.3</v>
      </c>
      <c r="C110" s="13">
        <v>90.5</v>
      </c>
    </row>
    <row r="111" spans="1:3" x14ac:dyDescent="0.3">
      <c r="A111" t="s">
        <v>178</v>
      </c>
      <c r="B111" s="13">
        <v>58.1</v>
      </c>
      <c r="C111" s="13">
        <v>90.5</v>
      </c>
    </row>
    <row r="112" spans="1:3" x14ac:dyDescent="0.3">
      <c r="A112" t="s">
        <v>179</v>
      </c>
      <c r="B112" s="13">
        <v>57.9</v>
      </c>
      <c r="C112" s="13">
        <v>90.5</v>
      </c>
    </row>
    <row r="113" spans="1:3" x14ac:dyDescent="0.3">
      <c r="A113" t="s">
        <v>180</v>
      </c>
      <c r="B113" s="13">
        <v>57.7</v>
      </c>
      <c r="C113" s="13">
        <v>90.5</v>
      </c>
    </row>
    <row r="114" spans="1:3" x14ac:dyDescent="0.3">
      <c r="A114" t="s">
        <v>181</v>
      </c>
      <c r="B114" s="13">
        <v>57.5</v>
      </c>
      <c r="C114" s="13">
        <v>90.6</v>
      </c>
    </row>
    <row r="115" spans="1:3" x14ac:dyDescent="0.3">
      <c r="A115" t="s">
        <v>182</v>
      </c>
      <c r="B115" s="13">
        <v>57.3</v>
      </c>
      <c r="C115" s="13">
        <v>90.6</v>
      </c>
    </row>
    <row r="116" spans="1:3" x14ac:dyDescent="0.3">
      <c r="A116" t="s">
        <v>183</v>
      </c>
      <c r="B116" s="13">
        <v>57.1</v>
      </c>
      <c r="C116" s="13">
        <v>90.6</v>
      </c>
    </row>
    <row r="117" spans="1:3" x14ac:dyDescent="0.3">
      <c r="A117" t="s">
        <v>184</v>
      </c>
      <c r="B117" s="13">
        <v>56.9</v>
      </c>
      <c r="C117" s="13">
        <v>90.7</v>
      </c>
    </row>
    <row r="118" spans="1:3" x14ac:dyDescent="0.3">
      <c r="A118" t="s">
        <v>185</v>
      </c>
      <c r="B118" s="13">
        <v>56.7</v>
      </c>
      <c r="C118" s="13">
        <v>90.7</v>
      </c>
    </row>
    <row r="119" spans="1:3" x14ac:dyDescent="0.3">
      <c r="A119" t="s">
        <v>186</v>
      </c>
      <c r="B119" s="13">
        <v>56.5</v>
      </c>
      <c r="C119" s="13">
        <v>90.7</v>
      </c>
    </row>
    <row r="120" spans="1:3" x14ac:dyDescent="0.3">
      <c r="A120" t="s">
        <v>187</v>
      </c>
      <c r="B120" s="13">
        <v>56.4</v>
      </c>
      <c r="C120" s="13">
        <v>90.8</v>
      </c>
    </row>
    <row r="121" spans="1:3" x14ac:dyDescent="0.3">
      <c r="A121" t="s">
        <v>188</v>
      </c>
      <c r="B121" s="13">
        <v>56.2</v>
      </c>
      <c r="C121" s="13">
        <v>90.8</v>
      </c>
    </row>
    <row r="122" spans="1:3" x14ac:dyDescent="0.3">
      <c r="A122" t="s">
        <v>189</v>
      </c>
      <c r="B122" s="13">
        <v>56</v>
      </c>
      <c r="C122" s="13">
        <v>90.8</v>
      </c>
    </row>
    <row r="123" spans="1:3" x14ac:dyDescent="0.3">
      <c r="A123" t="s">
        <v>190</v>
      </c>
      <c r="B123" s="13">
        <v>55.8</v>
      </c>
      <c r="C123" s="13">
        <v>90.9</v>
      </c>
    </row>
    <row r="124" spans="1:3" x14ac:dyDescent="0.3">
      <c r="A124" t="s">
        <v>191</v>
      </c>
      <c r="B124" s="13">
        <v>55.6</v>
      </c>
      <c r="C124" s="13">
        <v>90.9</v>
      </c>
    </row>
    <row r="125" spans="1:3" x14ac:dyDescent="0.3">
      <c r="A125" t="s">
        <v>192</v>
      </c>
      <c r="B125" s="13">
        <v>55.4</v>
      </c>
      <c r="C125" s="13">
        <v>90.9</v>
      </c>
    </row>
    <row r="126" spans="1:3" x14ac:dyDescent="0.3">
      <c r="A126" t="s">
        <v>193</v>
      </c>
      <c r="B126" s="13">
        <v>55.2</v>
      </c>
      <c r="C126" s="13">
        <v>91</v>
      </c>
    </row>
    <row r="127" spans="1:3" x14ac:dyDescent="0.3">
      <c r="A127" t="s">
        <v>194</v>
      </c>
      <c r="B127" s="13">
        <v>55</v>
      </c>
      <c r="C127" s="13">
        <v>91</v>
      </c>
    </row>
    <row r="128" spans="1:3" x14ac:dyDescent="0.3">
      <c r="A128" t="s">
        <v>195</v>
      </c>
      <c r="B128" s="13">
        <v>54.5</v>
      </c>
      <c r="C128" s="13">
        <v>91</v>
      </c>
    </row>
    <row r="129" spans="1:3" x14ac:dyDescent="0.3">
      <c r="A129" t="s">
        <v>196</v>
      </c>
      <c r="B129" s="13">
        <v>54.1</v>
      </c>
      <c r="C129" s="13">
        <v>91.1</v>
      </c>
    </row>
    <row r="130" spans="1:3" x14ac:dyDescent="0.3">
      <c r="A130" t="s">
        <v>197</v>
      </c>
      <c r="B130" s="13">
        <v>53.6</v>
      </c>
      <c r="C130" s="13">
        <v>91.1</v>
      </c>
    </row>
    <row r="131" spans="1:3" x14ac:dyDescent="0.3">
      <c r="A131" t="s">
        <v>198</v>
      </c>
      <c r="B131" s="13">
        <v>53.1</v>
      </c>
      <c r="C131" s="13">
        <v>91.1</v>
      </c>
    </row>
    <row r="132" spans="1:3" x14ac:dyDescent="0.3">
      <c r="A132" t="s">
        <v>199</v>
      </c>
      <c r="B132" s="13">
        <v>52.7</v>
      </c>
      <c r="C132" s="13">
        <v>91.2</v>
      </c>
    </row>
    <row r="133" spans="1:3" x14ac:dyDescent="0.3">
      <c r="A133" t="s">
        <v>200</v>
      </c>
      <c r="B133" s="13">
        <v>52.2</v>
      </c>
      <c r="C133" s="13">
        <v>91.2</v>
      </c>
    </row>
    <row r="134" spans="1:3" x14ac:dyDescent="0.3">
      <c r="A134" t="s">
        <v>201</v>
      </c>
      <c r="B134" s="13">
        <v>51.7</v>
      </c>
      <c r="C134" s="13">
        <v>91.2</v>
      </c>
    </row>
    <row r="135" spans="1:3" x14ac:dyDescent="0.3">
      <c r="A135" t="s">
        <v>202</v>
      </c>
      <c r="B135" s="13">
        <v>51.3</v>
      </c>
      <c r="C135" s="13">
        <v>91.3</v>
      </c>
    </row>
    <row r="136" spans="1:3" x14ac:dyDescent="0.3">
      <c r="A136" t="s">
        <v>203</v>
      </c>
      <c r="B136" s="13">
        <v>50.8</v>
      </c>
      <c r="C136" s="13">
        <v>91.3</v>
      </c>
    </row>
    <row r="137" spans="1:3" x14ac:dyDescent="0.3">
      <c r="A137" t="s">
        <v>204</v>
      </c>
      <c r="B137" s="13">
        <v>50.3</v>
      </c>
      <c r="C137" s="13">
        <v>91.3</v>
      </c>
    </row>
    <row r="138" spans="1:3" x14ac:dyDescent="0.3">
      <c r="A138" t="s">
        <v>205</v>
      </c>
      <c r="B138" s="13">
        <v>49.9</v>
      </c>
      <c r="C138" s="13">
        <v>91.4</v>
      </c>
    </row>
    <row r="139" spans="1:3" x14ac:dyDescent="0.3">
      <c r="A139" t="s">
        <v>206</v>
      </c>
      <c r="B139" s="13">
        <v>49.4</v>
      </c>
      <c r="C139" s="13">
        <v>91.4</v>
      </c>
    </row>
    <row r="140" spans="1:3" x14ac:dyDescent="0.3">
      <c r="A140" t="s">
        <v>207</v>
      </c>
      <c r="B140" s="13">
        <v>48.9</v>
      </c>
      <c r="C140" s="13">
        <v>91.4</v>
      </c>
    </row>
    <row r="141" spans="1:3" x14ac:dyDescent="0.3">
      <c r="A141" t="s">
        <v>208</v>
      </c>
      <c r="B141" s="13">
        <v>48.5</v>
      </c>
      <c r="C141" s="13">
        <v>91.5</v>
      </c>
    </row>
    <row r="142" spans="1:3" x14ac:dyDescent="0.3">
      <c r="A142" t="s">
        <v>209</v>
      </c>
      <c r="B142" s="13">
        <v>48</v>
      </c>
      <c r="C142" s="13">
        <v>91.5</v>
      </c>
    </row>
    <row r="143" spans="1:3" x14ac:dyDescent="0.3">
      <c r="A143" t="s">
        <v>210</v>
      </c>
      <c r="B143" s="13">
        <v>47.5</v>
      </c>
      <c r="C143" s="13">
        <v>91.5</v>
      </c>
    </row>
    <row r="144" spans="1:3" x14ac:dyDescent="0.3">
      <c r="A144" t="s">
        <v>211</v>
      </c>
      <c r="B144" s="13">
        <v>47.1</v>
      </c>
      <c r="C144" s="13">
        <v>91.6</v>
      </c>
    </row>
    <row r="145" spans="1:3" x14ac:dyDescent="0.3">
      <c r="A145" t="s">
        <v>212</v>
      </c>
      <c r="B145" s="13">
        <v>46.6</v>
      </c>
      <c r="C145" s="13">
        <v>91.6</v>
      </c>
    </row>
    <row r="146" spans="1:3" x14ac:dyDescent="0.3">
      <c r="A146" t="s">
        <v>213</v>
      </c>
      <c r="B146" s="13">
        <v>46.1</v>
      </c>
      <c r="C146" s="13">
        <v>91.6</v>
      </c>
    </row>
    <row r="147" spans="1:3" x14ac:dyDescent="0.3">
      <c r="A147" t="s">
        <v>214</v>
      </c>
      <c r="B147" s="13">
        <v>45.7</v>
      </c>
      <c r="C147" s="13">
        <v>91.7</v>
      </c>
    </row>
    <row r="148" spans="1:3" x14ac:dyDescent="0.3">
      <c r="A148" t="s">
        <v>215</v>
      </c>
      <c r="B148" s="13">
        <v>45.2</v>
      </c>
      <c r="C148" s="13">
        <v>91.7</v>
      </c>
    </row>
    <row r="149" spans="1:3" x14ac:dyDescent="0.3">
      <c r="A149" t="s">
        <v>216</v>
      </c>
      <c r="B149" s="13">
        <v>44.7</v>
      </c>
      <c r="C149" s="13">
        <v>91.7</v>
      </c>
    </row>
    <row r="150" spans="1:3" x14ac:dyDescent="0.3">
      <c r="A150" t="s">
        <v>217</v>
      </c>
      <c r="B150" s="13">
        <v>44.3</v>
      </c>
      <c r="C150" s="13">
        <v>91.8</v>
      </c>
    </row>
    <row r="151" spans="1:3" x14ac:dyDescent="0.3">
      <c r="A151" t="s">
        <v>218</v>
      </c>
      <c r="B151" s="13">
        <v>43.8</v>
      </c>
      <c r="C151" s="13">
        <v>91.8</v>
      </c>
    </row>
    <row r="152" spans="1:3" x14ac:dyDescent="0.3">
      <c r="A152" t="s">
        <v>219</v>
      </c>
      <c r="B152" s="13">
        <v>43.3</v>
      </c>
      <c r="C152" s="13">
        <v>91.8</v>
      </c>
    </row>
    <row r="153" spans="1:3" x14ac:dyDescent="0.3">
      <c r="A153" t="s">
        <v>220</v>
      </c>
      <c r="B153" s="13">
        <v>42.9</v>
      </c>
      <c r="C153" s="13">
        <v>91.9</v>
      </c>
    </row>
    <row r="154" spans="1:3" x14ac:dyDescent="0.3">
      <c r="A154" t="s">
        <v>221</v>
      </c>
      <c r="B154" s="13">
        <v>42.4</v>
      </c>
      <c r="C154" s="13">
        <v>91.9</v>
      </c>
    </row>
    <row r="155" spans="1:3" x14ac:dyDescent="0.3">
      <c r="A155" t="s">
        <v>222</v>
      </c>
      <c r="B155" s="13">
        <v>41.9</v>
      </c>
      <c r="C155" s="13">
        <v>91.9</v>
      </c>
    </row>
    <row r="156" spans="1:3" x14ac:dyDescent="0.3">
      <c r="A156" t="s">
        <v>223</v>
      </c>
      <c r="B156" s="13">
        <v>41.5</v>
      </c>
      <c r="C156" s="13">
        <v>92</v>
      </c>
    </row>
    <row r="157" spans="1:3" x14ac:dyDescent="0.3">
      <c r="A157" t="s">
        <v>224</v>
      </c>
      <c r="B157" s="13">
        <v>41</v>
      </c>
      <c r="C157" s="13">
        <v>92</v>
      </c>
    </row>
    <row r="158" spans="1:3" x14ac:dyDescent="0.3">
      <c r="A158" t="s">
        <v>225</v>
      </c>
      <c r="B158" s="13">
        <v>40.700000000000003</v>
      </c>
      <c r="C158" s="13">
        <v>91.6</v>
      </c>
    </row>
    <row r="159" spans="1:3" x14ac:dyDescent="0.3">
      <c r="A159" t="s">
        <v>226</v>
      </c>
      <c r="B159" s="13">
        <v>40.4</v>
      </c>
      <c r="C159" s="13">
        <v>91.2</v>
      </c>
    </row>
    <row r="160" spans="1:3" x14ac:dyDescent="0.3">
      <c r="A160" t="s">
        <v>227</v>
      </c>
      <c r="B160" s="13">
        <v>40.1</v>
      </c>
      <c r="C160" s="13">
        <v>90.7</v>
      </c>
    </row>
    <row r="161" spans="1:3" x14ac:dyDescent="0.3">
      <c r="A161" t="s">
        <v>228</v>
      </c>
      <c r="B161" s="13">
        <v>39.799999999999997</v>
      </c>
      <c r="C161" s="13">
        <v>90.3</v>
      </c>
    </row>
    <row r="162" spans="1:3" x14ac:dyDescent="0.3">
      <c r="A162" t="s">
        <v>229</v>
      </c>
      <c r="B162" s="13">
        <v>39.5</v>
      </c>
      <c r="C162" s="13">
        <v>89.9</v>
      </c>
    </row>
    <row r="163" spans="1:3" x14ac:dyDescent="0.3">
      <c r="A163" t="s">
        <v>230</v>
      </c>
      <c r="B163" s="13">
        <v>39.299999999999997</v>
      </c>
      <c r="C163" s="13">
        <v>89.5</v>
      </c>
    </row>
    <row r="164" spans="1:3" x14ac:dyDescent="0.3">
      <c r="A164" t="s">
        <v>231</v>
      </c>
      <c r="B164" s="13">
        <v>39</v>
      </c>
      <c r="C164" s="13">
        <v>89.1</v>
      </c>
    </row>
    <row r="165" spans="1:3" x14ac:dyDescent="0.3">
      <c r="A165" t="s">
        <v>232</v>
      </c>
      <c r="B165" s="13">
        <v>38.700000000000003</v>
      </c>
      <c r="C165" s="13">
        <v>88.6</v>
      </c>
    </row>
    <row r="166" spans="1:3" x14ac:dyDescent="0.3">
      <c r="A166" t="s">
        <v>233</v>
      </c>
      <c r="B166" s="13">
        <v>38.4</v>
      </c>
      <c r="C166" s="13">
        <v>88.2</v>
      </c>
    </row>
    <row r="167" spans="1:3" x14ac:dyDescent="0.3">
      <c r="A167" t="s">
        <v>234</v>
      </c>
      <c r="B167" s="13">
        <v>38.1</v>
      </c>
      <c r="C167" s="13">
        <v>87.8</v>
      </c>
    </row>
    <row r="168" spans="1:3" x14ac:dyDescent="0.3">
      <c r="A168" t="s">
        <v>235</v>
      </c>
      <c r="B168" s="13">
        <v>37.799999999999997</v>
      </c>
      <c r="C168" s="13">
        <v>87.4</v>
      </c>
    </row>
    <row r="169" spans="1:3" x14ac:dyDescent="0.3">
      <c r="A169" t="s">
        <v>236</v>
      </c>
      <c r="B169" s="13">
        <v>37.5</v>
      </c>
      <c r="C169" s="13">
        <v>87</v>
      </c>
    </row>
    <row r="170" spans="1:3" x14ac:dyDescent="0.3">
      <c r="A170" t="s">
        <v>237</v>
      </c>
      <c r="B170" s="13">
        <v>37.200000000000003</v>
      </c>
      <c r="C170" s="13">
        <v>86.5</v>
      </c>
    </row>
    <row r="171" spans="1:3" x14ac:dyDescent="0.3">
      <c r="A171" t="s">
        <v>238</v>
      </c>
      <c r="B171" s="13">
        <v>36.9</v>
      </c>
      <c r="C171" s="13">
        <v>86.1</v>
      </c>
    </row>
    <row r="172" spans="1:3" x14ac:dyDescent="0.3">
      <c r="A172" t="s">
        <v>239</v>
      </c>
      <c r="B172" s="13">
        <v>36.6</v>
      </c>
      <c r="C172" s="13">
        <v>85.7</v>
      </c>
    </row>
    <row r="173" spans="1:3" x14ac:dyDescent="0.3">
      <c r="A173" t="s">
        <v>240</v>
      </c>
      <c r="B173" s="13">
        <v>36.4</v>
      </c>
      <c r="C173" s="13">
        <v>85.3</v>
      </c>
    </row>
    <row r="174" spans="1:3" x14ac:dyDescent="0.3">
      <c r="A174" t="s">
        <v>241</v>
      </c>
      <c r="B174" s="13">
        <v>36.1</v>
      </c>
      <c r="C174" s="13">
        <v>84.9</v>
      </c>
    </row>
    <row r="175" spans="1:3" x14ac:dyDescent="0.3">
      <c r="A175" t="s">
        <v>242</v>
      </c>
      <c r="B175" s="13">
        <v>35.799999999999997</v>
      </c>
      <c r="C175" s="13">
        <v>84.5</v>
      </c>
    </row>
    <row r="176" spans="1:3" x14ac:dyDescent="0.3">
      <c r="A176" t="s">
        <v>243</v>
      </c>
      <c r="B176" s="13">
        <v>35.5</v>
      </c>
      <c r="C176" s="13">
        <v>84</v>
      </c>
    </row>
    <row r="177" spans="1:3" x14ac:dyDescent="0.3">
      <c r="A177" t="s">
        <v>244</v>
      </c>
      <c r="B177" s="13">
        <v>35.200000000000003</v>
      </c>
      <c r="C177" s="13">
        <v>83.6</v>
      </c>
    </row>
    <row r="178" spans="1:3" x14ac:dyDescent="0.3">
      <c r="A178" t="s">
        <v>245</v>
      </c>
      <c r="B178" s="13">
        <v>34.9</v>
      </c>
      <c r="C178" s="13">
        <v>83.2</v>
      </c>
    </row>
    <row r="179" spans="1:3" x14ac:dyDescent="0.3">
      <c r="A179" t="s">
        <v>246</v>
      </c>
      <c r="B179" s="13">
        <v>34.6</v>
      </c>
      <c r="C179" s="13">
        <v>82.8</v>
      </c>
    </row>
    <row r="180" spans="1:3" x14ac:dyDescent="0.3">
      <c r="A180" t="s">
        <v>247</v>
      </c>
      <c r="B180" s="13">
        <v>34.299999999999997</v>
      </c>
      <c r="C180" s="13">
        <v>82.4</v>
      </c>
    </row>
    <row r="181" spans="1:3" x14ac:dyDescent="0.3">
      <c r="A181" t="s">
        <v>248</v>
      </c>
      <c r="B181" s="13">
        <v>34</v>
      </c>
      <c r="C181" s="13">
        <v>81.900000000000006</v>
      </c>
    </row>
    <row r="182" spans="1:3" x14ac:dyDescent="0.3">
      <c r="A182" t="s">
        <v>249</v>
      </c>
      <c r="B182" s="13">
        <v>33.700000000000003</v>
      </c>
      <c r="C182" s="13">
        <v>81.5</v>
      </c>
    </row>
    <row r="183" spans="1:3" x14ac:dyDescent="0.3">
      <c r="A183" t="s">
        <v>250</v>
      </c>
      <c r="B183" s="13">
        <v>33.5</v>
      </c>
      <c r="C183" s="13">
        <v>81.099999999999994</v>
      </c>
    </row>
    <row r="184" spans="1:3" x14ac:dyDescent="0.3">
      <c r="A184" t="s">
        <v>251</v>
      </c>
      <c r="B184" s="13">
        <v>33.200000000000003</v>
      </c>
      <c r="C184" s="13">
        <v>80.7</v>
      </c>
    </row>
    <row r="185" spans="1:3" x14ac:dyDescent="0.3">
      <c r="A185" t="s">
        <v>252</v>
      </c>
      <c r="B185" s="13">
        <v>32.9</v>
      </c>
      <c r="C185" s="13">
        <v>80.3</v>
      </c>
    </row>
    <row r="186" spans="1:3" x14ac:dyDescent="0.3">
      <c r="A186" t="s">
        <v>253</v>
      </c>
      <c r="B186" s="13">
        <v>32.6</v>
      </c>
      <c r="C186" s="13">
        <v>79.8</v>
      </c>
    </row>
    <row r="187" spans="1:3" x14ac:dyDescent="0.3">
      <c r="A187" t="s">
        <v>254</v>
      </c>
      <c r="B187" s="13">
        <v>32.299999999999997</v>
      </c>
      <c r="C187" s="13">
        <v>79.400000000000006</v>
      </c>
    </row>
    <row r="188" spans="1:3" x14ac:dyDescent="0.3">
      <c r="A188" t="s">
        <v>255</v>
      </c>
      <c r="B188" s="13">
        <v>32</v>
      </c>
      <c r="C188" s="13">
        <v>79</v>
      </c>
    </row>
    <row r="189" spans="1:3" x14ac:dyDescent="0.3">
      <c r="A189" t="s">
        <v>256</v>
      </c>
      <c r="B189" s="13">
        <v>31.8</v>
      </c>
      <c r="C189" s="13">
        <v>78.7</v>
      </c>
    </row>
    <row r="190" spans="1:3" x14ac:dyDescent="0.3">
      <c r="A190" t="s">
        <v>257</v>
      </c>
      <c r="B190" s="13">
        <v>31.5</v>
      </c>
      <c r="C190" s="13">
        <v>78.400000000000006</v>
      </c>
    </row>
    <row r="191" spans="1:3" x14ac:dyDescent="0.3">
      <c r="A191" t="s">
        <v>258</v>
      </c>
      <c r="B191" s="13">
        <v>31.3</v>
      </c>
      <c r="C191" s="13">
        <v>78.099999999999994</v>
      </c>
    </row>
    <row r="192" spans="1:3" x14ac:dyDescent="0.3">
      <c r="A192" t="s">
        <v>259</v>
      </c>
      <c r="B192" s="13">
        <v>31.1</v>
      </c>
      <c r="C192" s="13">
        <v>77.8</v>
      </c>
    </row>
    <row r="193" spans="1:3" x14ac:dyDescent="0.3">
      <c r="A193" t="s">
        <v>260</v>
      </c>
      <c r="B193" s="13">
        <v>30.9</v>
      </c>
      <c r="C193" s="13">
        <v>77.5</v>
      </c>
    </row>
    <row r="194" spans="1:3" x14ac:dyDescent="0.3">
      <c r="A194" t="s">
        <v>261</v>
      </c>
      <c r="B194" s="13">
        <v>30.6</v>
      </c>
      <c r="C194" s="13">
        <v>77.3</v>
      </c>
    </row>
    <row r="195" spans="1:3" x14ac:dyDescent="0.3">
      <c r="A195" t="s">
        <v>262</v>
      </c>
      <c r="B195" s="13">
        <v>30.4</v>
      </c>
      <c r="C195" s="13">
        <v>77</v>
      </c>
    </row>
    <row r="196" spans="1:3" x14ac:dyDescent="0.3">
      <c r="A196" t="s">
        <v>263</v>
      </c>
      <c r="B196" s="13">
        <v>30.2</v>
      </c>
      <c r="C196" s="13">
        <v>76.7</v>
      </c>
    </row>
    <row r="197" spans="1:3" x14ac:dyDescent="0.3">
      <c r="A197" t="s">
        <v>264</v>
      </c>
      <c r="B197" s="13">
        <v>30</v>
      </c>
      <c r="C197" s="13">
        <v>76.400000000000006</v>
      </c>
    </row>
    <row r="198" spans="1:3" x14ac:dyDescent="0.3">
      <c r="A198" t="s">
        <v>265</v>
      </c>
      <c r="B198" s="13">
        <v>29.7</v>
      </c>
      <c r="C198" s="13">
        <v>76.099999999999994</v>
      </c>
    </row>
    <row r="199" spans="1:3" x14ac:dyDescent="0.3">
      <c r="A199" t="s">
        <v>266</v>
      </c>
      <c r="B199" s="13">
        <v>29.5</v>
      </c>
      <c r="C199" s="13">
        <v>75.8</v>
      </c>
    </row>
    <row r="200" spans="1:3" x14ac:dyDescent="0.3">
      <c r="A200" t="s">
        <v>267</v>
      </c>
      <c r="B200" s="13">
        <v>29.3</v>
      </c>
      <c r="C200" s="13">
        <v>75.5</v>
      </c>
    </row>
    <row r="201" spans="1:3" x14ac:dyDescent="0.3">
      <c r="A201" t="s">
        <v>268</v>
      </c>
      <c r="B201" s="13">
        <v>29.1</v>
      </c>
      <c r="C201" s="13">
        <v>75.2</v>
      </c>
    </row>
    <row r="202" spans="1:3" x14ac:dyDescent="0.3">
      <c r="A202" t="s">
        <v>269</v>
      </c>
      <c r="B202" s="13">
        <v>28.8</v>
      </c>
      <c r="C202" s="13">
        <v>74.900000000000006</v>
      </c>
    </row>
    <row r="203" spans="1:3" x14ac:dyDescent="0.3">
      <c r="A203" t="s">
        <v>270</v>
      </c>
      <c r="B203" s="13">
        <v>28.6</v>
      </c>
      <c r="C203" s="13">
        <v>74.599999999999994</v>
      </c>
    </row>
    <row r="204" spans="1:3" x14ac:dyDescent="0.3">
      <c r="A204" t="s">
        <v>271</v>
      </c>
      <c r="B204" s="13">
        <v>28.4</v>
      </c>
      <c r="C204" s="13">
        <v>74.400000000000006</v>
      </c>
    </row>
    <row r="205" spans="1:3" x14ac:dyDescent="0.3">
      <c r="A205" t="s">
        <v>272</v>
      </c>
      <c r="B205" s="13">
        <v>28.2</v>
      </c>
      <c r="C205" s="13">
        <v>74.099999999999994</v>
      </c>
    </row>
    <row r="206" spans="1:3" x14ac:dyDescent="0.3">
      <c r="A206" t="s">
        <v>273</v>
      </c>
      <c r="B206" s="13">
        <v>27.9</v>
      </c>
      <c r="C206" s="13">
        <v>73.8</v>
      </c>
    </row>
    <row r="207" spans="1:3" x14ac:dyDescent="0.3">
      <c r="A207" t="s">
        <v>274</v>
      </c>
      <c r="B207" s="13">
        <v>27.7</v>
      </c>
      <c r="C207" s="13">
        <v>73.5</v>
      </c>
    </row>
    <row r="208" spans="1:3" x14ac:dyDescent="0.3">
      <c r="A208" t="s">
        <v>275</v>
      </c>
      <c r="B208" s="13">
        <v>27.5</v>
      </c>
      <c r="C208" s="13">
        <v>73.2</v>
      </c>
    </row>
    <row r="209" spans="1:3" x14ac:dyDescent="0.3">
      <c r="A209" t="s">
        <v>276</v>
      </c>
      <c r="B209" s="13">
        <v>27.3</v>
      </c>
      <c r="C209" s="13">
        <v>72.900000000000006</v>
      </c>
    </row>
    <row r="210" spans="1:3" x14ac:dyDescent="0.3">
      <c r="A210" t="s">
        <v>277</v>
      </c>
      <c r="B210" s="13">
        <v>27</v>
      </c>
      <c r="C210" s="13">
        <v>72.599999999999994</v>
      </c>
    </row>
    <row r="211" spans="1:3" x14ac:dyDescent="0.3">
      <c r="A211" t="s">
        <v>278</v>
      </c>
      <c r="B211" s="13">
        <v>26.8</v>
      </c>
      <c r="C211" s="13">
        <v>72.3</v>
      </c>
    </row>
    <row r="212" spans="1:3" x14ac:dyDescent="0.3">
      <c r="A212" t="s">
        <v>279</v>
      </c>
      <c r="B212" s="13">
        <v>26.6</v>
      </c>
      <c r="C212" s="13">
        <v>72</v>
      </c>
    </row>
    <row r="213" spans="1:3" x14ac:dyDescent="0.3">
      <c r="A213" t="s">
        <v>280</v>
      </c>
      <c r="B213" s="13">
        <v>26.4</v>
      </c>
      <c r="C213" s="13">
        <v>71.7</v>
      </c>
    </row>
    <row r="214" spans="1:3" x14ac:dyDescent="0.3">
      <c r="A214" t="s">
        <v>281</v>
      </c>
      <c r="B214" s="13">
        <v>26.1</v>
      </c>
      <c r="C214" s="13">
        <v>71.5</v>
      </c>
    </row>
    <row r="215" spans="1:3" x14ac:dyDescent="0.3">
      <c r="A215" t="s">
        <v>282</v>
      </c>
      <c r="B215" s="13">
        <v>25.9</v>
      </c>
      <c r="C215" s="13">
        <v>71.2</v>
      </c>
    </row>
    <row r="216" spans="1:3" x14ac:dyDescent="0.3">
      <c r="A216" t="s">
        <v>283</v>
      </c>
      <c r="B216" s="13">
        <v>25.5</v>
      </c>
      <c r="C216" s="13">
        <v>70.900000000000006</v>
      </c>
    </row>
    <row r="217" spans="1:3" x14ac:dyDescent="0.3">
      <c r="A217" t="s">
        <v>284</v>
      </c>
      <c r="B217" s="13">
        <v>25.1</v>
      </c>
      <c r="C217" s="13">
        <v>70.599999999999994</v>
      </c>
    </row>
    <row r="218" spans="1:3" x14ac:dyDescent="0.3">
      <c r="A218" t="s">
        <v>285</v>
      </c>
      <c r="B218" s="13">
        <v>24.700000000000003</v>
      </c>
      <c r="C218" s="13">
        <v>70.3</v>
      </c>
    </row>
    <row r="219" spans="1:3" x14ac:dyDescent="0.3">
      <c r="A219" t="s">
        <v>286</v>
      </c>
      <c r="B219" s="13">
        <v>24.300000000000004</v>
      </c>
      <c r="C219" s="13">
        <v>70</v>
      </c>
    </row>
    <row r="220" spans="1:3" x14ac:dyDescent="0.3">
      <c r="A220" t="s">
        <v>287</v>
      </c>
      <c r="B220" s="13">
        <v>23.900000000000006</v>
      </c>
      <c r="C220" s="13">
        <v>69.5</v>
      </c>
    </row>
    <row r="221" spans="1:3" x14ac:dyDescent="0.3">
      <c r="A221" t="s">
        <v>288</v>
      </c>
      <c r="B221" s="13">
        <v>23.500000000000007</v>
      </c>
      <c r="C221" s="13">
        <v>69.099999999999994</v>
      </c>
    </row>
    <row r="222" spans="1:3" x14ac:dyDescent="0.3">
      <c r="A222" t="s">
        <v>289</v>
      </c>
      <c r="B222" s="13">
        <v>23.100000000000009</v>
      </c>
      <c r="C222" s="13">
        <v>68.599999999999994</v>
      </c>
    </row>
    <row r="223" spans="1:3" x14ac:dyDescent="0.3">
      <c r="A223" t="s">
        <v>290</v>
      </c>
      <c r="B223" s="13">
        <v>22.70000000000001</v>
      </c>
      <c r="C223" s="13">
        <v>68.099999999999994</v>
      </c>
    </row>
    <row r="224" spans="1:3" x14ac:dyDescent="0.3">
      <c r="A224" t="s">
        <v>291</v>
      </c>
      <c r="B224" s="13">
        <v>22.300000000000011</v>
      </c>
      <c r="C224" s="13">
        <v>67.7</v>
      </c>
    </row>
    <row r="225" spans="1:3" x14ac:dyDescent="0.3">
      <c r="A225" t="s">
        <v>292</v>
      </c>
      <c r="B225" s="13">
        <v>21.900000000000013</v>
      </c>
      <c r="C225" s="13">
        <v>67.2</v>
      </c>
    </row>
    <row r="226" spans="1:3" x14ac:dyDescent="0.3">
      <c r="A226" t="s">
        <v>293</v>
      </c>
      <c r="B226" s="13">
        <v>21.500000000000014</v>
      </c>
      <c r="C226" s="13">
        <v>66.8</v>
      </c>
    </row>
    <row r="227" spans="1:3" x14ac:dyDescent="0.3">
      <c r="A227" t="s">
        <v>294</v>
      </c>
      <c r="B227" s="13">
        <v>21.100000000000016</v>
      </c>
      <c r="C227" s="13">
        <v>66.3</v>
      </c>
    </row>
    <row r="228" spans="1:3" x14ac:dyDescent="0.3">
      <c r="A228" t="s">
        <v>295</v>
      </c>
      <c r="B228" s="13">
        <v>20.700000000000017</v>
      </c>
      <c r="C228" s="13">
        <v>65.8</v>
      </c>
    </row>
    <row r="229" spans="1:3" x14ac:dyDescent="0.3">
      <c r="A229" t="s">
        <v>296</v>
      </c>
      <c r="B229" s="13">
        <v>20.300000000000018</v>
      </c>
      <c r="C229" s="13">
        <v>65.400000000000006</v>
      </c>
    </row>
    <row r="230" spans="1:3" x14ac:dyDescent="0.3">
      <c r="A230" t="s">
        <v>297</v>
      </c>
      <c r="B230" s="13">
        <v>20</v>
      </c>
      <c r="C230" s="13">
        <v>64.900000000000006</v>
      </c>
    </row>
    <row r="231" spans="1:3" x14ac:dyDescent="0.3">
      <c r="A231" t="s">
        <v>298</v>
      </c>
      <c r="B231" s="13">
        <v>19.8</v>
      </c>
      <c r="C231" s="13">
        <v>64.400000000000006</v>
      </c>
    </row>
    <row r="232" spans="1:3" x14ac:dyDescent="0.3">
      <c r="A232" t="s">
        <v>299</v>
      </c>
      <c r="B232" s="13">
        <v>19.7</v>
      </c>
      <c r="C232" s="13">
        <v>64</v>
      </c>
    </row>
    <row r="233" spans="1:3" x14ac:dyDescent="0.3">
      <c r="A233" t="s">
        <v>300</v>
      </c>
      <c r="B233" s="13">
        <v>19.600000000000001</v>
      </c>
      <c r="C233" s="13">
        <v>63.5</v>
      </c>
    </row>
    <row r="234" spans="1:3" x14ac:dyDescent="0.3">
      <c r="A234" t="s">
        <v>301</v>
      </c>
      <c r="B234" s="13">
        <v>19.5</v>
      </c>
      <c r="C234" s="13">
        <v>63</v>
      </c>
    </row>
    <row r="235" spans="1:3" x14ac:dyDescent="0.3">
      <c r="A235" t="s">
        <v>302</v>
      </c>
      <c r="B235" s="13">
        <v>19.399999999999999</v>
      </c>
      <c r="C235" s="13">
        <v>62.6</v>
      </c>
    </row>
    <row r="236" spans="1:3" x14ac:dyDescent="0.3">
      <c r="A236" t="s">
        <v>303</v>
      </c>
      <c r="B236" s="13">
        <v>19.3</v>
      </c>
      <c r="C236" s="13">
        <v>62.1</v>
      </c>
    </row>
    <row r="237" spans="1:3" x14ac:dyDescent="0.3">
      <c r="A237" t="s">
        <v>304</v>
      </c>
      <c r="B237" s="13">
        <v>19.2</v>
      </c>
      <c r="C237" s="13">
        <v>61.6</v>
      </c>
    </row>
    <row r="238" spans="1:3" x14ac:dyDescent="0.3">
      <c r="A238" t="s">
        <v>305</v>
      </c>
      <c r="B238" s="13">
        <v>19.100000000000001</v>
      </c>
      <c r="C238" s="13">
        <v>61.2</v>
      </c>
    </row>
    <row r="239" spans="1:3" x14ac:dyDescent="0.3">
      <c r="A239" t="s">
        <v>306</v>
      </c>
      <c r="B239" s="13">
        <v>19</v>
      </c>
      <c r="C239" s="13">
        <v>60.7</v>
      </c>
    </row>
    <row r="240" spans="1:3" x14ac:dyDescent="0.3">
      <c r="A240" t="s">
        <v>307</v>
      </c>
      <c r="B240" s="13">
        <v>18.899999999999999</v>
      </c>
      <c r="C240" s="13">
        <v>60.2</v>
      </c>
    </row>
    <row r="241" spans="1:3" x14ac:dyDescent="0.3">
      <c r="A241" t="s">
        <v>308</v>
      </c>
      <c r="B241" s="13">
        <v>18.8</v>
      </c>
      <c r="C241" s="13">
        <v>59.8</v>
      </c>
    </row>
    <row r="242" spans="1:3" x14ac:dyDescent="0.3">
      <c r="A242" t="s">
        <v>309</v>
      </c>
      <c r="B242" s="13">
        <v>18.7</v>
      </c>
      <c r="C242" s="13">
        <v>59.3</v>
      </c>
    </row>
    <row r="243" spans="1:3" x14ac:dyDescent="0.3">
      <c r="A243" t="s">
        <v>310</v>
      </c>
      <c r="B243" s="13">
        <v>18.600000000000001</v>
      </c>
      <c r="C243" s="13">
        <v>58.9</v>
      </c>
    </row>
    <row r="244" spans="1:3" x14ac:dyDescent="0.3">
      <c r="A244" t="s">
        <v>311</v>
      </c>
      <c r="B244" s="13">
        <v>18.5</v>
      </c>
      <c r="C244" s="13">
        <v>58.4</v>
      </c>
    </row>
    <row r="245" spans="1:3" x14ac:dyDescent="0.3">
      <c r="A245" t="s">
        <v>312</v>
      </c>
      <c r="B245" s="13">
        <v>18.399999999999999</v>
      </c>
      <c r="C245" s="13">
        <v>57.9</v>
      </c>
    </row>
    <row r="246" spans="1:3" x14ac:dyDescent="0.3">
      <c r="A246" t="s">
        <v>313</v>
      </c>
      <c r="B246" s="13">
        <v>18.3</v>
      </c>
      <c r="C246" s="13">
        <v>57.5</v>
      </c>
    </row>
    <row r="247" spans="1:3" x14ac:dyDescent="0.3">
      <c r="A247" t="s">
        <v>314</v>
      </c>
      <c r="B247" s="13">
        <v>18</v>
      </c>
      <c r="C247" s="13">
        <v>57</v>
      </c>
    </row>
    <row r="248" spans="1:3" x14ac:dyDescent="0.3">
      <c r="A248" t="s">
        <v>315</v>
      </c>
      <c r="B248" s="13">
        <v>17.899999999999999</v>
      </c>
      <c r="C248" s="13">
        <v>57</v>
      </c>
    </row>
    <row r="249" spans="1:3" x14ac:dyDescent="0.3">
      <c r="A249" t="s">
        <v>316</v>
      </c>
      <c r="B249" s="13">
        <v>17.899999999999999</v>
      </c>
      <c r="C249" s="13">
        <v>56.9</v>
      </c>
    </row>
    <row r="250" spans="1:3" x14ac:dyDescent="0.3">
      <c r="A250" t="s">
        <v>317</v>
      </c>
      <c r="B250" s="13">
        <v>17.8</v>
      </c>
      <c r="C250" s="13">
        <v>56.9</v>
      </c>
    </row>
    <row r="251" spans="1:3" x14ac:dyDescent="0.3">
      <c r="A251" t="s">
        <v>318</v>
      </c>
      <c r="B251" s="13">
        <v>17.7</v>
      </c>
      <c r="C251" s="13">
        <v>56.9</v>
      </c>
    </row>
    <row r="252" spans="1:3" x14ac:dyDescent="0.3">
      <c r="A252" t="s">
        <v>319</v>
      </c>
      <c r="B252" s="13">
        <v>17.7</v>
      </c>
      <c r="C252" s="13">
        <v>56.8</v>
      </c>
    </row>
    <row r="253" spans="1:3" x14ac:dyDescent="0.3">
      <c r="A253" t="s">
        <v>320</v>
      </c>
      <c r="B253" s="13">
        <v>17.600000000000001</v>
      </c>
      <c r="C253" s="13">
        <v>56.8</v>
      </c>
    </row>
    <row r="254" spans="1:3" x14ac:dyDescent="0.3">
      <c r="A254" t="s">
        <v>321</v>
      </c>
      <c r="B254" s="13">
        <v>17.5</v>
      </c>
      <c r="C254" s="13">
        <v>56.8</v>
      </c>
    </row>
    <row r="255" spans="1:3" x14ac:dyDescent="0.3">
      <c r="A255" t="s">
        <v>322</v>
      </c>
      <c r="B255" s="13">
        <v>17.5</v>
      </c>
      <c r="C255" s="13">
        <v>56.7</v>
      </c>
    </row>
    <row r="256" spans="1:3" x14ac:dyDescent="0.3">
      <c r="A256" t="s">
        <v>323</v>
      </c>
      <c r="B256" s="13">
        <v>17.399999999999999</v>
      </c>
      <c r="C256" s="13">
        <v>56.7</v>
      </c>
    </row>
    <row r="257" spans="1:3" x14ac:dyDescent="0.3">
      <c r="A257" t="s">
        <v>324</v>
      </c>
      <c r="B257" s="13">
        <v>17.399999999999999</v>
      </c>
      <c r="C257" s="13">
        <v>56.7</v>
      </c>
    </row>
    <row r="258" spans="1:3" x14ac:dyDescent="0.3">
      <c r="A258" t="s">
        <v>325</v>
      </c>
      <c r="B258" s="13">
        <v>17.3</v>
      </c>
      <c r="C258" s="13">
        <v>56.6</v>
      </c>
    </row>
    <row r="259" spans="1:3" x14ac:dyDescent="0.3">
      <c r="A259" t="s">
        <v>326</v>
      </c>
      <c r="B259" s="13">
        <v>17.2</v>
      </c>
      <c r="C259" s="13">
        <v>56.6</v>
      </c>
    </row>
    <row r="260" spans="1:3" x14ac:dyDescent="0.3">
      <c r="A260" t="s">
        <v>327</v>
      </c>
      <c r="B260" s="13">
        <v>17.2</v>
      </c>
      <c r="C260" s="13">
        <v>56.6</v>
      </c>
    </row>
    <row r="261" spans="1:3" x14ac:dyDescent="0.3">
      <c r="A261" t="s">
        <v>328</v>
      </c>
      <c r="B261" s="13">
        <v>17.100000000000001</v>
      </c>
      <c r="C261" s="13">
        <v>56.5</v>
      </c>
    </row>
    <row r="262" spans="1:3" x14ac:dyDescent="0.3">
      <c r="A262" t="s">
        <v>329</v>
      </c>
      <c r="B262" s="13">
        <v>17</v>
      </c>
      <c r="C262" s="13">
        <v>56.5</v>
      </c>
    </row>
    <row r="263" spans="1:3" x14ac:dyDescent="0.3">
      <c r="A263" t="s">
        <v>330</v>
      </c>
      <c r="B263" s="13">
        <v>17</v>
      </c>
      <c r="C263" s="13">
        <v>56.5</v>
      </c>
    </row>
    <row r="264" spans="1:3" x14ac:dyDescent="0.3">
      <c r="A264" t="s">
        <v>331</v>
      </c>
      <c r="B264" s="13">
        <v>16.899999999999999</v>
      </c>
      <c r="C264" s="13">
        <v>56.5</v>
      </c>
    </row>
    <row r="265" spans="1:3" x14ac:dyDescent="0.3">
      <c r="A265" t="s">
        <v>332</v>
      </c>
      <c r="B265" s="13">
        <v>16.8</v>
      </c>
      <c r="C265" s="13">
        <v>56.4</v>
      </c>
    </row>
    <row r="266" spans="1:3" x14ac:dyDescent="0.3">
      <c r="A266" t="s">
        <v>333</v>
      </c>
      <c r="B266" s="13">
        <v>16.8</v>
      </c>
      <c r="C266" s="13">
        <v>56.4</v>
      </c>
    </row>
    <row r="267" spans="1:3" x14ac:dyDescent="0.3">
      <c r="A267" t="s">
        <v>334</v>
      </c>
      <c r="B267" s="13">
        <v>16.7</v>
      </c>
      <c r="C267" s="13">
        <v>56.4</v>
      </c>
    </row>
    <row r="268" spans="1:3" x14ac:dyDescent="0.3">
      <c r="A268" t="s">
        <v>335</v>
      </c>
      <c r="B268" s="13">
        <v>16.600000000000001</v>
      </c>
      <c r="C268" s="13">
        <v>56.3</v>
      </c>
    </row>
    <row r="269" spans="1:3" x14ac:dyDescent="0.3">
      <c r="A269" t="s">
        <v>336</v>
      </c>
      <c r="B269" s="13">
        <v>16.600000000000001</v>
      </c>
      <c r="C269" s="13">
        <v>56.3</v>
      </c>
    </row>
    <row r="270" spans="1:3" x14ac:dyDescent="0.3">
      <c r="A270" t="s">
        <v>337</v>
      </c>
      <c r="B270" s="13">
        <v>16.5</v>
      </c>
      <c r="C270" s="13">
        <v>56.3</v>
      </c>
    </row>
    <row r="271" spans="1:3" x14ac:dyDescent="0.3">
      <c r="A271" t="s">
        <v>338</v>
      </c>
      <c r="B271" s="13">
        <v>16.5</v>
      </c>
      <c r="C271" s="13">
        <v>56.2</v>
      </c>
    </row>
    <row r="272" spans="1:3" x14ac:dyDescent="0.3">
      <c r="A272" t="s">
        <v>339</v>
      </c>
      <c r="B272" s="13">
        <v>16.399999999999999</v>
      </c>
      <c r="C272" s="13">
        <v>56.2</v>
      </c>
    </row>
    <row r="273" spans="1:3" x14ac:dyDescent="0.3">
      <c r="A273" t="s">
        <v>340</v>
      </c>
      <c r="B273" s="13">
        <v>16.3</v>
      </c>
      <c r="C273" s="13">
        <v>56.2</v>
      </c>
    </row>
    <row r="274" spans="1:3" x14ac:dyDescent="0.3">
      <c r="A274" t="s">
        <v>341</v>
      </c>
      <c r="B274" s="13">
        <v>16.3</v>
      </c>
      <c r="C274" s="13">
        <v>56.1</v>
      </c>
    </row>
    <row r="275" spans="1:3" x14ac:dyDescent="0.3">
      <c r="A275" t="s">
        <v>342</v>
      </c>
      <c r="B275" s="13">
        <v>16.2</v>
      </c>
      <c r="C275" s="13">
        <v>56.1</v>
      </c>
    </row>
    <row r="276" spans="1:3" x14ac:dyDescent="0.3">
      <c r="A276" t="s">
        <v>343</v>
      </c>
      <c r="B276" s="13">
        <v>16.100000000000001</v>
      </c>
      <c r="C276" s="13">
        <v>56.1</v>
      </c>
    </row>
    <row r="277" spans="1:3" x14ac:dyDescent="0.3">
      <c r="A277" t="s">
        <v>344</v>
      </c>
      <c r="B277" s="13">
        <v>16.100000000000001</v>
      </c>
      <c r="C277" s="13">
        <v>56</v>
      </c>
    </row>
    <row r="278" spans="1:3" x14ac:dyDescent="0.3">
      <c r="A278" t="s">
        <v>345</v>
      </c>
      <c r="B278" s="13">
        <v>16</v>
      </c>
      <c r="C278" s="13">
        <v>56</v>
      </c>
    </row>
    <row r="279" spans="1:3" x14ac:dyDescent="0.3">
      <c r="A279" t="s">
        <v>346</v>
      </c>
      <c r="B279" s="13">
        <v>16.2</v>
      </c>
      <c r="C279" s="13">
        <v>55.7</v>
      </c>
    </row>
    <row r="280" spans="1:3" x14ac:dyDescent="0.3">
      <c r="A280" t="s">
        <v>347</v>
      </c>
      <c r="B280" s="13">
        <v>16.399999999999999</v>
      </c>
      <c r="C280" s="13">
        <v>55.5</v>
      </c>
    </row>
    <row r="281" spans="1:3" x14ac:dyDescent="0.3">
      <c r="A281" t="s">
        <v>348</v>
      </c>
      <c r="B281" s="13">
        <v>16.600000000000001</v>
      </c>
      <c r="C281" s="13">
        <v>55.2</v>
      </c>
    </row>
    <row r="282" spans="1:3" x14ac:dyDescent="0.3">
      <c r="A282" t="s">
        <v>349</v>
      </c>
      <c r="B282" s="13">
        <v>16.8</v>
      </c>
      <c r="C282" s="13">
        <v>54.9</v>
      </c>
    </row>
    <row r="283" spans="1:3" x14ac:dyDescent="0.3">
      <c r="A283" t="s">
        <v>350</v>
      </c>
      <c r="B283" s="13">
        <v>17</v>
      </c>
      <c r="C283" s="13">
        <v>54.7</v>
      </c>
    </row>
    <row r="284" spans="1:3" x14ac:dyDescent="0.3">
      <c r="A284" t="s">
        <v>351</v>
      </c>
      <c r="B284" s="13">
        <v>17.2</v>
      </c>
      <c r="C284" s="13">
        <v>54.4</v>
      </c>
    </row>
    <row r="285" spans="1:3" x14ac:dyDescent="0.3">
      <c r="A285" t="s">
        <v>352</v>
      </c>
      <c r="B285" s="13">
        <v>17.399999999999999</v>
      </c>
      <c r="C285" s="13">
        <v>54.1</v>
      </c>
    </row>
    <row r="286" spans="1:3" x14ac:dyDescent="0.3">
      <c r="A286" t="s">
        <v>353</v>
      </c>
      <c r="B286" s="13">
        <v>17.600000000000001</v>
      </c>
      <c r="C286" s="13">
        <v>53.9</v>
      </c>
    </row>
    <row r="287" spans="1:3" x14ac:dyDescent="0.3">
      <c r="A287" t="s">
        <v>354</v>
      </c>
      <c r="B287" s="13">
        <v>17.8</v>
      </c>
      <c r="C287" s="13">
        <v>53.6</v>
      </c>
    </row>
    <row r="288" spans="1:3" x14ac:dyDescent="0.3">
      <c r="A288" t="s">
        <v>355</v>
      </c>
      <c r="B288" s="13">
        <v>18</v>
      </c>
      <c r="C288" s="13">
        <v>53.3</v>
      </c>
    </row>
    <row r="289" spans="1:3" x14ac:dyDescent="0.3">
      <c r="A289" t="s">
        <v>356</v>
      </c>
      <c r="B289" s="13">
        <v>18.2</v>
      </c>
      <c r="C289" s="13">
        <v>53.1</v>
      </c>
    </row>
    <row r="290" spans="1:3" x14ac:dyDescent="0.3">
      <c r="A290" t="s">
        <v>357</v>
      </c>
      <c r="B290" s="13">
        <v>18.399999999999999</v>
      </c>
      <c r="C290" s="13">
        <v>52.8</v>
      </c>
    </row>
    <row r="291" spans="1:3" x14ac:dyDescent="0.3">
      <c r="A291" t="s">
        <v>358</v>
      </c>
      <c r="B291" s="13">
        <v>18.600000000000001</v>
      </c>
      <c r="C291" s="13">
        <v>52.5</v>
      </c>
    </row>
    <row r="292" spans="1:3" x14ac:dyDescent="0.3">
      <c r="A292" t="s">
        <v>359</v>
      </c>
      <c r="B292" s="13">
        <v>18.8</v>
      </c>
      <c r="C292" s="13">
        <v>52.3</v>
      </c>
    </row>
    <row r="293" spans="1:3" x14ac:dyDescent="0.3">
      <c r="A293" t="s">
        <v>360</v>
      </c>
      <c r="B293" s="13">
        <v>19</v>
      </c>
      <c r="C293" s="13">
        <v>52</v>
      </c>
    </row>
    <row r="294" spans="1:3" x14ac:dyDescent="0.3">
      <c r="A294" t="s">
        <v>361</v>
      </c>
      <c r="B294" s="13">
        <v>19.2</v>
      </c>
      <c r="C294" s="13">
        <v>51.7</v>
      </c>
    </row>
    <row r="295" spans="1:3" x14ac:dyDescent="0.3">
      <c r="A295" t="s">
        <v>362</v>
      </c>
      <c r="B295" s="13">
        <v>19.399999999999999</v>
      </c>
      <c r="C295" s="13">
        <v>51.5</v>
      </c>
    </row>
    <row r="296" spans="1:3" x14ac:dyDescent="0.3">
      <c r="A296" t="s">
        <v>363</v>
      </c>
      <c r="B296" s="13">
        <v>19.600000000000001</v>
      </c>
      <c r="C296" s="13">
        <v>51.8</v>
      </c>
    </row>
    <row r="297" spans="1:3" x14ac:dyDescent="0.3">
      <c r="A297" t="s">
        <v>364</v>
      </c>
      <c r="B297" s="13">
        <v>19.8</v>
      </c>
      <c r="C297" s="13">
        <v>52.099999999999994</v>
      </c>
    </row>
    <row r="298" spans="1:3" x14ac:dyDescent="0.3">
      <c r="A298" t="s">
        <v>365</v>
      </c>
      <c r="B298" s="13">
        <v>20</v>
      </c>
      <c r="C298" s="13">
        <v>52.399999999999991</v>
      </c>
    </row>
    <row r="299" spans="1:3" x14ac:dyDescent="0.3">
      <c r="A299" t="s">
        <v>366</v>
      </c>
      <c r="B299" s="13">
        <v>20.2</v>
      </c>
      <c r="C299" s="13">
        <v>52.699999999999989</v>
      </c>
    </row>
    <row r="300" spans="1:3" x14ac:dyDescent="0.3">
      <c r="A300" t="s">
        <v>367</v>
      </c>
      <c r="B300" s="13">
        <v>20.399999999999999</v>
      </c>
      <c r="C300" s="13">
        <v>52.999999999999986</v>
      </c>
    </row>
    <row r="301" spans="1:3" x14ac:dyDescent="0.3">
      <c r="A301" t="s">
        <v>368</v>
      </c>
      <c r="B301" s="13">
        <v>20.6</v>
      </c>
      <c r="C301" s="13">
        <v>53.299999999999983</v>
      </c>
    </row>
    <row r="302" spans="1:3" x14ac:dyDescent="0.3">
      <c r="A302" t="s">
        <v>369</v>
      </c>
      <c r="B302" s="13">
        <v>20.8</v>
      </c>
      <c r="C302" s="13">
        <v>53.59999999999998</v>
      </c>
    </row>
    <row r="303" spans="1:3" x14ac:dyDescent="0.3">
      <c r="A303" t="s">
        <v>370</v>
      </c>
      <c r="B303" s="13">
        <v>21</v>
      </c>
      <c r="C303" s="13">
        <v>53.899999999999977</v>
      </c>
    </row>
    <row r="304" spans="1:3" x14ac:dyDescent="0.3">
      <c r="A304" t="s">
        <v>371</v>
      </c>
      <c r="B304" s="13">
        <v>21.2</v>
      </c>
      <c r="C304" s="13">
        <v>54.199999999999974</v>
      </c>
    </row>
    <row r="305" spans="1:3" x14ac:dyDescent="0.3">
      <c r="A305" t="s">
        <v>372</v>
      </c>
      <c r="B305" s="13">
        <v>21.4</v>
      </c>
      <c r="C305" s="13">
        <v>54.499999999999972</v>
      </c>
    </row>
    <row r="306" spans="1:3" x14ac:dyDescent="0.3">
      <c r="A306" t="s">
        <v>373</v>
      </c>
      <c r="B306" s="13">
        <v>21.6</v>
      </c>
      <c r="C306" s="13">
        <v>54.799999999999969</v>
      </c>
    </row>
    <row r="307" spans="1:3" x14ac:dyDescent="0.3">
      <c r="A307" t="s">
        <v>374</v>
      </c>
      <c r="B307" s="13">
        <v>21.8</v>
      </c>
      <c r="C307" s="13">
        <v>55.099999999999966</v>
      </c>
    </row>
    <row r="308" spans="1:3" x14ac:dyDescent="0.3">
      <c r="A308" t="s">
        <v>375</v>
      </c>
      <c r="B308" s="13">
        <v>22</v>
      </c>
      <c r="C308" s="13">
        <v>55.399999999999963</v>
      </c>
    </row>
    <row r="309" spans="1:3" x14ac:dyDescent="0.3">
      <c r="A309" t="s">
        <v>376</v>
      </c>
      <c r="B309" s="13">
        <v>22.4</v>
      </c>
      <c r="C309" s="13">
        <v>55.69999999999996</v>
      </c>
    </row>
    <row r="310" spans="1:3" x14ac:dyDescent="0.3">
      <c r="A310" t="s">
        <v>377</v>
      </c>
      <c r="B310" s="13">
        <v>22.7</v>
      </c>
      <c r="C310" s="13">
        <v>55.999999999999957</v>
      </c>
    </row>
    <row r="311" spans="1:3" x14ac:dyDescent="0.3">
      <c r="A311" t="s">
        <v>378</v>
      </c>
      <c r="B311" s="13">
        <v>23.1</v>
      </c>
      <c r="C311" s="13">
        <v>56.299999999999955</v>
      </c>
    </row>
    <row r="312" spans="1:3" x14ac:dyDescent="0.3">
      <c r="A312" t="s">
        <v>379</v>
      </c>
      <c r="B312" s="13">
        <v>23.4</v>
      </c>
      <c r="C312" s="13">
        <v>56.599999999999952</v>
      </c>
    </row>
    <row r="313" spans="1:3" x14ac:dyDescent="0.3">
      <c r="A313" t="s">
        <v>380</v>
      </c>
      <c r="B313" s="13">
        <v>23.8</v>
      </c>
      <c r="C313" s="13">
        <v>56.899999999999949</v>
      </c>
    </row>
    <row r="314" spans="1:3" x14ac:dyDescent="0.3">
      <c r="A314" t="s">
        <v>381</v>
      </c>
      <c r="B314" s="13">
        <v>24.1</v>
      </c>
      <c r="C314" s="13">
        <v>57.199999999999946</v>
      </c>
    </row>
    <row r="315" spans="1:3" x14ac:dyDescent="0.3">
      <c r="A315" t="s">
        <v>382</v>
      </c>
      <c r="B315" s="13">
        <v>24.5</v>
      </c>
      <c r="C315" s="13">
        <v>57.499999999999943</v>
      </c>
    </row>
    <row r="316" spans="1:3" x14ac:dyDescent="0.3">
      <c r="A316" t="s">
        <v>383</v>
      </c>
      <c r="B316" s="13">
        <v>24.8</v>
      </c>
      <c r="C316" s="13">
        <v>57.79999999999994</v>
      </c>
    </row>
    <row r="317" spans="1:3" x14ac:dyDescent="0.3">
      <c r="A317" t="s">
        <v>384</v>
      </c>
      <c r="B317" s="13">
        <v>25.2</v>
      </c>
      <c r="C317" s="13">
        <v>58.099999999999937</v>
      </c>
    </row>
    <row r="318" spans="1:3" x14ac:dyDescent="0.3">
      <c r="A318" t="s">
        <v>385</v>
      </c>
      <c r="B318" s="13">
        <v>25.5</v>
      </c>
      <c r="C318" s="13">
        <v>58.399999999999935</v>
      </c>
    </row>
    <row r="319" spans="1:3" x14ac:dyDescent="0.3">
      <c r="A319" t="s">
        <v>386</v>
      </c>
      <c r="B319" s="13">
        <v>25.9</v>
      </c>
      <c r="C319" s="13">
        <v>58.699999999999932</v>
      </c>
    </row>
    <row r="320" spans="1:3" x14ac:dyDescent="0.3">
      <c r="A320" t="s">
        <v>387</v>
      </c>
      <c r="B320" s="13">
        <v>26.3</v>
      </c>
      <c r="C320" s="13">
        <v>58.999999999999929</v>
      </c>
    </row>
    <row r="321" spans="1:3" x14ac:dyDescent="0.3">
      <c r="A321" t="s">
        <v>388</v>
      </c>
      <c r="B321" s="13">
        <v>26.6</v>
      </c>
      <c r="C321" s="13">
        <v>59.399999999999928</v>
      </c>
    </row>
    <row r="322" spans="1:3" x14ac:dyDescent="0.3">
      <c r="A322" t="s">
        <v>389</v>
      </c>
      <c r="B322" s="13">
        <v>27</v>
      </c>
      <c r="C322" s="13">
        <v>59.799999999999926</v>
      </c>
    </row>
    <row r="323" spans="1:3" x14ac:dyDescent="0.3">
      <c r="A323" t="s">
        <v>390</v>
      </c>
      <c r="B323" s="13">
        <v>27.3</v>
      </c>
      <c r="C323" s="13">
        <v>60.199999999999925</v>
      </c>
    </row>
    <row r="324" spans="1:3" x14ac:dyDescent="0.3">
      <c r="A324" t="s">
        <v>391</v>
      </c>
      <c r="B324" s="13">
        <v>27.7</v>
      </c>
      <c r="C324" s="13">
        <v>60.599999999999923</v>
      </c>
    </row>
    <row r="325" spans="1:3" x14ac:dyDescent="0.3">
      <c r="A325" t="s">
        <v>392</v>
      </c>
      <c r="B325" s="13">
        <v>28</v>
      </c>
      <c r="C325" s="13">
        <v>60.6</v>
      </c>
    </row>
    <row r="326" spans="1:3" x14ac:dyDescent="0.3">
      <c r="A326" t="s">
        <v>393</v>
      </c>
      <c r="B326" s="13">
        <v>28.4</v>
      </c>
      <c r="C326" s="13">
        <v>61.4</v>
      </c>
    </row>
    <row r="327" spans="1:3" x14ac:dyDescent="0.3">
      <c r="A327" t="s">
        <v>394</v>
      </c>
      <c r="B327" s="13">
        <v>28.7</v>
      </c>
      <c r="C327" s="13">
        <v>62.1</v>
      </c>
    </row>
    <row r="328" spans="1:3" x14ac:dyDescent="0.3">
      <c r="A328" t="s">
        <v>395</v>
      </c>
      <c r="B328" s="13">
        <v>29.1</v>
      </c>
      <c r="C328" s="13">
        <v>62.8</v>
      </c>
    </row>
    <row r="329" spans="1:3" x14ac:dyDescent="0.3">
      <c r="A329" t="s">
        <v>396</v>
      </c>
      <c r="B329" s="13">
        <v>29.5</v>
      </c>
      <c r="C329" s="13">
        <v>63.6</v>
      </c>
    </row>
    <row r="330" spans="1:3" x14ac:dyDescent="0.3">
      <c r="A330" t="s">
        <v>397</v>
      </c>
      <c r="B330" s="13">
        <v>29.8</v>
      </c>
      <c r="C330" s="13">
        <v>64.3</v>
      </c>
    </row>
    <row r="331" spans="1:3" x14ac:dyDescent="0.3">
      <c r="A331" t="s">
        <v>398</v>
      </c>
      <c r="B331" s="13">
        <v>30.2</v>
      </c>
      <c r="C331" s="13">
        <v>65.099999999999994</v>
      </c>
    </row>
    <row r="332" spans="1:3" x14ac:dyDescent="0.3">
      <c r="A332" t="s">
        <v>399</v>
      </c>
      <c r="B332" s="13">
        <v>30.5</v>
      </c>
      <c r="C332" s="13">
        <v>65.8</v>
      </c>
    </row>
    <row r="333" spans="1:3" x14ac:dyDescent="0.3">
      <c r="A333" t="s">
        <v>400</v>
      </c>
      <c r="B333" s="13">
        <v>30.9</v>
      </c>
      <c r="C333" s="13">
        <v>66.5</v>
      </c>
    </row>
    <row r="334" spans="1:3" x14ac:dyDescent="0.3">
      <c r="A334" t="s">
        <v>401</v>
      </c>
      <c r="B334" s="13">
        <v>31.2</v>
      </c>
      <c r="C334" s="13">
        <v>67.3</v>
      </c>
    </row>
    <row r="335" spans="1:3" x14ac:dyDescent="0.3">
      <c r="A335" t="s">
        <v>402</v>
      </c>
      <c r="B335" s="13">
        <v>31.6</v>
      </c>
      <c r="C335" s="13">
        <v>68</v>
      </c>
    </row>
    <row r="336" spans="1:3" x14ac:dyDescent="0.3">
      <c r="A336" t="s">
        <v>403</v>
      </c>
      <c r="B336" s="13">
        <v>31.9</v>
      </c>
      <c r="C336" s="13">
        <v>68.8</v>
      </c>
    </row>
    <row r="337" spans="1:3" x14ac:dyDescent="0.3">
      <c r="A337" t="s">
        <v>404</v>
      </c>
      <c r="B337" s="13">
        <v>32.299999999999997</v>
      </c>
      <c r="C337" s="13">
        <v>69.5</v>
      </c>
    </row>
    <row r="338" spans="1:3" x14ac:dyDescent="0.3">
      <c r="A338" t="s">
        <v>405</v>
      </c>
      <c r="B338" s="13">
        <v>32.6</v>
      </c>
      <c r="C338" s="13">
        <v>70.3</v>
      </c>
    </row>
    <row r="339" spans="1:3" x14ac:dyDescent="0.3">
      <c r="A339" t="s">
        <v>406</v>
      </c>
      <c r="B339" s="13">
        <v>33</v>
      </c>
      <c r="C339" s="13">
        <v>71</v>
      </c>
    </row>
    <row r="340" spans="1:3" x14ac:dyDescent="0.3">
      <c r="A340" t="s">
        <v>407</v>
      </c>
      <c r="B340" s="13">
        <v>33.9</v>
      </c>
      <c r="C340" s="13">
        <v>71.3</v>
      </c>
    </row>
    <row r="341" spans="1:3" x14ac:dyDescent="0.3">
      <c r="A341" t="s">
        <v>408</v>
      </c>
      <c r="B341" s="13">
        <v>34.700000000000003</v>
      </c>
      <c r="C341" s="13">
        <v>71.7</v>
      </c>
    </row>
    <row r="342" spans="1:3" x14ac:dyDescent="0.3">
      <c r="A342" t="s">
        <v>409</v>
      </c>
      <c r="B342" s="13">
        <v>35.6</v>
      </c>
      <c r="C342" s="13">
        <v>72</v>
      </c>
    </row>
    <row r="343" spans="1:3" x14ac:dyDescent="0.3">
      <c r="A343" t="s">
        <v>410</v>
      </c>
      <c r="B343" s="13">
        <v>36.5</v>
      </c>
      <c r="C343" s="13">
        <v>72.3</v>
      </c>
    </row>
    <row r="344" spans="1:3" x14ac:dyDescent="0.3">
      <c r="A344" t="s">
        <v>411</v>
      </c>
      <c r="B344" s="13">
        <v>37.299999999999997</v>
      </c>
      <c r="C344" s="13">
        <v>72.7</v>
      </c>
    </row>
    <row r="345" spans="1:3" x14ac:dyDescent="0.3">
      <c r="A345" t="s">
        <v>412</v>
      </c>
      <c r="B345" s="13">
        <v>38.200000000000003</v>
      </c>
      <c r="C345" s="13">
        <v>73</v>
      </c>
    </row>
    <row r="346" spans="1:3" x14ac:dyDescent="0.3">
      <c r="A346" t="s">
        <v>413</v>
      </c>
      <c r="B346" s="13">
        <v>39.1</v>
      </c>
      <c r="C346" s="13">
        <v>73.3</v>
      </c>
    </row>
    <row r="347" spans="1:3" x14ac:dyDescent="0.3">
      <c r="A347" t="s">
        <v>414</v>
      </c>
      <c r="B347" s="13">
        <v>39.9</v>
      </c>
      <c r="C347" s="13">
        <v>73.7</v>
      </c>
    </row>
    <row r="348" spans="1:3" x14ac:dyDescent="0.3">
      <c r="A348" t="s">
        <v>415</v>
      </c>
      <c r="B348" s="13">
        <v>40.799999999999997</v>
      </c>
      <c r="C348" s="13">
        <v>74</v>
      </c>
    </row>
    <row r="349" spans="1:3" x14ac:dyDescent="0.3">
      <c r="A349" t="s">
        <v>416</v>
      </c>
      <c r="B349" s="13">
        <v>41.7</v>
      </c>
      <c r="C349" s="13">
        <v>74.3</v>
      </c>
    </row>
    <row r="350" spans="1:3" x14ac:dyDescent="0.3">
      <c r="A350" t="s">
        <v>417</v>
      </c>
      <c r="B350" s="13">
        <v>42.5</v>
      </c>
      <c r="C350" s="13">
        <v>74.7</v>
      </c>
    </row>
    <row r="351" spans="1:3" x14ac:dyDescent="0.3">
      <c r="A351" t="s">
        <v>418</v>
      </c>
      <c r="B351" s="13">
        <v>43.4</v>
      </c>
      <c r="C351" s="13">
        <v>75</v>
      </c>
    </row>
    <row r="352" spans="1:3" x14ac:dyDescent="0.3">
      <c r="A352" t="s">
        <v>419</v>
      </c>
      <c r="B352" s="13">
        <v>44.3</v>
      </c>
      <c r="C352" s="13">
        <v>75.3</v>
      </c>
    </row>
    <row r="353" spans="1:3" x14ac:dyDescent="0.3">
      <c r="A353" t="s">
        <v>420</v>
      </c>
      <c r="B353" s="13">
        <v>45.1</v>
      </c>
      <c r="C353" s="13">
        <v>75.7</v>
      </c>
    </row>
    <row r="354" spans="1:3" x14ac:dyDescent="0.3">
      <c r="A354" t="s">
        <v>421</v>
      </c>
      <c r="B354" s="13">
        <v>46</v>
      </c>
      <c r="C354" s="13">
        <v>76</v>
      </c>
    </row>
    <row r="355" spans="1:3" x14ac:dyDescent="0.3">
      <c r="A355" t="s">
        <v>422</v>
      </c>
      <c r="B355" s="13">
        <v>46.9</v>
      </c>
      <c r="C355" s="13">
        <v>76.3</v>
      </c>
    </row>
    <row r="356" spans="1:3" x14ac:dyDescent="0.3">
      <c r="A356" t="s">
        <v>423</v>
      </c>
      <c r="B356" s="13">
        <v>47.7</v>
      </c>
      <c r="C356" s="13">
        <v>76.7</v>
      </c>
    </row>
    <row r="357" spans="1:3" x14ac:dyDescent="0.3">
      <c r="A357" t="s">
        <v>424</v>
      </c>
      <c r="B357" s="13">
        <v>48.6</v>
      </c>
      <c r="C357" s="13">
        <v>77</v>
      </c>
    </row>
    <row r="358" spans="1:3" x14ac:dyDescent="0.3">
      <c r="A358" t="s">
        <v>425</v>
      </c>
      <c r="B358" s="13">
        <v>49.5</v>
      </c>
      <c r="C358" s="13">
        <v>77.3</v>
      </c>
    </row>
    <row r="359" spans="1:3" x14ac:dyDescent="0.3">
      <c r="A359" t="s">
        <v>426</v>
      </c>
      <c r="B359" s="13">
        <v>50.3</v>
      </c>
      <c r="C359" s="13">
        <v>77.7</v>
      </c>
    </row>
    <row r="360" spans="1:3" x14ac:dyDescent="0.3">
      <c r="A360" t="s">
        <v>427</v>
      </c>
      <c r="B360" s="13">
        <v>51.2</v>
      </c>
      <c r="C360" s="13">
        <v>78</v>
      </c>
    </row>
    <row r="361" spans="1:3" x14ac:dyDescent="0.3">
      <c r="A361" t="s">
        <v>428</v>
      </c>
      <c r="B361" s="13">
        <v>52.1</v>
      </c>
      <c r="C361" s="13">
        <v>78.3</v>
      </c>
    </row>
    <row r="362" spans="1:3" x14ac:dyDescent="0.3">
      <c r="A362" t="s">
        <v>429</v>
      </c>
      <c r="B362" s="13">
        <v>52.9</v>
      </c>
      <c r="C362" s="13">
        <v>78.7</v>
      </c>
    </row>
    <row r="363" spans="1:3" x14ac:dyDescent="0.3">
      <c r="A363" t="s">
        <v>430</v>
      </c>
      <c r="B363" s="13">
        <v>53.8</v>
      </c>
      <c r="C363" s="13">
        <v>79</v>
      </c>
    </row>
    <row r="364" spans="1:3" x14ac:dyDescent="0.3">
      <c r="A364" t="s">
        <v>431</v>
      </c>
      <c r="B364" s="13">
        <v>54.7</v>
      </c>
      <c r="C364" s="13">
        <v>79.3</v>
      </c>
    </row>
    <row r="365" spans="1:3" x14ac:dyDescent="0.3">
      <c r="A365" t="s">
        <v>432</v>
      </c>
      <c r="B365" s="13">
        <v>55.5</v>
      </c>
      <c r="C365" s="13">
        <v>79.7</v>
      </c>
    </row>
    <row r="366" spans="1:3" x14ac:dyDescent="0.3">
      <c r="A366" t="s">
        <v>433</v>
      </c>
      <c r="B366" s="13">
        <v>56.4</v>
      </c>
      <c r="C366" s="13">
        <v>80</v>
      </c>
    </row>
    <row r="367" spans="1:3" x14ac:dyDescent="0.3">
      <c r="A367" t="s">
        <v>434</v>
      </c>
      <c r="B367" s="13">
        <v>57.3</v>
      </c>
      <c r="C367" s="13">
        <v>80.3</v>
      </c>
    </row>
    <row r="368" spans="1:3" x14ac:dyDescent="0.3">
      <c r="A368" t="s">
        <v>435</v>
      </c>
      <c r="B368" s="13">
        <v>58.1</v>
      </c>
      <c r="C368" s="13">
        <v>80.7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761"/>
  <sheetViews>
    <sheetView tabSelected="1" topLeftCell="I364" workbookViewId="0">
      <selection activeCell="Q8758" sqref="Q8758"/>
    </sheetView>
  </sheetViews>
  <sheetFormatPr baseColWidth="10" defaultRowHeight="14.4" x14ac:dyDescent="0.3"/>
  <cols>
    <col min="11" max="16" width="11.5546875" style="14"/>
  </cols>
  <sheetData>
    <row r="1" spans="1:19" x14ac:dyDescent="0.3">
      <c r="A1" t="s">
        <v>67</v>
      </c>
      <c r="B1" t="s">
        <v>54</v>
      </c>
      <c r="L1" s="14" t="s">
        <v>439</v>
      </c>
      <c r="M1" s="15" t="s">
        <v>438</v>
      </c>
      <c r="N1" s="15" t="s">
        <v>437</v>
      </c>
      <c r="O1" s="15" t="s">
        <v>33</v>
      </c>
      <c r="P1" s="15" t="s">
        <v>436</v>
      </c>
      <c r="Q1" s="15" t="s">
        <v>889</v>
      </c>
      <c r="R1" s="15" t="s">
        <v>884</v>
      </c>
      <c r="S1" s="15" t="s">
        <v>883</v>
      </c>
    </row>
    <row r="2" spans="1:19" x14ac:dyDescent="0.3">
      <c r="A2" t="s">
        <v>55</v>
      </c>
      <c r="B2">
        <v>452414</v>
      </c>
      <c r="K2" s="16">
        <v>44016</v>
      </c>
      <c r="L2" s="17">
        <v>0</v>
      </c>
      <c r="M2" s="14">
        <v>650</v>
      </c>
      <c r="N2" s="14">
        <v>1223</v>
      </c>
      <c r="O2" s="14">
        <v>141</v>
      </c>
      <c r="P2" s="14">
        <v>2014</v>
      </c>
      <c r="Q2">
        <v>7763</v>
      </c>
      <c r="R2">
        <v>716</v>
      </c>
      <c r="S2">
        <v>0</v>
      </c>
    </row>
    <row r="3" spans="1:19" x14ac:dyDescent="0.3">
      <c r="A3" t="s">
        <v>56</v>
      </c>
      <c r="B3">
        <v>344348</v>
      </c>
      <c r="K3" s="16">
        <v>44016</v>
      </c>
      <c r="L3" s="17">
        <v>4.1666666666666664E-2</v>
      </c>
      <c r="M3" s="14">
        <v>650</v>
      </c>
      <c r="N3" s="14">
        <v>1039</v>
      </c>
      <c r="O3" s="14">
        <v>0</v>
      </c>
      <c r="P3" s="14">
        <v>1689</v>
      </c>
      <c r="Q3">
        <v>7288</v>
      </c>
      <c r="R3">
        <v>569</v>
      </c>
      <c r="S3">
        <v>0</v>
      </c>
    </row>
    <row r="4" spans="1:19" x14ac:dyDescent="0.3">
      <c r="A4" t="s">
        <v>57</v>
      </c>
      <c r="B4">
        <v>261450</v>
      </c>
      <c r="K4" s="16">
        <v>44016</v>
      </c>
      <c r="L4" s="17">
        <v>8.3333333333333329E-2</v>
      </c>
      <c r="M4" s="14">
        <v>650</v>
      </c>
      <c r="N4" s="14">
        <v>0</v>
      </c>
      <c r="O4" s="14">
        <v>750</v>
      </c>
      <c r="P4" s="14">
        <v>1400</v>
      </c>
      <c r="Q4">
        <v>6913</v>
      </c>
      <c r="R4">
        <v>488</v>
      </c>
      <c r="S4">
        <v>0</v>
      </c>
    </row>
    <row r="5" spans="1:19" x14ac:dyDescent="0.3">
      <c r="A5" t="s">
        <v>58</v>
      </c>
      <c r="B5">
        <v>251472</v>
      </c>
      <c r="K5" s="16">
        <v>44016</v>
      </c>
      <c r="L5" s="17">
        <v>0.125</v>
      </c>
      <c r="M5" s="14">
        <v>650</v>
      </c>
      <c r="N5" s="14">
        <v>0</v>
      </c>
      <c r="O5" s="14">
        <v>441</v>
      </c>
      <c r="P5" s="14">
        <v>1091</v>
      </c>
      <c r="Q5">
        <v>6486</v>
      </c>
      <c r="R5">
        <v>371</v>
      </c>
      <c r="S5">
        <v>0</v>
      </c>
    </row>
    <row r="6" spans="1:19" x14ac:dyDescent="0.3">
      <c r="A6" t="s">
        <v>59</v>
      </c>
      <c r="B6">
        <v>191610</v>
      </c>
      <c r="K6" s="16">
        <v>44016</v>
      </c>
      <c r="L6" s="17">
        <v>0.16666666666666666</v>
      </c>
      <c r="M6" s="14">
        <v>650</v>
      </c>
      <c r="N6" s="14">
        <v>222</v>
      </c>
      <c r="O6" s="14">
        <v>0</v>
      </c>
      <c r="P6" s="14">
        <v>872</v>
      </c>
      <c r="Q6">
        <v>6284</v>
      </c>
      <c r="R6">
        <v>385</v>
      </c>
      <c r="S6">
        <v>0</v>
      </c>
    </row>
    <row r="7" spans="1:19" x14ac:dyDescent="0.3">
      <c r="A7" t="s">
        <v>60</v>
      </c>
      <c r="B7">
        <v>209405</v>
      </c>
      <c r="K7" s="16">
        <v>44016</v>
      </c>
      <c r="L7" s="17">
        <v>0.20833333333333334</v>
      </c>
      <c r="M7" s="14">
        <v>650</v>
      </c>
      <c r="N7" s="14">
        <v>95</v>
      </c>
      <c r="O7" s="14">
        <v>159</v>
      </c>
      <c r="P7" s="14">
        <v>904</v>
      </c>
      <c r="Q7">
        <v>6281</v>
      </c>
      <c r="R7">
        <v>344</v>
      </c>
      <c r="S7">
        <v>0</v>
      </c>
    </row>
    <row r="8" spans="1:19" x14ac:dyDescent="0.3">
      <c r="A8" t="s">
        <v>61</v>
      </c>
      <c r="B8">
        <v>228687</v>
      </c>
      <c r="K8" s="16">
        <v>44016</v>
      </c>
      <c r="L8" s="17">
        <v>0.25</v>
      </c>
      <c r="M8" s="14">
        <v>650</v>
      </c>
      <c r="N8" s="14">
        <v>310</v>
      </c>
      <c r="O8" s="14">
        <v>0</v>
      </c>
      <c r="P8" s="14">
        <v>960</v>
      </c>
      <c r="Q8">
        <v>6405</v>
      </c>
      <c r="R8">
        <v>355</v>
      </c>
      <c r="S8">
        <v>27</v>
      </c>
    </row>
    <row r="9" spans="1:19" x14ac:dyDescent="0.3">
      <c r="A9" t="s">
        <v>62</v>
      </c>
      <c r="B9">
        <v>402087</v>
      </c>
      <c r="K9" s="16">
        <v>44016</v>
      </c>
      <c r="L9" s="17">
        <v>0.29166666666666669</v>
      </c>
      <c r="M9" s="14">
        <v>650</v>
      </c>
      <c r="N9" s="14">
        <v>0</v>
      </c>
      <c r="O9" s="14">
        <v>271</v>
      </c>
      <c r="P9" s="14">
        <v>921</v>
      </c>
      <c r="Q9">
        <v>6742</v>
      </c>
      <c r="R9">
        <v>467</v>
      </c>
      <c r="S9">
        <v>271</v>
      </c>
    </row>
    <row r="10" spans="1:19" x14ac:dyDescent="0.3">
      <c r="A10" t="s">
        <v>63</v>
      </c>
      <c r="B10">
        <v>463140</v>
      </c>
      <c r="K10" s="16">
        <v>44016</v>
      </c>
      <c r="L10" s="17">
        <v>0.33333333333333331</v>
      </c>
      <c r="M10" s="14">
        <v>650</v>
      </c>
      <c r="N10" s="14">
        <v>409</v>
      </c>
      <c r="O10" s="14">
        <v>0</v>
      </c>
      <c r="P10" s="14">
        <v>1059</v>
      </c>
      <c r="Q10">
        <v>7309</v>
      </c>
      <c r="R10">
        <v>486</v>
      </c>
      <c r="S10">
        <v>679</v>
      </c>
    </row>
    <row r="11" spans="1:19" x14ac:dyDescent="0.3">
      <c r="A11" t="s">
        <v>64</v>
      </c>
      <c r="B11">
        <v>472486</v>
      </c>
      <c r="K11" s="16">
        <v>44016</v>
      </c>
      <c r="L11" s="17">
        <v>0.375</v>
      </c>
      <c r="M11" s="14">
        <v>650</v>
      </c>
      <c r="N11" s="14">
        <v>0</v>
      </c>
      <c r="O11" s="14">
        <v>461</v>
      </c>
      <c r="P11" s="14">
        <v>1111</v>
      </c>
      <c r="Q11">
        <v>7814</v>
      </c>
      <c r="R11">
        <v>436</v>
      </c>
      <c r="S11">
        <v>1180</v>
      </c>
    </row>
    <row r="12" spans="1:19" x14ac:dyDescent="0.3">
      <c r="A12" t="s">
        <v>65</v>
      </c>
      <c r="B12">
        <v>556264</v>
      </c>
      <c r="K12" s="16">
        <v>44016</v>
      </c>
      <c r="L12" s="17">
        <v>0.41666666666666669</v>
      </c>
      <c r="M12" s="14">
        <v>650</v>
      </c>
      <c r="N12" s="14">
        <v>0</v>
      </c>
      <c r="O12" s="14">
        <v>251</v>
      </c>
      <c r="P12" s="14">
        <v>901</v>
      </c>
      <c r="Q12">
        <v>8021</v>
      </c>
      <c r="R12">
        <v>487</v>
      </c>
      <c r="S12">
        <v>1542</v>
      </c>
    </row>
    <row r="13" spans="1:19" x14ac:dyDescent="0.3">
      <c r="A13" t="s">
        <v>66</v>
      </c>
      <c r="B13">
        <v>471685</v>
      </c>
      <c r="K13" s="16">
        <v>44016</v>
      </c>
      <c r="L13" s="17">
        <v>0.45833333333333331</v>
      </c>
      <c r="M13" s="14">
        <v>650</v>
      </c>
      <c r="N13" s="14">
        <v>69</v>
      </c>
      <c r="O13" s="14">
        <v>0</v>
      </c>
      <c r="P13" s="14">
        <v>719</v>
      </c>
      <c r="Q13">
        <v>8229</v>
      </c>
      <c r="R13">
        <v>666</v>
      </c>
      <c r="S13">
        <v>1751</v>
      </c>
    </row>
    <row r="14" spans="1:19" x14ac:dyDescent="0.3">
      <c r="K14" s="16">
        <v>44016</v>
      </c>
      <c r="L14" s="17">
        <v>0.5</v>
      </c>
      <c r="M14" s="14">
        <v>650</v>
      </c>
      <c r="N14" s="14">
        <v>261</v>
      </c>
      <c r="O14" s="14">
        <v>0</v>
      </c>
      <c r="P14" s="14">
        <v>911</v>
      </c>
      <c r="Q14">
        <v>8545</v>
      </c>
      <c r="R14">
        <v>653</v>
      </c>
      <c r="S14">
        <v>1890</v>
      </c>
    </row>
    <row r="15" spans="1:19" x14ac:dyDescent="0.3">
      <c r="K15" s="16">
        <v>44016</v>
      </c>
      <c r="L15" s="17">
        <v>0.54166666666666663</v>
      </c>
      <c r="M15" s="14">
        <v>650</v>
      </c>
      <c r="N15" s="14">
        <v>0</v>
      </c>
      <c r="O15" s="14">
        <v>-387</v>
      </c>
      <c r="P15" s="14">
        <v>263</v>
      </c>
      <c r="Q15">
        <v>8208</v>
      </c>
      <c r="R15">
        <v>847</v>
      </c>
      <c r="S15">
        <v>2011</v>
      </c>
    </row>
    <row r="16" spans="1:19" x14ac:dyDescent="0.3">
      <c r="K16" s="16">
        <v>44016</v>
      </c>
      <c r="L16" s="17">
        <v>0.58333333333333337</v>
      </c>
      <c r="M16" s="14">
        <v>650</v>
      </c>
      <c r="N16" s="14">
        <v>0</v>
      </c>
      <c r="O16" s="14">
        <v>-800</v>
      </c>
      <c r="P16" s="14">
        <v>-150</v>
      </c>
      <c r="Q16">
        <v>7981</v>
      </c>
      <c r="R16">
        <v>932</v>
      </c>
      <c r="S16">
        <v>2123</v>
      </c>
    </row>
    <row r="17" spans="11:19" x14ac:dyDescent="0.3">
      <c r="K17" s="16">
        <v>44016</v>
      </c>
      <c r="L17" s="17">
        <v>0.625</v>
      </c>
      <c r="M17" s="14">
        <v>650</v>
      </c>
      <c r="N17" s="14">
        <v>0</v>
      </c>
      <c r="O17" s="14">
        <v>-976</v>
      </c>
      <c r="P17" s="14">
        <v>-326</v>
      </c>
      <c r="Q17">
        <v>7712</v>
      </c>
      <c r="R17">
        <v>930</v>
      </c>
      <c r="S17">
        <v>2034</v>
      </c>
    </row>
    <row r="18" spans="11:19" x14ac:dyDescent="0.3">
      <c r="K18" s="16">
        <v>44016</v>
      </c>
      <c r="L18" s="17">
        <v>0.66666666666666663</v>
      </c>
      <c r="M18" s="14">
        <v>650</v>
      </c>
      <c r="N18" s="14">
        <v>0</v>
      </c>
      <c r="O18" s="14">
        <v>-944</v>
      </c>
      <c r="P18" s="14">
        <v>-294</v>
      </c>
      <c r="Q18">
        <v>7538</v>
      </c>
      <c r="R18">
        <v>887</v>
      </c>
      <c r="S18">
        <v>1875</v>
      </c>
    </row>
    <row r="19" spans="11:19" x14ac:dyDescent="0.3">
      <c r="K19" s="16">
        <v>44016</v>
      </c>
      <c r="L19" s="17">
        <v>0.70833333333333337</v>
      </c>
      <c r="M19" s="14">
        <v>650</v>
      </c>
      <c r="N19" s="14">
        <v>0</v>
      </c>
      <c r="O19" s="14">
        <v>-715</v>
      </c>
      <c r="P19" s="14">
        <v>-65</v>
      </c>
      <c r="Q19">
        <v>7530</v>
      </c>
      <c r="R19">
        <v>921</v>
      </c>
      <c r="S19">
        <v>1611</v>
      </c>
    </row>
    <row r="20" spans="11:19" x14ac:dyDescent="0.3">
      <c r="K20" s="16">
        <v>44016</v>
      </c>
      <c r="L20" s="17">
        <v>0.75</v>
      </c>
      <c r="M20" s="14">
        <v>650</v>
      </c>
      <c r="N20" s="14">
        <v>0</v>
      </c>
      <c r="O20" s="14">
        <v>12</v>
      </c>
      <c r="P20" s="14">
        <v>662</v>
      </c>
      <c r="Q20">
        <v>7755</v>
      </c>
      <c r="R20">
        <v>906</v>
      </c>
      <c r="S20">
        <v>1128</v>
      </c>
    </row>
    <row r="21" spans="11:19" x14ac:dyDescent="0.3">
      <c r="K21" s="16">
        <v>44016</v>
      </c>
      <c r="L21" s="17">
        <v>0.79166666666666663</v>
      </c>
      <c r="M21" s="14">
        <v>650</v>
      </c>
      <c r="N21" s="14">
        <v>0</v>
      </c>
      <c r="O21" s="14">
        <v>575</v>
      </c>
      <c r="P21" s="14">
        <v>1225</v>
      </c>
      <c r="Q21">
        <v>7753</v>
      </c>
      <c r="R21">
        <v>881</v>
      </c>
      <c r="S21">
        <v>600</v>
      </c>
    </row>
    <row r="22" spans="11:19" x14ac:dyDescent="0.3">
      <c r="K22" s="16">
        <v>44016</v>
      </c>
      <c r="L22" s="17">
        <v>0.83333333333333337</v>
      </c>
      <c r="M22" s="14">
        <v>650</v>
      </c>
      <c r="N22" s="14">
        <v>600</v>
      </c>
      <c r="O22" s="14">
        <v>0</v>
      </c>
      <c r="P22" s="14">
        <v>1250</v>
      </c>
      <c r="Q22">
        <v>7409</v>
      </c>
      <c r="R22">
        <v>910</v>
      </c>
      <c r="S22">
        <v>211</v>
      </c>
    </row>
    <row r="23" spans="11:19" x14ac:dyDescent="0.3">
      <c r="K23" s="16">
        <v>44016</v>
      </c>
      <c r="L23" s="17">
        <v>0.875</v>
      </c>
      <c r="M23" s="14">
        <v>650</v>
      </c>
      <c r="N23" s="14">
        <v>518</v>
      </c>
      <c r="O23" s="14">
        <v>0</v>
      </c>
      <c r="P23" s="14">
        <v>1168</v>
      </c>
      <c r="Q23">
        <v>7232</v>
      </c>
      <c r="R23">
        <v>1001</v>
      </c>
      <c r="S23">
        <v>30</v>
      </c>
    </row>
    <row r="24" spans="11:19" x14ac:dyDescent="0.3">
      <c r="K24" s="16">
        <v>44016</v>
      </c>
      <c r="L24" s="17">
        <v>0.91666666666666663</v>
      </c>
      <c r="M24" s="14">
        <v>650</v>
      </c>
      <c r="N24" s="14">
        <v>1006</v>
      </c>
      <c r="O24" s="14">
        <v>0</v>
      </c>
      <c r="P24" s="14">
        <v>1656</v>
      </c>
      <c r="Q24">
        <v>7780</v>
      </c>
      <c r="R24">
        <v>1096</v>
      </c>
      <c r="S24">
        <v>0</v>
      </c>
    </row>
    <row r="25" spans="11:19" x14ac:dyDescent="0.3">
      <c r="K25" s="16">
        <v>44016</v>
      </c>
      <c r="L25" s="17">
        <v>0.95833333333333337</v>
      </c>
      <c r="M25" s="14">
        <v>650</v>
      </c>
      <c r="N25" s="14">
        <v>1104</v>
      </c>
      <c r="O25" s="14">
        <v>0</v>
      </c>
      <c r="P25" s="14">
        <v>1754</v>
      </c>
      <c r="Q25">
        <v>8020</v>
      </c>
      <c r="R25">
        <v>1242</v>
      </c>
      <c r="S25">
        <v>0</v>
      </c>
    </row>
    <row r="26" spans="11:19" x14ac:dyDescent="0.3">
      <c r="K26" s="16">
        <f>K2+1</f>
        <v>44017</v>
      </c>
      <c r="L26" s="17">
        <v>0</v>
      </c>
      <c r="M26" s="14">
        <v>650</v>
      </c>
      <c r="N26" s="14">
        <v>0</v>
      </c>
      <c r="O26" s="14">
        <v>1128</v>
      </c>
      <c r="P26" s="14">
        <v>1778</v>
      </c>
      <c r="Q26">
        <v>7401</v>
      </c>
      <c r="R26">
        <v>1192</v>
      </c>
      <c r="S26">
        <v>0</v>
      </c>
    </row>
    <row r="27" spans="11:19" x14ac:dyDescent="0.3">
      <c r="K27" s="16">
        <f t="shared" ref="K27:K90" si="0">K3+1</f>
        <v>44017</v>
      </c>
      <c r="L27" s="17">
        <v>4.1666666666666664E-2</v>
      </c>
      <c r="M27" s="14">
        <v>650</v>
      </c>
      <c r="N27" s="14">
        <v>0</v>
      </c>
      <c r="O27" s="14">
        <v>186</v>
      </c>
      <c r="P27" s="14">
        <v>836</v>
      </c>
      <c r="Q27">
        <v>6971</v>
      </c>
      <c r="R27">
        <v>1322</v>
      </c>
      <c r="S27">
        <v>0</v>
      </c>
    </row>
    <row r="28" spans="11:19" x14ac:dyDescent="0.3">
      <c r="K28" s="16">
        <f t="shared" si="0"/>
        <v>44017</v>
      </c>
      <c r="L28" s="17">
        <v>8.3333333333333329E-2</v>
      </c>
      <c r="M28" s="14">
        <v>650</v>
      </c>
      <c r="N28" s="14">
        <v>0</v>
      </c>
      <c r="O28" s="14">
        <v>0</v>
      </c>
      <c r="P28" s="14">
        <v>650</v>
      </c>
      <c r="Q28">
        <v>6596</v>
      </c>
      <c r="R28">
        <v>1567</v>
      </c>
      <c r="S28">
        <v>0</v>
      </c>
    </row>
    <row r="29" spans="11:19" x14ac:dyDescent="0.3">
      <c r="K29" s="16">
        <f t="shared" si="0"/>
        <v>44017</v>
      </c>
      <c r="L29" s="17">
        <v>0.125</v>
      </c>
      <c r="M29" s="14">
        <v>650</v>
      </c>
      <c r="N29" s="14">
        <v>0</v>
      </c>
      <c r="O29" s="14">
        <v>0</v>
      </c>
      <c r="P29" s="14">
        <v>650</v>
      </c>
      <c r="Q29">
        <v>6169</v>
      </c>
      <c r="R29">
        <v>1500</v>
      </c>
      <c r="S29">
        <v>0</v>
      </c>
    </row>
    <row r="30" spans="11:19" x14ac:dyDescent="0.3">
      <c r="K30" s="16">
        <f t="shared" si="0"/>
        <v>44017</v>
      </c>
      <c r="L30" s="17">
        <v>0.16666666666666666</v>
      </c>
      <c r="M30" s="14">
        <v>650</v>
      </c>
      <c r="N30" s="14">
        <v>0</v>
      </c>
      <c r="O30" s="14">
        <v>0</v>
      </c>
      <c r="P30" s="14">
        <v>650</v>
      </c>
      <c r="Q30">
        <v>5940</v>
      </c>
      <c r="R30">
        <v>1360</v>
      </c>
      <c r="S30">
        <v>0</v>
      </c>
    </row>
    <row r="31" spans="11:19" x14ac:dyDescent="0.3">
      <c r="K31" s="16">
        <f t="shared" si="0"/>
        <v>44017</v>
      </c>
      <c r="L31" s="17">
        <v>0.20833333333333334</v>
      </c>
      <c r="M31" s="14">
        <v>650</v>
      </c>
      <c r="N31" s="14">
        <v>0</v>
      </c>
      <c r="O31" s="14">
        <v>0</v>
      </c>
      <c r="P31" s="14">
        <v>650</v>
      </c>
      <c r="Q31">
        <v>5816</v>
      </c>
      <c r="R31">
        <v>1401</v>
      </c>
      <c r="S31">
        <v>1</v>
      </c>
    </row>
    <row r="32" spans="11:19" x14ac:dyDescent="0.3">
      <c r="K32" s="16">
        <f t="shared" si="0"/>
        <v>44017</v>
      </c>
      <c r="L32" s="17">
        <v>0.25</v>
      </c>
      <c r="M32" s="14">
        <v>650</v>
      </c>
      <c r="N32" s="14">
        <v>0</v>
      </c>
      <c r="O32" s="14">
        <v>0</v>
      </c>
      <c r="P32" s="14">
        <v>650</v>
      </c>
      <c r="Q32">
        <v>5757</v>
      </c>
      <c r="R32">
        <v>1460</v>
      </c>
      <c r="S32">
        <v>55</v>
      </c>
    </row>
    <row r="33" spans="11:19" x14ac:dyDescent="0.3">
      <c r="K33" s="16">
        <f t="shared" si="0"/>
        <v>44017</v>
      </c>
      <c r="L33" s="17">
        <v>0.29166666666666669</v>
      </c>
      <c r="M33" s="14">
        <v>650</v>
      </c>
      <c r="N33" s="14">
        <v>0</v>
      </c>
      <c r="O33" s="14">
        <v>0</v>
      </c>
      <c r="P33" s="14">
        <v>650</v>
      </c>
      <c r="Q33">
        <v>5988</v>
      </c>
      <c r="R33">
        <v>1518</v>
      </c>
      <c r="S33">
        <v>343</v>
      </c>
    </row>
    <row r="34" spans="11:19" x14ac:dyDescent="0.3">
      <c r="K34" s="16">
        <f t="shared" si="0"/>
        <v>44017</v>
      </c>
      <c r="L34" s="17">
        <v>0.33333333333333331</v>
      </c>
      <c r="M34" s="14">
        <v>650</v>
      </c>
      <c r="N34" s="14">
        <v>0</v>
      </c>
      <c r="O34" s="14">
        <v>0</v>
      </c>
      <c r="P34" s="14">
        <v>650</v>
      </c>
      <c r="Q34">
        <v>6451</v>
      </c>
      <c r="R34">
        <v>1443</v>
      </c>
      <c r="S34">
        <v>823</v>
      </c>
    </row>
    <row r="35" spans="11:19" x14ac:dyDescent="0.3">
      <c r="K35" s="16">
        <f t="shared" si="0"/>
        <v>44017</v>
      </c>
      <c r="L35" s="17">
        <v>0.375</v>
      </c>
      <c r="M35" s="14">
        <v>650</v>
      </c>
      <c r="N35" s="14">
        <v>0</v>
      </c>
      <c r="O35" s="14">
        <v>0</v>
      </c>
      <c r="P35" s="14">
        <v>650</v>
      </c>
      <c r="Q35">
        <v>6979</v>
      </c>
      <c r="R35">
        <v>1366</v>
      </c>
      <c r="S35">
        <v>1428</v>
      </c>
    </row>
    <row r="36" spans="11:19" x14ac:dyDescent="0.3">
      <c r="K36" s="16">
        <f t="shared" si="0"/>
        <v>44017</v>
      </c>
      <c r="L36" s="17">
        <v>0.41666666666666669</v>
      </c>
      <c r="M36" s="14">
        <v>650</v>
      </c>
      <c r="N36" s="14">
        <v>0</v>
      </c>
      <c r="O36" s="14">
        <v>-23</v>
      </c>
      <c r="P36" s="14">
        <v>627</v>
      </c>
      <c r="Q36">
        <v>7384</v>
      </c>
      <c r="R36">
        <v>1417</v>
      </c>
      <c r="S36">
        <v>1987</v>
      </c>
    </row>
    <row r="37" spans="11:19" x14ac:dyDescent="0.3">
      <c r="K37" s="16">
        <f t="shared" si="0"/>
        <v>44017</v>
      </c>
      <c r="L37" s="17">
        <v>0.45833333333333331</v>
      </c>
      <c r="M37" s="14">
        <v>650</v>
      </c>
      <c r="N37" s="14">
        <v>0</v>
      </c>
      <c r="O37" s="14">
        <v>-396</v>
      </c>
      <c r="P37" s="14">
        <v>254</v>
      </c>
      <c r="Q37">
        <v>7729</v>
      </c>
      <c r="R37">
        <v>1764</v>
      </c>
      <c r="S37">
        <v>2358</v>
      </c>
    </row>
    <row r="38" spans="11:19" x14ac:dyDescent="0.3">
      <c r="K38" s="16">
        <f t="shared" si="0"/>
        <v>44017</v>
      </c>
      <c r="L38" s="17">
        <v>0.5</v>
      </c>
      <c r="M38" s="14">
        <v>650</v>
      </c>
      <c r="N38" s="14">
        <v>0</v>
      </c>
      <c r="O38" s="14">
        <v>-444</v>
      </c>
      <c r="P38" s="14">
        <v>206</v>
      </c>
      <c r="Q38">
        <v>8139</v>
      </c>
      <c r="R38">
        <v>1982</v>
      </c>
      <c r="S38">
        <v>2599</v>
      </c>
    </row>
    <row r="39" spans="11:19" x14ac:dyDescent="0.3">
      <c r="K39" s="16">
        <f t="shared" si="0"/>
        <v>44017</v>
      </c>
      <c r="L39" s="17">
        <v>0.54166666666666663</v>
      </c>
      <c r="M39" s="14">
        <v>650</v>
      </c>
      <c r="N39" s="14">
        <v>0</v>
      </c>
      <c r="O39" s="14">
        <v>-883</v>
      </c>
      <c r="P39" s="14">
        <v>-233</v>
      </c>
      <c r="Q39">
        <v>7819</v>
      </c>
      <c r="R39">
        <v>2028</v>
      </c>
      <c r="S39">
        <v>2676</v>
      </c>
    </row>
    <row r="40" spans="11:19" x14ac:dyDescent="0.3">
      <c r="K40" s="16">
        <f t="shared" si="0"/>
        <v>44017</v>
      </c>
      <c r="L40" s="17">
        <v>0.58333333333333337</v>
      </c>
      <c r="M40" s="14">
        <v>650</v>
      </c>
      <c r="N40" s="14">
        <v>0</v>
      </c>
      <c r="O40" s="14">
        <v>-1136</v>
      </c>
      <c r="P40" s="14">
        <v>-486</v>
      </c>
      <c r="Q40">
        <v>7577</v>
      </c>
      <c r="R40">
        <v>2120</v>
      </c>
      <c r="S40">
        <v>2597</v>
      </c>
    </row>
    <row r="41" spans="11:19" x14ac:dyDescent="0.3">
      <c r="K41" s="16">
        <f t="shared" si="0"/>
        <v>44017</v>
      </c>
      <c r="L41" s="17">
        <v>0.625</v>
      </c>
      <c r="M41" s="14">
        <v>650</v>
      </c>
      <c r="N41" s="14">
        <v>0</v>
      </c>
      <c r="O41" s="14">
        <v>-1138</v>
      </c>
      <c r="P41" s="14">
        <v>-488</v>
      </c>
      <c r="Q41">
        <v>7379</v>
      </c>
      <c r="R41">
        <v>2093</v>
      </c>
      <c r="S41">
        <v>2430</v>
      </c>
    </row>
    <row r="42" spans="11:19" x14ac:dyDescent="0.3">
      <c r="K42" s="16">
        <f t="shared" si="0"/>
        <v>44017</v>
      </c>
      <c r="L42" s="17">
        <v>0.66666666666666663</v>
      </c>
      <c r="M42" s="14">
        <v>650</v>
      </c>
      <c r="N42" s="14">
        <v>0</v>
      </c>
      <c r="O42" s="14">
        <v>-957</v>
      </c>
      <c r="P42" s="14">
        <v>-307</v>
      </c>
      <c r="Q42">
        <v>7281</v>
      </c>
      <c r="R42">
        <v>2210</v>
      </c>
      <c r="S42">
        <v>2039</v>
      </c>
    </row>
    <row r="43" spans="11:19" x14ac:dyDescent="0.3">
      <c r="K43" s="16">
        <f t="shared" si="0"/>
        <v>44017</v>
      </c>
      <c r="L43" s="17">
        <v>0.70833333333333337</v>
      </c>
      <c r="M43" s="14">
        <v>650</v>
      </c>
      <c r="N43" s="14">
        <v>0</v>
      </c>
      <c r="O43" s="14">
        <v>-573</v>
      </c>
      <c r="P43" s="14">
        <v>77</v>
      </c>
      <c r="Q43">
        <v>7352</v>
      </c>
      <c r="R43">
        <v>2317</v>
      </c>
      <c r="S43">
        <v>1625</v>
      </c>
    </row>
    <row r="44" spans="11:19" x14ac:dyDescent="0.3">
      <c r="K44" s="16">
        <f t="shared" si="0"/>
        <v>44017</v>
      </c>
      <c r="L44" s="17">
        <v>0.75</v>
      </c>
      <c r="M44" s="14">
        <v>650</v>
      </c>
      <c r="N44" s="14">
        <v>0</v>
      </c>
      <c r="O44" s="14">
        <v>0</v>
      </c>
      <c r="P44" s="14">
        <v>650</v>
      </c>
      <c r="Q44">
        <v>7584</v>
      </c>
      <c r="R44">
        <v>2151</v>
      </c>
      <c r="S44">
        <v>1068</v>
      </c>
    </row>
    <row r="45" spans="11:19" x14ac:dyDescent="0.3">
      <c r="K45" s="16">
        <f t="shared" si="0"/>
        <v>44017</v>
      </c>
      <c r="L45" s="17">
        <v>0.79166666666666663</v>
      </c>
      <c r="M45" s="14">
        <v>650</v>
      </c>
      <c r="N45" s="14">
        <v>0</v>
      </c>
      <c r="O45" s="14">
        <v>119</v>
      </c>
      <c r="P45" s="14">
        <v>769</v>
      </c>
      <c r="Q45">
        <v>7770</v>
      </c>
      <c r="R45">
        <v>1999</v>
      </c>
      <c r="S45">
        <v>552</v>
      </c>
    </row>
    <row r="46" spans="11:19" x14ac:dyDescent="0.3">
      <c r="K46" s="16">
        <f t="shared" si="0"/>
        <v>44017</v>
      </c>
      <c r="L46" s="17">
        <v>0.83333333333333337</v>
      </c>
      <c r="M46" s="14">
        <v>650</v>
      </c>
      <c r="N46" s="14">
        <v>0</v>
      </c>
      <c r="O46" s="14">
        <v>439</v>
      </c>
      <c r="P46" s="14">
        <v>1089</v>
      </c>
      <c r="Q46">
        <v>7664</v>
      </c>
      <c r="R46">
        <v>1945</v>
      </c>
      <c r="S46">
        <v>188</v>
      </c>
    </row>
    <row r="47" spans="11:19" x14ac:dyDescent="0.3">
      <c r="K47" s="16">
        <f t="shared" si="0"/>
        <v>44017</v>
      </c>
      <c r="L47" s="17">
        <v>0.875</v>
      </c>
      <c r="M47" s="14">
        <v>650</v>
      </c>
      <c r="N47" s="14">
        <v>0</v>
      </c>
      <c r="O47" s="14">
        <v>402</v>
      </c>
      <c r="P47" s="14">
        <v>1052</v>
      </c>
      <c r="Q47">
        <v>7544</v>
      </c>
      <c r="R47">
        <v>2018</v>
      </c>
      <c r="S47">
        <v>30</v>
      </c>
    </row>
    <row r="48" spans="11:19" x14ac:dyDescent="0.3">
      <c r="K48" s="16">
        <f t="shared" si="0"/>
        <v>44017</v>
      </c>
      <c r="L48" s="17">
        <v>0.91666666666666663</v>
      </c>
      <c r="M48" s="14">
        <v>650</v>
      </c>
      <c r="N48" s="14">
        <v>0</v>
      </c>
      <c r="O48" s="14">
        <v>1126</v>
      </c>
      <c r="P48" s="14">
        <v>1776</v>
      </c>
      <c r="Q48">
        <v>8074</v>
      </c>
      <c r="R48">
        <v>1854</v>
      </c>
      <c r="S48">
        <v>0</v>
      </c>
    </row>
    <row r="49" spans="11:19" x14ac:dyDescent="0.3">
      <c r="K49" s="16">
        <f t="shared" si="0"/>
        <v>44017</v>
      </c>
      <c r="L49" s="17">
        <v>0.95833333333333337</v>
      </c>
      <c r="M49" s="14">
        <v>650</v>
      </c>
      <c r="N49" s="14">
        <v>0</v>
      </c>
      <c r="O49" s="14">
        <v>1037</v>
      </c>
      <c r="P49" s="14">
        <v>1687</v>
      </c>
      <c r="Q49">
        <v>8178</v>
      </c>
      <c r="R49">
        <v>2060</v>
      </c>
      <c r="S49">
        <v>0</v>
      </c>
    </row>
    <row r="50" spans="11:19" x14ac:dyDescent="0.3">
      <c r="K50" s="16">
        <f t="shared" si="0"/>
        <v>44018</v>
      </c>
      <c r="L50" s="17">
        <v>0</v>
      </c>
      <c r="M50" s="14">
        <v>650</v>
      </c>
      <c r="N50" s="14">
        <v>0</v>
      </c>
      <c r="O50" s="14">
        <v>-110</v>
      </c>
      <c r="P50" s="14">
        <v>540</v>
      </c>
      <c r="Q50">
        <v>7505</v>
      </c>
      <c r="R50">
        <v>1923</v>
      </c>
      <c r="S50">
        <v>0</v>
      </c>
    </row>
    <row r="51" spans="11:19" x14ac:dyDescent="0.3">
      <c r="K51" s="16">
        <f t="shared" si="0"/>
        <v>44018</v>
      </c>
      <c r="L51" s="17">
        <v>4.1666666666666664E-2</v>
      </c>
      <c r="M51" s="14">
        <v>650</v>
      </c>
      <c r="N51" s="14">
        <v>0</v>
      </c>
      <c r="O51" s="14">
        <v>-401</v>
      </c>
      <c r="P51" s="14">
        <v>249</v>
      </c>
      <c r="Q51">
        <v>7110</v>
      </c>
      <c r="R51">
        <v>1821</v>
      </c>
      <c r="S51">
        <v>0</v>
      </c>
    </row>
    <row r="52" spans="11:19" x14ac:dyDescent="0.3">
      <c r="K52" s="16">
        <f t="shared" si="0"/>
        <v>44018</v>
      </c>
      <c r="L52" s="17">
        <v>8.3333333333333329E-2</v>
      </c>
      <c r="M52" s="14">
        <v>650</v>
      </c>
      <c r="N52" s="14">
        <v>0</v>
      </c>
      <c r="O52" s="14">
        <v>-216</v>
      </c>
      <c r="P52" s="14">
        <v>434</v>
      </c>
      <c r="Q52">
        <v>6784</v>
      </c>
      <c r="R52">
        <v>1313</v>
      </c>
      <c r="S52">
        <v>0</v>
      </c>
    </row>
    <row r="53" spans="11:19" x14ac:dyDescent="0.3">
      <c r="K53" s="16">
        <f t="shared" si="0"/>
        <v>44018</v>
      </c>
      <c r="L53" s="17">
        <v>0.125</v>
      </c>
      <c r="M53" s="14">
        <v>650</v>
      </c>
      <c r="N53" s="14">
        <v>0</v>
      </c>
      <c r="O53" s="14">
        <v>-447</v>
      </c>
      <c r="P53" s="14">
        <v>203</v>
      </c>
      <c r="Q53">
        <v>6441</v>
      </c>
      <c r="R53">
        <v>1201</v>
      </c>
      <c r="S53">
        <v>0</v>
      </c>
    </row>
    <row r="54" spans="11:19" x14ac:dyDescent="0.3">
      <c r="K54" s="16">
        <f t="shared" si="0"/>
        <v>44018</v>
      </c>
      <c r="L54" s="17">
        <v>0.16666666666666666</v>
      </c>
      <c r="M54" s="14">
        <v>650</v>
      </c>
      <c r="N54" s="14">
        <v>0</v>
      </c>
      <c r="O54" s="14">
        <v>-455</v>
      </c>
      <c r="P54" s="14">
        <v>195</v>
      </c>
      <c r="Q54">
        <v>6433</v>
      </c>
      <c r="R54">
        <v>1196</v>
      </c>
      <c r="S54">
        <v>0</v>
      </c>
    </row>
    <row r="55" spans="11:19" x14ac:dyDescent="0.3">
      <c r="K55" s="16">
        <f t="shared" si="0"/>
        <v>44018</v>
      </c>
      <c r="L55" s="17">
        <v>0.20833333333333334</v>
      </c>
      <c r="M55" s="14">
        <v>650</v>
      </c>
      <c r="N55" s="14">
        <v>0</v>
      </c>
      <c r="O55" s="14">
        <v>-58</v>
      </c>
      <c r="P55" s="14">
        <v>592</v>
      </c>
      <c r="Q55">
        <v>6791</v>
      </c>
      <c r="R55">
        <v>1147</v>
      </c>
      <c r="S55">
        <v>0</v>
      </c>
    </row>
    <row r="56" spans="11:19" x14ac:dyDescent="0.3">
      <c r="K56" s="16">
        <f t="shared" si="0"/>
        <v>44018</v>
      </c>
      <c r="L56" s="17">
        <v>0.25</v>
      </c>
      <c r="M56" s="14">
        <v>650</v>
      </c>
      <c r="N56" s="14">
        <v>611</v>
      </c>
      <c r="O56" s="14">
        <v>0</v>
      </c>
      <c r="P56" s="14">
        <v>1261</v>
      </c>
      <c r="Q56">
        <v>7481</v>
      </c>
      <c r="R56">
        <v>1089</v>
      </c>
      <c r="S56">
        <v>42</v>
      </c>
    </row>
    <row r="57" spans="11:19" x14ac:dyDescent="0.3">
      <c r="K57" s="16">
        <f t="shared" si="0"/>
        <v>44018</v>
      </c>
      <c r="L57" s="17">
        <v>0.29166666666666669</v>
      </c>
      <c r="M57" s="14">
        <v>650</v>
      </c>
      <c r="N57" s="14">
        <v>0</v>
      </c>
      <c r="O57" s="14">
        <v>587</v>
      </c>
      <c r="P57" s="14">
        <v>1237</v>
      </c>
      <c r="Q57">
        <v>8365</v>
      </c>
      <c r="R57">
        <v>1015</v>
      </c>
      <c r="S57">
        <v>259</v>
      </c>
    </row>
    <row r="58" spans="11:19" x14ac:dyDescent="0.3">
      <c r="K58" s="16">
        <f t="shared" si="0"/>
        <v>44018</v>
      </c>
      <c r="L58" s="17">
        <v>0.33333333333333331</v>
      </c>
      <c r="M58" s="14">
        <v>650</v>
      </c>
      <c r="N58" s="14">
        <v>1257</v>
      </c>
      <c r="O58" s="14">
        <v>0</v>
      </c>
      <c r="P58" s="14">
        <v>1907</v>
      </c>
      <c r="Q58">
        <v>8965</v>
      </c>
      <c r="R58">
        <v>1032</v>
      </c>
      <c r="S58">
        <v>666</v>
      </c>
    </row>
    <row r="59" spans="11:19" x14ac:dyDescent="0.3">
      <c r="K59" s="16">
        <f t="shared" si="0"/>
        <v>44018</v>
      </c>
      <c r="L59" s="17">
        <v>0.375</v>
      </c>
      <c r="M59" s="14">
        <v>650</v>
      </c>
      <c r="N59" s="14">
        <v>1187</v>
      </c>
      <c r="O59" s="14">
        <v>0</v>
      </c>
      <c r="P59" s="14">
        <v>1837</v>
      </c>
      <c r="Q59">
        <v>9394</v>
      </c>
      <c r="R59">
        <v>1003</v>
      </c>
      <c r="S59">
        <v>1195</v>
      </c>
    </row>
    <row r="60" spans="11:19" x14ac:dyDescent="0.3">
      <c r="K60" s="16">
        <f t="shared" si="0"/>
        <v>44018</v>
      </c>
      <c r="L60" s="17">
        <v>0.41666666666666669</v>
      </c>
      <c r="M60" s="14">
        <v>650</v>
      </c>
      <c r="N60" s="14">
        <v>0</v>
      </c>
      <c r="O60" s="14">
        <v>0</v>
      </c>
      <c r="P60" s="14">
        <v>650</v>
      </c>
      <c r="Q60">
        <v>9645</v>
      </c>
      <c r="R60">
        <v>1070</v>
      </c>
      <c r="S60">
        <v>1651</v>
      </c>
    </row>
    <row r="61" spans="11:19" x14ac:dyDescent="0.3">
      <c r="K61" s="16">
        <f t="shared" si="0"/>
        <v>44018</v>
      </c>
      <c r="L61" s="17">
        <v>0.45833333333333331</v>
      </c>
      <c r="M61" s="14">
        <v>650</v>
      </c>
      <c r="N61" s="14">
        <v>698</v>
      </c>
      <c r="O61" s="14">
        <v>0</v>
      </c>
      <c r="P61" s="14">
        <v>1348</v>
      </c>
      <c r="Q61">
        <v>9866</v>
      </c>
      <c r="R61">
        <v>1169</v>
      </c>
      <c r="S61">
        <v>1994</v>
      </c>
    </row>
    <row r="62" spans="11:19" x14ac:dyDescent="0.3">
      <c r="K62" s="16">
        <f t="shared" si="0"/>
        <v>44018</v>
      </c>
      <c r="L62" s="17">
        <v>0.5</v>
      </c>
      <c r="M62" s="14">
        <v>650</v>
      </c>
      <c r="N62" s="14">
        <v>591</v>
      </c>
      <c r="O62" s="14">
        <v>0</v>
      </c>
      <c r="P62" s="14">
        <v>1241</v>
      </c>
      <c r="Q62">
        <v>10029</v>
      </c>
      <c r="R62">
        <v>1374</v>
      </c>
      <c r="S62">
        <v>2224</v>
      </c>
    </row>
    <row r="63" spans="11:19" x14ac:dyDescent="0.3">
      <c r="K63" s="16">
        <f t="shared" si="0"/>
        <v>44018</v>
      </c>
      <c r="L63" s="17">
        <v>0.54166666666666663</v>
      </c>
      <c r="M63" s="14">
        <v>650</v>
      </c>
      <c r="N63" s="14">
        <v>417</v>
      </c>
      <c r="O63" s="14">
        <v>0</v>
      </c>
      <c r="P63" s="14">
        <v>1067</v>
      </c>
      <c r="Q63">
        <v>9935</v>
      </c>
      <c r="R63">
        <v>1337</v>
      </c>
      <c r="S63">
        <v>2345</v>
      </c>
    </row>
    <row r="64" spans="11:19" x14ac:dyDescent="0.3">
      <c r="K64" s="16">
        <f t="shared" si="0"/>
        <v>44018</v>
      </c>
      <c r="L64" s="17">
        <v>0.58333333333333337</v>
      </c>
      <c r="M64" s="14">
        <v>650</v>
      </c>
      <c r="N64" s="14">
        <v>231</v>
      </c>
      <c r="O64" s="14">
        <v>0</v>
      </c>
      <c r="P64" s="14">
        <v>881</v>
      </c>
      <c r="Q64">
        <v>9915</v>
      </c>
      <c r="R64">
        <v>1436</v>
      </c>
      <c r="S64">
        <v>2412</v>
      </c>
    </row>
    <row r="65" spans="11:19" x14ac:dyDescent="0.3">
      <c r="K65" s="16">
        <f t="shared" si="0"/>
        <v>44018</v>
      </c>
      <c r="L65" s="17">
        <v>0.625</v>
      </c>
      <c r="M65" s="14">
        <v>650</v>
      </c>
      <c r="N65" s="14">
        <v>0</v>
      </c>
      <c r="O65" s="14">
        <v>0</v>
      </c>
      <c r="P65" s="14">
        <v>650</v>
      </c>
      <c r="Q65">
        <v>9675</v>
      </c>
      <c r="R65">
        <v>1478</v>
      </c>
      <c r="S65">
        <v>2293</v>
      </c>
    </row>
    <row r="66" spans="11:19" x14ac:dyDescent="0.3">
      <c r="K66" s="16">
        <f t="shared" si="0"/>
        <v>44018</v>
      </c>
      <c r="L66" s="17">
        <v>0.66666666666666663</v>
      </c>
      <c r="M66" s="14">
        <v>650</v>
      </c>
      <c r="N66" s="14">
        <v>136</v>
      </c>
      <c r="O66" s="14">
        <v>0</v>
      </c>
      <c r="P66" s="14">
        <v>786</v>
      </c>
      <c r="Q66">
        <v>9456</v>
      </c>
      <c r="R66">
        <v>1370</v>
      </c>
      <c r="S66">
        <v>2117</v>
      </c>
    </row>
    <row r="67" spans="11:19" x14ac:dyDescent="0.3">
      <c r="K67" s="16">
        <f t="shared" si="0"/>
        <v>44018</v>
      </c>
      <c r="L67" s="17">
        <v>0.70833333333333337</v>
      </c>
      <c r="M67" s="14">
        <v>650</v>
      </c>
      <c r="N67" s="14">
        <v>560</v>
      </c>
      <c r="O67" s="14">
        <v>0</v>
      </c>
      <c r="P67" s="14">
        <v>1210</v>
      </c>
      <c r="Q67">
        <v>9304</v>
      </c>
      <c r="R67">
        <v>1163</v>
      </c>
      <c r="S67">
        <v>1752</v>
      </c>
    </row>
    <row r="68" spans="11:19" x14ac:dyDescent="0.3">
      <c r="K68" s="16">
        <f t="shared" si="0"/>
        <v>44018</v>
      </c>
      <c r="L68" s="17">
        <v>0.75</v>
      </c>
      <c r="M68" s="14">
        <v>650</v>
      </c>
      <c r="N68" s="14">
        <v>1342</v>
      </c>
      <c r="O68" s="14">
        <v>0</v>
      </c>
      <c r="P68" s="14">
        <v>1992</v>
      </c>
      <c r="Q68">
        <v>9356</v>
      </c>
      <c r="R68">
        <v>945</v>
      </c>
      <c r="S68">
        <v>1243</v>
      </c>
    </row>
    <row r="69" spans="11:19" x14ac:dyDescent="0.3">
      <c r="K69" s="16">
        <f t="shared" si="0"/>
        <v>44018</v>
      </c>
      <c r="L69" s="17">
        <v>0.79166666666666663</v>
      </c>
      <c r="M69" s="14">
        <v>650</v>
      </c>
      <c r="N69" s="14">
        <v>1725</v>
      </c>
      <c r="O69" s="14">
        <v>0</v>
      </c>
      <c r="P69" s="14">
        <v>2375</v>
      </c>
      <c r="Q69">
        <v>9227</v>
      </c>
      <c r="R69">
        <v>724</v>
      </c>
      <c r="S69">
        <v>688</v>
      </c>
    </row>
    <row r="70" spans="11:19" x14ac:dyDescent="0.3">
      <c r="K70" s="16">
        <f t="shared" si="0"/>
        <v>44018</v>
      </c>
      <c r="L70" s="17">
        <v>0.83333333333333337</v>
      </c>
      <c r="M70" s="14">
        <v>650</v>
      </c>
      <c r="N70" s="14">
        <v>1725</v>
      </c>
      <c r="O70" s="14">
        <v>0</v>
      </c>
      <c r="P70" s="14">
        <v>2375</v>
      </c>
      <c r="Q70">
        <v>8685</v>
      </c>
      <c r="R70">
        <v>526</v>
      </c>
      <c r="S70">
        <v>245</v>
      </c>
    </row>
    <row r="71" spans="11:19" x14ac:dyDescent="0.3">
      <c r="K71" s="16">
        <f t="shared" si="0"/>
        <v>44018</v>
      </c>
      <c r="L71" s="17">
        <v>0.875</v>
      </c>
      <c r="M71" s="14">
        <v>650</v>
      </c>
      <c r="N71" s="14">
        <v>1725</v>
      </c>
      <c r="O71" s="14">
        <v>0</v>
      </c>
      <c r="P71" s="14">
        <v>2375</v>
      </c>
      <c r="Q71">
        <v>8365</v>
      </c>
      <c r="R71">
        <v>471</v>
      </c>
      <c r="S71">
        <v>27</v>
      </c>
    </row>
    <row r="72" spans="11:19" x14ac:dyDescent="0.3">
      <c r="K72" s="16">
        <f t="shared" si="0"/>
        <v>44018</v>
      </c>
      <c r="L72" s="17">
        <v>0.91666666666666663</v>
      </c>
      <c r="M72" s="14">
        <v>650</v>
      </c>
      <c r="N72" s="14">
        <v>1725</v>
      </c>
      <c r="O72" s="14">
        <v>0</v>
      </c>
      <c r="P72" s="14">
        <v>2375</v>
      </c>
      <c r="Q72">
        <v>8809</v>
      </c>
      <c r="R72">
        <v>403</v>
      </c>
      <c r="S72">
        <v>0</v>
      </c>
    </row>
    <row r="73" spans="11:19" x14ac:dyDescent="0.3">
      <c r="K73" s="16">
        <f t="shared" si="0"/>
        <v>44018</v>
      </c>
      <c r="L73" s="17">
        <v>0.95833333333333337</v>
      </c>
      <c r="M73" s="14">
        <v>650</v>
      </c>
      <c r="N73" s="14">
        <v>1725</v>
      </c>
      <c r="O73" s="14">
        <v>765</v>
      </c>
      <c r="P73" s="14">
        <v>3140</v>
      </c>
      <c r="Q73">
        <v>8832</v>
      </c>
      <c r="R73">
        <v>410</v>
      </c>
      <c r="S73">
        <v>0</v>
      </c>
    </row>
    <row r="74" spans="11:19" x14ac:dyDescent="0.3">
      <c r="K74" s="16">
        <f t="shared" si="0"/>
        <v>44019</v>
      </c>
      <c r="L74" s="17">
        <v>0</v>
      </c>
      <c r="M74" s="14">
        <v>650</v>
      </c>
      <c r="N74" s="14">
        <v>1510</v>
      </c>
      <c r="O74" s="14">
        <v>213</v>
      </c>
      <c r="P74" s="14">
        <v>2373</v>
      </c>
      <c r="Q74">
        <v>8086</v>
      </c>
      <c r="R74">
        <v>431</v>
      </c>
      <c r="S74">
        <v>0</v>
      </c>
    </row>
    <row r="75" spans="11:19" x14ac:dyDescent="0.3">
      <c r="K75" s="16">
        <f t="shared" si="0"/>
        <v>44019</v>
      </c>
      <c r="L75" s="17">
        <v>4.1666666666666664E-2</v>
      </c>
      <c r="M75" s="14">
        <v>650</v>
      </c>
      <c r="N75" s="14">
        <v>0</v>
      </c>
      <c r="O75" s="14">
        <v>631</v>
      </c>
      <c r="P75" s="14">
        <v>1281</v>
      </c>
      <c r="Q75">
        <v>7644</v>
      </c>
      <c r="R75">
        <v>368</v>
      </c>
      <c r="S75">
        <v>0</v>
      </c>
    </row>
    <row r="76" spans="11:19" x14ac:dyDescent="0.3">
      <c r="K76" s="16">
        <f t="shared" si="0"/>
        <v>44019</v>
      </c>
      <c r="L76" s="17">
        <v>8.3333333333333329E-2</v>
      </c>
      <c r="M76" s="14">
        <v>650</v>
      </c>
      <c r="N76" s="14">
        <v>912</v>
      </c>
      <c r="O76" s="14">
        <v>0</v>
      </c>
      <c r="P76" s="14">
        <v>1562</v>
      </c>
      <c r="Q76">
        <v>7321</v>
      </c>
      <c r="R76">
        <v>481</v>
      </c>
      <c r="S76">
        <v>0</v>
      </c>
    </row>
    <row r="77" spans="11:19" x14ac:dyDescent="0.3">
      <c r="K77" s="16">
        <f t="shared" si="0"/>
        <v>44019</v>
      </c>
      <c r="L77" s="17">
        <v>0.125</v>
      </c>
      <c r="M77" s="14">
        <v>650</v>
      </c>
      <c r="N77" s="14">
        <v>422</v>
      </c>
      <c r="O77" s="14">
        <v>0</v>
      </c>
      <c r="P77" s="14">
        <v>1072</v>
      </c>
      <c r="Q77">
        <v>6948</v>
      </c>
      <c r="R77">
        <v>519</v>
      </c>
      <c r="S77">
        <v>0</v>
      </c>
    </row>
    <row r="78" spans="11:19" x14ac:dyDescent="0.3">
      <c r="K78" s="16">
        <f t="shared" si="0"/>
        <v>44019</v>
      </c>
      <c r="L78" s="17">
        <v>0.16666666666666666</v>
      </c>
      <c r="M78" s="14">
        <v>650</v>
      </c>
      <c r="N78" s="14">
        <v>365</v>
      </c>
      <c r="O78" s="14">
        <v>0</v>
      </c>
      <c r="P78" s="14">
        <v>1015</v>
      </c>
      <c r="Q78">
        <v>6861</v>
      </c>
      <c r="R78">
        <v>483</v>
      </c>
      <c r="S78">
        <v>0</v>
      </c>
    </row>
    <row r="79" spans="11:19" x14ac:dyDescent="0.3">
      <c r="K79" s="16">
        <f t="shared" si="0"/>
        <v>44019</v>
      </c>
      <c r="L79" s="17">
        <v>0.20833333333333334</v>
      </c>
      <c r="M79" s="14">
        <v>650</v>
      </c>
      <c r="N79" s="14">
        <v>566</v>
      </c>
      <c r="O79" s="14">
        <v>0</v>
      </c>
      <c r="P79" s="14">
        <v>1216</v>
      </c>
      <c r="Q79">
        <v>7128</v>
      </c>
      <c r="R79">
        <v>538</v>
      </c>
      <c r="S79">
        <v>1</v>
      </c>
    </row>
    <row r="80" spans="11:19" x14ac:dyDescent="0.3">
      <c r="K80" s="16">
        <f t="shared" si="0"/>
        <v>44019</v>
      </c>
      <c r="L80" s="17">
        <v>0.25</v>
      </c>
      <c r="M80" s="14">
        <v>650</v>
      </c>
      <c r="N80" s="14">
        <v>0</v>
      </c>
      <c r="O80" s="14">
        <v>0</v>
      </c>
      <c r="P80" s="14">
        <v>650</v>
      </c>
      <c r="Q80">
        <v>7733</v>
      </c>
      <c r="R80">
        <v>624</v>
      </c>
      <c r="S80">
        <v>52</v>
      </c>
    </row>
    <row r="81" spans="11:19" x14ac:dyDescent="0.3">
      <c r="K81" s="16">
        <f t="shared" si="0"/>
        <v>44019</v>
      </c>
      <c r="L81" s="17">
        <v>0.29166666666666669</v>
      </c>
      <c r="M81" s="14">
        <v>650</v>
      </c>
      <c r="N81" s="14">
        <v>0</v>
      </c>
      <c r="O81" s="14">
        <v>0</v>
      </c>
      <c r="P81" s="14">
        <v>650</v>
      </c>
      <c r="Q81">
        <v>8553</v>
      </c>
      <c r="R81">
        <v>677</v>
      </c>
      <c r="S81">
        <v>347</v>
      </c>
    </row>
    <row r="82" spans="11:19" x14ac:dyDescent="0.3">
      <c r="K82" s="16">
        <f t="shared" si="0"/>
        <v>44019</v>
      </c>
      <c r="L82" s="17">
        <v>0.33333333333333331</v>
      </c>
      <c r="M82" s="14">
        <v>650</v>
      </c>
      <c r="N82" s="14">
        <v>0</v>
      </c>
      <c r="O82" s="14">
        <v>0</v>
      </c>
      <c r="P82" s="14">
        <v>650</v>
      </c>
      <c r="Q82">
        <v>9168</v>
      </c>
      <c r="R82">
        <v>750</v>
      </c>
      <c r="S82">
        <v>812</v>
      </c>
    </row>
    <row r="83" spans="11:19" x14ac:dyDescent="0.3">
      <c r="K83" s="16">
        <f t="shared" si="0"/>
        <v>44019</v>
      </c>
      <c r="L83" s="17">
        <v>0.375</v>
      </c>
      <c r="M83" s="14">
        <v>650</v>
      </c>
      <c r="N83" s="14">
        <v>1171</v>
      </c>
      <c r="O83" s="14">
        <v>0</v>
      </c>
      <c r="P83" s="14">
        <v>1821</v>
      </c>
      <c r="Q83">
        <v>9575</v>
      </c>
      <c r="R83">
        <v>916</v>
      </c>
      <c r="S83">
        <v>1399</v>
      </c>
    </row>
    <row r="84" spans="11:19" x14ac:dyDescent="0.3">
      <c r="K84" s="16">
        <f t="shared" si="0"/>
        <v>44019</v>
      </c>
      <c r="L84" s="17">
        <v>0.41666666666666669</v>
      </c>
      <c r="M84" s="14">
        <v>650</v>
      </c>
      <c r="N84" s="14">
        <v>0</v>
      </c>
      <c r="O84" s="14">
        <v>0</v>
      </c>
      <c r="P84" s="14">
        <v>650</v>
      </c>
      <c r="Q84">
        <v>9806</v>
      </c>
      <c r="R84">
        <v>1049</v>
      </c>
      <c r="S84">
        <v>1941</v>
      </c>
    </row>
    <row r="85" spans="11:19" x14ac:dyDescent="0.3">
      <c r="K85" s="16">
        <f t="shared" si="0"/>
        <v>44019</v>
      </c>
      <c r="L85" s="17">
        <v>0.45833333333333331</v>
      </c>
      <c r="M85" s="14">
        <v>650</v>
      </c>
      <c r="N85" s="14">
        <v>406</v>
      </c>
      <c r="O85" s="14">
        <v>0</v>
      </c>
      <c r="P85" s="14">
        <v>1056</v>
      </c>
      <c r="Q85">
        <v>10037</v>
      </c>
      <c r="R85">
        <v>1197</v>
      </c>
      <c r="S85">
        <v>2348</v>
      </c>
    </row>
    <row r="86" spans="11:19" x14ac:dyDescent="0.3">
      <c r="K86" s="16">
        <f t="shared" si="0"/>
        <v>44019</v>
      </c>
      <c r="L86" s="17">
        <v>0.5</v>
      </c>
      <c r="M86" s="14">
        <v>650</v>
      </c>
      <c r="N86" s="14">
        <v>139</v>
      </c>
      <c r="O86" s="14">
        <v>0</v>
      </c>
      <c r="P86" s="14">
        <v>789</v>
      </c>
      <c r="Q86">
        <v>10149</v>
      </c>
      <c r="R86">
        <v>1295</v>
      </c>
      <c r="S86">
        <v>2634</v>
      </c>
    </row>
    <row r="87" spans="11:19" x14ac:dyDescent="0.3">
      <c r="K87" s="16">
        <f t="shared" si="0"/>
        <v>44019</v>
      </c>
      <c r="L87" s="17">
        <v>0.54166666666666663</v>
      </c>
      <c r="M87" s="14">
        <v>650</v>
      </c>
      <c r="N87" s="14">
        <v>0</v>
      </c>
      <c r="O87" s="14">
        <v>-95</v>
      </c>
      <c r="P87" s="14">
        <v>555</v>
      </c>
      <c r="Q87">
        <v>10042</v>
      </c>
      <c r="R87">
        <v>1621</v>
      </c>
      <c r="S87">
        <v>2759</v>
      </c>
    </row>
    <row r="88" spans="11:19" x14ac:dyDescent="0.3">
      <c r="K88" s="16">
        <f t="shared" si="0"/>
        <v>44019</v>
      </c>
      <c r="L88" s="17">
        <v>0.58333333333333337</v>
      </c>
      <c r="M88" s="14">
        <v>650</v>
      </c>
      <c r="N88" s="14">
        <v>0</v>
      </c>
      <c r="O88" s="14">
        <v>-233</v>
      </c>
      <c r="P88" s="14">
        <v>417</v>
      </c>
      <c r="Q88">
        <v>10047</v>
      </c>
      <c r="R88">
        <v>1825</v>
      </c>
      <c r="S88">
        <v>2698</v>
      </c>
    </row>
    <row r="89" spans="11:19" x14ac:dyDescent="0.3">
      <c r="K89" s="16">
        <f t="shared" si="0"/>
        <v>44019</v>
      </c>
      <c r="L89" s="17">
        <v>0.625</v>
      </c>
      <c r="M89" s="14">
        <v>650</v>
      </c>
      <c r="N89" s="14">
        <v>0</v>
      </c>
      <c r="O89" s="14">
        <v>-507</v>
      </c>
      <c r="P89" s="14">
        <v>143</v>
      </c>
      <c r="Q89">
        <v>9842</v>
      </c>
      <c r="R89">
        <v>2068</v>
      </c>
      <c r="S89">
        <v>2524</v>
      </c>
    </row>
    <row r="90" spans="11:19" x14ac:dyDescent="0.3">
      <c r="K90" s="16">
        <f t="shared" si="0"/>
        <v>44019</v>
      </c>
      <c r="L90" s="17">
        <v>0.66666666666666663</v>
      </c>
      <c r="M90" s="14">
        <v>650</v>
      </c>
      <c r="N90" s="14">
        <v>0</v>
      </c>
      <c r="O90" s="14">
        <v>-467</v>
      </c>
      <c r="P90" s="14">
        <v>183</v>
      </c>
      <c r="Q90">
        <v>9648</v>
      </c>
      <c r="R90">
        <v>2165</v>
      </c>
      <c r="S90">
        <v>2196</v>
      </c>
    </row>
    <row r="91" spans="11:19" x14ac:dyDescent="0.3">
      <c r="K91" s="16">
        <f t="shared" ref="K91:K154" si="1">K67+1</f>
        <v>44019</v>
      </c>
      <c r="L91" s="17">
        <v>0.70833333333333337</v>
      </c>
      <c r="M91" s="14">
        <v>650</v>
      </c>
      <c r="N91" s="14">
        <v>0</v>
      </c>
      <c r="O91" s="14">
        <v>-278</v>
      </c>
      <c r="P91" s="14">
        <v>372</v>
      </c>
      <c r="Q91">
        <v>9510</v>
      </c>
      <c r="R91">
        <v>2311</v>
      </c>
      <c r="S91">
        <v>1727</v>
      </c>
    </row>
    <row r="92" spans="11:19" x14ac:dyDescent="0.3">
      <c r="K92" s="16">
        <f t="shared" si="1"/>
        <v>44019</v>
      </c>
      <c r="L92" s="17">
        <v>0.75</v>
      </c>
      <c r="M92" s="14">
        <v>650</v>
      </c>
      <c r="N92" s="14">
        <v>604</v>
      </c>
      <c r="O92" s="14">
        <v>0</v>
      </c>
      <c r="P92" s="14">
        <v>1254</v>
      </c>
      <c r="Q92">
        <v>9550</v>
      </c>
      <c r="R92">
        <v>2032</v>
      </c>
      <c r="S92">
        <v>1168</v>
      </c>
    </row>
    <row r="93" spans="11:19" x14ac:dyDescent="0.3">
      <c r="K93" s="16">
        <f t="shared" si="1"/>
        <v>44019</v>
      </c>
      <c r="L93" s="17">
        <v>0.79166666666666663</v>
      </c>
      <c r="M93" s="14">
        <v>650</v>
      </c>
      <c r="N93" s="14">
        <v>815</v>
      </c>
      <c r="O93" s="14">
        <v>0</v>
      </c>
      <c r="P93" s="14">
        <v>1465</v>
      </c>
      <c r="Q93">
        <v>9404</v>
      </c>
      <c r="R93">
        <v>2265</v>
      </c>
      <c r="S93">
        <v>596</v>
      </c>
    </row>
    <row r="94" spans="11:19" x14ac:dyDescent="0.3">
      <c r="K94" s="16">
        <f t="shared" si="1"/>
        <v>44019</v>
      </c>
      <c r="L94" s="17">
        <v>0.83333333333333337</v>
      </c>
      <c r="M94" s="14">
        <v>650</v>
      </c>
      <c r="N94" s="14">
        <v>441</v>
      </c>
      <c r="O94" s="14">
        <v>0</v>
      </c>
      <c r="P94" s="14">
        <v>1091</v>
      </c>
      <c r="Q94">
        <v>8831</v>
      </c>
      <c r="R94">
        <v>2476</v>
      </c>
      <c r="S94">
        <v>200</v>
      </c>
    </row>
    <row r="95" spans="11:19" x14ac:dyDescent="0.3">
      <c r="K95" s="16">
        <f t="shared" si="1"/>
        <v>44019</v>
      </c>
      <c r="L95" s="17">
        <v>0.875</v>
      </c>
      <c r="M95" s="14">
        <v>650</v>
      </c>
      <c r="N95" s="14">
        <v>181</v>
      </c>
      <c r="O95" s="14">
        <v>0</v>
      </c>
      <c r="P95" s="14">
        <v>831</v>
      </c>
      <c r="Q95">
        <v>8490</v>
      </c>
      <c r="R95">
        <v>2580</v>
      </c>
      <c r="S95">
        <v>22</v>
      </c>
    </row>
    <row r="96" spans="11:19" x14ac:dyDescent="0.3">
      <c r="K96" s="16">
        <f t="shared" si="1"/>
        <v>44019</v>
      </c>
      <c r="L96" s="17">
        <v>0.91666666666666663</v>
      </c>
      <c r="M96" s="14">
        <v>650</v>
      </c>
      <c r="N96" s="14">
        <v>610</v>
      </c>
      <c r="O96" s="14">
        <v>0</v>
      </c>
      <c r="P96" s="14">
        <v>1260</v>
      </c>
      <c r="Q96">
        <v>8952</v>
      </c>
      <c r="R96">
        <v>2638</v>
      </c>
      <c r="S96">
        <v>0</v>
      </c>
    </row>
    <row r="97" spans="11:19" x14ac:dyDescent="0.3">
      <c r="K97" s="16">
        <f t="shared" si="1"/>
        <v>44019</v>
      </c>
      <c r="L97" s="17">
        <v>0.95833333333333337</v>
      </c>
      <c r="M97" s="14">
        <v>650</v>
      </c>
      <c r="N97" s="14">
        <v>0</v>
      </c>
      <c r="O97" s="14">
        <v>422</v>
      </c>
      <c r="P97" s="14">
        <v>1072</v>
      </c>
      <c r="Q97">
        <v>8960</v>
      </c>
      <c r="R97">
        <v>2845</v>
      </c>
      <c r="S97">
        <v>0</v>
      </c>
    </row>
    <row r="98" spans="11:19" x14ac:dyDescent="0.3">
      <c r="K98" s="16">
        <f t="shared" si="1"/>
        <v>44020</v>
      </c>
      <c r="L98" s="17">
        <v>0</v>
      </c>
      <c r="M98" s="14">
        <v>650</v>
      </c>
      <c r="N98" s="14">
        <v>0</v>
      </c>
      <c r="O98" s="14">
        <v>-317</v>
      </c>
      <c r="P98" s="14">
        <v>333</v>
      </c>
      <c r="Q98">
        <v>8147</v>
      </c>
      <c r="R98">
        <v>2773</v>
      </c>
      <c r="S98">
        <v>0</v>
      </c>
    </row>
    <row r="99" spans="11:19" x14ac:dyDescent="0.3">
      <c r="K99" s="16">
        <f t="shared" si="1"/>
        <v>44020</v>
      </c>
      <c r="L99" s="17">
        <v>4.1666666666666664E-2</v>
      </c>
      <c r="M99" s="14">
        <v>650</v>
      </c>
      <c r="N99" s="14">
        <v>0</v>
      </c>
      <c r="O99" s="14">
        <v>-349</v>
      </c>
      <c r="P99" s="14">
        <v>301</v>
      </c>
      <c r="Q99">
        <v>7712</v>
      </c>
      <c r="R99">
        <v>2372</v>
      </c>
      <c r="S99">
        <v>0</v>
      </c>
    </row>
    <row r="100" spans="11:19" x14ac:dyDescent="0.3">
      <c r="K100" s="16">
        <f t="shared" si="1"/>
        <v>44020</v>
      </c>
      <c r="L100" s="17">
        <v>8.3333333333333329E-2</v>
      </c>
      <c r="M100" s="14">
        <v>650</v>
      </c>
      <c r="N100" s="14">
        <v>0</v>
      </c>
      <c r="O100" s="14">
        <v>-432</v>
      </c>
      <c r="P100" s="14">
        <v>218</v>
      </c>
      <c r="Q100">
        <v>7398</v>
      </c>
      <c r="R100">
        <v>2143</v>
      </c>
      <c r="S100">
        <v>0</v>
      </c>
    </row>
    <row r="101" spans="11:19" x14ac:dyDescent="0.3">
      <c r="K101" s="16">
        <f t="shared" si="1"/>
        <v>44020</v>
      </c>
      <c r="L101" s="17">
        <v>0.125</v>
      </c>
      <c r="M101" s="14">
        <v>650</v>
      </c>
      <c r="N101" s="14">
        <v>0</v>
      </c>
      <c r="O101" s="14">
        <v>-325</v>
      </c>
      <c r="P101" s="14">
        <v>325</v>
      </c>
      <c r="Q101">
        <v>7038</v>
      </c>
      <c r="R101">
        <v>1677</v>
      </c>
      <c r="S101">
        <v>0</v>
      </c>
    </row>
    <row r="102" spans="11:19" x14ac:dyDescent="0.3">
      <c r="K102" s="16">
        <f t="shared" si="1"/>
        <v>44020</v>
      </c>
      <c r="L102" s="17">
        <v>0.16666666666666666</v>
      </c>
      <c r="M102" s="14">
        <v>650</v>
      </c>
      <c r="N102" s="14">
        <v>0</v>
      </c>
      <c r="O102" s="14">
        <v>-390</v>
      </c>
      <c r="P102" s="14">
        <v>260</v>
      </c>
      <c r="Q102">
        <v>6966</v>
      </c>
      <c r="R102">
        <v>1664</v>
      </c>
      <c r="S102">
        <v>0</v>
      </c>
    </row>
    <row r="103" spans="11:19" x14ac:dyDescent="0.3">
      <c r="K103" s="16">
        <f t="shared" si="1"/>
        <v>44020</v>
      </c>
      <c r="L103" s="17">
        <v>0.20833333333333334</v>
      </c>
      <c r="M103" s="14">
        <v>650</v>
      </c>
      <c r="N103" s="14">
        <v>31</v>
      </c>
      <c r="O103" s="14">
        <v>0</v>
      </c>
      <c r="P103" s="14">
        <v>681</v>
      </c>
      <c r="Q103">
        <v>7235</v>
      </c>
      <c r="R103">
        <v>1503</v>
      </c>
      <c r="S103">
        <v>0</v>
      </c>
    </row>
    <row r="104" spans="11:19" x14ac:dyDescent="0.3">
      <c r="K104" s="16">
        <f t="shared" si="1"/>
        <v>44020</v>
      </c>
      <c r="L104" s="17">
        <v>0.25</v>
      </c>
      <c r="M104" s="14">
        <v>650</v>
      </c>
      <c r="N104" s="14">
        <v>693</v>
      </c>
      <c r="O104" s="14">
        <v>0</v>
      </c>
      <c r="P104" s="14">
        <v>1343</v>
      </c>
      <c r="Q104">
        <v>7838</v>
      </c>
      <c r="R104">
        <v>1379</v>
      </c>
      <c r="S104">
        <v>28</v>
      </c>
    </row>
    <row r="105" spans="11:19" x14ac:dyDescent="0.3">
      <c r="K105" s="16">
        <f t="shared" si="1"/>
        <v>44020</v>
      </c>
      <c r="L105" s="17">
        <v>0.29166666666666669</v>
      </c>
      <c r="M105" s="14">
        <v>650</v>
      </c>
      <c r="N105" s="14">
        <v>1377</v>
      </c>
      <c r="O105" s="14">
        <v>0</v>
      </c>
      <c r="P105" s="14">
        <v>2027</v>
      </c>
      <c r="Q105">
        <v>8679</v>
      </c>
      <c r="R105">
        <v>1349</v>
      </c>
      <c r="S105">
        <v>191</v>
      </c>
    </row>
    <row r="106" spans="11:19" x14ac:dyDescent="0.3">
      <c r="K106" s="16">
        <f t="shared" si="1"/>
        <v>44020</v>
      </c>
      <c r="L106" s="17">
        <v>0.33333333333333331</v>
      </c>
      <c r="M106" s="14">
        <v>650</v>
      </c>
      <c r="N106" s="14">
        <v>1769</v>
      </c>
      <c r="O106" s="14">
        <v>0</v>
      </c>
      <c r="P106" s="14">
        <v>2419</v>
      </c>
      <c r="Q106">
        <v>9293</v>
      </c>
      <c r="R106">
        <v>1285</v>
      </c>
      <c r="S106">
        <v>470</v>
      </c>
    </row>
    <row r="107" spans="11:19" x14ac:dyDescent="0.3">
      <c r="K107" s="16">
        <f t="shared" si="1"/>
        <v>44020</v>
      </c>
      <c r="L107" s="17">
        <v>0.375</v>
      </c>
      <c r="M107" s="14">
        <v>650</v>
      </c>
      <c r="N107" s="14">
        <v>1488</v>
      </c>
      <c r="O107" s="14">
        <v>0</v>
      </c>
      <c r="P107" s="14">
        <v>2138</v>
      </c>
      <c r="Q107">
        <v>9704</v>
      </c>
      <c r="R107">
        <v>1343</v>
      </c>
      <c r="S107">
        <v>786</v>
      </c>
    </row>
    <row r="108" spans="11:19" x14ac:dyDescent="0.3">
      <c r="K108" s="16">
        <f t="shared" si="1"/>
        <v>44020</v>
      </c>
      <c r="L108" s="17">
        <v>0.41666666666666669</v>
      </c>
      <c r="M108" s="14">
        <v>650</v>
      </c>
      <c r="N108" s="14">
        <v>0</v>
      </c>
      <c r="O108" s="14">
        <v>1200</v>
      </c>
      <c r="P108" s="14">
        <v>1850</v>
      </c>
      <c r="Q108">
        <v>9924</v>
      </c>
      <c r="R108">
        <v>1283</v>
      </c>
      <c r="S108">
        <v>911</v>
      </c>
    </row>
    <row r="109" spans="11:19" x14ac:dyDescent="0.3">
      <c r="K109" s="16">
        <f t="shared" si="1"/>
        <v>44020</v>
      </c>
      <c r="L109" s="17">
        <v>0.45833333333333331</v>
      </c>
      <c r="M109" s="14">
        <v>650</v>
      </c>
      <c r="N109" s="14">
        <v>1670</v>
      </c>
      <c r="O109" s="14">
        <v>0</v>
      </c>
      <c r="P109" s="14">
        <v>2320</v>
      </c>
      <c r="Q109">
        <v>10118</v>
      </c>
      <c r="R109">
        <v>1323</v>
      </c>
      <c r="S109">
        <v>1041</v>
      </c>
    </row>
    <row r="110" spans="11:19" x14ac:dyDescent="0.3">
      <c r="K110" s="16">
        <f t="shared" si="1"/>
        <v>44020</v>
      </c>
      <c r="L110" s="17">
        <v>0.5</v>
      </c>
      <c r="M110" s="14">
        <v>650</v>
      </c>
      <c r="N110" s="14">
        <v>0</v>
      </c>
      <c r="O110" s="14">
        <v>252</v>
      </c>
      <c r="P110" s="14">
        <v>902</v>
      </c>
      <c r="Q110">
        <v>10176</v>
      </c>
      <c r="R110">
        <v>1404</v>
      </c>
      <c r="S110">
        <v>1057</v>
      </c>
    </row>
    <row r="111" spans="11:19" x14ac:dyDescent="0.3">
      <c r="K111" s="16">
        <f t="shared" si="1"/>
        <v>44020</v>
      </c>
      <c r="L111" s="17">
        <v>0.54166666666666663</v>
      </c>
      <c r="M111" s="14">
        <v>650</v>
      </c>
      <c r="N111" s="14">
        <v>1511</v>
      </c>
      <c r="O111" s="14">
        <v>0</v>
      </c>
      <c r="P111" s="14">
        <v>2161</v>
      </c>
      <c r="Q111">
        <v>10006</v>
      </c>
      <c r="R111">
        <v>1315</v>
      </c>
      <c r="S111">
        <v>1105</v>
      </c>
    </row>
    <row r="112" spans="11:19" x14ac:dyDescent="0.3">
      <c r="K112" s="16">
        <f t="shared" si="1"/>
        <v>44020</v>
      </c>
      <c r="L112" s="17">
        <v>0.58333333333333337</v>
      </c>
      <c r="M112" s="14">
        <v>650</v>
      </c>
      <c r="N112" s="14">
        <v>1505</v>
      </c>
      <c r="O112" s="14">
        <v>0</v>
      </c>
      <c r="P112" s="14">
        <v>2155</v>
      </c>
      <c r="Q112">
        <v>9926</v>
      </c>
      <c r="R112">
        <v>1200</v>
      </c>
      <c r="S112">
        <v>1146</v>
      </c>
    </row>
    <row r="113" spans="11:19" x14ac:dyDescent="0.3">
      <c r="K113" s="16">
        <f t="shared" si="1"/>
        <v>44020</v>
      </c>
      <c r="L113" s="17">
        <v>0.625</v>
      </c>
      <c r="M113" s="14">
        <v>650</v>
      </c>
      <c r="N113" s="14">
        <v>1033</v>
      </c>
      <c r="O113" s="14">
        <v>0</v>
      </c>
      <c r="P113" s="14">
        <v>1683</v>
      </c>
      <c r="Q113">
        <v>9633</v>
      </c>
      <c r="R113">
        <v>1390</v>
      </c>
      <c r="S113">
        <v>1135</v>
      </c>
    </row>
    <row r="114" spans="11:19" x14ac:dyDescent="0.3">
      <c r="K114" s="16">
        <f t="shared" si="1"/>
        <v>44020</v>
      </c>
      <c r="L114" s="17">
        <v>0.66666666666666663</v>
      </c>
      <c r="M114" s="14">
        <v>650</v>
      </c>
      <c r="N114" s="14">
        <v>884</v>
      </c>
      <c r="O114" s="14">
        <v>0</v>
      </c>
      <c r="P114" s="14">
        <v>1534</v>
      </c>
      <c r="Q114">
        <v>9360</v>
      </c>
      <c r="R114">
        <v>1382</v>
      </c>
      <c r="S114">
        <v>1023</v>
      </c>
    </row>
    <row r="115" spans="11:19" x14ac:dyDescent="0.3">
      <c r="K115" s="16">
        <f t="shared" si="1"/>
        <v>44020</v>
      </c>
      <c r="L115" s="17">
        <v>0.70833333333333337</v>
      </c>
      <c r="M115" s="14">
        <v>650</v>
      </c>
      <c r="N115" s="14">
        <v>957</v>
      </c>
      <c r="O115" s="14">
        <v>0</v>
      </c>
      <c r="P115" s="14">
        <v>1607</v>
      </c>
      <c r="Q115">
        <v>9167</v>
      </c>
      <c r="R115">
        <v>1286</v>
      </c>
      <c r="S115">
        <v>856</v>
      </c>
    </row>
    <row r="116" spans="11:19" x14ac:dyDescent="0.3">
      <c r="K116" s="16">
        <f t="shared" si="1"/>
        <v>44020</v>
      </c>
      <c r="L116" s="17">
        <v>0.75</v>
      </c>
      <c r="M116" s="14">
        <v>650</v>
      </c>
      <c r="N116" s="14">
        <v>1201</v>
      </c>
      <c r="O116" s="14">
        <v>0</v>
      </c>
      <c r="P116" s="14">
        <v>1851</v>
      </c>
      <c r="Q116">
        <v>9224</v>
      </c>
      <c r="R116">
        <v>1376</v>
      </c>
      <c r="S116">
        <v>583</v>
      </c>
    </row>
    <row r="117" spans="11:19" x14ac:dyDescent="0.3">
      <c r="K117" s="16">
        <f t="shared" si="1"/>
        <v>44020</v>
      </c>
      <c r="L117" s="17">
        <v>0.79166666666666663</v>
      </c>
      <c r="M117" s="14">
        <v>650</v>
      </c>
      <c r="N117" s="14">
        <v>1607</v>
      </c>
      <c r="O117" s="14">
        <v>0</v>
      </c>
      <c r="P117" s="14">
        <v>2257</v>
      </c>
      <c r="Q117">
        <v>9098</v>
      </c>
      <c r="R117">
        <v>1190</v>
      </c>
      <c r="S117">
        <v>335</v>
      </c>
    </row>
    <row r="118" spans="11:19" x14ac:dyDescent="0.3">
      <c r="K118" s="16">
        <f t="shared" si="1"/>
        <v>44020</v>
      </c>
      <c r="L118" s="17">
        <v>0.83333333333333337</v>
      </c>
      <c r="M118" s="14">
        <v>650</v>
      </c>
      <c r="N118" s="14">
        <v>0</v>
      </c>
      <c r="O118" s="14">
        <v>0</v>
      </c>
      <c r="P118" s="14">
        <v>650</v>
      </c>
      <c r="Q118">
        <v>8528</v>
      </c>
      <c r="R118">
        <v>1114</v>
      </c>
      <c r="S118">
        <v>104</v>
      </c>
    </row>
    <row r="119" spans="11:19" x14ac:dyDescent="0.3">
      <c r="K119" s="16">
        <f t="shared" si="1"/>
        <v>44020</v>
      </c>
      <c r="L119" s="17">
        <v>0.875</v>
      </c>
      <c r="M119" s="14">
        <v>650</v>
      </c>
      <c r="N119" s="14">
        <v>1086</v>
      </c>
      <c r="O119" s="14">
        <v>0</v>
      </c>
      <c r="P119" s="14">
        <v>1736</v>
      </c>
      <c r="Q119">
        <v>8166</v>
      </c>
      <c r="R119">
        <v>1121</v>
      </c>
      <c r="S119">
        <v>13</v>
      </c>
    </row>
    <row r="120" spans="11:19" x14ac:dyDescent="0.3">
      <c r="K120" s="16">
        <f t="shared" si="1"/>
        <v>44020</v>
      </c>
      <c r="L120" s="17">
        <v>0.91666666666666663</v>
      </c>
      <c r="M120" s="14">
        <v>650</v>
      </c>
      <c r="N120" s="14">
        <v>1718</v>
      </c>
      <c r="O120" s="14">
        <v>0</v>
      </c>
      <c r="P120" s="14">
        <v>2368</v>
      </c>
      <c r="Q120">
        <v>8600</v>
      </c>
      <c r="R120">
        <v>939</v>
      </c>
      <c r="S120">
        <v>0</v>
      </c>
    </row>
    <row r="121" spans="11:19" x14ac:dyDescent="0.3">
      <c r="K121" s="16">
        <f t="shared" si="1"/>
        <v>44020</v>
      </c>
      <c r="L121" s="17">
        <v>0.95833333333333337</v>
      </c>
      <c r="M121" s="14">
        <v>650</v>
      </c>
      <c r="N121" s="14">
        <v>1933</v>
      </c>
      <c r="O121" s="14">
        <v>0</v>
      </c>
      <c r="P121" s="14">
        <v>2583</v>
      </c>
      <c r="Q121">
        <v>8675</v>
      </c>
      <c r="R121">
        <v>810</v>
      </c>
      <c r="S121">
        <v>0</v>
      </c>
    </row>
    <row r="122" spans="11:19" x14ac:dyDescent="0.3">
      <c r="K122" s="16">
        <f t="shared" si="1"/>
        <v>44021</v>
      </c>
      <c r="L122" s="17">
        <v>0</v>
      </c>
      <c r="M122" s="14">
        <v>650</v>
      </c>
      <c r="N122" s="14">
        <v>1395</v>
      </c>
      <c r="O122" s="14">
        <v>0</v>
      </c>
      <c r="P122" s="14">
        <v>2045</v>
      </c>
      <c r="Q122">
        <v>7930</v>
      </c>
      <c r="R122">
        <v>844</v>
      </c>
      <c r="S122">
        <v>0</v>
      </c>
    </row>
    <row r="123" spans="11:19" x14ac:dyDescent="0.3">
      <c r="K123" s="16">
        <f t="shared" si="1"/>
        <v>44021</v>
      </c>
      <c r="L123" s="17">
        <v>4.1666666666666664E-2</v>
      </c>
      <c r="M123" s="14">
        <v>650</v>
      </c>
      <c r="N123" s="14">
        <v>1119</v>
      </c>
      <c r="O123" s="14">
        <v>0</v>
      </c>
      <c r="P123" s="14">
        <v>1769</v>
      </c>
      <c r="Q123">
        <v>7496</v>
      </c>
      <c r="R123">
        <v>687</v>
      </c>
      <c r="S123">
        <v>0</v>
      </c>
    </row>
    <row r="124" spans="11:19" x14ac:dyDescent="0.3">
      <c r="K124" s="16">
        <f t="shared" si="1"/>
        <v>44021</v>
      </c>
      <c r="L124" s="17">
        <v>8.3333333333333329E-2</v>
      </c>
      <c r="M124" s="14">
        <v>650</v>
      </c>
      <c r="N124" s="14">
        <v>941</v>
      </c>
      <c r="O124" s="14">
        <v>0</v>
      </c>
      <c r="P124" s="14">
        <v>1591</v>
      </c>
      <c r="Q124">
        <v>7180</v>
      </c>
      <c r="R124">
        <v>552</v>
      </c>
      <c r="S124">
        <v>0</v>
      </c>
    </row>
    <row r="125" spans="11:19" x14ac:dyDescent="0.3">
      <c r="K125" s="16">
        <f t="shared" si="1"/>
        <v>44021</v>
      </c>
      <c r="L125" s="17">
        <v>0.125</v>
      </c>
      <c r="M125" s="14">
        <v>650</v>
      </c>
      <c r="N125" s="14">
        <v>642</v>
      </c>
      <c r="O125" s="14">
        <v>0</v>
      </c>
      <c r="P125" s="14">
        <v>1292</v>
      </c>
      <c r="Q125">
        <v>6810</v>
      </c>
      <c r="R125">
        <v>481</v>
      </c>
      <c r="S125">
        <v>0</v>
      </c>
    </row>
    <row r="126" spans="11:19" x14ac:dyDescent="0.3">
      <c r="K126" s="16">
        <f t="shared" si="1"/>
        <v>44021</v>
      </c>
      <c r="L126" s="17">
        <v>0.16666666666666666</v>
      </c>
      <c r="M126" s="14">
        <v>650</v>
      </c>
      <c r="N126" s="14">
        <v>565</v>
      </c>
      <c r="O126" s="14">
        <v>0</v>
      </c>
      <c r="P126" s="14">
        <v>1215</v>
      </c>
      <c r="Q126">
        <v>6727</v>
      </c>
      <c r="R126">
        <v>470</v>
      </c>
      <c r="S126">
        <v>0</v>
      </c>
    </row>
    <row r="127" spans="11:19" x14ac:dyDescent="0.3">
      <c r="K127" s="16">
        <f t="shared" si="1"/>
        <v>44021</v>
      </c>
      <c r="L127" s="17">
        <v>0.20833333333333334</v>
      </c>
      <c r="M127" s="14">
        <v>650</v>
      </c>
      <c r="N127" s="14">
        <v>526</v>
      </c>
      <c r="O127" s="14">
        <v>0</v>
      </c>
      <c r="P127" s="14">
        <v>1176</v>
      </c>
      <c r="Q127">
        <v>7010</v>
      </c>
      <c r="R127">
        <v>462</v>
      </c>
      <c r="S127">
        <v>0</v>
      </c>
    </row>
    <row r="128" spans="11:19" x14ac:dyDescent="0.3">
      <c r="K128" s="16">
        <f t="shared" si="1"/>
        <v>44021</v>
      </c>
      <c r="L128" s="17">
        <v>0.25</v>
      </c>
      <c r="M128" s="14">
        <v>650</v>
      </c>
      <c r="N128" s="14">
        <v>1102</v>
      </c>
      <c r="O128" s="14">
        <v>0</v>
      </c>
      <c r="P128" s="14">
        <v>1752</v>
      </c>
      <c r="Q128">
        <v>7629</v>
      </c>
      <c r="R128">
        <v>444</v>
      </c>
      <c r="S128">
        <v>25</v>
      </c>
    </row>
    <row r="129" spans="11:19" x14ac:dyDescent="0.3">
      <c r="K129" s="16">
        <f t="shared" si="1"/>
        <v>44021</v>
      </c>
      <c r="L129" s="17">
        <v>0.29166666666666669</v>
      </c>
      <c r="M129" s="14">
        <v>650</v>
      </c>
      <c r="N129" s="14">
        <v>0</v>
      </c>
      <c r="O129" s="14">
        <v>0</v>
      </c>
      <c r="P129" s="14">
        <v>650</v>
      </c>
      <c r="Q129">
        <v>8434</v>
      </c>
      <c r="R129">
        <v>609</v>
      </c>
      <c r="S129">
        <v>158</v>
      </c>
    </row>
    <row r="130" spans="11:19" x14ac:dyDescent="0.3">
      <c r="K130" s="16">
        <f t="shared" si="1"/>
        <v>44021</v>
      </c>
      <c r="L130" s="17">
        <v>0.33333333333333331</v>
      </c>
      <c r="M130" s="14">
        <v>650</v>
      </c>
      <c r="N130" s="14">
        <v>1846</v>
      </c>
      <c r="O130" s="14">
        <v>0</v>
      </c>
      <c r="P130" s="14">
        <v>2496</v>
      </c>
      <c r="Q130">
        <v>9042</v>
      </c>
      <c r="R130">
        <v>709</v>
      </c>
      <c r="S130">
        <v>397</v>
      </c>
    </row>
    <row r="131" spans="11:19" x14ac:dyDescent="0.3">
      <c r="K131" s="16">
        <f t="shared" si="1"/>
        <v>44021</v>
      </c>
      <c r="L131" s="17">
        <v>0.375</v>
      </c>
      <c r="M131" s="14">
        <v>650</v>
      </c>
      <c r="N131" s="14">
        <v>1901</v>
      </c>
      <c r="O131" s="14">
        <v>0</v>
      </c>
      <c r="P131" s="14">
        <v>2551</v>
      </c>
      <c r="Q131">
        <v>9415</v>
      </c>
      <c r="R131">
        <v>780</v>
      </c>
      <c r="S131">
        <v>646</v>
      </c>
    </row>
    <row r="132" spans="11:19" x14ac:dyDescent="0.3">
      <c r="K132" s="16">
        <f t="shared" si="1"/>
        <v>44021</v>
      </c>
      <c r="L132" s="17">
        <v>0.41666666666666669</v>
      </c>
      <c r="M132" s="14">
        <v>650</v>
      </c>
      <c r="N132" s="14">
        <v>1971</v>
      </c>
      <c r="O132" s="14">
        <v>0</v>
      </c>
      <c r="P132" s="14">
        <v>2621</v>
      </c>
      <c r="Q132">
        <v>9594</v>
      </c>
      <c r="R132">
        <v>793</v>
      </c>
      <c r="S132">
        <v>744</v>
      </c>
    </row>
    <row r="133" spans="11:19" x14ac:dyDescent="0.3">
      <c r="K133" s="16">
        <f t="shared" si="1"/>
        <v>44021</v>
      </c>
      <c r="L133" s="17">
        <v>0.45833333333333331</v>
      </c>
      <c r="M133" s="14">
        <v>650</v>
      </c>
      <c r="N133" s="14">
        <v>2079</v>
      </c>
      <c r="O133" s="14">
        <v>0</v>
      </c>
      <c r="P133" s="14">
        <v>2729</v>
      </c>
      <c r="Q133">
        <v>9772</v>
      </c>
      <c r="R133">
        <v>760</v>
      </c>
      <c r="S133">
        <v>848</v>
      </c>
    </row>
    <row r="134" spans="11:19" x14ac:dyDescent="0.3">
      <c r="K134" s="16">
        <f t="shared" si="1"/>
        <v>44021</v>
      </c>
      <c r="L134" s="17">
        <v>0.5</v>
      </c>
      <c r="M134" s="14">
        <v>650</v>
      </c>
      <c r="N134" s="14">
        <v>2045</v>
      </c>
      <c r="O134" s="14">
        <v>0</v>
      </c>
      <c r="P134" s="14">
        <v>2695</v>
      </c>
      <c r="Q134">
        <v>9826</v>
      </c>
      <c r="R134">
        <v>803</v>
      </c>
      <c r="S134">
        <v>899</v>
      </c>
    </row>
    <row r="135" spans="11:19" x14ac:dyDescent="0.3">
      <c r="K135" s="16">
        <f t="shared" si="1"/>
        <v>44021</v>
      </c>
      <c r="L135" s="17">
        <v>0.54166666666666663</v>
      </c>
      <c r="M135" s="14">
        <v>650</v>
      </c>
      <c r="N135" s="14">
        <v>0</v>
      </c>
      <c r="O135" s="14">
        <v>0</v>
      </c>
      <c r="P135" s="14">
        <v>650</v>
      </c>
      <c r="Q135">
        <v>9646</v>
      </c>
      <c r="R135">
        <v>843</v>
      </c>
      <c r="S135">
        <v>977</v>
      </c>
    </row>
    <row r="136" spans="11:19" x14ac:dyDescent="0.3">
      <c r="K136" s="16">
        <f t="shared" si="1"/>
        <v>44021</v>
      </c>
      <c r="L136" s="17">
        <v>0.58333333333333337</v>
      </c>
      <c r="M136" s="14">
        <v>650</v>
      </c>
      <c r="N136" s="14">
        <v>1590</v>
      </c>
      <c r="O136" s="14">
        <v>0</v>
      </c>
      <c r="P136" s="14">
        <v>2240</v>
      </c>
      <c r="Q136">
        <v>9527</v>
      </c>
      <c r="R136">
        <v>826</v>
      </c>
      <c r="S136">
        <v>1036</v>
      </c>
    </row>
    <row r="137" spans="11:19" x14ac:dyDescent="0.3">
      <c r="K137" s="16">
        <f t="shared" si="1"/>
        <v>44021</v>
      </c>
      <c r="L137" s="17">
        <v>0.625</v>
      </c>
      <c r="M137" s="14">
        <v>650</v>
      </c>
      <c r="N137" s="14">
        <v>1486</v>
      </c>
      <c r="O137" s="14">
        <v>0</v>
      </c>
      <c r="P137" s="14">
        <v>2136</v>
      </c>
      <c r="Q137">
        <v>9223</v>
      </c>
      <c r="R137">
        <v>944</v>
      </c>
      <c r="S137">
        <v>1038</v>
      </c>
    </row>
    <row r="138" spans="11:19" x14ac:dyDescent="0.3">
      <c r="K138" s="16">
        <f t="shared" si="1"/>
        <v>44021</v>
      </c>
      <c r="L138" s="17">
        <v>0.66666666666666663</v>
      </c>
      <c r="M138" s="14">
        <v>650</v>
      </c>
      <c r="N138" s="14">
        <v>1284</v>
      </c>
      <c r="O138" s="14">
        <v>0</v>
      </c>
      <c r="P138" s="14">
        <v>1934</v>
      </c>
      <c r="Q138">
        <v>8962</v>
      </c>
      <c r="R138">
        <v>876</v>
      </c>
      <c r="S138">
        <v>1050</v>
      </c>
    </row>
    <row r="139" spans="11:19" x14ac:dyDescent="0.3">
      <c r="K139" s="16">
        <f t="shared" si="1"/>
        <v>44021</v>
      </c>
      <c r="L139" s="17">
        <v>0.70833333333333337</v>
      </c>
      <c r="M139" s="14">
        <v>650</v>
      </c>
      <c r="N139" s="14">
        <v>1130</v>
      </c>
      <c r="O139" s="14">
        <v>0</v>
      </c>
      <c r="P139" s="14">
        <v>1780</v>
      </c>
      <c r="Q139">
        <v>8805</v>
      </c>
      <c r="R139">
        <v>1051</v>
      </c>
      <c r="S139">
        <v>875</v>
      </c>
    </row>
    <row r="140" spans="11:19" x14ac:dyDescent="0.3">
      <c r="K140" s="16">
        <f t="shared" si="1"/>
        <v>44021</v>
      </c>
      <c r="L140" s="17">
        <v>0.75</v>
      </c>
      <c r="M140" s="14">
        <v>650</v>
      </c>
      <c r="N140" s="14">
        <v>1467</v>
      </c>
      <c r="O140" s="14">
        <v>0</v>
      </c>
      <c r="P140" s="14">
        <v>2117</v>
      </c>
      <c r="Q140">
        <v>8951</v>
      </c>
      <c r="R140">
        <v>1077</v>
      </c>
      <c r="S140">
        <v>662</v>
      </c>
    </row>
    <row r="141" spans="11:19" x14ac:dyDescent="0.3">
      <c r="K141" s="16">
        <f t="shared" si="1"/>
        <v>44021</v>
      </c>
      <c r="L141" s="17">
        <v>0.79166666666666663</v>
      </c>
      <c r="M141" s="14">
        <v>650</v>
      </c>
      <c r="N141" s="14">
        <v>1702</v>
      </c>
      <c r="O141" s="14">
        <v>0</v>
      </c>
      <c r="P141" s="14">
        <v>2352</v>
      </c>
      <c r="Q141">
        <v>8898</v>
      </c>
      <c r="R141">
        <v>1101</v>
      </c>
      <c r="S141">
        <v>369</v>
      </c>
    </row>
    <row r="142" spans="11:19" x14ac:dyDescent="0.3">
      <c r="K142" s="16">
        <f t="shared" si="1"/>
        <v>44021</v>
      </c>
      <c r="L142" s="17">
        <v>0.83333333333333337</v>
      </c>
      <c r="M142" s="14">
        <v>650</v>
      </c>
      <c r="N142" s="14">
        <v>1243</v>
      </c>
      <c r="O142" s="14">
        <v>0</v>
      </c>
      <c r="P142" s="14">
        <v>1893</v>
      </c>
      <c r="Q142">
        <v>8354</v>
      </c>
      <c r="R142">
        <v>1037</v>
      </c>
      <c r="S142">
        <v>121</v>
      </c>
    </row>
    <row r="143" spans="11:19" x14ac:dyDescent="0.3">
      <c r="K143" s="16">
        <f t="shared" si="1"/>
        <v>44021</v>
      </c>
      <c r="L143" s="17">
        <v>0.875</v>
      </c>
      <c r="M143" s="14">
        <v>650</v>
      </c>
      <c r="N143" s="14">
        <v>0</v>
      </c>
      <c r="O143" s="14">
        <v>0</v>
      </c>
      <c r="P143" s="14">
        <v>650</v>
      </c>
      <c r="Q143">
        <v>7999</v>
      </c>
      <c r="R143">
        <v>1001</v>
      </c>
      <c r="S143">
        <v>22</v>
      </c>
    </row>
    <row r="144" spans="11:19" x14ac:dyDescent="0.3">
      <c r="K144" s="16">
        <f t="shared" si="1"/>
        <v>44021</v>
      </c>
      <c r="L144" s="17">
        <v>0.91666666666666663</v>
      </c>
      <c r="M144" s="14">
        <v>650</v>
      </c>
      <c r="N144" s="14">
        <v>1361</v>
      </c>
      <c r="O144" s="14">
        <v>0</v>
      </c>
      <c r="P144" s="14">
        <v>2011</v>
      </c>
      <c r="Q144">
        <v>8434</v>
      </c>
      <c r="R144">
        <v>1130</v>
      </c>
      <c r="S144">
        <v>0</v>
      </c>
    </row>
    <row r="145" spans="11:19" x14ac:dyDescent="0.3">
      <c r="K145" s="16">
        <f t="shared" si="1"/>
        <v>44021</v>
      </c>
      <c r="L145" s="17">
        <v>0.95833333333333337</v>
      </c>
      <c r="M145" s="14">
        <v>650</v>
      </c>
      <c r="N145" s="14">
        <v>0</v>
      </c>
      <c r="O145" s="14">
        <v>0</v>
      </c>
      <c r="P145" s="14">
        <v>650</v>
      </c>
      <c r="Q145">
        <v>8555</v>
      </c>
      <c r="R145">
        <v>1109</v>
      </c>
      <c r="S145">
        <v>0</v>
      </c>
    </row>
    <row r="146" spans="11:19" x14ac:dyDescent="0.3">
      <c r="K146" s="16">
        <f t="shared" si="1"/>
        <v>44022</v>
      </c>
      <c r="L146" s="17">
        <v>0</v>
      </c>
      <c r="M146" s="14">
        <v>650</v>
      </c>
      <c r="N146" s="14">
        <v>914</v>
      </c>
      <c r="O146" s="14">
        <v>0</v>
      </c>
      <c r="P146" s="14">
        <v>1564</v>
      </c>
      <c r="Q146">
        <v>7938</v>
      </c>
      <c r="R146">
        <v>1092</v>
      </c>
      <c r="S146">
        <v>0</v>
      </c>
    </row>
    <row r="147" spans="11:19" x14ac:dyDescent="0.3">
      <c r="K147" s="16">
        <f t="shared" si="1"/>
        <v>44022</v>
      </c>
      <c r="L147" s="17">
        <v>4.1666666666666664E-2</v>
      </c>
      <c r="M147" s="14">
        <v>650</v>
      </c>
      <c r="N147" s="14">
        <v>579</v>
      </c>
      <c r="O147" s="14">
        <v>0</v>
      </c>
      <c r="P147" s="14">
        <v>1229</v>
      </c>
      <c r="Q147">
        <v>7507</v>
      </c>
      <c r="R147">
        <v>1237</v>
      </c>
      <c r="S147">
        <v>0</v>
      </c>
    </row>
    <row r="148" spans="11:19" x14ac:dyDescent="0.3">
      <c r="K148" s="16">
        <f t="shared" si="1"/>
        <v>44022</v>
      </c>
      <c r="L148" s="17">
        <v>8.3333333333333329E-2</v>
      </c>
      <c r="M148" s="14">
        <v>650</v>
      </c>
      <c r="N148" s="14">
        <v>359</v>
      </c>
      <c r="O148" s="14">
        <v>0</v>
      </c>
      <c r="P148" s="14">
        <v>1009</v>
      </c>
      <c r="Q148">
        <v>7191</v>
      </c>
      <c r="R148">
        <v>1144</v>
      </c>
      <c r="S148">
        <v>0</v>
      </c>
    </row>
    <row r="149" spans="11:19" x14ac:dyDescent="0.3">
      <c r="K149" s="16">
        <f t="shared" si="1"/>
        <v>44022</v>
      </c>
      <c r="L149" s="17">
        <v>0.125</v>
      </c>
      <c r="M149" s="14">
        <v>650</v>
      </c>
      <c r="N149" s="14">
        <v>77</v>
      </c>
      <c r="O149" s="14">
        <v>0</v>
      </c>
      <c r="P149" s="14">
        <v>727</v>
      </c>
      <c r="Q149">
        <v>6819</v>
      </c>
      <c r="R149">
        <v>1054</v>
      </c>
      <c r="S149">
        <v>0</v>
      </c>
    </row>
    <row r="150" spans="11:19" x14ac:dyDescent="0.3">
      <c r="K150" s="16">
        <f t="shared" si="1"/>
        <v>44022</v>
      </c>
      <c r="L150" s="17">
        <v>0.16666666666666666</v>
      </c>
      <c r="M150" s="14">
        <v>650</v>
      </c>
      <c r="N150" s="14">
        <v>0</v>
      </c>
      <c r="O150" s="14">
        <v>-60</v>
      </c>
      <c r="P150" s="14">
        <v>590</v>
      </c>
      <c r="Q150">
        <v>6732</v>
      </c>
      <c r="R150">
        <v>1099</v>
      </c>
      <c r="S150">
        <v>0</v>
      </c>
    </row>
    <row r="151" spans="11:19" x14ac:dyDescent="0.3">
      <c r="K151" s="16">
        <f t="shared" si="1"/>
        <v>44022</v>
      </c>
      <c r="L151" s="17">
        <v>0.20833333333333334</v>
      </c>
      <c r="M151" s="14">
        <v>650</v>
      </c>
      <c r="N151" s="14">
        <v>121</v>
      </c>
      <c r="O151" s="14">
        <v>0</v>
      </c>
      <c r="P151" s="14">
        <v>771</v>
      </c>
      <c r="Q151">
        <v>7044</v>
      </c>
      <c r="R151">
        <v>1220</v>
      </c>
      <c r="S151">
        <v>0</v>
      </c>
    </row>
    <row r="152" spans="11:19" x14ac:dyDescent="0.3">
      <c r="K152" s="16">
        <f t="shared" si="1"/>
        <v>44022</v>
      </c>
      <c r="L152" s="17">
        <v>0.25</v>
      </c>
      <c r="M152" s="14">
        <v>650</v>
      </c>
      <c r="N152" s="14">
        <v>375</v>
      </c>
      <c r="O152" s="14">
        <v>0</v>
      </c>
      <c r="P152" s="14">
        <v>1025</v>
      </c>
      <c r="Q152">
        <v>7655</v>
      </c>
      <c r="R152">
        <v>1265</v>
      </c>
      <c r="S152">
        <v>35</v>
      </c>
    </row>
    <row r="153" spans="11:19" x14ac:dyDescent="0.3">
      <c r="K153" s="16">
        <f t="shared" si="1"/>
        <v>44022</v>
      </c>
      <c r="L153" s="17">
        <v>0.29166666666666669</v>
      </c>
      <c r="M153" s="14">
        <v>650</v>
      </c>
      <c r="N153" s="14">
        <v>944</v>
      </c>
      <c r="O153" s="14">
        <v>0</v>
      </c>
      <c r="P153" s="14">
        <v>1594</v>
      </c>
      <c r="Q153">
        <v>8432</v>
      </c>
      <c r="R153">
        <v>1281</v>
      </c>
      <c r="S153">
        <v>203</v>
      </c>
    </row>
    <row r="154" spans="11:19" x14ac:dyDescent="0.3">
      <c r="K154" s="16">
        <f t="shared" si="1"/>
        <v>44022</v>
      </c>
      <c r="L154" s="17">
        <v>0.33333333333333331</v>
      </c>
      <c r="M154" s="14">
        <v>650</v>
      </c>
      <c r="N154" s="14">
        <v>880</v>
      </c>
      <c r="O154" s="14">
        <v>0</v>
      </c>
      <c r="P154" s="14">
        <v>1530</v>
      </c>
      <c r="Q154">
        <v>9025</v>
      </c>
      <c r="R154">
        <v>1537</v>
      </c>
      <c r="S154">
        <v>596</v>
      </c>
    </row>
    <row r="155" spans="11:19" x14ac:dyDescent="0.3">
      <c r="K155" s="16">
        <f t="shared" ref="K155:K218" si="2">K131+1</f>
        <v>44022</v>
      </c>
      <c r="L155" s="17">
        <v>0.375</v>
      </c>
      <c r="M155" s="14">
        <v>650</v>
      </c>
      <c r="N155" s="14">
        <v>0</v>
      </c>
      <c r="O155" s="14">
        <v>48</v>
      </c>
      <c r="P155" s="14">
        <v>698</v>
      </c>
      <c r="Q155">
        <v>9393</v>
      </c>
      <c r="R155">
        <v>1500</v>
      </c>
      <c r="S155">
        <v>1016</v>
      </c>
    </row>
    <row r="156" spans="11:19" x14ac:dyDescent="0.3">
      <c r="K156" s="16">
        <f t="shared" si="2"/>
        <v>44022</v>
      </c>
      <c r="L156" s="17">
        <v>0.41666666666666669</v>
      </c>
      <c r="M156" s="14">
        <v>650</v>
      </c>
      <c r="N156" s="14">
        <v>0</v>
      </c>
      <c r="O156" s="14">
        <v>0</v>
      </c>
      <c r="P156" s="14">
        <v>650</v>
      </c>
      <c r="Q156">
        <v>9541</v>
      </c>
      <c r="R156">
        <v>1484</v>
      </c>
      <c r="S156">
        <v>1332</v>
      </c>
    </row>
    <row r="157" spans="11:19" x14ac:dyDescent="0.3">
      <c r="K157" s="16">
        <f t="shared" si="2"/>
        <v>44022</v>
      </c>
      <c r="L157" s="17">
        <v>0.45833333333333331</v>
      </c>
      <c r="M157" s="14">
        <v>650</v>
      </c>
      <c r="N157" s="14">
        <v>0</v>
      </c>
      <c r="O157" s="14">
        <v>0</v>
      </c>
      <c r="P157" s="14">
        <v>650</v>
      </c>
      <c r="Q157">
        <v>9671</v>
      </c>
      <c r="R157">
        <v>1396</v>
      </c>
      <c r="S157">
        <v>1582</v>
      </c>
    </row>
    <row r="158" spans="11:19" x14ac:dyDescent="0.3">
      <c r="K158" s="16">
        <f t="shared" si="2"/>
        <v>44022</v>
      </c>
      <c r="L158" s="17">
        <v>0.5</v>
      </c>
      <c r="M158" s="14">
        <v>650</v>
      </c>
      <c r="N158" s="14">
        <v>0</v>
      </c>
      <c r="O158" s="14">
        <v>0</v>
      </c>
      <c r="P158" s="14">
        <v>650</v>
      </c>
      <c r="Q158">
        <v>9725</v>
      </c>
      <c r="R158">
        <v>1367</v>
      </c>
      <c r="S158">
        <v>1648</v>
      </c>
    </row>
    <row r="159" spans="11:19" x14ac:dyDescent="0.3">
      <c r="K159" s="16">
        <f t="shared" si="2"/>
        <v>44022</v>
      </c>
      <c r="L159" s="17">
        <v>0.54166666666666663</v>
      </c>
      <c r="M159" s="14">
        <v>650</v>
      </c>
      <c r="N159" s="14">
        <v>585</v>
      </c>
      <c r="O159" s="14">
        <v>0</v>
      </c>
      <c r="P159" s="14">
        <v>1235</v>
      </c>
      <c r="Q159">
        <v>9488</v>
      </c>
      <c r="R159">
        <v>1263</v>
      </c>
      <c r="S159">
        <v>1723</v>
      </c>
    </row>
    <row r="160" spans="11:19" x14ac:dyDescent="0.3">
      <c r="K160" s="16">
        <f t="shared" si="2"/>
        <v>44022</v>
      </c>
      <c r="L160" s="17">
        <v>0.58333333333333337</v>
      </c>
      <c r="M160" s="14">
        <v>650</v>
      </c>
      <c r="N160" s="14">
        <v>482</v>
      </c>
      <c r="O160" s="14">
        <v>0</v>
      </c>
      <c r="P160" s="14">
        <v>1132</v>
      </c>
      <c r="Q160">
        <v>9310</v>
      </c>
      <c r="R160">
        <v>1126</v>
      </c>
      <c r="S160">
        <v>1785</v>
      </c>
    </row>
    <row r="161" spans="11:19" x14ac:dyDescent="0.3">
      <c r="K161" s="16">
        <f t="shared" si="2"/>
        <v>44022</v>
      </c>
      <c r="L161" s="17">
        <v>0.625</v>
      </c>
      <c r="M161" s="14">
        <v>650</v>
      </c>
      <c r="N161" s="14">
        <v>225</v>
      </c>
      <c r="O161" s="14">
        <v>0</v>
      </c>
      <c r="P161" s="14">
        <v>875</v>
      </c>
      <c r="Q161">
        <v>8976</v>
      </c>
      <c r="R161">
        <v>1076</v>
      </c>
      <c r="S161">
        <v>1758</v>
      </c>
    </row>
    <row r="162" spans="11:19" x14ac:dyDescent="0.3">
      <c r="K162" s="16">
        <f t="shared" si="2"/>
        <v>44022</v>
      </c>
      <c r="L162" s="17">
        <v>0.66666666666666663</v>
      </c>
      <c r="M162" s="14">
        <v>650</v>
      </c>
      <c r="N162" s="14">
        <v>39</v>
      </c>
      <c r="O162" s="14">
        <v>0</v>
      </c>
      <c r="P162" s="14">
        <v>689</v>
      </c>
      <c r="Q162">
        <v>8684</v>
      </c>
      <c r="R162">
        <v>1058</v>
      </c>
      <c r="S162">
        <v>1673</v>
      </c>
    </row>
    <row r="163" spans="11:19" x14ac:dyDescent="0.3">
      <c r="K163" s="16">
        <f t="shared" si="2"/>
        <v>44022</v>
      </c>
      <c r="L163" s="17">
        <v>0.70833333333333337</v>
      </c>
      <c r="M163" s="14">
        <v>650</v>
      </c>
      <c r="N163" s="14">
        <v>0</v>
      </c>
      <c r="O163" s="14">
        <v>0</v>
      </c>
      <c r="P163" s="14">
        <v>650</v>
      </c>
      <c r="Q163">
        <v>8570</v>
      </c>
      <c r="R163">
        <v>981</v>
      </c>
      <c r="S163">
        <v>1367</v>
      </c>
    </row>
    <row r="164" spans="11:19" x14ac:dyDescent="0.3">
      <c r="K164" s="16">
        <f t="shared" si="2"/>
        <v>44022</v>
      </c>
      <c r="L164" s="17">
        <v>0.75</v>
      </c>
      <c r="M164" s="14">
        <v>650</v>
      </c>
      <c r="N164" s="14">
        <v>0</v>
      </c>
      <c r="O164" s="14">
        <v>0</v>
      </c>
      <c r="P164" s="14">
        <v>650</v>
      </c>
      <c r="Q164">
        <v>8678</v>
      </c>
      <c r="R164">
        <v>1081</v>
      </c>
      <c r="S164">
        <v>969</v>
      </c>
    </row>
    <row r="165" spans="11:19" x14ac:dyDescent="0.3">
      <c r="K165" s="16">
        <f t="shared" si="2"/>
        <v>44022</v>
      </c>
      <c r="L165" s="17">
        <v>0.79166666666666663</v>
      </c>
      <c r="M165" s="14">
        <v>650</v>
      </c>
      <c r="N165" s="14">
        <v>0</v>
      </c>
      <c r="O165" s="14">
        <v>0</v>
      </c>
      <c r="P165" s="14">
        <v>650</v>
      </c>
      <c r="Q165">
        <v>8519</v>
      </c>
      <c r="R165">
        <v>1080</v>
      </c>
      <c r="S165">
        <v>494</v>
      </c>
    </row>
    <row r="166" spans="11:19" x14ac:dyDescent="0.3">
      <c r="K166" s="16">
        <f t="shared" si="2"/>
        <v>44022</v>
      </c>
      <c r="L166" s="17">
        <v>0.83333333333333337</v>
      </c>
      <c r="M166" s="14">
        <v>650</v>
      </c>
      <c r="N166" s="14">
        <v>959</v>
      </c>
      <c r="O166" s="14">
        <v>0</v>
      </c>
      <c r="P166" s="14">
        <v>1609</v>
      </c>
      <c r="Q166">
        <v>8059</v>
      </c>
      <c r="R166">
        <v>976</v>
      </c>
      <c r="S166">
        <v>169</v>
      </c>
    </row>
    <row r="167" spans="11:19" x14ac:dyDescent="0.3">
      <c r="K167" s="16">
        <f t="shared" si="2"/>
        <v>44022</v>
      </c>
      <c r="L167" s="17">
        <v>0.875</v>
      </c>
      <c r="M167" s="14">
        <v>650</v>
      </c>
      <c r="N167" s="14">
        <v>0</v>
      </c>
      <c r="O167" s="14">
        <v>0</v>
      </c>
      <c r="P167" s="14">
        <v>650</v>
      </c>
      <c r="Q167">
        <v>7778</v>
      </c>
      <c r="R167">
        <v>869</v>
      </c>
      <c r="S167">
        <v>22</v>
      </c>
    </row>
    <row r="168" spans="11:19" x14ac:dyDescent="0.3">
      <c r="K168" s="16">
        <f t="shared" si="2"/>
        <v>44022</v>
      </c>
      <c r="L168" s="17">
        <v>0.91666666666666663</v>
      </c>
      <c r="M168" s="14">
        <v>650</v>
      </c>
      <c r="N168" s="14">
        <v>1575</v>
      </c>
      <c r="O168" s="14">
        <v>0</v>
      </c>
      <c r="P168" s="14">
        <v>2225</v>
      </c>
      <c r="Q168">
        <v>8282</v>
      </c>
      <c r="R168">
        <v>763</v>
      </c>
      <c r="S168">
        <v>0</v>
      </c>
    </row>
    <row r="169" spans="11:19" x14ac:dyDescent="0.3">
      <c r="K169" s="16">
        <f t="shared" si="2"/>
        <v>44022</v>
      </c>
      <c r="L169" s="17">
        <v>0.95833333333333337</v>
      </c>
      <c r="M169" s="14">
        <v>650</v>
      </c>
      <c r="N169" s="14">
        <v>1682</v>
      </c>
      <c r="O169" s="14">
        <v>0</v>
      </c>
      <c r="P169" s="14">
        <v>2332</v>
      </c>
      <c r="Q169">
        <v>8431</v>
      </c>
      <c r="R169">
        <v>650</v>
      </c>
      <c r="S169">
        <v>0</v>
      </c>
    </row>
    <row r="170" spans="11:19" x14ac:dyDescent="0.3">
      <c r="K170" s="16">
        <f t="shared" si="2"/>
        <v>44023</v>
      </c>
      <c r="L170" s="17">
        <v>0</v>
      </c>
      <c r="M170" s="14">
        <v>650</v>
      </c>
      <c r="N170" s="14">
        <v>1100</v>
      </c>
      <c r="O170" s="14">
        <v>335</v>
      </c>
      <c r="P170" s="14">
        <v>2085</v>
      </c>
      <c r="Q170">
        <v>7781</v>
      </c>
      <c r="R170">
        <v>650</v>
      </c>
      <c r="S170">
        <v>0</v>
      </c>
    </row>
    <row r="171" spans="11:19" x14ac:dyDescent="0.3">
      <c r="K171" s="16">
        <f t="shared" si="2"/>
        <v>44023</v>
      </c>
      <c r="L171" s="17">
        <v>4.1666666666666664E-2</v>
      </c>
      <c r="M171" s="14">
        <v>650</v>
      </c>
      <c r="N171" s="14">
        <v>0</v>
      </c>
      <c r="O171" s="14">
        <v>1030</v>
      </c>
      <c r="P171" s="14">
        <v>1680</v>
      </c>
      <c r="Q171">
        <v>7303</v>
      </c>
      <c r="R171">
        <v>581</v>
      </c>
      <c r="S171">
        <v>0</v>
      </c>
    </row>
    <row r="172" spans="11:19" x14ac:dyDescent="0.3">
      <c r="K172" s="16">
        <f t="shared" si="2"/>
        <v>44023</v>
      </c>
      <c r="L172" s="17">
        <v>8.3333333333333329E-2</v>
      </c>
      <c r="M172" s="14">
        <v>650</v>
      </c>
      <c r="N172" s="14">
        <v>0</v>
      </c>
      <c r="O172" s="14">
        <v>720</v>
      </c>
      <c r="P172" s="14">
        <v>1370</v>
      </c>
      <c r="Q172">
        <v>6920</v>
      </c>
      <c r="R172">
        <v>509</v>
      </c>
      <c r="S172">
        <v>0</v>
      </c>
    </row>
    <row r="173" spans="11:19" x14ac:dyDescent="0.3">
      <c r="K173" s="16">
        <f t="shared" si="2"/>
        <v>44023</v>
      </c>
      <c r="L173" s="17">
        <v>0.125</v>
      </c>
      <c r="M173" s="14">
        <v>650</v>
      </c>
      <c r="N173" s="14">
        <v>179</v>
      </c>
      <c r="O173" s="14">
        <v>0</v>
      </c>
      <c r="P173" s="14">
        <v>829</v>
      </c>
      <c r="Q173">
        <v>6477</v>
      </c>
      <c r="R173">
        <v>608</v>
      </c>
      <c r="S173">
        <v>0</v>
      </c>
    </row>
    <row r="174" spans="11:19" x14ac:dyDescent="0.3">
      <c r="K174" s="16">
        <f t="shared" si="2"/>
        <v>44023</v>
      </c>
      <c r="L174" s="17">
        <v>0.16666666666666666</v>
      </c>
      <c r="M174" s="14">
        <v>650</v>
      </c>
      <c r="N174" s="14">
        <v>0</v>
      </c>
      <c r="O174" s="14">
        <v>48</v>
      </c>
      <c r="P174" s="14">
        <v>698</v>
      </c>
      <c r="Q174">
        <v>6274</v>
      </c>
      <c r="R174">
        <v>537</v>
      </c>
      <c r="S174">
        <v>0</v>
      </c>
    </row>
    <row r="175" spans="11:19" x14ac:dyDescent="0.3">
      <c r="K175" s="16">
        <f t="shared" si="2"/>
        <v>44023</v>
      </c>
      <c r="L175" s="17">
        <v>0.20833333333333334</v>
      </c>
      <c r="M175" s="14">
        <v>650</v>
      </c>
      <c r="N175" s="14">
        <v>54</v>
      </c>
      <c r="O175" s="14">
        <v>0</v>
      </c>
      <c r="P175" s="14">
        <v>704</v>
      </c>
      <c r="Q175">
        <v>6281</v>
      </c>
      <c r="R175">
        <v>533</v>
      </c>
      <c r="S175">
        <v>0</v>
      </c>
    </row>
    <row r="176" spans="11:19" x14ac:dyDescent="0.3">
      <c r="K176" s="16">
        <f t="shared" si="2"/>
        <v>44023</v>
      </c>
      <c r="L176" s="17">
        <v>0.25</v>
      </c>
      <c r="M176" s="14">
        <v>650</v>
      </c>
      <c r="N176" s="14">
        <v>21</v>
      </c>
      <c r="O176" s="14">
        <v>0</v>
      </c>
      <c r="P176" s="14">
        <v>671</v>
      </c>
      <c r="Q176">
        <v>6404</v>
      </c>
      <c r="R176">
        <v>623</v>
      </c>
      <c r="S176">
        <v>35</v>
      </c>
    </row>
    <row r="177" spans="11:19" x14ac:dyDescent="0.3">
      <c r="K177" s="16">
        <f t="shared" si="2"/>
        <v>44023</v>
      </c>
      <c r="L177" s="17">
        <v>0.29166666666666669</v>
      </c>
      <c r="M177" s="14">
        <v>650</v>
      </c>
      <c r="N177" s="14">
        <v>57</v>
      </c>
      <c r="O177" s="14">
        <v>82</v>
      </c>
      <c r="P177" s="14">
        <v>789</v>
      </c>
      <c r="Q177">
        <v>6724</v>
      </c>
      <c r="R177">
        <v>613</v>
      </c>
      <c r="S177">
        <v>232</v>
      </c>
    </row>
    <row r="178" spans="11:19" x14ac:dyDescent="0.3">
      <c r="K178" s="16">
        <f t="shared" si="2"/>
        <v>44023</v>
      </c>
      <c r="L178" s="17">
        <v>0.33333333333333331</v>
      </c>
      <c r="M178" s="14">
        <v>650</v>
      </c>
      <c r="N178" s="14">
        <v>0</v>
      </c>
      <c r="O178" s="14">
        <v>260</v>
      </c>
      <c r="P178" s="14">
        <v>910</v>
      </c>
      <c r="Q178">
        <v>7291</v>
      </c>
      <c r="R178">
        <v>683</v>
      </c>
      <c r="S178">
        <v>601</v>
      </c>
    </row>
    <row r="179" spans="11:19" x14ac:dyDescent="0.3">
      <c r="K179" s="16">
        <f t="shared" si="2"/>
        <v>44023</v>
      </c>
      <c r="L179" s="17">
        <v>0.375</v>
      </c>
      <c r="M179" s="14">
        <v>650</v>
      </c>
      <c r="N179" s="14">
        <v>0</v>
      </c>
      <c r="O179" s="14">
        <v>183</v>
      </c>
      <c r="P179" s="14">
        <v>833</v>
      </c>
      <c r="Q179">
        <v>7795</v>
      </c>
      <c r="R179">
        <v>788</v>
      </c>
      <c r="S179">
        <v>1072</v>
      </c>
    </row>
    <row r="180" spans="11:19" x14ac:dyDescent="0.3">
      <c r="K180" s="16">
        <f t="shared" si="2"/>
        <v>44023</v>
      </c>
      <c r="L180" s="17">
        <v>0.41666666666666669</v>
      </c>
      <c r="M180" s="14">
        <v>650</v>
      </c>
      <c r="N180" s="14">
        <v>79</v>
      </c>
      <c r="O180" s="14">
        <v>0</v>
      </c>
      <c r="P180" s="14">
        <v>729</v>
      </c>
      <c r="Q180">
        <v>8015</v>
      </c>
      <c r="R180">
        <v>882</v>
      </c>
      <c r="S180">
        <v>1301</v>
      </c>
    </row>
    <row r="181" spans="11:19" x14ac:dyDescent="0.3">
      <c r="K181" s="16">
        <f t="shared" si="2"/>
        <v>44023</v>
      </c>
      <c r="L181" s="17">
        <v>0.45833333333333331</v>
      </c>
      <c r="M181" s="14">
        <v>650</v>
      </c>
      <c r="N181" s="14">
        <v>0</v>
      </c>
      <c r="O181" s="14">
        <v>-57</v>
      </c>
      <c r="P181" s="14">
        <v>593</v>
      </c>
      <c r="Q181">
        <v>8167</v>
      </c>
      <c r="R181">
        <v>943</v>
      </c>
      <c r="S181">
        <v>1528</v>
      </c>
    </row>
    <row r="182" spans="11:19" x14ac:dyDescent="0.3">
      <c r="K182" s="16">
        <f t="shared" si="2"/>
        <v>44023</v>
      </c>
      <c r="L182" s="17">
        <v>0.5</v>
      </c>
      <c r="M182" s="14">
        <v>650</v>
      </c>
      <c r="N182" s="14">
        <v>67</v>
      </c>
      <c r="O182" s="14">
        <v>0</v>
      </c>
      <c r="P182" s="14">
        <v>717</v>
      </c>
      <c r="Q182">
        <v>8424</v>
      </c>
      <c r="R182">
        <v>967</v>
      </c>
      <c r="S182">
        <v>1638</v>
      </c>
    </row>
    <row r="183" spans="11:19" x14ac:dyDescent="0.3">
      <c r="K183" s="16">
        <f t="shared" si="2"/>
        <v>44023</v>
      </c>
      <c r="L183" s="17">
        <v>0.54166666666666663</v>
      </c>
      <c r="M183" s="14">
        <v>650</v>
      </c>
      <c r="N183" s="14">
        <v>0</v>
      </c>
      <c r="O183" s="14">
        <v>-358</v>
      </c>
      <c r="P183" s="14">
        <v>292</v>
      </c>
      <c r="Q183">
        <v>8064</v>
      </c>
      <c r="R183">
        <v>957</v>
      </c>
      <c r="S183">
        <v>1717</v>
      </c>
    </row>
    <row r="184" spans="11:19" x14ac:dyDescent="0.3">
      <c r="K184" s="16">
        <f t="shared" si="2"/>
        <v>44023</v>
      </c>
      <c r="L184" s="17">
        <v>0.58333333333333337</v>
      </c>
      <c r="M184" s="14">
        <v>650</v>
      </c>
      <c r="N184" s="14">
        <v>0</v>
      </c>
      <c r="O184" s="14">
        <v>-687</v>
      </c>
      <c r="P184" s="14">
        <v>-37</v>
      </c>
      <c r="Q184">
        <v>7769</v>
      </c>
      <c r="R184">
        <v>892</v>
      </c>
      <c r="S184">
        <v>1818</v>
      </c>
    </row>
    <row r="185" spans="11:19" x14ac:dyDescent="0.3">
      <c r="K185" s="16">
        <f t="shared" si="2"/>
        <v>44023</v>
      </c>
      <c r="L185" s="17">
        <v>0.625</v>
      </c>
      <c r="M185" s="14">
        <v>650</v>
      </c>
      <c r="N185" s="14">
        <v>0</v>
      </c>
      <c r="O185" s="14">
        <v>-1000</v>
      </c>
      <c r="P185" s="14">
        <v>-350</v>
      </c>
      <c r="Q185">
        <v>7450</v>
      </c>
      <c r="R185">
        <v>935</v>
      </c>
      <c r="S185">
        <v>1770</v>
      </c>
    </row>
    <row r="186" spans="11:19" x14ac:dyDescent="0.3">
      <c r="K186" s="16">
        <f t="shared" si="2"/>
        <v>44023</v>
      </c>
      <c r="L186" s="17">
        <v>0.66666666666666663</v>
      </c>
      <c r="M186" s="14">
        <v>650</v>
      </c>
      <c r="N186" s="14">
        <v>0</v>
      </c>
      <c r="O186" s="14">
        <v>-1120</v>
      </c>
      <c r="P186" s="14">
        <v>-470</v>
      </c>
      <c r="Q186">
        <v>7236</v>
      </c>
      <c r="R186">
        <v>972</v>
      </c>
      <c r="S186">
        <v>1645</v>
      </c>
    </row>
    <row r="187" spans="11:19" x14ac:dyDescent="0.3">
      <c r="K187" s="16">
        <f t="shared" si="2"/>
        <v>44023</v>
      </c>
      <c r="L187" s="17">
        <v>0.70833333333333337</v>
      </c>
      <c r="M187" s="14">
        <v>650</v>
      </c>
      <c r="N187" s="14">
        <v>0</v>
      </c>
      <c r="O187" s="14">
        <v>-1004</v>
      </c>
      <c r="P187" s="14">
        <v>-354</v>
      </c>
      <c r="Q187">
        <v>7180</v>
      </c>
      <c r="R187">
        <v>1128</v>
      </c>
      <c r="S187">
        <v>1323</v>
      </c>
    </row>
    <row r="188" spans="11:19" x14ac:dyDescent="0.3">
      <c r="K188" s="16">
        <f t="shared" si="2"/>
        <v>44023</v>
      </c>
      <c r="L188" s="17">
        <v>0.75</v>
      </c>
      <c r="M188" s="14">
        <v>650</v>
      </c>
      <c r="N188" s="14">
        <v>0</v>
      </c>
      <c r="O188" s="14">
        <v>-464</v>
      </c>
      <c r="P188" s="14">
        <v>186</v>
      </c>
      <c r="Q188">
        <v>7396</v>
      </c>
      <c r="R188">
        <v>1205</v>
      </c>
      <c r="S188">
        <v>924</v>
      </c>
    </row>
    <row r="189" spans="11:19" x14ac:dyDescent="0.3">
      <c r="K189" s="16">
        <f t="shared" si="2"/>
        <v>44023</v>
      </c>
      <c r="L189" s="17">
        <v>0.79166666666666663</v>
      </c>
      <c r="M189" s="14">
        <v>650</v>
      </c>
      <c r="N189" s="14">
        <v>37</v>
      </c>
      <c r="O189" s="14">
        <v>0</v>
      </c>
      <c r="P189" s="14">
        <v>687</v>
      </c>
      <c r="Q189">
        <v>7414</v>
      </c>
      <c r="R189">
        <v>1178</v>
      </c>
      <c r="S189">
        <v>485</v>
      </c>
    </row>
    <row r="190" spans="11:19" x14ac:dyDescent="0.3">
      <c r="K190" s="16">
        <f t="shared" si="2"/>
        <v>44023</v>
      </c>
      <c r="L190" s="17">
        <v>0.83333333333333337</v>
      </c>
      <c r="M190" s="14">
        <v>650</v>
      </c>
      <c r="N190" s="14">
        <v>0</v>
      </c>
      <c r="O190" s="14">
        <v>176</v>
      </c>
      <c r="P190" s="14">
        <v>826</v>
      </c>
      <c r="Q190">
        <v>7132</v>
      </c>
      <c r="R190">
        <v>1090</v>
      </c>
      <c r="S190">
        <v>159</v>
      </c>
    </row>
    <row r="191" spans="11:19" x14ac:dyDescent="0.3">
      <c r="K191" s="16">
        <f t="shared" si="2"/>
        <v>44023</v>
      </c>
      <c r="L191" s="17">
        <v>0.875</v>
      </c>
      <c r="M191" s="14">
        <v>650</v>
      </c>
      <c r="N191" s="14">
        <v>64</v>
      </c>
      <c r="O191" s="14">
        <v>0</v>
      </c>
      <c r="P191" s="14">
        <v>714</v>
      </c>
      <c r="Q191">
        <v>7012</v>
      </c>
      <c r="R191">
        <v>1217</v>
      </c>
      <c r="S191">
        <v>22</v>
      </c>
    </row>
    <row r="192" spans="11:19" x14ac:dyDescent="0.3">
      <c r="K192" s="16">
        <f t="shared" si="2"/>
        <v>44023</v>
      </c>
      <c r="L192" s="17">
        <v>0.91666666666666663</v>
      </c>
      <c r="M192" s="14">
        <v>650</v>
      </c>
      <c r="N192" s="14">
        <v>0</v>
      </c>
      <c r="O192" s="14">
        <v>888</v>
      </c>
      <c r="P192" s="14">
        <v>1538</v>
      </c>
      <c r="Q192">
        <v>7666</v>
      </c>
      <c r="R192">
        <v>1069</v>
      </c>
      <c r="S192">
        <v>0</v>
      </c>
    </row>
    <row r="193" spans="11:19" x14ac:dyDescent="0.3">
      <c r="K193" s="16">
        <f t="shared" si="2"/>
        <v>44023</v>
      </c>
      <c r="L193" s="17">
        <v>0.95833333333333337</v>
      </c>
      <c r="M193" s="14">
        <v>650</v>
      </c>
      <c r="N193" s="14">
        <v>1100</v>
      </c>
      <c r="O193" s="14">
        <v>35</v>
      </c>
      <c r="P193" s="14">
        <v>1785</v>
      </c>
      <c r="Q193">
        <v>7932</v>
      </c>
      <c r="R193">
        <v>1101</v>
      </c>
      <c r="S193">
        <v>0</v>
      </c>
    </row>
    <row r="194" spans="11:19" x14ac:dyDescent="0.3">
      <c r="K194" s="16">
        <f t="shared" si="2"/>
        <v>44024</v>
      </c>
      <c r="L194" s="17">
        <v>0</v>
      </c>
      <c r="M194" s="14">
        <v>650</v>
      </c>
      <c r="N194" s="14">
        <v>0</v>
      </c>
      <c r="O194" s="14">
        <v>1200</v>
      </c>
      <c r="P194" s="14">
        <v>1850</v>
      </c>
      <c r="Q194">
        <v>7341</v>
      </c>
      <c r="R194">
        <v>1182</v>
      </c>
      <c r="S194">
        <v>0</v>
      </c>
    </row>
    <row r="195" spans="11:19" x14ac:dyDescent="0.3">
      <c r="K195" s="16">
        <f t="shared" si="2"/>
        <v>44024</v>
      </c>
      <c r="L195" s="17">
        <v>4.1666666666666664E-2</v>
      </c>
      <c r="M195" s="14">
        <v>650</v>
      </c>
      <c r="N195" s="14">
        <v>0</v>
      </c>
      <c r="O195" s="14">
        <v>994</v>
      </c>
      <c r="P195" s="14">
        <v>1644</v>
      </c>
      <c r="Q195">
        <v>6914</v>
      </c>
      <c r="R195">
        <v>842</v>
      </c>
      <c r="S195">
        <v>0</v>
      </c>
    </row>
    <row r="196" spans="11:19" x14ac:dyDescent="0.3">
      <c r="K196" s="16">
        <f t="shared" si="2"/>
        <v>44024</v>
      </c>
      <c r="L196" s="17">
        <v>8.3333333333333329E-2</v>
      </c>
      <c r="M196" s="14">
        <v>650</v>
      </c>
      <c r="N196" s="14">
        <v>0</v>
      </c>
      <c r="O196" s="14">
        <v>417</v>
      </c>
      <c r="P196" s="14">
        <v>1067</v>
      </c>
      <c r="Q196">
        <v>6526</v>
      </c>
      <c r="R196">
        <v>1033</v>
      </c>
      <c r="S196">
        <v>0</v>
      </c>
    </row>
    <row r="197" spans="11:19" x14ac:dyDescent="0.3">
      <c r="K197" s="16">
        <f t="shared" si="2"/>
        <v>44024</v>
      </c>
      <c r="L197" s="17">
        <v>0.125</v>
      </c>
      <c r="M197" s="14">
        <v>650</v>
      </c>
      <c r="N197" s="14">
        <v>0</v>
      </c>
      <c r="O197" s="14">
        <v>0</v>
      </c>
      <c r="P197" s="14">
        <v>650</v>
      </c>
      <c r="Q197">
        <v>6084</v>
      </c>
      <c r="R197">
        <v>1142</v>
      </c>
      <c r="S197">
        <v>0</v>
      </c>
    </row>
    <row r="198" spans="11:19" x14ac:dyDescent="0.3">
      <c r="K198" s="16">
        <f t="shared" si="2"/>
        <v>44024</v>
      </c>
      <c r="L198" s="17">
        <v>0.16666666666666666</v>
      </c>
      <c r="M198" s="14">
        <v>650</v>
      </c>
      <c r="N198" s="14">
        <v>0</v>
      </c>
      <c r="O198" s="14">
        <v>0</v>
      </c>
      <c r="P198" s="14">
        <v>650</v>
      </c>
      <c r="Q198">
        <v>5861</v>
      </c>
      <c r="R198">
        <v>1199</v>
      </c>
      <c r="S198">
        <v>0</v>
      </c>
    </row>
    <row r="199" spans="11:19" x14ac:dyDescent="0.3">
      <c r="K199" s="16">
        <f t="shared" si="2"/>
        <v>44024</v>
      </c>
      <c r="L199" s="17">
        <v>0.20833333333333334</v>
      </c>
      <c r="M199" s="14">
        <v>650</v>
      </c>
      <c r="N199" s="14">
        <v>0</v>
      </c>
      <c r="O199" s="14">
        <v>0</v>
      </c>
      <c r="P199" s="14">
        <v>650</v>
      </c>
      <c r="Q199">
        <v>5768</v>
      </c>
      <c r="R199">
        <v>1217</v>
      </c>
      <c r="S199">
        <v>0</v>
      </c>
    </row>
    <row r="200" spans="11:19" x14ac:dyDescent="0.3">
      <c r="K200" s="16">
        <f t="shared" si="2"/>
        <v>44024</v>
      </c>
      <c r="L200" s="17">
        <v>0.25</v>
      </c>
      <c r="M200" s="14">
        <v>650</v>
      </c>
      <c r="N200" s="14">
        <v>0</v>
      </c>
      <c r="O200" s="14">
        <v>0</v>
      </c>
      <c r="P200" s="14">
        <v>650</v>
      </c>
      <c r="Q200">
        <v>5723</v>
      </c>
      <c r="R200">
        <v>1242</v>
      </c>
      <c r="S200">
        <v>42</v>
      </c>
    </row>
    <row r="201" spans="11:19" x14ac:dyDescent="0.3">
      <c r="K201" s="16">
        <f t="shared" si="2"/>
        <v>44024</v>
      </c>
      <c r="L201" s="17">
        <v>0.29166666666666669</v>
      </c>
      <c r="M201" s="14">
        <v>650</v>
      </c>
      <c r="N201" s="14">
        <v>0</v>
      </c>
      <c r="O201" s="14">
        <v>0</v>
      </c>
      <c r="P201" s="14">
        <v>650</v>
      </c>
      <c r="Q201">
        <v>5888</v>
      </c>
      <c r="R201">
        <v>1262</v>
      </c>
      <c r="S201">
        <v>242</v>
      </c>
    </row>
    <row r="202" spans="11:19" x14ac:dyDescent="0.3">
      <c r="K202" s="16">
        <f t="shared" si="2"/>
        <v>44024</v>
      </c>
      <c r="L202" s="17">
        <v>0.33333333333333331</v>
      </c>
      <c r="M202" s="14">
        <v>650</v>
      </c>
      <c r="N202" s="14">
        <v>0</v>
      </c>
      <c r="O202" s="14">
        <v>0</v>
      </c>
      <c r="P202" s="14">
        <v>650</v>
      </c>
      <c r="Q202">
        <v>6342</v>
      </c>
      <c r="R202">
        <v>1261</v>
      </c>
      <c r="S202">
        <v>644</v>
      </c>
    </row>
    <row r="203" spans="11:19" x14ac:dyDescent="0.3">
      <c r="K203" s="16">
        <f t="shared" si="2"/>
        <v>44024</v>
      </c>
      <c r="L203" s="17">
        <v>0.375</v>
      </c>
      <c r="M203" s="14">
        <v>650</v>
      </c>
      <c r="N203" s="14">
        <v>0</v>
      </c>
      <c r="O203" s="14">
        <v>0</v>
      </c>
      <c r="P203" s="14">
        <v>650</v>
      </c>
      <c r="Q203">
        <v>6821</v>
      </c>
      <c r="R203">
        <v>1350</v>
      </c>
      <c r="S203">
        <v>1145</v>
      </c>
    </row>
    <row r="204" spans="11:19" x14ac:dyDescent="0.3">
      <c r="K204" s="16">
        <f t="shared" si="2"/>
        <v>44024</v>
      </c>
      <c r="L204" s="17">
        <v>0.41666666666666669</v>
      </c>
      <c r="M204" s="14">
        <v>650</v>
      </c>
      <c r="N204" s="14">
        <v>0</v>
      </c>
      <c r="O204" s="14">
        <v>0</v>
      </c>
      <c r="P204" s="14">
        <v>650</v>
      </c>
      <c r="Q204">
        <v>7129</v>
      </c>
      <c r="R204">
        <v>1479</v>
      </c>
      <c r="S204">
        <v>1560</v>
      </c>
    </row>
    <row r="205" spans="11:19" x14ac:dyDescent="0.3">
      <c r="K205" s="16">
        <f t="shared" si="2"/>
        <v>44024</v>
      </c>
      <c r="L205" s="17">
        <v>0.45833333333333331</v>
      </c>
      <c r="M205" s="14">
        <v>650</v>
      </c>
      <c r="N205" s="14">
        <v>0</v>
      </c>
      <c r="O205" s="14">
        <v>-290</v>
      </c>
      <c r="P205" s="14">
        <v>360</v>
      </c>
      <c r="Q205">
        <v>7392</v>
      </c>
      <c r="R205">
        <v>1866</v>
      </c>
      <c r="S205">
        <v>1812</v>
      </c>
    </row>
    <row r="206" spans="11:19" x14ac:dyDescent="0.3">
      <c r="K206" s="16">
        <f t="shared" si="2"/>
        <v>44024</v>
      </c>
      <c r="L206" s="17">
        <v>0.5</v>
      </c>
      <c r="M206" s="14">
        <v>650</v>
      </c>
      <c r="N206" s="14">
        <v>0</v>
      </c>
      <c r="O206" s="14">
        <v>-216</v>
      </c>
      <c r="P206" s="14">
        <v>434</v>
      </c>
      <c r="Q206">
        <v>7719</v>
      </c>
      <c r="R206">
        <v>2081</v>
      </c>
      <c r="S206">
        <v>1851</v>
      </c>
    </row>
    <row r="207" spans="11:19" x14ac:dyDescent="0.3">
      <c r="K207" s="16">
        <f t="shared" si="2"/>
        <v>44024</v>
      </c>
      <c r="L207" s="17">
        <v>0.54166666666666663</v>
      </c>
      <c r="M207" s="14">
        <v>650</v>
      </c>
      <c r="N207" s="14">
        <v>0</v>
      </c>
      <c r="O207" s="14">
        <v>-704</v>
      </c>
      <c r="P207" s="14">
        <v>-54</v>
      </c>
      <c r="Q207">
        <v>7341</v>
      </c>
      <c r="R207">
        <v>2151</v>
      </c>
      <c r="S207">
        <v>1895</v>
      </c>
    </row>
    <row r="208" spans="11:19" x14ac:dyDescent="0.3">
      <c r="K208" s="16">
        <f t="shared" si="2"/>
        <v>44024</v>
      </c>
      <c r="L208" s="17">
        <v>0.58333333333333337</v>
      </c>
      <c r="M208" s="14">
        <v>650</v>
      </c>
      <c r="N208" s="14">
        <v>0</v>
      </c>
      <c r="O208" s="14">
        <v>-973</v>
      </c>
      <c r="P208" s="14">
        <v>-323</v>
      </c>
      <c r="Q208">
        <v>6986</v>
      </c>
      <c r="R208">
        <v>2056</v>
      </c>
      <c r="S208">
        <v>1906</v>
      </c>
    </row>
    <row r="209" spans="11:19" x14ac:dyDescent="0.3">
      <c r="K209" s="16">
        <f t="shared" si="2"/>
        <v>44024</v>
      </c>
      <c r="L209" s="17">
        <v>0.625</v>
      </c>
      <c r="M209" s="14">
        <v>650</v>
      </c>
      <c r="N209" s="14">
        <v>0</v>
      </c>
      <c r="O209" s="14">
        <v>-1200</v>
      </c>
      <c r="P209" s="14">
        <v>-550</v>
      </c>
      <c r="Q209">
        <v>6677</v>
      </c>
      <c r="R209">
        <v>2330</v>
      </c>
      <c r="S209">
        <v>1854</v>
      </c>
    </row>
    <row r="210" spans="11:19" x14ac:dyDescent="0.3">
      <c r="K210" s="16">
        <f t="shared" si="2"/>
        <v>44024</v>
      </c>
      <c r="L210" s="17">
        <v>0.66666666666666663</v>
      </c>
      <c r="M210" s="14">
        <v>650</v>
      </c>
      <c r="N210" s="14">
        <v>0</v>
      </c>
      <c r="O210" s="14">
        <v>-1200</v>
      </c>
      <c r="P210" s="14">
        <v>-550</v>
      </c>
      <c r="Q210">
        <v>6500</v>
      </c>
      <c r="R210">
        <v>2462</v>
      </c>
      <c r="S210">
        <v>1664</v>
      </c>
    </row>
    <row r="211" spans="11:19" x14ac:dyDescent="0.3">
      <c r="K211" s="16">
        <f t="shared" si="2"/>
        <v>44024</v>
      </c>
      <c r="L211" s="17">
        <v>0.70833333333333337</v>
      </c>
      <c r="M211" s="14">
        <v>650</v>
      </c>
      <c r="N211" s="14">
        <v>0</v>
      </c>
      <c r="O211" s="14">
        <v>-1200</v>
      </c>
      <c r="P211" s="14">
        <v>-550</v>
      </c>
      <c r="Q211">
        <v>6512</v>
      </c>
      <c r="R211">
        <v>2762</v>
      </c>
      <c r="S211">
        <v>1344</v>
      </c>
    </row>
    <row r="212" spans="11:19" x14ac:dyDescent="0.3">
      <c r="K212" s="16">
        <f t="shared" si="2"/>
        <v>44024</v>
      </c>
      <c r="L212" s="17">
        <v>0.75</v>
      </c>
      <c r="M212" s="14">
        <v>650</v>
      </c>
      <c r="N212" s="14">
        <v>0</v>
      </c>
      <c r="O212" s="14">
        <v>-879</v>
      </c>
      <c r="P212" s="14">
        <v>-229</v>
      </c>
      <c r="Q212">
        <v>6827</v>
      </c>
      <c r="R212">
        <v>2819</v>
      </c>
      <c r="S212">
        <v>906</v>
      </c>
    </row>
    <row r="213" spans="11:19" x14ac:dyDescent="0.3">
      <c r="K213" s="16">
        <f t="shared" si="2"/>
        <v>44024</v>
      </c>
      <c r="L213" s="17">
        <v>0.79166666666666663</v>
      </c>
      <c r="M213" s="14">
        <v>650</v>
      </c>
      <c r="N213" s="14">
        <v>0</v>
      </c>
      <c r="O213" s="14">
        <v>-104</v>
      </c>
      <c r="P213" s="14">
        <v>546</v>
      </c>
      <c r="Q213">
        <v>7117</v>
      </c>
      <c r="R213">
        <v>2796</v>
      </c>
      <c r="S213">
        <v>460</v>
      </c>
    </row>
    <row r="214" spans="11:19" x14ac:dyDescent="0.3">
      <c r="K214" s="16">
        <f t="shared" si="2"/>
        <v>44024</v>
      </c>
      <c r="L214" s="17">
        <v>0.83333333333333337</v>
      </c>
      <c r="M214" s="14">
        <v>650</v>
      </c>
      <c r="N214" s="14">
        <v>0</v>
      </c>
      <c r="O214" s="14">
        <v>0</v>
      </c>
      <c r="P214" s="14">
        <v>650</v>
      </c>
      <c r="Q214">
        <v>7094</v>
      </c>
      <c r="R214">
        <v>2831</v>
      </c>
      <c r="S214">
        <v>144</v>
      </c>
    </row>
    <row r="215" spans="11:19" x14ac:dyDescent="0.3">
      <c r="K215" s="16">
        <f t="shared" si="2"/>
        <v>44024</v>
      </c>
      <c r="L215" s="17">
        <v>0.875</v>
      </c>
      <c r="M215" s="14">
        <v>650</v>
      </c>
      <c r="N215" s="14">
        <v>0</v>
      </c>
      <c r="O215" s="14">
        <v>432</v>
      </c>
      <c r="P215" s="14">
        <v>1082</v>
      </c>
      <c r="Q215">
        <v>7071</v>
      </c>
      <c r="R215">
        <v>2665</v>
      </c>
      <c r="S215">
        <v>15</v>
      </c>
    </row>
    <row r="216" spans="11:19" x14ac:dyDescent="0.3">
      <c r="K216" s="16">
        <f t="shared" si="2"/>
        <v>44024</v>
      </c>
      <c r="L216" s="17">
        <v>0.91666666666666663</v>
      </c>
      <c r="M216" s="14">
        <v>650</v>
      </c>
      <c r="N216" s="14">
        <v>0</v>
      </c>
      <c r="O216" s="14">
        <v>1200</v>
      </c>
      <c r="P216" s="14">
        <v>1850</v>
      </c>
      <c r="Q216">
        <v>7690</v>
      </c>
      <c r="R216">
        <v>2305</v>
      </c>
      <c r="S216">
        <v>0</v>
      </c>
    </row>
    <row r="217" spans="11:19" x14ac:dyDescent="0.3">
      <c r="K217" s="16">
        <f t="shared" si="2"/>
        <v>44024</v>
      </c>
      <c r="L217" s="17">
        <v>0.95833333333333337</v>
      </c>
      <c r="M217" s="14">
        <v>650</v>
      </c>
      <c r="N217" s="14">
        <v>0</v>
      </c>
      <c r="O217" s="14">
        <v>1169</v>
      </c>
      <c r="P217" s="14">
        <v>1819</v>
      </c>
      <c r="Q217">
        <v>7889</v>
      </c>
      <c r="R217">
        <v>2073</v>
      </c>
      <c r="S217">
        <v>0</v>
      </c>
    </row>
    <row r="218" spans="11:19" x14ac:dyDescent="0.3">
      <c r="K218" s="16">
        <f t="shared" si="2"/>
        <v>44025</v>
      </c>
      <c r="L218" s="17">
        <v>0</v>
      </c>
      <c r="M218" s="14">
        <v>650</v>
      </c>
      <c r="N218" s="14">
        <v>0</v>
      </c>
      <c r="O218" s="14">
        <v>-1200</v>
      </c>
      <c r="P218" s="14">
        <v>-550</v>
      </c>
      <c r="Q218">
        <v>7245</v>
      </c>
      <c r="R218">
        <v>2782</v>
      </c>
      <c r="S218">
        <v>0</v>
      </c>
    </row>
    <row r="219" spans="11:19" x14ac:dyDescent="0.3">
      <c r="K219" s="16">
        <f t="shared" ref="K219:K282" si="3">K195+1</f>
        <v>44025</v>
      </c>
      <c r="L219" s="17">
        <v>4.1666666666666664E-2</v>
      </c>
      <c r="M219" s="14">
        <v>650</v>
      </c>
      <c r="N219" s="14">
        <v>0</v>
      </c>
      <c r="O219" s="14">
        <v>-1200</v>
      </c>
      <c r="P219" s="14">
        <v>-550</v>
      </c>
      <c r="Q219">
        <v>6840</v>
      </c>
      <c r="R219">
        <v>2704</v>
      </c>
      <c r="S219">
        <v>0</v>
      </c>
    </row>
    <row r="220" spans="11:19" x14ac:dyDescent="0.3">
      <c r="K220" s="16">
        <f t="shared" si="3"/>
        <v>44025</v>
      </c>
      <c r="L220" s="17">
        <v>8.3333333333333329E-2</v>
      </c>
      <c r="M220" s="14">
        <v>650</v>
      </c>
      <c r="N220" s="14">
        <v>0</v>
      </c>
      <c r="O220" s="14">
        <v>-1200</v>
      </c>
      <c r="P220" s="14">
        <v>-550</v>
      </c>
      <c r="Q220">
        <v>6535</v>
      </c>
      <c r="R220">
        <v>2411</v>
      </c>
      <c r="S220">
        <v>0</v>
      </c>
    </row>
    <row r="221" spans="11:19" x14ac:dyDescent="0.3">
      <c r="K221" s="16">
        <f t="shared" si="3"/>
        <v>44025</v>
      </c>
      <c r="L221" s="17">
        <v>0.125</v>
      </c>
      <c r="M221" s="14">
        <v>650</v>
      </c>
      <c r="N221" s="14">
        <v>0</v>
      </c>
      <c r="O221" s="14">
        <v>-1200</v>
      </c>
      <c r="P221" s="14">
        <v>-550</v>
      </c>
      <c r="Q221">
        <v>6209</v>
      </c>
      <c r="R221">
        <v>2160</v>
      </c>
      <c r="S221">
        <v>0</v>
      </c>
    </row>
    <row r="222" spans="11:19" x14ac:dyDescent="0.3">
      <c r="K222" s="16">
        <f t="shared" si="3"/>
        <v>44025</v>
      </c>
      <c r="L222" s="17">
        <v>0.16666666666666666</v>
      </c>
      <c r="M222" s="14">
        <v>650</v>
      </c>
      <c r="N222" s="14">
        <v>0</v>
      </c>
      <c r="O222" s="14">
        <v>-1200</v>
      </c>
      <c r="P222" s="14">
        <v>-550</v>
      </c>
      <c r="Q222">
        <v>6218</v>
      </c>
      <c r="R222">
        <v>2003</v>
      </c>
      <c r="S222">
        <v>0</v>
      </c>
    </row>
    <row r="223" spans="11:19" x14ac:dyDescent="0.3">
      <c r="K223" s="16">
        <f t="shared" si="3"/>
        <v>44025</v>
      </c>
      <c r="L223" s="17">
        <v>0.20833333333333334</v>
      </c>
      <c r="M223" s="14">
        <v>650</v>
      </c>
      <c r="N223" s="14">
        <v>0</v>
      </c>
      <c r="O223" s="14">
        <v>-934</v>
      </c>
      <c r="P223" s="14">
        <v>-284</v>
      </c>
      <c r="Q223">
        <v>6624</v>
      </c>
      <c r="R223">
        <v>1855</v>
      </c>
      <c r="S223">
        <v>0</v>
      </c>
    </row>
    <row r="224" spans="11:19" x14ac:dyDescent="0.3">
      <c r="K224" s="16">
        <f t="shared" si="3"/>
        <v>44025</v>
      </c>
      <c r="L224" s="17">
        <v>0.25</v>
      </c>
      <c r="M224" s="14">
        <v>650</v>
      </c>
      <c r="N224" s="14">
        <v>0</v>
      </c>
      <c r="O224" s="14">
        <v>-299</v>
      </c>
      <c r="P224" s="14">
        <v>351</v>
      </c>
      <c r="Q224">
        <v>7288</v>
      </c>
      <c r="R224">
        <v>1825</v>
      </c>
      <c r="S224">
        <v>22</v>
      </c>
    </row>
    <row r="225" spans="11:19" x14ac:dyDescent="0.3">
      <c r="K225" s="16">
        <f t="shared" si="3"/>
        <v>44025</v>
      </c>
      <c r="L225" s="17">
        <v>0.29166666666666669</v>
      </c>
      <c r="M225" s="14">
        <v>650</v>
      </c>
      <c r="N225" s="14">
        <v>336</v>
      </c>
      <c r="O225" s="14">
        <v>0</v>
      </c>
      <c r="P225" s="14">
        <v>986</v>
      </c>
      <c r="Q225">
        <v>8064</v>
      </c>
      <c r="R225">
        <v>1783</v>
      </c>
      <c r="S225">
        <v>180</v>
      </c>
    </row>
    <row r="226" spans="11:19" x14ac:dyDescent="0.3">
      <c r="K226" s="16">
        <f t="shared" si="3"/>
        <v>44025</v>
      </c>
      <c r="L226" s="17">
        <v>0.33333333333333331</v>
      </c>
      <c r="M226" s="14">
        <v>650</v>
      </c>
      <c r="N226" s="14">
        <v>887</v>
      </c>
      <c r="O226" s="14">
        <v>0</v>
      </c>
      <c r="P226" s="14">
        <v>1537</v>
      </c>
      <c r="Q226">
        <v>8761</v>
      </c>
      <c r="R226">
        <v>1608</v>
      </c>
      <c r="S226">
        <v>494</v>
      </c>
    </row>
    <row r="227" spans="11:19" x14ac:dyDescent="0.3">
      <c r="K227" s="16">
        <f t="shared" si="3"/>
        <v>44025</v>
      </c>
      <c r="L227" s="17">
        <v>0.375</v>
      </c>
      <c r="M227" s="14">
        <v>650</v>
      </c>
      <c r="N227" s="14">
        <v>126</v>
      </c>
      <c r="O227" s="14">
        <v>1200</v>
      </c>
      <c r="P227" s="14">
        <v>1976</v>
      </c>
      <c r="Q227">
        <v>9186</v>
      </c>
      <c r="R227">
        <v>1224</v>
      </c>
      <c r="S227">
        <v>865</v>
      </c>
    </row>
    <row r="228" spans="11:19" x14ac:dyDescent="0.3">
      <c r="K228" s="16">
        <f t="shared" si="3"/>
        <v>44025</v>
      </c>
      <c r="L228" s="17">
        <v>0.41666666666666669</v>
      </c>
      <c r="M228" s="14">
        <v>650</v>
      </c>
      <c r="N228" s="14">
        <v>1217</v>
      </c>
      <c r="O228" s="14">
        <v>0</v>
      </c>
      <c r="P228" s="14">
        <v>1867</v>
      </c>
      <c r="Q228">
        <v>9424</v>
      </c>
      <c r="R228">
        <v>1184</v>
      </c>
      <c r="S228">
        <v>1255</v>
      </c>
    </row>
    <row r="229" spans="11:19" x14ac:dyDescent="0.3">
      <c r="K229" s="16">
        <f t="shared" si="3"/>
        <v>44025</v>
      </c>
      <c r="L229" s="17">
        <v>0.45833333333333331</v>
      </c>
      <c r="M229" s="14">
        <v>650</v>
      </c>
      <c r="N229" s="14">
        <v>175</v>
      </c>
      <c r="O229" s="14">
        <v>1200</v>
      </c>
      <c r="P229" s="14">
        <v>2025</v>
      </c>
      <c r="Q229">
        <v>9623</v>
      </c>
      <c r="R229">
        <v>1007</v>
      </c>
      <c r="S229">
        <v>1474</v>
      </c>
    </row>
    <row r="230" spans="11:19" x14ac:dyDescent="0.3">
      <c r="K230" s="16">
        <f t="shared" si="3"/>
        <v>44025</v>
      </c>
      <c r="L230" s="17">
        <v>0.5</v>
      </c>
      <c r="M230" s="14">
        <v>650</v>
      </c>
      <c r="N230" s="14">
        <v>1279</v>
      </c>
      <c r="O230" s="14">
        <v>0</v>
      </c>
      <c r="P230" s="14">
        <v>1929</v>
      </c>
      <c r="Q230">
        <v>9714</v>
      </c>
      <c r="R230">
        <v>924</v>
      </c>
      <c r="S230">
        <v>1749</v>
      </c>
    </row>
    <row r="231" spans="11:19" x14ac:dyDescent="0.3">
      <c r="K231" s="16">
        <f t="shared" si="3"/>
        <v>44025</v>
      </c>
      <c r="L231" s="17">
        <v>0.54166666666666663</v>
      </c>
      <c r="M231" s="14">
        <v>650</v>
      </c>
      <c r="N231" s="14">
        <v>1149</v>
      </c>
      <c r="O231" s="14">
        <v>0</v>
      </c>
      <c r="P231" s="14">
        <v>1799</v>
      </c>
      <c r="Q231">
        <v>9604</v>
      </c>
      <c r="R231">
        <v>859</v>
      </c>
      <c r="S231">
        <v>1838</v>
      </c>
    </row>
    <row r="232" spans="11:19" x14ac:dyDescent="0.3">
      <c r="K232" s="16">
        <f t="shared" si="3"/>
        <v>44025</v>
      </c>
      <c r="L232" s="17">
        <v>0.58333333333333337</v>
      </c>
      <c r="M232" s="14">
        <v>650</v>
      </c>
      <c r="N232" s="14">
        <v>1046</v>
      </c>
      <c r="O232" s="14">
        <v>0</v>
      </c>
      <c r="P232" s="14">
        <v>1696</v>
      </c>
      <c r="Q232">
        <v>9520</v>
      </c>
      <c r="R232">
        <v>861</v>
      </c>
      <c r="S232">
        <v>1856</v>
      </c>
    </row>
    <row r="233" spans="11:19" x14ac:dyDescent="0.3">
      <c r="K233" s="16">
        <f t="shared" si="3"/>
        <v>44025</v>
      </c>
      <c r="L233" s="17">
        <v>0.625</v>
      </c>
      <c r="M233" s="14">
        <v>650</v>
      </c>
      <c r="N233" s="14">
        <v>751</v>
      </c>
      <c r="O233" s="14">
        <v>0</v>
      </c>
      <c r="P233" s="14">
        <v>1401</v>
      </c>
      <c r="Q233">
        <v>9258</v>
      </c>
      <c r="R233">
        <v>969</v>
      </c>
      <c r="S233">
        <v>1780</v>
      </c>
    </row>
    <row r="234" spans="11:19" x14ac:dyDescent="0.3">
      <c r="K234" s="16">
        <f t="shared" si="3"/>
        <v>44025</v>
      </c>
      <c r="L234" s="17">
        <v>0.66666666666666663</v>
      </c>
      <c r="M234" s="14">
        <v>650</v>
      </c>
      <c r="N234" s="14">
        <v>637</v>
      </c>
      <c r="O234" s="14">
        <v>0</v>
      </c>
      <c r="P234" s="14">
        <v>1287</v>
      </c>
      <c r="Q234">
        <v>9010</v>
      </c>
      <c r="R234">
        <v>968</v>
      </c>
      <c r="S234">
        <v>1650</v>
      </c>
    </row>
    <row r="235" spans="11:19" x14ac:dyDescent="0.3">
      <c r="K235" s="16">
        <f t="shared" si="3"/>
        <v>44025</v>
      </c>
      <c r="L235" s="17">
        <v>0.70833333333333337</v>
      </c>
      <c r="M235" s="14">
        <v>650</v>
      </c>
      <c r="N235" s="14">
        <v>527</v>
      </c>
      <c r="O235" s="14">
        <v>0</v>
      </c>
      <c r="P235" s="14">
        <v>1177</v>
      </c>
      <c r="Q235">
        <v>8865</v>
      </c>
      <c r="R235">
        <v>1258</v>
      </c>
      <c r="S235">
        <v>1329</v>
      </c>
    </row>
    <row r="236" spans="11:19" x14ac:dyDescent="0.3">
      <c r="K236" s="16">
        <f t="shared" si="3"/>
        <v>44025</v>
      </c>
      <c r="L236" s="17">
        <v>0.75</v>
      </c>
      <c r="M236" s="14">
        <v>650</v>
      </c>
      <c r="N236" s="14">
        <v>0</v>
      </c>
      <c r="O236" s="14">
        <v>1008</v>
      </c>
      <c r="P236" s="14">
        <v>1658</v>
      </c>
      <c r="Q236">
        <v>9031</v>
      </c>
      <c r="R236">
        <v>1387</v>
      </c>
      <c r="S236">
        <v>889</v>
      </c>
    </row>
    <row r="237" spans="11:19" x14ac:dyDescent="0.3">
      <c r="K237" s="16">
        <f t="shared" si="3"/>
        <v>44025</v>
      </c>
      <c r="L237" s="17">
        <v>0.79166666666666663</v>
      </c>
      <c r="M237" s="14">
        <v>650</v>
      </c>
      <c r="N237" s="14">
        <v>118</v>
      </c>
      <c r="O237" s="14">
        <v>1200</v>
      </c>
      <c r="P237" s="14">
        <v>1968</v>
      </c>
      <c r="Q237">
        <v>9004</v>
      </c>
      <c r="R237">
        <v>1491</v>
      </c>
      <c r="S237">
        <v>466</v>
      </c>
    </row>
    <row r="238" spans="11:19" x14ac:dyDescent="0.3">
      <c r="K238" s="16">
        <f t="shared" si="3"/>
        <v>44025</v>
      </c>
      <c r="L238" s="17">
        <v>0.83333333333333337</v>
      </c>
      <c r="M238" s="14">
        <v>650</v>
      </c>
      <c r="N238" s="14">
        <v>954</v>
      </c>
      <c r="O238" s="14">
        <v>0</v>
      </c>
      <c r="P238" s="14">
        <v>1604</v>
      </c>
      <c r="Q238">
        <v>8507</v>
      </c>
      <c r="R238">
        <v>1704</v>
      </c>
      <c r="S238">
        <v>134</v>
      </c>
    </row>
    <row r="239" spans="11:19" x14ac:dyDescent="0.3">
      <c r="K239" s="16">
        <f t="shared" si="3"/>
        <v>44025</v>
      </c>
      <c r="L239" s="17">
        <v>0.875</v>
      </c>
      <c r="M239" s="14">
        <v>650</v>
      </c>
      <c r="N239" s="14">
        <v>0</v>
      </c>
      <c r="O239" s="14">
        <v>737</v>
      </c>
      <c r="P239" s="14">
        <v>1387</v>
      </c>
      <c r="Q239">
        <v>8163</v>
      </c>
      <c r="R239">
        <v>1701</v>
      </c>
      <c r="S239">
        <v>17</v>
      </c>
    </row>
    <row r="240" spans="11:19" x14ac:dyDescent="0.3">
      <c r="K240" s="16">
        <f t="shared" si="3"/>
        <v>44025</v>
      </c>
      <c r="L240" s="17">
        <v>0.91666666666666663</v>
      </c>
      <c r="M240" s="14">
        <v>650</v>
      </c>
      <c r="N240" s="14">
        <v>998</v>
      </c>
      <c r="O240" s="14">
        <v>218</v>
      </c>
      <c r="P240" s="14">
        <v>1866</v>
      </c>
      <c r="Q240">
        <v>8607</v>
      </c>
      <c r="R240">
        <v>1686</v>
      </c>
      <c r="S240">
        <v>0</v>
      </c>
    </row>
    <row r="241" spans="11:19" x14ac:dyDescent="0.3">
      <c r="K241" s="16">
        <f t="shared" si="3"/>
        <v>44025</v>
      </c>
      <c r="L241" s="17">
        <v>0.95833333333333337</v>
      </c>
      <c r="M241" s="14">
        <v>650</v>
      </c>
      <c r="N241" s="14">
        <v>1299</v>
      </c>
      <c r="O241" s="14">
        <v>225</v>
      </c>
      <c r="P241" s="14">
        <v>2174</v>
      </c>
      <c r="Q241">
        <v>8648</v>
      </c>
      <c r="R241">
        <v>1430</v>
      </c>
      <c r="S241">
        <v>0</v>
      </c>
    </row>
    <row r="242" spans="11:19" x14ac:dyDescent="0.3">
      <c r="K242" s="16">
        <f t="shared" si="3"/>
        <v>44026</v>
      </c>
      <c r="L242" s="17">
        <v>0</v>
      </c>
      <c r="M242" s="14">
        <v>650</v>
      </c>
      <c r="N242" s="14">
        <v>810</v>
      </c>
      <c r="O242" s="14">
        <v>0</v>
      </c>
      <c r="P242" s="14">
        <v>1460</v>
      </c>
      <c r="Q242">
        <v>7981</v>
      </c>
      <c r="R242">
        <v>1479</v>
      </c>
      <c r="S242">
        <v>0</v>
      </c>
    </row>
    <row r="243" spans="11:19" x14ac:dyDescent="0.3">
      <c r="K243" s="16">
        <f t="shared" si="3"/>
        <v>44026</v>
      </c>
      <c r="L243" s="17">
        <v>4.1666666666666664E-2</v>
      </c>
      <c r="M243" s="14">
        <v>650</v>
      </c>
      <c r="N243" s="14">
        <v>694</v>
      </c>
      <c r="O243" s="14">
        <v>0</v>
      </c>
      <c r="P243" s="14">
        <v>1344</v>
      </c>
      <c r="Q243">
        <v>7573</v>
      </c>
      <c r="R243">
        <v>1188</v>
      </c>
      <c r="S243">
        <v>0</v>
      </c>
    </row>
    <row r="244" spans="11:19" x14ac:dyDescent="0.3">
      <c r="K244" s="16">
        <f t="shared" si="3"/>
        <v>44026</v>
      </c>
      <c r="L244" s="17">
        <v>8.3333333333333329E-2</v>
      </c>
      <c r="M244" s="14">
        <v>650</v>
      </c>
      <c r="N244" s="14">
        <v>501</v>
      </c>
      <c r="O244" s="14">
        <v>0</v>
      </c>
      <c r="P244" s="14">
        <v>1151</v>
      </c>
      <c r="Q244">
        <v>7280</v>
      </c>
      <c r="R244">
        <v>1091</v>
      </c>
      <c r="S244">
        <v>0</v>
      </c>
    </row>
    <row r="245" spans="11:19" x14ac:dyDescent="0.3">
      <c r="K245" s="16">
        <f t="shared" si="3"/>
        <v>44026</v>
      </c>
      <c r="L245" s="17">
        <v>0.125</v>
      </c>
      <c r="M245" s="14">
        <v>650</v>
      </c>
      <c r="N245" s="14">
        <v>0</v>
      </c>
      <c r="O245" s="14">
        <v>-107</v>
      </c>
      <c r="P245" s="14">
        <v>543</v>
      </c>
      <c r="Q245">
        <v>6927</v>
      </c>
      <c r="R245">
        <v>1107</v>
      </c>
      <c r="S245">
        <v>0</v>
      </c>
    </row>
    <row r="246" spans="11:19" x14ac:dyDescent="0.3">
      <c r="K246" s="16">
        <f t="shared" si="3"/>
        <v>44026</v>
      </c>
      <c r="L246" s="17">
        <v>0.16666666666666666</v>
      </c>
      <c r="M246" s="14">
        <v>650</v>
      </c>
      <c r="N246" s="14">
        <v>0</v>
      </c>
      <c r="O246" s="14">
        <v>-333</v>
      </c>
      <c r="P246" s="14">
        <v>317</v>
      </c>
      <c r="Q246">
        <v>6853</v>
      </c>
      <c r="R246">
        <v>1253</v>
      </c>
      <c r="S246">
        <v>0</v>
      </c>
    </row>
    <row r="247" spans="11:19" x14ac:dyDescent="0.3">
      <c r="K247" s="16">
        <f t="shared" si="3"/>
        <v>44026</v>
      </c>
      <c r="L247" s="17">
        <v>0.20833333333333334</v>
      </c>
      <c r="M247" s="14">
        <v>650</v>
      </c>
      <c r="N247" s="14">
        <v>0</v>
      </c>
      <c r="O247" s="14">
        <v>-163</v>
      </c>
      <c r="P247" s="14">
        <v>487</v>
      </c>
      <c r="Q247">
        <v>7148</v>
      </c>
      <c r="R247">
        <v>1368</v>
      </c>
      <c r="S247">
        <v>0</v>
      </c>
    </row>
    <row r="248" spans="11:19" x14ac:dyDescent="0.3">
      <c r="K248" s="16">
        <f t="shared" si="3"/>
        <v>44026</v>
      </c>
      <c r="L248" s="17">
        <v>0.25</v>
      </c>
      <c r="M248" s="14">
        <v>650</v>
      </c>
      <c r="N248" s="14">
        <v>359</v>
      </c>
      <c r="O248" s="14">
        <v>0</v>
      </c>
      <c r="P248" s="14">
        <v>1009</v>
      </c>
      <c r="Q248">
        <v>7712</v>
      </c>
      <c r="R248">
        <v>1363</v>
      </c>
      <c r="S248">
        <v>10</v>
      </c>
    </row>
    <row r="249" spans="11:19" x14ac:dyDescent="0.3">
      <c r="K249" s="16">
        <f t="shared" si="3"/>
        <v>44026</v>
      </c>
      <c r="L249" s="17">
        <v>0.29166666666666669</v>
      </c>
      <c r="M249" s="14">
        <v>650</v>
      </c>
      <c r="N249" s="14">
        <v>1043</v>
      </c>
      <c r="O249" s="14">
        <v>0</v>
      </c>
      <c r="P249" s="14">
        <v>1693</v>
      </c>
      <c r="Q249">
        <v>8484</v>
      </c>
      <c r="R249">
        <v>1242</v>
      </c>
      <c r="S249">
        <v>195</v>
      </c>
    </row>
    <row r="250" spans="11:19" x14ac:dyDescent="0.3">
      <c r="K250" s="16">
        <f t="shared" si="3"/>
        <v>44026</v>
      </c>
      <c r="L250" s="17">
        <v>0.33333333333333331</v>
      </c>
      <c r="M250" s="14">
        <v>650</v>
      </c>
      <c r="N250" s="14">
        <v>1729</v>
      </c>
      <c r="O250" s="14">
        <v>0</v>
      </c>
      <c r="P250" s="14">
        <v>2379</v>
      </c>
      <c r="Q250">
        <v>9129</v>
      </c>
      <c r="R250">
        <v>1035</v>
      </c>
      <c r="S250">
        <v>514</v>
      </c>
    </row>
    <row r="251" spans="11:19" x14ac:dyDescent="0.3">
      <c r="K251" s="16">
        <f t="shared" si="3"/>
        <v>44026</v>
      </c>
      <c r="L251" s="17">
        <v>0.375</v>
      </c>
      <c r="M251" s="14">
        <v>650</v>
      </c>
      <c r="N251" s="14">
        <v>1988</v>
      </c>
      <c r="O251" s="14">
        <v>70</v>
      </c>
      <c r="P251" s="14">
        <v>2708</v>
      </c>
      <c r="Q251">
        <v>9554</v>
      </c>
      <c r="R251">
        <v>806</v>
      </c>
      <c r="S251">
        <v>841</v>
      </c>
    </row>
    <row r="252" spans="11:19" x14ac:dyDescent="0.3">
      <c r="K252" s="16">
        <f t="shared" si="3"/>
        <v>44026</v>
      </c>
      <c r="L252" s="17">
        <v>0.41666666666666669</v>
      </c>
      <c r="M252" s="14">
        <v>650</v>
      </c>
      <c r="N252" s="14">
        <v>1988</v>
      </c>
      <c r="O252" s="14">
        <v>46</v>
      </c>
      <c r="P252" s="14">
        <v>2684</v>
      </c>
      <c r="Q252">
        <v>9798</v>
      </c>
      <c r="R252">
        <v>794</v>
      </c>
      <c r="S252">
        <v>1123</v>
      </c>
    </row>
    <row r="253" spans="11:19" x14ac:dyDescent="0.3">
      <c r="K253" s="16">
        <f t="shared" si="3"/>
        <v>44026</v>
      </c>
      <c r="L253" s="17">
        <v>0.45833333333333331</v>
      </c>
      <c r="M253" s="14">
        <v>650</v>
      </c>
      <c r="N253" s="14">
        <v>1936</v>
      </c>
      <c r="O253" s="14">
        <v>0</v>
      </c>
      <c r="P253" s="14">
        <v>2586</v>
      </c>
      <c r="Q253">
        <v>10021</v>
      </c>
      <c r="R253">
        <v>956</v>
      </c>
      <c r="S253">
        <v>1283</v>
      </c>
    </row>
    <row r="254" spans="11:19" x14ac:dyDescent="0.3">
      <c r="K254" s="16">
        <f t="shared" si="3"/>
        <v>44026</v>
      </c>
      <c r="L254" s="17">
        <v>0.5</v>
      </c>
      <c r="M254" s="14">
        <v>650</v>
      </c>
      <c r="N254" s="14">
        <v>1923</v>
      </c>
      <c r="O254" s="14">
        <v>0</v>
      </c>
      <c r="P254" s="14">
        <v>2573</v>
      </c>
      <c r="Q254">
        <v>10099</v>
      </c>
      <c r="R254">
        <v>916</v>
      </c>
      <c r="S254">
        <v>1419</v>
      </c>
    </row>
    <row r="255" spans="11:19" x14ac:dyDescent="0.3">
      <c r="K255" s="16">
        <f t="shared" si="3"/>
        <v>44026</v>
      </c>
      <c r="L255" s="17">
        <v>0.54166666666666663</v>
      </c>
      <c r="M255" s="14">
        <v>650</v>
      </c>
      <c r="N255" s="14">
        <v>1686</v>
      </c>
      <c r="O255" s="14">
        <v>0</v>
      </c>
      <c r="P255" s="14">
        <v>2336</v>
      </c>
      <c r="Q255">
        <v>9985</v>
      </c>
      <c r="R255">
        <v>1042</v>
      </c>
      <c r="S255">
        <v>1500</v>
      </c>
    </row>
    <row r="256" spans="11:19" x14ac:dyDescent="0.3">
      <c r="K256" s="16">
        <f t="shared" si="3"/>
        <v>44026</v>
      </c>
      <c r="L256" s="17">
        <v>0.58333333333333337</v>
      </c>
      <c r="M256" s="14">
        <v>650</v>
      </c>
      <c r="N256" s="14">
        <v>1577</v>
      </c>
      <c r="O256" s="14">
        <v>0</v>
      </c>
      <c r="P256" s="14">
        <v>2227</v>
      </c>
      <c r="Q256">
        <v>9961</v>
      </c>
      <c r="R256">
        <v>1079</v>
      </c>
      <c r="S256">
        <v>1548</v>
      </c>
    </row>
    <row r="257" spans="11:19" x14ac:dyDescent="0.3">
      <c r="K257" s="16">
        <f t="shared" si="3"/>
        <v>44026</v>
      </c>
      <c r="L257" s="17">
        <v>0.625</v>
      </c>
      <c r="M257" s="14">
        <v>650</v>
      </c>
      <c r="N257" s="14">
        <v>1191</v>
      </c>
      <c r="O257" s="14">
        <v>0</v>
      </c>
      <c r="P257" s="14">
        <v>1841</v>
      </c>
      <c r="Q257">
        <v>9724</v>
      </c>
      <c r="R257">
        <v>1286</v>
      </c>
      <c r="S257">
        <v>1490</v>
      </c>
    </row>
    <row r="258" spans="11:19" x14ac:dyDescent="0.3">
      <c r="K258" s="16">
        <f t="shared" si="3"/>
        <v>44026</v>
      </c>
      <c r="L258" s="17">
        <v>0.66666666666666663</v>
      </c>
      <c r="M258" s="14">
        <v>650</v>
      </c>
      <c r="N258" s="14">
        <v>818</v>
      </c>
      <c r="O258" s="14">
        <v>0</v>
      </c>
      <c r="P258" s="14">
        <v>1468</v>
      </c>
      <c r="Q258">
        <v>9513</v>
      </c>
      <c r="R258">
        <v>1555</v>
      </c>
      <c r="S258">
        <v>1386</v>
      </c>
    </row>
    <row r="259" spans="11:19" x14ac:dyDescent="0.3">
      <c r="K259" s="16">
        <f t="shared" si="3"/>
        <v>44026</v>
      </c>
      <c r="L259" s="17">
        <v>0.70833333333333337</v>
      </c>
      <c r="M259" s="14">
        <v>650</v>
      </c>
      <c r="N259" s="14">
        <v>779</v>
      </c>
      <c r="O259" s="14">
        <v>0</v>
      </c>
      <c r="P259" s="14">
        <v>1429</v>
      </c>
      <c r="Q259">
        <v>9343</v>
      </c>
      <c r="R259">
        <v>1714</v>
      </c>
      <c r="S259">
        <v>1100</v>
      </c>
    </row>
    <row r="260" spans="11:19" x14ac:dyDescent="0.3">
      <c r="K260" s="16">
        <f t="shared" si="3"/>
        <v>44026</v>
      </c>
      <c r="L260" s="17">
        <v>0.75</v>
      </c>
      <c r="M260" s="14">
        <v>650</v>
      </c>
      <c r="N260" s="14">
        <v>925</v>
      </c>
      <c r="O260" s="14">
        <v>0</v>
      </c>
      <c r="P260" s="14">
        <v>1575</v>
      </c>
      <c r="Q260">
        <v>9419</v>
      </c>
      <c r="R260">
        <v>1812</v>
      </c>
      <c r="S260">
        <v>696</v>
      </c>
    </row>
    <row r="261" spans="11:19" x14ac:dyDescent="0.3">
      <c r="K261" s="16">
        <f t="shared" si="3"/>
        <v>44026</v>
      </c>
      <c r="L261" s="17">
        <v>0.79166666666666663</v>
      </c>
      <c r="M261" s="14">
        <v>650</v>
      </c>
      <c r="N261" s="14">
        <v>988</v>
      </c>
      <c r="O261" s="14">
        <v>0</v>
      </c>
      <c r="P261" s="14">
        <v>1638</v>
      </c>
      <c r="Q261">
        <v>9302</v>
      </c>
      <c r="R261">
        <v>1946</v>
      </c>
      <c r="S261">
        <v>400</v>
      </c>
    </row>
    <row r="262" spans="11:19" x14ac:dyDescent="0.3">
      <c r="K262" s="16">
        <f t="shared" si="3"/>
        <v>44026</v>
      </c>
      <c r="L262" s="17">
        <v>0.83333333333333337</v>
      </c>
      <c r="M262" s="14">
        <v>650</v>
      </c>
      <c r="N262" s="14">
        <v>344</v>
      </c>
      <c r="O262" s="14">
        <v>368</v>
      </c>
      <c r="P262" s="14">
        <v>1362</v>
      </c>
      <c r="Q262">
        <v>8770</v>
      </c>
      <c r="R262">
        <v>1982</v>
      </c>
      <c r="S262">
        <v>122</v>
      </c>
    </row>
    <row r="263" spans="11:19" x14ac:dyDescent="0.3">
      <c r="K263" s="16">
        <f t="shared" si="3"/>
        <v>44026</v>
      </c>
      <c r="L263" s="17">
        <v>0.875</v>
      </c>
      <c r="M263" s="14">
        <v>650</v>
      </c>
      <c r="N263" s="14">
        <v>778</v>
      </c>
      <c r="O263" s="14">
        <v>0</v>
      </c>
      <c r="P263" s="14">
        <v>1428</v>
      </c>
      <c r="Q263">
        <v>8441</v>
      </c>
      <c r="R263">
        <v>1703</v>
      </c>
      <c r="S263">
        <v>13</v>
      </c>
    </row>
    <row r="264" spans="11:19" x14ac:dyDescent="0.3">
      <c r="K264" s="16">
        <f t="shared" si="3"/>
        <v>44026</v>
      </c>
      <c r="L264" s="17">
        <v>0.91666666666666663</v>
      </c>
      <c r="M264" s="14">
        <v>650</v>
      </c>
      <c r="N264" s="14">
        <v>1181</v>
      </c>
      <c r="O264" s="14">
        <v>0</v>
      </c>
      <c r="P264" s="14">
        <v>1831</v>
      </c>
      <c r="Q264">
        <v>8886</v>
      </c>
      <c r="R264">
        <v>1761</v>
      </c>
      <c r="S264">
        <v>0</v>
      </c>
    </row>
    <row r="265" spans="11:19" x14ac:dyDescent="0.3">
      <c r="K265" s="16">
        <f t="shared" si="3"/>
        <v>44026</v>
      </c>
      <c r="L265" s="17">
        <v>0.95833333333333337</v>
      </c>
      <c r="M265" s="14">
        <v>650</v>
      </c>
      <c r="N265" s="14">
        <v>1826</v>
      </c>
      <c r="O265" s="14">
        <v>0</v>
      </c>
      <c r="P265" s="14">
        <v>2476</v>
      </c>
      <c r="Q265">
        <v>8887</v>
      </c>
      <c r="R265">
        <v>1368</v>
      </c>
      <c r="S265">
        <v>0</v>
      </c>
    </row>
    <row r="266" spans="11:19" x14ac:dyDescent="0.3">
      <c r="K266" s="16">
        <f t="shared" si="3"/>
        <v>44027</v>
      </c>
      <c r="L266" s="17">
        <v>0</v>
      </c>
      <c r="M266" s="14">
        <v>650</v>
      </c>
      <c r="N266" s="14">
        <v>959</v>
      </c>
      <c r="O266" s="14">
        <v>0</v>
      </c>
      <c r="P266" s="14">
        <v>1609</v>
      </c>
      <c r="Q266">
        <v>8094</v>
      </c>
      <c r="R266">
        <v>1445</v>
      </c>
      <c r="S266">
        <v>0</v>
      </c>
    </row>
    <row r="267" spans="11:19" x14ac:dyDescent="0.3">
      <c r="K267" s="16">
        <f t="shared" si="3"/>
        <v>44027</v>
      </c>
      <c r="L267" s="17">
        <v>4.1666666666666664E-2</v>
      </c>
      <c r="M267" s="14">
        <v>650</v>
      </c>
      <c r="N267" s="14">
        <v>852</v>
      </c>
      <c r="O267" s="14">
        <v>0</v>
      </c>
      <c r="P267" s="14">
        <v>1502</v>
      </c>
      <c r="Q267">
        <v>7682</v>
      </c>
      <c r="R267">
        <v>1141</v>
      </c>
      <c r="S267">
        <v>0</v>
      </c>
    </row>
    <row r="268" spans="11:19" x14ac:dyDescent="0.3">
      <c r="K268" s="16">
        <f t="shared" si="3"/>
        <v>44027</v>
      </c>
      <c r="L268" s="17">
        <v>8.3333333333333329E-2</v>
      </c>
      <c r="M268" s="14">
        <v>650</v>
      </c>
      <c r="N268" s="14">
        <v>760</v>
      </c>
      <c r="O268" s="14">
        <v>0</v>
      </c>
      <c r="P268" s="14">
        <v>1410</v>
      </c>
      <c r="Q268">
        <v>7385</v>
      </c>
      <c r="R268">
        <v>939</v>
      </c>
      <c r="S268">
        <v>0</v>
      </c>
    </row>
    <row r="269" spans="11:19" x14ac:dyDescent="0.3">
      <c r="K269" s="16">
        <f t="shared" si="3"/>
        <v>44027</v>
      </c>
      <c r="L269" s="17">
        <v>0.125</v>
      </c>
      <c r="M269" s="14">
        <v>650</v>
      </c>
      <c r="N269" s="14">
        <v>585</v>
      </c>
      <c r="O269" s="14">
        <v>0</v>
      </c>
      <c r="P269" s="14">
        <v>1235</v>
      </c>
      <c r="Q269">
        <v>7032</v>
      </c>
      <c r="R269">
        <v>762</v>
      </c>
      <c r="S269">
        <v>0</v>
      </c>
    </row>
    <row r="270" spans="11:19" x14ac:dyDescent="0.3">
      <c r="K270" s="16">
        <f t="shared" si="3"/>
        <v>44027</v>
      </c>
      <c r="L270" s="17">
        <v>0.16666666666666666</v>
      </c>
      <c r="M270" s="14">
        <v>650</v>
      </c>
      <c r="N270" s="14">
        <v>536</v>
      </c>
      <c r="O270" s="14">
        <v>0</v>
      </c>
      <c r="P270" s="14">
        <v>1186</v>
      </c>
      <c r="Q270">
        <v>6958</v>
      </c>
      <c r="R270">
        <v>571</v>
      </c>
      <c r="S270">
        <v>0</v>
      </c>
    </row>
    <row r="271" spans="11:19" x14ac:dyDescent="0.3">
      <c r="K271" s="16">
        <f t="shared" si="3"/>
        <v>44027</v>
      </c>
      <c r="L271" s="17">
        <v>0.20833333333333334</v>
      </c>
      <c r="M271" s="14">
        <v>650</v>
      </c>
      <c r="N271" s="14">
        <v>909</v>
      </c>
      <c r="O271" s="14">
        <v>0</v>
      </c>
      <c r="P271" s="14">
        <v>1559</v>
      </c>
      <c r="Q271">
        <v>7243</v>
      </c>
      <c r="R271">
        <v>474</v>
      </c>
      <c r="S271">
        <v>0</v>
      </c>
    </row>
    <row r="272" spans="11:19" x14ac:dyDescent="0.3">
      <c r="K272" s="16">
        <f t="shared" si="3"/>
        <v>44027</v>
      </c>
      <c r="L272" s="17">
        <v>0.25</v>
      </c>
      <c r="M272" s="14">
        <v>650</v>
      </c>
      <c r="N272" s="14">
        <v>1383</v>
      </c>
      <c r="O272" s="14">
        <v>0</v>
      </c>
      <c r="P272" s="14">
        <v>2033</v>
      </c>
      <c r="Q272">
        <v>7797</v>
      </c>
      <c r="R272">
        <v>502</v>
      </c>
      <c r="S272">
        <v>15</v>
      </c>
    </row>
    <row r="273" spans="11:19" x14ac:dyDescent="0.3">
      <c r="K273" s="16">
        <f t="shared" si="3"/>
        <v>44027</v>
      </c>
      <c r="L273" s="17">
        <v>0.29166666666666669</v>
      </c>
      <c r="M273" s="14">
        <v>650</v>
      </c>
      <c r="N273" s="14">
        <v>1737</v>
      </c>
      <c r="O273" s="14">
        <v>0</v>
      </c>
      <c r="P273" s="14">
        <v>2387</v>
      </c>
      <c r="Q273">
        <v>8581</v>
      </c>
      <c r="R273">
        <v>775</v>
      </c>
      <c r="S273">
        <v>148</v>
      </c>
    </row>
    <row r="274" spans="11:19" x14ac:dyDescent="0.3">
      <c r="K274" s="16">
        <f t="shared" si="3"/>
        <v>44027</v>
      </c>
      <c r="L274" s="17">
        <v>0.33333333333333331</v>
      </c>
      <c r="M274" s="14">
        <v>650</v>
      </c>
      <c r="N274" s="14">
        <v>2032</v>
      </c>
      <c r="O274" s="14">
        <v>0</v>
      </c>
      <c r="P274" s="14">
        <v>2682</v>
      </c>
      <c r="Q274">
        <v>9227</v>
      </c>
      <c r="R274">
        <v>790</v>
      </c>
      <c r="S274">
        <v>477</v>
      </c>
    </row>
    <row r="275" spans="11:19" x14ac:dyDescent="0.3">
      <c r="K275" s="16">
        <f t="shared" si="3"/>
        <v>44027</v>
      </c>
      <c r="L275" s="17">
        <v>0.375</v>
      </c>
      <c r="M275" s="14">
        <v>650</v>
      </c>
      <c r="N275" s="14">
        <v>133</v>
      </c>
      <c r="O275" s="14">
        <v>0</v>
      </c>
      <c r="P275" s="14">
        <v>783</v>
      </c>
      <c r="Q275">
        <v>9666</v>
      </c>
      <c r="R275">
        <v>848</v>
      </c>
      <c r="S275">
        <v>817</v>
      </c>
    </row>
    <row r="276" spans="11:19" x14ac:dyDescent="0.3">
      <c r="K276" s="16">
        <f t="shared" si="3"/>
        <v>44027</v>
      </c>
      <c r="L276" s="17">
        <v>0.41666666666666669</v>
      </c>
      <c r="M276" s="14">
        <v>650</v>
      </c>
      <c r="N276" s="14">
        <v>1711</v>
      </c>
      <c r="O276" s="14">
        <v>0</v>
      </c>
      <c r="P276" s="14">
        <v>2361</v>
      </c>
      <c r="Q276">
        <v>9927</v>
      </c>
      <c r="R276">
        <v>976</v>
      </c>
      <c r="S276">
        <v>1156</v>
      </c>
    </row>
    <row r="277" spans="11:19" x14ac:dyDescent="0.3">
      <c r="K277" s="16">
        <f t="shared" si="3"/>
        <v>44027</v>
      </c>
      <c r="L277" s="17">
        <v>0.45833333333333331</v>
      </c>
      <c r="M277" s="14">
        <v>650</v>
      </c>
      <c r="N277" s="14">
        <v>1792</v>
      </c>
      <c r="O277" s="14">
        <v>0</v>
      </c>
      <c r="P277" s="14">
        <v>2442</v>
      </c>
      <c r="Q277">
        <v>10155</v>
      </c>
      <c r="R277">
        <v>944</v>
      </c>
      <c r="S277">
        <v>1336</v>
      </c>
    </row>
    <row r="278" spans="11:19" x14ac:dyDescent="0.3">
      <c r="K278" s="16">
        <f t="shared" si="3"/>
        <v>44027</v>
      </c>
      <c r="L278" s="17">
        <v>0.5</v>
      </c>
      <c r="M278" s="14">
        <v>650</v>
      </c>
      <c r="N278" s="14">
        <v>1727</v>
      </c>
      <c r="O278" s="14">
        <v>0</v>
      </c>
      <c r="P278" s="14">
        <v>2377</v>
      </c>
      <c r="Q278">
        <v>10231</v>
      </c>
      <c r="R278">
        <v>1035</v>
      </c>
      <c r="S278">
        <v>1391</v>
      </c>
    </row>
    <row r="279" spans="11:19" x14ac:dyDescent="0.3">
      <c r="K279" s="16">
        <f t="shared" si="3"/>
        <v>44027</v>
      </c>
      <c r="L279" s="17">
        <v>0.54166666666666663</v>
      </c>
      <c r="M279" s="14">
        <v>650</v>
      </c>
      <c r="N279" s="14">
        <v>1402</v>
      </c>
      <c r="O279" s="14">
        <v>0</v>
      </c>
      <c r="P279" s="14">
        <v>2052</v>
      </c>
      <c r="Q279">
        <v>10114</v>
      </c>
      <c r="R279">
        <v>1170</v>
      </c>
      <c r="S279">
        <v>1468</v>
      </c>
    </row>
    <row r="280" spans="11:19" x14ac:dyDescent="0.3">
      <c r="K280" s="16">
        <f t="shared" si="3"/>
        <v>44027</v>
      </c>
      <c r="L280" s="17">
        <v>0.58333333333333337</v>
      </c>
      <c r="M280" s="14">
        <v>650</v>
      </c>
      <c r="N280" s="14">
        <v>1360</v>
      </c>
      <c r="O280" s="14">
        <v>0</v>
      </c>
      <c r="P280" s="14">
        <v>2010</v>
      </c>
      <c r="Q280">
        <v>10097</v>
      </c>
      <c r="R280">
        <v>1360</v>
      </c>
      <c r="S280">
        <v>1624</v>
      </c>
    </row>
    <row r="281" spans="11:19" x14ac:dyDescent="0.3">
      <c r="K281" s="16">
        <f t="shared" si="3"/>
        <v>44027</v>
      </c>
      <c r="L281" s="17">
        <v>0.625</v>
      </c>
      <c r="M281" s="14">
        <v>650</v>
      </c>
      <c r="N281" s="14">
        <v>1044</v>
      </c>
      <c r="O281" s="14">
        <v>0</v>
      </c>
      <c r="P281" s="14">
        <v>1694</v>
      </c>
      <c r="Q281">
        <v>9859</v>
      </c>
      <c r="R281">
        <v>1489</v>
      </c>
      <c r="S281">
        <v>1572</v>
      </c>
    </row>
    <row r="282" spans="11:19" x14ac:dyDescent="0.3">
      <c r="K282" s="16">
        <f t="shared" si="3"/>
        <v>44027</v>
      </c>
      <c r="L282" s="17">
        <v>0.66666666666666663</v>
      </c>
      <c r="M282" s="14">
        <v>650</v>
      </c>
      <c r="N282" s="14">
        <v>925</v>
      </c>
      <c r="O282" s="14">
        <v>0</v>
      </c>
      <c r="P282" s="14">
        <v>1575</v>
      </c>
      <c r="Q282">
        <v>9642</v>
      </c>
      <c r="R282">
        <v>1466</v>
      </c>
      <c r="S282">
        <v>1500</v>
      </c>
    </row>
    <row r="283" spans="11:19" x14ac:dyDescent="0.3">
      <c r="K283" s="16">
        <f t="shared" ref="K283:K346" si="4">K259+1</f>
        <v>44027</v>
      </c>
      <c r="L283" s="17">
        <v>0.70833333333333337</v>
      </c>
      <c r="M283" s="14">
        <v>650</v>
      </c>
      <c r="N283" s="14">
        <v>979</v>
      </c>
      <c r="O283" s="14">
        <v>0</v>
      </c>
      <c r="P283" s="14">
        <v>1629</v>
      </c>
      <c r="Q283">
        <v>9460</v>
      </c>
      <c r="R283">
        <v>1525</v>
      </c>
      <c r="S283">
        <v>1209</v>
      </c>
    </row>
    <row r="284" spans="11:19" x14ac:dyDescent="0.3">
      <c r="K284" s="16">
        <f t="shared" si="4"/>
        <v>44027</v>
      </c>
      <c r="L284" s="17">
        <v>0.75</v>
      </c>
      <c r="M284" s="14">
        <v>650</v>
      </c>
      <c r="N284" s="14">
        <v>1519</v>
      </c>
      <c r="O284" s="14">
        <v>0</v>
      </c>
      <c r="P284" s="14">
        <v>2169</v>
      </c>
      <c r="Q284">
        <v>9509</v>
      </c>
      <c r="R284">
        <v>1425</v>
      </c>
      <c r="S284">
        <v>822</v>
      </c>
    </row>
    <row r="285" spans="11:19" x14ac:dyDescent="0.3">
      <c r="K285" s="16">
        <f t="shared" si="4"/>
        <v>44027</v>
      </c>
      <c r="L285" s="17">
        <v>0.79166666666666663</v>
      </c>
      <c r="M285" s="14">
        <v>650</v>
      </c>
      <c r="N285" s="14">
        <v>1190</v>
      </c>
      <c r="O285" s="14">
        <v>0</v>
      </c>
      <c r="P285" s="14">
        <v>1840</v>
      </c>
      <c r="Q285">
        <v>9374</v>
      </c>
      <c r="R285">
        <v>1854</v>
      </c>
      <c r="S285">
        <v>445</v>
      </c>
    </row>
    <row r="286" spans="11:19" x14ac:dyDescent="0.3">
      <c r="K286" s="16">
        <f t="shared" si="4"/>
        <v>44027</v>
      </c>
      <c r="L286" s="17">
        <v>0.83333333333333337</v>
      </c>
      <c r="M286" s="14">
        <v>650</v>
      </c>
      <c r="N286" s="14">
        <v>905</v>
      </c>
      <c r="O286" s="14">
        <v>0</v>
      </c>
      <c r="P286" s="14">
        <v>1555</v>
      </c>
      <c r="Q286">
        <v>8831</v>
      </c>
      <c r="R286">
        <v>1921</v>
      </c>
      <c r="S286">
        <v>133</v>
      </c>
    </row>
    <row r="287" spans="11:19" x14ac:dyDescent="0.3">
      <c r="K287" s="16">
        <f t="shared" si="4"/>
        <v>44027</v>
      </c>
      <c r="L287" s="17">
        <v>0.875</v>
      </c>
      <c r="M287" s="14">
        <v>650</v>
      </c>
      <c r="N287" s="14">
        <v>0</v>
      </c>
      <c r="O287" s="14">
        <v>0</v>
      </c>
      <c r="P287" s="14">
        <v>650</v>
      </c>
      <c r="Q287">
        <v>8498</v>
      </c>
      <c r="R287">
        <v>1753</v>
      </c>
      <c r="S287">
        <v>14</v>
      </c>
    </row>
    <row r="288" spans="11:19" x14ac:dyDescent="0.3">
      <c r="K288" s="16">
        <f t="shared" si="4"/>
        <v>44027</v>
      </c>
      <c r="L288" s="17">
        <v>0.91666666666666663</v>
      </c>
      <c r="M288" s="14">
        <v>650</v>
      </c>
      <c r="N288" s="14">
        <v>1378</v>
      </c>
      <c r="O288" s="14">
        <v>0</v>
      </c>
      <c r="P288" s="14">
        <v>2028</v>
      </c>
      <c r="Q288">
        <v>8940</v>
      </c>
      <c r="R288">
        <v>1700</v>
      </c>
      <c r="S288">
        <v>0</v>
      </c>
    </row>
    <row r="289" spans="11:19" x14ac:dyDescent="0.3">
      <c r="K289" s="16">
        <f t="shared" si="4"/>
        <v>44027</v>
      </c>
      <c r="L289" s="17">
        <v>0.95833333333333337</v>
      </c>
      <c r="M289" s="14">
        <v>650</v>
      </c>
      <c r="N289" s="14">
        <v>1520</v>
      </c>
      <c r="O289" s="14">
        <v>0</v>
      </c>
      <c r="P289" s="14">
        <v>2170</v>
      </c>
      <c r="Q289">
        <v>8926</v>
      </c>
      <c r="R289">
        <v>1555</v>
      </c>
      <c r="S289">
        <v>0</v>
      </c>
    </row>
    <row r="290" spans="11:19" x14ac:dyDescent="0.3">
      <c r="K290" s="16">
        <f t="shared" si="4"/>
        <v>44028</v>
      </c>
      <c r="L290" s="17">
        <v>0</v>
      </c>
      <c r="M290" s="14">
        <v>650</v>
      </c>
      <c r="N290" s="14">
        <v>0</v>
      </c>
      <c r="O290" s="14">
        <v>793</v>
      </c>
      <c r="P290" s="14">
        <v>1443</v>
      </c>
      <c r="Q290">
        <v>8023</v>
      </c>
      <c r="R290">
        <v>1538</v>
      </c>
      <c r="S290">
        <v>0</v>
      </c>
    </row>
    <row r="291" spans="11:19" x14ac:dyDescent="0.3">
      <c r="K291" s="16">
        <f t="shared" si="4"/>
        <v>44028</v>
      </c>
      <c r="L291" s="17">
        <v>4.1666666666666664E-2</v>
      </c>
      <c r="M291" s="14">
        <v>650</v>
      </c>
      <c r="N291" s="14">
        <v>0</v>
      </c>
      <c r="O291" s="14">
        <v>497</v>
      </c>
      <c r="P291" s="14">
        <v>1147</v>
      </c>
      <c r="Q291">
        <v>7530</v>
      </c>
      <c r="R291">
        <v>1342</v>
      </c>
      <c r="S291">
        <v>0</v>
      </c>
    </row>
    <row r="292" spans="11:19" x14ac:dyDescent="0.3">
      <c r="K292" s="16">
        <f t="shared" si="4"/>
        <v>44028</v>
      </c>
      <c r="L292" s="17">
        <v>8.3333333333333329E-2</v>
      </c>
      <c r="M292" s="14">
        <v>650</v>
      </c>
      <c r="N292" s="14">
        <v>0</v>
      </c>
      <c r="O292" s="14">
        <v>213</v>
      </c>
      <c r="P292" s="14">
        <v>863</v>
      </c>
      <c r="Q292">
        <v>7178</v>
      </c>
      <c r="R292">
        <v>1278</v>
      </c>
      <c r="S292">
        <v>0</v>
      </c>
    </row>
    <row r="293" spans="11:19" x14ac:dyDescent="0.3">
      <c r="K293" s="16">
        <f t="shared" si="4"/>
        <v>44028</v>
      </c>
      <c r="L293" s="17">
        <v>0.125</v>
      </c>
      <c r="M293" s="14">
        <v>650</v>
      </c>
      <c r="N293" s="14">
        <v>0</v>
      </c>
      <c r="O293" s="14">
        <v>-98</v>
      </c>
      <c r="P293" s="14">
        <v>552</v>
      </c>
      <c r="Q293">
        <v>6774</v>
      </c>
      <c r="R293">
        <v>1185</v>
      </c>
      <c r="S293">
        <v>0</v>
      </c>
    </row>
    <row r="294" spans="11:19" x14ac:dyDescent="0.3">
      <c r="K294" s="16">
        <f t="shared" si="4"/>
        <v>44028</v>
      </c>
      <c r="L294" s="17">
        <v>0.16666666666666666</v>
      </c>
      <c r="M294" s="14">
        <v>650</v>
      </c>
      <c r="N294" s="14">
        <v>0</v>
      </c>
      <c r="O294" s="14">
        <v>-252</v>
      </c>
      <c r="P294" s="14">
        <v>398</v>
      </c>
      <c r="Q294">
        <v>6620</v>
      </c>
      <c r="R294">
        <v>1180</v>
      </c>
      <c r="S294">
        <v>0</v>
      </c>
    </row>
    <row r="295" spans="11:19" x14ac:dyDescent="0.3">
      <c r="K295" s="16">
        <f t="shared" si="4"/>
        <v>44028</v>
      </c>
      <c r="L295" s="17">
        <v>0.20833333333333334</v>
      </c>
      <c r="M295" s="14">
        <v>650</v>
      </c>
      <c r="N295" s="14">
        <v>0</v>
      </c>
      <c r="O295" s="14">
        <v>-160</v>
      </c>
      <c r="P295" s="14">
        <v>490</v>
      </c>
      <c r="Q295">
        <v>6704</v>
      </c>
      <c r="R295">
        <v>1161</v>
      </c>
      <c r="S295">
        <v>0</v>
      </c>
    </row>
    <row r="296" spans="11:19" x14ac:dyDescent="0.3">
      <c r="K296" s="16">
        <f t="shared" si="4"/>
        <v>44028</v>
      </c>
      <c r="L296" s="17">
        <v>0.25</v>
      </c>
      <c r="M296" s="14">
        <v>650</v>
      </c>
      <c r="N296" s="14">
        <v>0</v>
      </c>
      <c r="O296" s="14">
        <v>-83</v>
      </c>
      <c r="P296" s="14">
        <v>567</v>
      </c>
      <c r="Q296">
        <v>6847</v>
      </c>
      <c r="R296">
        <v>1170</v>
      </c>
      <c r="S296">
        <v>21</v>
      </c>
    </row>
    <row r="297" spans="11:19" x14ac:dyDescent="0.3">
      <c r="K297" s="16">
        <f t="shared" si="4"/>
        <v>44028</v>
      </c>
      <c r="L297" s="17">
        <v>0.29166666666666669</v>
      </c>
      <c r="M297" s="14">
        <v>650</v>
      </c>
      <c r="N297" s="14">
        <v>0</v>
      </c>
      <c r="O297" s="14">
        <v>122</v>
      </c>
      <c r="P297" s="14">
        <v>772</v>
      </c>
      <c r="Q297">
        <v>7273</v>
      </c>
      <c r="R297">
        <v>1199</v>
      </c>
      <c r="S297">
        <v>189</v>
      </c>
    </row>
    <row r="298" spans="11:19" x14ac:dyDescent="0.3">
      <c r="K298" s="16">
        <f t="shared" si="4"/>
        <v>44028</v>
      </c>
      <c r="L298" s="17">
        <v>0.33333333333333331</v>
      </c>
      <c r="M298" s="14">
        <v>650</v>
      </c>
      <c r="N298" s="14">
        <v>0</v>
      </c>
      <c r="O298" s="14">
        <v>381</v>
      </c>
      <c r="P298" s="14">
        <v>1031</v>
      </c>
      <c r="Q298">
        <v>7863</v>
      </c>
      <c r="R298">
        <v>1126</v>
      </c>
      <c r="S298">
        <v>585</v>
      </c>
    </row>
    <row r="299" spans="11:19" x14ac:dyDescent="0.3">
      <c r="K299" s="16">
        <f t="shared" si="4"/>
        <v>44028</v>
      </c>
      <c r="L299" s="17">
        <v>0.375</v>
      </c>
      <c r="M299" s="14">
        <v>650</v>
      </c>
      <c r="N299" s="14">
        <v>0</v>
      </c>
      <c r="O299" s="14">
        <v>465</v>
      </c>
      <c r="P299" s="14">
        <v>1115</v>
      </c>
      <c r="Q299">
        <v>8463</v>
      </c>
      <c r="R299">
        <v>1191</v>
      </c>
      <c r="S299">
        <v>1038</v>
      </c>
    </row>
    <row r="300" spans="11:19" x14ac:dyDescent="0.3">
      <c r="K300" s="16">
        <f t="shared" si="4"/>
        <v>44028</v>
      </c>
      <c r="L300" s="17">
        <v>0.41666666666666669</v>
      </c>
      <c r="M300" s="14">
        <v>650</v>
      </c>
      <c r="N300" s="14">
        <v>0</v>
      </c>
      <c r="O300" s="14">
        <v>115</v>
      </c>
      <c r="P300" s="14">
        <v>765</v>
      </c>
      <c r="Q300">
        <v>8765</v>
      </c>
      <c r="R300">
        <v>1460</v>
      </c>
      <c r="S300">
        <v>1423</v>
      </c>
    </row>
    <row r="301" spans="11:19" x14ac:dyDescent="0.3">
      <c r="K301" s="16">
        <f t="shared" si="4"/>
        <v>44028</v>
      </c>
      <c r="L301" s="17">
        <v>0.45833333333333331</v>
      </c>
      <c r="M301" s="14">
        <v>650</v>
      </c>
      <c r="N301" s="14">
        <v>0</v>
      </c>
      <c r="O301" s="14">
        <v>0</v>
      </c>
      <c r="P301" s="14">
        <v>650</v>
      </c>
      <c r="Q301">
        <v>8966</v>
      </c>
      <c r="R301">
        <v>1742</v>
      </c>
      <c r="S301">
        <v>1694</v>
      </c>
    </row>
    <row r="302" spans="11:19" x14ac:dyDescent="0.3">
      <c r="K302" s="16">
        <f t="shared" si="4"/>
        <v>44028</v>
      </c>
      <c r="L302" s="17">
        <v>0.5</v>
      </c>
      <c r="M302" s="14">
        <v>650</v>
      </c>
      <c r="N302" s="14">
        <v>0</v>
      </c>
      <c r="O302" s="14">
        <v>0</v>
      </c>
      <c r="P302" s="14">
        <v>650</v>
      </c>
      <c r="Q302">
        <v>9192</v>
      </c>
      <c r="R302">
        <v>1966</v>
      </c>
      <c r="S302">
        <v>1708</v>
      </c>
    </row>
    <row r="303" spans="11:19" x14ac:dyDescent="0.3">
      <c r="K303" s="16">
        <f t="shared" si="4"/>
        <v>44028</v>
      </c>
      <c r="L303" s="17">
        <v>0.54166666666666663</v>
      </c>
      <c r="M303" s="14">
        <v>650</v>
      </c>
      <c r="N303" s="14">
        <v>0</v>
      </c>
      <c r="O303" s="14">
        <v>0</v>
      </c>
      <c r="P303" s="14">
        <v>650</v>
      </c>
      <c r="Q303">
        <v>8940</v>
      </c>
      <c r="R303">
        <v>1874</v>
      </c>
      <c r="S303">
        <v>1830</v>
      </c>
    </row>
    <row r="304" spans="11:19" x14ac:dyDescent="0.3">
      <c r="K304" s="16">
        <f t="shared" si="4"/>
        <v>44028</v>
      </c>
      <c r="L304" s="17">
        <v>0.58333333333333337</v>
      </c>
      <c r="M304" s="14">
        <v>650</v>
      </c>
      <c r="N304" s="14">
        <v>0</v>
      </c>
      <c r="O304" s="14">
        <v>-350</v>
      </c>
      <c r="P304" s="14">
        <v>300</v>
      </c>
      <c r="Q304">
        <v>8809</v>
      </c>
      <c r="R304">
        <v>2090</v>
      </c>
      <c r="S304">
        <v>1927</v>
      </c>
    </row>
    <row r="305" spans="11:19" x14ac:dyDescent="0.3">
      <c r="K305" s="16">
        <f t="shared" si="4"/>
        <v>44028</v>
      </c>
      <c r="L305" s="17">
        <v>0.625</v>
      </c>
      <c r="M305" s="14">
        <v>650</v>
      </c>
      <c r="N305" s="14">
        <v>0</v>
      </c>
      <c r="O305" s="14">
        <v>-580</v>
      </c>
      <c r="P305" s="14">
        <v>70</v>
      </c>
      <c r="Q305">
        <v>8549</v>
      </c>
      <c r="R305">
        <v>2125</v>
      </c>
      <c r="S305">
        <v>1862</v>
      </c>
    </row>
    <row r="306" spans="11:19" x14ac:dyDescent="0.3">
      <c r="K306" s="16">
        <f t="shared" si="4"/>
        <v>44028</v>
      </c>
      <c r="L306" s="17">
        <v>0.66666666666666663</v>
      </c>
      <c r="M306" s="14">
        <v>650</v>
      </c>
      <c r="N306" s="14">
        <v>0</v>
      </c>
      <c r="O306" s="14">
        <v>-739</v>
      </c>
      <c r="P306" s="14">
        <v>-89</v>
      </c>
      <c r="Q306">
        <v>8324</v>
      </c>
      <c r="R306">
        <v>2234</v>
      </c>
      <c r="S306">
        <v>1690</v>
      </c>
    </row>
    <row r="307" spans="11:19" x14ac:dyDescent="0.3">
      <c r="K307" s="16">
        <f t="shared" si="4"/>
        <v>44028</v>
      </c>
      <c r="L307" s="17">
        <v>0.70833333333333337</v>
      </c>
      <c r="M307" s="14">
        <v>650</v>
      </c>
      <c r="N307" s="14">
        <v>0</v>
      </c>
      <c r="O307" s="14">
        <v>-1129</v>
      </c>
      <c r="P307" s="14">
        <v>-479</v>
      </c>
      <c r="Q307">
        <v>8201</v>
      </c>
      <c r="R307">
        <v>2201</v>
      </c>
      <c r="S307">
        <v>1379</v>
      </c>
    </row>
    <row r="308" spans="11:19" x14ac:dyDescent="0.3">
      <c r="K308" s="16">
        <f t="shared" si="4"/>
        <v>44028</v>
      </c>
      <c r="L308" s="17">
        <v>0.75</v>
      </c>
      <c r="M308" s="14">
        <v>650</v>
      </c>
      <c r="N308" s="14">
        <v>0</v>
      </c>
      <c r="O308" s="14">
        <v>-894</v>
      </c>
      <c r="P308" s="14">
        <v>-244</v>
      </c>
      <c r="Q308">
        <v>8215</v>
      </c>
      <c r="R308">
        <v>2423</v>
      </c>
      <c r="S308">
        <v>960</v>
      </c>
    </row>
    <row r="309" spans="11:19" x14ac:dyDescent="0.3">
      <c r="K309" s="16">
        <f t="shared" si="4"/>
        <v>44028</v>
      </c>
      <c r="L309" s="17">
        <v>0.79166666666666663</v>
      </c>
      <c r="M309" s="14">
        <v>650</v>
      </c>
      <c r="N309" s="14">
        <v>0</v>
      </c>
      <c r="O309" s="14">
        <v>0</v>
      </c>
      <c r="P309" s="14">
        <v>650</v>
      </c>
      <c r="Q309">
        <v>8116</v>
      </c>
      <c r="R309">
        <v>2433</v>
      </c>
      <c r="S309">
        <v>488</v>
      </c>
    </row>
    <row r="310" spans="11:19" x14ac:dyDescent="0.3">
      <c r="K310" s="16">
        <f t="shared" si="4"/>
        <v>44028</v>
      </c>
      <c r="L310" s="17">
        <v>0.83333333333333337</v>
      </c>
      <c r="M310" s="14">
        <v>650</v>
      </c>
      <c r="N310" s="14">
        <v>0</v>
      </c>
      <c r="O310" s="14">
        <v>0</v>
      </c>
      <c r="P310" s="14">
        <v>650</v>
      </c>
      <c r="Q310">
        <v>7728</v>
      </c>
      <c r="R310">
        <v>2253</v>
      </c>
      <c r="S310">
        <v>149</v>
      </c>
    </row>
    <row r="311" spans="11:19" x14ac:dyDescent="0.3">
      <c r="K311" s="16">
        <f t="shared" si="4"/>
        <v>44028</v>
      </c>
      <c r="L311" s="17">
        <v>0.875</v>
      </c>
      <c r="M311" s="14">
        <v>650</v>
      </c>
      <c r="N311" s="14">
        <v>0</v>
      </c>
      <c r="O311" s="14">
        <v>0</v>
      </c>
      <c r="P311" s="14">
        <v>650</v>
      </c>
      <c r="Q311">
        <v>7656</v>
      </c>
      <c r="R311">
        <v>2225</v>
      </c>
      <c r="S311">
        <v>13</v>
      </c>
    </row>
    <row r="312" spans="11:19" x14ac:dyDescent="0.3">
      <c r="K312" s="16">
        <f t="shared" si="4"/>
        <v>44028</v>
      </c>
      <c r="L312" s="17">
        <v>0.91666666666666663</v>
      </c>
      <c r="M312" s="14">
        <v>650</v>
      </c>
      <c r="N312" s="14">
        <v>0</v>
      </c>
      <c r="O312" s="14">
        <v>384</v>
      </c>
      <c r="P312" s="14">
        <v>1034</v>
      </c>
      <c r="Q312">
        <v>8291</v>
      </c>
      <c r="R312">
        <v>2203</v>
      </c>
      <c r="S312">
        <v>0</v>
      </c>
    </row>
    <row r="313" spans="11:19" x14ac:dyDescent="0.3">
      <c r="K313" s="16">
        <f t="shared" si="4"/>
        <v>44028</v>
      </c>
      <c r="L313" s="17">
        <v>0.95833333333333337</v>
      </c>
      <c r="M313" s="14">
        <v>650</v>
      </c>
      <c r="N313" s="14">
        <v>0</v>
      </c>
      <c r="O313" s="14">
        <v>461</v>
      </c>
      <c r="P313" s="14">
        <v>1111</v>
      </c>
      <c r="Q313">
        <v>8390</v>
      </c>
      <c r="R313">
        <v>2236</v>
      </c>
      <c r="S313">
        <v>0</v>
      </c>
    </row>
    <row r="314" spans="11:19" x14ac:dyDescent="0.3">
      <c r="K314" s="16">
        <f t="shared" si="4"/>
        <v>44029</v>
      </c>
      <c r="L314" s="17">
        <v>0</v>
      </c>
      <c r="M314" s="14">
        <v>650</v>
      </c>
      <c r="N314" s="14">
        <v>0</v>
      </c>
      <c r="O314" s="14">
        <v>0</v>
      </c>
      <c r="P314" s="14">
        <v>650</v>
      </c>
      <c r="Q314">
        <v>7662</v>
      </c>
      <c r="R314">
        <v>2446</v>
      </c>
      <c r="S314">
        <v>0</v>
      </c>
    </row>
    <row r="315" spans="11:19" x14ac:dyDescent="0.3">
      <c r="K315" s="16">
        <f t="shared" si="4"/>
        <v>44029</v>
      </c>
      <c r="L315" s="17">
        <v>4.1666666666666664E-2</v>
      </c>
      <c r="M315" s="14">
        <v>650</v>
      </c>
      <c r="N315" s="14">
        <v>0</v>
      </c>
      <c r="O315" s="14">
        <v>0</v>
      </c>
      <c r="P315" s="14">
        <v>650</v>
      </c>
      <c r="Q315">
        <v>7218</v>
      </c>
      <c r="R315">
        <v>2158</v>
      </c>
      <c r="S315">
        <v>0</v>
      </c>
    </row>
    <row r="316" spans="11:19" x14ac:dyDescent="0.3">
      <c r="K316" s="16">
        <f t="shared" si="4"/>
        <v>44029</v>
      </c>
      <c r="L316" s="17">
        <v>8.3333333333333329E-2</v>
      </c>
      <c r="M316" s="14">
        <v>650</v>
      </c>
      <c r="N316" s="14">
        <v>0</v>
      </c>
      <c r="O316" s="14">
        <v>0</v>
      </c>
      <c r="P316" s="14">
        <v>650</v>
      </c>
      <c r="Q316">
        <v>6843</v>
      </c>
      <c r="R316">
        <v>1998</v>
      </c>
      <c r="S316">
        <v>0</v>
      </c>
    </row>
    <row r="317" spans="11:19" x14ac:dyDescent="0.3">
      <c r="K317" s="16">
        <f t="shared" si="4"/>
        <v>44029</v>
      </c>
      <c r="L317" s="17">
        <v>0.125</v>
      </c>
      <c r="M317" s="14">
        <v>650</v>
      </c>
      <c r="N317" s="14">
        <v>0</v>
      </c>
      <c r="O317" s="14">
        <v>0</v>
      </c>
      <c r="P317" s="14">
        <v>650</v>
      </c>
      <c r="Q317">
        <v>6409</v>
      </c>
      <c r="R317">
        <v>2011</v>
      </c>
      <c r="S317">
        <v>0</v>
      </c>
    </row>
    <row r="318" spans="11:19" x14ac:dyDescent="0.3">
      <c r="K318" s="16">
        <f t="shared" si="4"/>
        <v>44029</v>
      </c>
      <c r="L318" s="17">
        <v>0.16666666666666666</v>
      </c>
      <c r="M318" s="14">
        <v>650</v>
      </c>
      <c r="N318" s="14">
        <v>0</v>
      </c>
      <c r="O318" s="14">
        <v>0</v>
      </c>
      <c r="P318" s="14">
        <v>650</v>
      </c>
      <c r="Q318">
        <v>6177</v>
      </c>
      <c r="R318">
        <v>1924</v>
      </c>
      <c r="S318">
        <v>0</v>
      </c>
    </row>
    <row r="319" spans="11:19" x14ac:dyDescent="0.3">
      <c r="K319" s="16">
        <f t="shared" si="4"/>
        <v>44029</v>
      </c>
      <c r="L319" s="17">
        <v>0.20833333333333334</v>
      </c>
      <c r="M319" s="14">
        <v>650</v>
      </c>
      <c r="N319" s="14">
        <v>0</v>
      </c>
      <c r="O319" s="14">
        <v>0</v>
      </c>
      <c r="P319" s="14">
        <v>650</v>
      </c>
      <c r="Q319">
        <v>6066</v>
      </c>
      <c r="R319">
        <v>1749</v>
      </c>
      <c r="S319">
        <v>0</v>
      </c>
    </row>
    <row r="320" spans="11:19" x14ac:dyDescent="0.3">
      <c r="K320" s="16">
        <f t="shared" si="4"/>
        <v>44029</v>
      </c>
      <c r="L320" s="17">
        <v>0.25</v>
      </c>
      <c r="M320" s="14">
        <v>650</v>
      </c>
      <c r="N320" s="14">
        <v>0</v>
      </c>
      <c r="O320" s="14">
        <v>0</v>
      </c>
      <c r="P320" s="14">
        <v>650</v>
      </c>
      <c r="Q320">
        <v>5959</v>
      </c>
      <c r="R320">
        <v>1541</v>
      </c>
      <c r="S320">
        <v>30</v>
      </c>
    </row>
    <row r="321" spans="11:19" x14ac:dyDescent="0.3">
      <c r="K321" s="16">
        <f t="shared" si="4"/>
        <v>44029</v>
      </c>
      <c r="L321" s="17">
        <v>0.29166666666666669</v>
      </c>
      <c r="M321" s="14">
        <v>650</v>
      </c>
      <c r="N321" s="14">
        <v>0</v>
      </c>
      <c r="O321" s="14">
        <v>0</v>
      </c>
      <c r="P321" s="14">
        <v>650</v>
      </c>
      <c r="Q321">
        <v>6158</v>
      </c>
      <c r="R321">
        <v>1472</v>
      </c>
      <c r="S321">
        <v>225</v>
      </c>
    </row>
    <row r="322" spans="11:19" x14ac:dyDescent="0.3">
      <c r="K322" s="16">
        <f t="shared" si="4"/>
        <v>44029</v>
      </c>
      <c r="L322" s="17">
        <v>0.33333333333333331</v>
      </c>
      <c r="M322" s="14">
        <v>650</v>
      </c>
      <c r="N322" s="14">
        <v>0</v>
      </c>
      <c r="O322" s="14">
        <v>0</v>
      </c>
      <c r="P322" s="14">
        <v>650</v>
      </c>
      <c r="Q322">
        <v>6625</v>
      </c>
      <c r="R322">
        <v>1590</v>
      </c>
      <c r="S322">
        <v>660</v>
      </c>
    </row>
    <row r="323" spans="11:19" x14ac:dyDescent="0.3">
      <c r="K323" s="16">
        <f t="shared" si="4"/>
        <v>44029</v>
      </c>
      <c r="L323" s="17">
        <v>0.375</v>
      </c>
      <c r="M323" s="14">
        <v>650</v>
      </c>
      <c r="N323" s="14">
        <v>0</v>
      </c>
      <c r="O323" s="14">
        <v>0</v>
      </c>
      <c r="P323" s="14">
        <v>650</v>
      </c>
      <c r="Q323">
        <v>7149</v>
      </c>
      <c r="R323">
        <v>1591</v>
      </c>
      <c r="S323">
        <v>1228</v>
      </c>
    </row>
    <row r="324" spans="11:19" x14ac:dyDescent="0.3">
      <c r="K324" s="16">
        <f t="shared" si="4"/>
        <v>44029</v>
      </c>
      <c r="L324" s="17">
        <v>0.41666666666666669</v>
      </c>
      <c r="M324" s="14">
        <v>650</v>
      </c>
      <c r="N324" s="14">
        <v>0</v>
      </c>
      <c r="O324" s="14">
        <v>0</v>
      </c>
      <c r="P324" s="14">
        <v>650</v>
      </c>
      <c r="Q324">
        <v>7522</v>
      </c>
      <c r="R324">
        <v>1540</v>
      </c>
      <c r="S324">
        <v>1699</v>
      </c>
    </row>
    <row r="325" spans="11:19" x14ac:dyDescent="0.3">
      <c r="K325" s="16">
        <f t="shared" si="4"/>
        <v>44029</v>
      </c>
      <c r="L325" s="17">
        <v>0.45833333333333331</v>
      </c>
      <c r="M325" s="14">
        <v>650</v>
      </c>
      <c r="N325" s="14">
        <v>0</v>
      </c>
      <c r="O325" s="14">
        <v>0</v>
      </c>
      <c r="P325" s="14">
        <v>650</v>
      </c>
      <c r="Q325">
        <v>7785</v>
      </c>
      <c r="R325">
        <v>1577</v>
      </c>
      <c r="S325">
        <v>2015</v>
      </c>
    </row>
    <row r="326" spans="11:19" x14ac:dyDescent="0.3">
      <c r="K326" s="16">
        <f t="shared" si="4"/>
        <v>44029</v>
      </c>
      <c r="L326" s="17">
        <v>0.5</v>
      </c>
      <c r="M326" s="14">
        <v>650</v>
      </c>
      <c r="N326" s="14">
        <v>0</v>
      </c>
      <c r="O326" s="14">
        <v>0</v>
      </c>
      <c r="P326" s="14">
        <v>650</v>
      </c>
      <c r="Q326">
        <v>8127</v>
      </c>
      <c r="R326">
        <v>1577</v>
      </c>
      <c r="S326">
        <v>2199</v>
      </c>
    </row>
    <row r="327" spans="11:19" x14ac:dyDescent="0.3">
      <c r="K327" s="16">
        <f t="shared" si="4"/>
        <v>44029</v>
      </c>
      <c r="L327" s="17">
        <v>0.54166666666666663</v>
      </c>
      <c r="M327" s="14">
        <v>650</v>
      </c>
      <c r="N327" s="14">
        <v>0</v>
      </c>
      <c r="O327" s="14">
        <v>-33</v>
      </c>
      <c r="P327" s="14">
        <v>617</v>
      </c>
      <c r="Q327">
        <v>7783</v>
      </c>
      <c r="R327">
        <v>1504</v>
      </c>
      <c r="S327">
        <v>2304</v>
      </c>
    </row>
    <row r="328" spans="11:19" x14ac:dyDescent="0.3">
      <c r="K328" s="16">
        <f t="shared" si="4"/>
        <v>44029</v>
      </c>
      <c r="L328" s="17">
        <v>0.58333333333333337</v>
      </c>
      <c r="M328" s="14">
        <v>650</v>
      </c>
      <c r="N328" s="14">
        <v>0</v>
      </c>
      <c r="O328" s="14">
        <v>-405</v>
      </c>
      <c r="P328" s="14">
        <v>245</v>
      </c>
      <c r="Q328">
        <v>7514</v>
      </c>
      <c r="R328">
        <v>1593</v>
      </c>
      <c r="S328">
        <v>2318</v>
      </c>
    </row>
    <row r="329" spans="11:19" x14ac:dyDescent="0.3">
      <c r="K329" s="16">
        <f t="shared" si="4"/>
        <v>44029</v>
      </c>
      <c r="L329" s="17">
        <v>0.625</v>
      </c>
      <c r="M329" s="14">
        <v>650</v>
      </c>
      <c r="N329" s="14">
        <v>0</v>
      </c>
      <c r="O329" s="14">
        <v>-751</v>
      </c>
      <c r="P329" s="14">
        <v>-101</v>
      </c>
      <c r="Q329">
        <v>7241</v>
      </c>
      <c r="R329">
        <v>1768</v>
      </c>
      <c r="S329">
        <v>2216</v>
      </c>
    </row>
    <row r="330" spans="11:19" x14ac:dyDescent="0.3">
      <c r="K330" s="16">
        <f t="shared" si="4"/>
        <v>44029</v>
      </c>
      <c r="L330" s="17">
        <v>0.66666666666666663</v>
      </c>
      <c r="M330" s="14">
        <v>650</v>
      </c>
      <c r="N330" s="14">
        <v>0</v>
      </c>
      <c r="O330" s="14">
        <v>-714</v>
      </c>
      <c r="P330" s="14">
        <v>-64</v>
      </c>
      <c r="Q330">
        <v>7073</v>
      </c>
      <c r="R330">
        <v>1759</v>
      </c>
      <c r="S330">
        <v>2024</v>
      </c>
    </row>
    <row r="331" spans="11:19" x14ac:dyDescent="0.3">
      <c r="K331" s="16">
        <f t="shared" si="4"/>
        <v>44029</v>
      </c>
      <c r="L331" s="17">
        <v>0.70833333333333337</v>
      </c>
      <c r="M331" s="14">
        <v>650</v>
      </c>
      <c r="N331" s="14">
        <v>0</v>
      </c>
      <c r="O331" s="14">
        <v>-355</v>
      </c>
      <c r="P331" s="14">
        <v>295</v>
      </c>
      <c r="Q331">
        <v>7054</v>
      </c>
      <c r="R331">
        <v>1743</v>
      </c>
      <c r="S331">
        <v>1665</v>
      </c>
    </row>
    <row r="332" spans="11:19" x14ac:dyDescent="0.3">
      <c r="K332" s="16">
        <f t="shared" si="4"/>
        <v>44029</v>
      </c>
      <c r="L332" s="17">
        <v>0.75</v>
      </c>
      <c r="M332" s="14">
        <v>650</v>
      </c>
      <c r="N332" s="14">
        <v>0</v>
      </c>
      <c r="O332" s="14">
        <v>0</v>
      </c>
      <c r="P332" s="14">
        <v>650</v>
      </c>
      <c r="Q332">
        <v>7225</v>
      </c>
      <c r="R332">
        <v>1814</v>
      </c>
      <c r="S332">
        <v>1137</v>
      </c>
    </row>
    <row r="333" spans="11:19" x14ac:dyDescent="0.3">
      <c r="K333" s="16">
        <f t="shared" si="4"/>
        <v>44029</v>
      </c>
      <c r="L333" s="17">
        <v>0.79166666666666663</v>
      </c>
      <c r="M333" s="14">
        <v>650</v>
      </c>
      <c r="N333" s="14">
        <v>0</v>
      </c>
      <c r="O333" s="14">
        <v>0</v>
      </c>
      <c r="P333" s="14">
        <v>650</v>
      </c>
      <c r="Q333">
        <v>7403</v>
      </c>
      <c r="R333">
        <v>1749</v>
      </c>
      <c r="S333">
        <v>587</v>
      </c>
    </row>
    <row r="334" spans="11:19" x14ac:dyDescent="0.3">
      <c r="K334" s="16">
        <f t="shared" si="4"/>
        <v>44029</v>
      </c>
      <c r="L334" s="17">
        <v>0.83333333333333337</v>
      </c>
      <c r="M334" s="14">
        <v>650</v>
      </c>
      <c r="N334" s="14">
        <v>0</v>
      </c>
      <c r="O334" s="14">
        <v>0</v>
      </c>
      <c r="P334" s="14">
        <v>650</v>
      </c>
      <c r="Q334">
        <v>7328</v>
      </c>
      <c r="R334">
        <v>1748</v>
      </c>
      <c r="S334">
        <v>177</v>
      </c>
    </row>
    <row r="335" spans="11:19" x14ac:dyDescent="0.3">
      <c r="K335" s="16">
        <f t="shared" si="4"/>
        <v>44029</v>
      </c>
      <c r="L335" s="17">
        <v>0.875</v>
      </c>
      <c r="M335" s="14">
        <v>650</v>
      </c>
      <c r="N335" s="14">
        <v>0</v>
      </c>
      <c r="O335" s="14">
        <v>231</v>
      </c>
      <c r="P335" s="14">
        <v>881</v>
      </c>
      <c r="Q335">
        <v>7334</v>
      </c>
      <c r="R335">
        <v>1844</v>
      </c>
      <c r="S335">
        <v>14</v>
      </c>
    </row>
    <row r="336" spans="11:19" x14ac:dyDescent="0.3">
      <c r="K336" s="16">
        <f t="shared" si="4"/>
        <v>44029</v>
      </c>
      <c r="L336" s="17">
        <v>0.91666666666666663</v>
      </c>
      <c r="M336" s="14">
        <v>650</v>
      </c>
      <c r="N336" s="14">
        <v>0</v>
      </c>
      <c r="O336" s="14">
        <v>882</v>
      </c>
      <c r="P336" s="14">
        <v>1532</v>
      </c>
      <c r="Q336">
        <v>7931</v>
      </c>
      <c r="R336">
        <v>1959</v>
      </c>
      <c r="S336">
        <v>0</v>
      </c>
    </row>
    <row r="337" spans="11:19" x14ac:dyDescent="0.3">
      <c r="K337" s="16">
        <f t="shared" si="4"/>
        <v>44029</v>
      </c>
      <c r="L337" s="17">
        <v>0.95833333333333337</v>
      </c>
      <c r="M337" s="14">
        <v>650</v>
      </c>
      <c r="N337" s="14">
        <v>0</v>
      </c>
      <c r="O337" s="14">
        <v>693</v>
      </c>
      <c r="P337" s="14">
        <v>1343</v>
      </c>
      <c r="Q337">
        <v>8065</v>
      </c>
      <c r="R337">
        <v>1679</v>
      </c>
      <c r="S337">
        <v>0</v>
      </c>
    </row>
    <row r="338" spans="11:19" x14ac:dyDescent="0.3">
      <c r="K338" s="16">
        <f t="shared" si="4"/>
        <v>44030</v>
      </c>
      <c r="L338" s="17">
        <v>0</v>
      </c>
      <c r="M338" s="14">
        <v>650</v>
      </c>
      <c r="N338" s="14">
        <v>589</v>
      </c>
      <c r="O338" s="14">
        <v>0</v>
      </c>
      <c r="P338" s="14">
        <v>1239</v>
      </c>
      <c r="Q338">
        <v>7922</v>
      </c>
      <c r="R338">
        <v>1638</v>
      </c>
      <c r="S338">
        <v>0</v>
      </c>
    </row>
    <row r="339" spans="11:19" x14ac:dyDescent="0.3">
      <c r="K339" s="16">
        <f t="shared" si="4"/>
        <v>44030</v>
      </c>
      <c r="L339" s="17">
        <v>4.1666666666666664E-2</v>
      </c>
      <c r="M339" s="14">
        <v>650</v>
      </c>
      <c r="N339" s="14">
        <v>558</v>
      </c>
      <c r="O339" s="14">
        <v>0</v>
      </c>
      <c r="P339" s="14">
        <v>1208</v>
      </c>
      <c r="Q339">
        <v>7425</v>
      </c>
      <c r="R339">
        <v>1176</v>
      </c>
      <c r="S339">
        <v>0</v>
      </c>
    </row>
    <row r="340" spans="11:19" x14ac:dyDescent="0.3">
      <c r="K340" s="16">
        <f t="shared" si="4"/>
        <v>44030</v>
      </c>
      <c r="L340" s="17">
        <v>8.3333333333333329E-2</v>
      </c>
      <c r="M340" s="14">
        <v>650</v>
      </c>
      <c r="N340" s="14">
        <v>431</v>
      </c>
      <c r="O340" s="14">
        <v>0</v>
      </c>
      <c r="P340" s="14">
        <v>1081</v>
      </c>
      <c r="Q340">
        <v>7066</v>
      </c>
      <c r="R340">
        <v>945</v>
      </c>
      <c r="S340">
        <v>0</v>
      </c>
    </row>
    <row r="341" spans="11:19" x14ac:dyDescent="0.3">
      <c r="K341" s="16">
        <f t="shared" si="4"/>
        <v>44030</v>
      </c>
      <c r="L341" s="17">
        <v>0.125</v>
      </c>
      <c r="M341" s="14">
        <v>650</v>
      </c>
      <c r="N341" s="14">
        <v>0</v>
      </c>
      <c r="O341" s="14">
        <v>53</v>
      </c>
      <c r="P341" s="14">
        <v>703</v>
      </c>
      <c r="Q341">
        <v>6651</v>
      </c>
      <c r="R341">
        <v>909</v>
      </c>
      <c r="S341">
        <v>0</v>
      </c>
    </row>
    <row r="342" spans="11:19" x14ac:dyDescent="0.3">
      <c r="K342" s="16">
        <f t="shared" si="4"/>
        <v>44030</v>
      </c>
      <c r="L342" s="17">
        <v>0.16666666666666666</v>
      </c>
      <c r="M342" s="14">
        <v>650</v>
      </c>
      <c r="N342" s="14">
        <v>0</v>
      </c>
      <c r="O342" s="14">
        <v>-70</v>
      </c>
      <c r="P342" s="14">
        <v>580</v>
      </c>
      <c r="Q342">
        <v>6484</v>
      </c>
      <c r="R342">
        <v>866</v>
      </c>
      <c r="S342">
        <v>0</v>
      </c>
    </row>
    <row r="343" spans="11:19" x14ac:dyDescent="0.3">
      <c r="K343" s="16">
        <f t="shared" si="4"/>
        <v>44030</v>
      </c>
      <c r="L343" s="17">
        <v>0.20833333333333334</v>
      </c>
      <c r="M343" s="14">
        <v>650</v>
      </c>
      <c r="N343" s="14">
        <v>69</v>
      </c>
      <c r="O343" s="14">
        <v>0</v>
      </c>
      <c r="P343" s="14">
        <v>719</v>
      </c>
      <c r="Q343">
        <v>6569</v>
      </c>
      <c r="R343">
        <v>807</v>
      </c>
      <c r="S343">
        <v>0</v>
      </c>
    </row>
    <row r="344" spans="11:19" x14ac:dyDescent="0.3">
      <c r="K344" s="16">
        <f t="shared" si="4"/>
        <v>44030</v>
      </c>
      <c r="L344" s="17">
        <v>0.25</v>
      </c>
      <c r="M344" s="14">
        <v>650</v>
      </c>
      <c r="N344" s="14">
        <v>0</v>
      </c>
      <c r="O344" s="14">
        <v>174</v>
      </c>
      <c r="P344" s="14">
        <v>824</v>
      </c>
      <c r="Q344">
        <v>6716</v>
      </c>
      <c r="R344">
        <v>786</v>
      </c>
      <c r="S344">
        <v>32</v>
      </c>
    </row>
    <row r="345" spans="11:19" x14ac:dyDescent="0.3">
      <c r="K345" s="16">
        <f t="shared" si="4"/>
        <v>44030</v>
      </c>
      <c r="L345" s="17">
        <v>0.29166666666666669</v>
      </c>
      <c r="M345" s="14">
        <v>650</v>
      </c>
      <c r="N345" s="14">
        <v>272</v>
      </c>
      <c r="O345" s="14">
        <v>0</v>
      </c>
      <c r="P345" s="14">
        <v>922</v>
      </c>
      <c r="Q345">
        <v>7111</v>
      </c>
      <c r="R345">
        <v>860</v>
      </c>
      <c r="S345">
        <v>240</v>
      </c>
    </row>
    <row r="346" spans="11:19" x14ac:dyDescent="0.3">
      <c r="K346" s="16">
        <f t="shared" si="4"/>
        <v>44030</v>
      </c>
      <c r="L346" s="17">
        <v>0.33333333333333331</v>
      </c>
      <c r="M346" s="14">
        <v>650</v>
      </c>
      <c r="N346" s="14">
        <v>0</v>
      </c>
      <c r="O346" s="14">
        <v>454</v>
      </c>
      <c r="P346" s="14">
        <v>1104</v>
      </c>
      <c r="Q346">
        <v>7686</v>
      </c>
      <c r="R346">
        <v>802</v>
      </c>
      <c r="S346">
        <v>684</v>
      </c>
    </row>
    <row r="347" spans="11:19" x14ac:dyDescent="0.3">
      <c r="K347" s="16">
        <f t="shared" ref="K347:K410" si="5">K323+1</f>
        <v>44030</v>
      </c>
      <c r="L347" s="17">
        <v>0.375</v>
      </c>
      <c r="M347" s="14">
        <v>650</v>
      </c>
      <c r="N347" s="14">
        <v>340</v>
      </c>
      <c r="O347" s="14">
        <v>0</v>
      </c>
      <c r="P347" s="14">
        <v>990</v>
      </c>
      <c r="Q347">
        <v>8246</v>
      </c>
      <c r="R347">
        <v>870</v>
      </c>
      <c r="S347">
        <v>1285</v>
      </c>
    </row>
    <row r="348" spans="11:19" x14ac:dyDescent="0.3">
      <c r="K348" s="16">
        <f t="shared" si="5"/>
        <v>44030</v>
      </c>
      <c r="L348" s="17">
        <v>0.41666666666666669</v>
      </c>
      <c r="M348" s="14">
        <v>650</v>
      </c>
      <c r="N348" s="14">
        <v>0</v>
      </c>
      <c r="O348" s="14">
        <v>76</v>
      </c>
      <c r="P348" s="14">
        <v>726</v>
      </c>
      <c r="Q348">
        <v>8501</v>
      </c>
      <c r="R348">
        <v>866</v>
      </c>
      <c r="S348">
        <v>1807</v>
      </c>
    </row>
    <row r="349" spans="11:19" x14ac:dyDescent="0.3">
      <c r="K349" s="16">
        <f t="shared" si="5"/>
        <v>44030</v>
      </c>
      <c r="L349" s="17">
        <v>0.45833333333333331</v>
      </c>
      <c r="M349" s="14">
        <v>650</v>
      </c>
      <c r="N349" s="14">
        <v>0</v>
      </c>
      <c r="O349" s="14">
        <v>-25</v>
      </c>
      <c r="P349" s="14">
        <v>625</v>
      </c>
      <c r="Q349">
        <v>8671</v>
      </c>
      <c r="R349">
        <v>816</v>
      </c>
      <c r="S349">
        <v>2128</v>
      </c>
    </row>
    <row r="350" spans="11:19" x14ac:dyDescent="0.3">
      <c r="K350" s="16">
        <f t="shared" si="5"/>
        <v>44030</v>
      </c>
      <c r="L350" s="17">
        <v>0.5</v>
      </c>
      <c r="M350" s="14">
        <v>650</v>
      </c>
      <c r="N350" s="14">
        <v>27</v>
      </c>
      <c r="O350" s="14">
        <v>0</v>
      </c>
      <c r="P350" s="14">
        <v>677</v>
      </c>
      <c r="Q350">
        <v>8874</v>
      </c>
      <c r="R350">
        <v>791</v>
      </c>
      <c r="S350">
        <v>2305</v>
      </c>
    </row>
    <row r="351" spans="11:19" x14ac:dyDescent="0.3">
      <c r="K351" s="16">
        <f t="shared" si="5"/>
        <v>44030</v>
      </c>
      <c r="L351" s="17">
        <v>0.54166666666666663</v>
      </c>
      <c r="M351" s="14">
        <v>650</v>
      </c>
      <c r="N351" s="14">
        <v>0</v>
      </c>
      <c r="O351" s="14">
        <v>-467</v>
      </c>
      <c r="P351" s="14">
        <v>183</v>
      </c>
      <c r="Q351">
        <v>8597</v>
      </c>
      <c r="R351">
        <v>857</v>
      </c>
      <c r="S351">
        <v>2461</v>
      </c>
    </row>
    <row r="352" spans="11:19" x14ac:dyDescent="0.3">
      <c r="K352" s="16">
        <f t="shared" si="5"/>
        <v>44030</v>
      </c>
      <c r="L352" s="17">
        <v>0.58333333333333337</v>
      </c>
      <c r="M352" s="14">
        <v>650</v>
      </c>
      <c r="N352" s="14">
        <v>0</v>
      </c>
      <c r="O352" s="14">
        <v>-688</v>
      </c>
      <c r="P352" s="14">
        <v>-38</v>
      </c>
      <c r="Q352">
        <v>8414</v>
      </c>
      <c r="R352">
        <v>880</v>
      </c>
      <c r="S352">
        <v>2477</v>
      </c>
    </row>
    <row r="353" spans="11:19" x14ac:dyDescent="0.3">
      <c r="K353" s="16">
        <f t="shared" si="5"/>
        <v>44030</v>
      </c>
      <c r="L353" s="17">
        <v>0.625</v>
      </c>
      <c r="M353" s="14">
        <v>650</v>
      </c>
      <c r="N353" s="14">
        <v>0</v>
      </c>
      <c r="O353" s="14">
        <v>-938</v>
      </c>
      <c r="P353" s="14">
        <v>-288</v>
      </c>
      <c r="Q353">
        <v>8128</v>
      </c>
      <c r="R353">
        <v>982</v>
      </c>
      <c r="S353">
        <v>2341</v>
      </c>
    </row>
    <row r="354" spans="11:19" x14ac:dyDescent="0.3">
      <c r="K354" s="16">
        <f t="shared" si="5"/>
        <v>44030</v>
      </c>
      <c r="L354" s="17">
        <v>0.66666666666666663</v>
      </c>
      <c r="M354" s="14">
        <v>650</v>
      </c>
      <c r="N354" s="14">
        <v>0</v>
      </c>
      <c r="O354" s="14">
        <v>-972</v>
      </c>
      <c r="P354" s="14">
        <v>-322</v>
      </c>
      <c r="Q354">
        <v>7900</v>
      </c>
      <c r="R354">
        <v>1056</v>
      </c>
      <c r="S354">
        <v>2078</v>
      </c>
    </row>
    <row r="355" spans="11:19" x14ac:dyDescent="0.3">
      <c r="K355" s="16">
        <f t="shared" si="5"/>
        <v>44030</v>
      </c>
      <c r="L355" s="17">
        <v>0.70833333333333337</v>
      </c>
      <c r="M355" s="14">
        <v>650</v>
      </c>
      <c r="N355" s="14">
        <v>0</v>
      </c>
      <c r="O355" s="14">
        <v>-808</v>
      </c>
      <c r="P355" s="14">
        <v>-158</v>
      </c>
      <c r="Q355">
        <v>7798</v>
      </c>
      <c r="R355">
        <v>1173</v>
      </c>
      <c r="S355">
        <v>1701</v>
      </c>
    </row>
    <row r="356" spans="11:19" x14ac:dyDescent="0.3">
      <c r="K356" s="16">
        <f t="shared" si="5"/>
        <v>44030</v>
      </c>
      <c r="L356" s="17">
        <v>0.75</v>
      </c>
      <c r="M356" s="14">
        <v>650</v>
      </c>
      <c r="N356" s="14">
        <v>0</v>
      </c>
      <c r="O356" s="14">
        <v>-115</v>
      </c>
      <c r="P356" s="14">
        <v>535</v>
      </c>
      <c r="Q356">
        <v>7892</v>
      </c>
      <c r="R356">
        <v>1116</v>
      </c>
      <c r="S356">
        <v>1161</v>
      </c>
    </row>
    <row r="357" spans="11:19" x14ac:dyDescent="0.3">
      <c r="K357" s="16">
        <f t="shared" si="5"/>
        <v>44030</v>
      </c>
      <c r="L357" s="17">
        <v>0.79166666666666663</v>
      </c>
      <c r="M357" s="14">
        <v>650</v>
      </c>
      <c r="N357" s="14">
        <v>355</v>
      </c>
      <c r="O357" s="14">
        <v>148</v>
      </c>
      <c r="P357" s="14">
        <v>1153</v>
      </c>
      <c r="Q357">
        <v>7851</v>
      </c>
      <c r="R357">
        <v>1054</v>
      </c>
      <c r="S357">
        <v>580</v>
      </c>
    </row>
    <row r="358" spans="11:19" x14ac:dyDescent="0.3">
      <c r="K358" s="16">
        <f t="shared" si="5"/>
        <v>44030</v>
      </c>
      <c r="L358" s="17">
        <v>0.83333333333333337</v>
      </c>
      <c r="M358" s="14">
        <v>650</v>
      </c>
      <c r="N358" s="14">
        <v>0</v>
      </c>
      <c r="O358" s="14">
        <v>533</v>
      </c>
      <c r="P358" s="14">
        <v>1183</v>
      </c>
      <c r="Q358">
        <v>7490</v>
      </c>
      <c r="R358">
        <v>1064</v>
      </c>
      <c r="S358">
        <v>187</v>
      </c>
    </row>
    <row r="359" spans="11:19" x14ac:dyDescent="0.3">
      <c r="K359" s="16">
        <f t="shared" si="5"/>
        <v>44030</v>
      </c>
      <c r="L359" s="17">
        <v>0.875</v>
      </c>
      <c r="M359" s="14">
        <v>650</v>
      </c>
      <c r="N359" s="14">
        <v>0</v>
      </c>
      <c r="O359" s="14">
        <v>514</v>
      </c>
      <c r="P359" s="14">
        <v>1164</v>
      </c>
      <c r="Q359">
        <v>7420</v>
      </c>
      <c r="R359">
        <v>1185</v>
      </c>
      <c r="S359">
        <v>13</v>
      </c>
    </row>
    <row r="360" spans="11:19" x14ac:dyDescent="0.3">
      <c r="K360" s="16">
        <f t="shared" si="5"/>
        <v>44030</v>
      </c>
      <c r="L360" s="17">
        <v>0.91666666666666663</v>
      </c>
      <c r="M360" s="14">
        <v>650</v>
      </c>
      <c r="N360" s="14">
        <v>1139</v>
      </c>
      <c r="O360" s="14">
        <v>118</v>
      </c>
      <c r="P360" s="14">
        <v>1907</v>
      </c>
      <c r="Q360">
        <v>8045</v>
      </c>
      <c r="R360">
        <v>1079</v>
      </c>
      <c r="S360">
        <v>0</v>
      </c>
    </row>
    <row r="361" spans="11:19" x14ac:dyDescent="0.3">
      <c r="K361" s="16">
        <f t="shared" si="5"/>
        <v>44030</v>
      </c>
      <c r="L361" s="17">
        <v>0.95833333333333337</v>
      </c>
      <c r="M361" s="14">
        <v>650</v>
      </c>
      <c r="N361" s="14">
        <v>253</v>
      </c>
      <c r="O361" s="14">
        <v>1200</v>
      </c>
      <c r="P361" s="14">
        <v>2103</v>
      </c>
      <c r="Q361">
        <v>8195</v>
      </c>
      <c r="R361">
        <v>1047</v>
      </c>
      <c r="S361">
        <v>0</v>
      </c>
    </row>
    <row r="362" spans="11:19" x14ac:dyDescent="0.3">
      <c r="K362" s="16">
        <f t="shared" si="5"/>
        <v>44031</v>
      </c>
      <c r="L362" s="17">
        <v>0</v>
      </c>
      <c r="M362" s="14">
        <v>650</v>
      </c>
      <c r="N362" s="14">
        <v>0</v>
      </c>
      <c r="O362" s="14">
        <v>674</v>
      </c>
      <c r="P362" s="14">
        <v>1324</v>
      </c>
      <c r="Q362">
        <v>7515</v>
      </c>
      <c r="R362">
        <v>1148</v>
      </c>
      <c r="S362">
        <v>0</v>
      </c>
    </row>
    <row r="363" spans="11:19" x14ac:dyDescent="0.3">
      <c r="K363" s="16">
        <f t="shared" si="5"/>
        <v>44031</v>
      </c>
      <c r="L363" s="17">
        <v>4.1666666666666664E-2</v>
      </c>
      <c r="M363" s="14">
        <v>650</v>
      </c>
      <c r="N363" s="14">
        <v>0</v>
      </c>
      <c r="O363" s="14">
        <v>510</v>
      </c>
      <c r="P363" s="14">
        <v>1160</v>
      </c>
      <c r="Q363">
        <v>7073</v>
      </c>
      <c r="R363">
        <v>874</v>
      </c>
      <c r="S363">
        <v>0</v>
      </c>
    </row>
    <row r="364" spans="11:19" x14ac:dyDescent="0.3">
      <c r="K364" s="16">
        <f t="shared" si="5"/>
        <v>44031</v>
      </c>
      <c r="L364" s="17">
        <v>8.3333333333333329E-2</v>
      </c>
      <c r="M364" s="14">
        <v>650</v>
      </c>
      <c r="N364" s="14">
        <v>0</v>
      </c>
      <c r="O364" s="14">
        <v>342</v>
      </c>
      <c r="P364" s="14">
        <v>992</v>
      </c>
      <c r="Q364">
        <v>6698</v>
      </c>
      <c r="R364">
        <v>669</v>
      </c>
      <c r="S364">
        <v>0</v>
      </c>
    </row>
    <row r="365" spans="11:19" x14ac:dyDescent="0.3">
      <c r="K365" s="16">
        <f t="shared" si="5"/>
        <v>44031</v>
      </c>
      <c r="L365" s="17">
        <v>0.125</v>
      </c>
      <c r="M365" s="14">
        <v>650</v>
      </c>
      <c r="N365" s="14">
        <v>0</v>
      </c>
      <c r="O365" s="14">
        <v>0</v>
      </c>
      <c r="P365" s="14">
        <v>650</v>
      </c>
      <c r="Q365">
        <v>6260</v>
      </c>
      <c r="R365">
        <v>638</v>
      </c>
      <c r="S365">
        <v>0</v>
      </c>
    </row>
    <row r="366" spans="11:19" x14ac:dyDescent="0.3">
      <c r="K366" s="16">
        <f t="shared" si="5"/>
        <v>44031</v>
      </c>
      <c r="L366" s="17">
        <v>0.16666666666666666</v>
      </c>
      <c r="M366" s="14">
        <v>650</v>
      </c>
      <c r="N366" s="14">
        <v>0</v>
      </c>
      <c r="O366" s="14">
        <v>0</v>
      </c>
      <c r="P366" s="14">
        <v>650</v>
      </c>
      <c r="Q366">
        <v>6024</v>
      </c>
      <c r="R366">
        <v>644</v>
      </c>
      <c r="S366">
        <v>0</v>
      </c>
    </row>
    <row r="367" spans="11:19" x14ac:dyDescent="0.3">
      <c r="K367" s="16">
        <f t="shared" si="5"/>
        <v>44031</v>
      </c>
      <c r="L367" s="17">
        <v>0.20833333333333334</v>
      </c>
      <c r="M367" s="14">
        <v>650</v>
      </c>
      <c r="N367" s="14">
        <v>0</v>
      </c>
      <c r="O367" s="14">
        <v>0</v>
      </c>
      <c r="P367" s="14">
        <v>650</v>
      </c>
      <c r="Q367">
        <v>5926</v>
      </c>
      <c r="R367">
        <v>646</v>
      </c>
      <c r="S367">
        <v>0</v>
      </c>
    </row>
    <row r="368" spans="11:19" x14ac:dyDescent="0.3">
      <c r="K368" s="16">
        <f t="shared" si="5"/>
        <v>44031</v>
      </c>
      <c r="L368" s="17">
        <v>0.25</v>
      </c>
      <c r="M368" s="14">
        <v>650</v>
      </c>
      <c r="N368" s="14">
        <v>0</v>
      </c>
      <c r="O368" s="14">
        <v>0</v>
      </c>
      <c r="P368" s="14">
        <v>650</v>
      </c>
      <c r="Q368">
        <v>5833</v>
      </c>
      <c r="R368">
        <v>679</v>
      </c>
      <c r="S368">
        <v>32</v>
      </c>
    </row>
    <row r="369" spans="11:19" x14ac:dyDescent="0.3">
      <c r="K369" s="16">
        <f t="shared" si="5"/>
        <v>44031</v>
      </c>
      <c r="L369" s="17">
        <v>0.29166666666666669</v>
      </c>
      <c r="M369" s="14">
        <v>650</v>
      </c>
      <c r="N369" s="14">
        <v>0</v>
      </c>
      <c r="O369" s="14">
        <v>0</v>
      </c>
      <c r="P369" s="14">
        <v>650</v>
      </c>
      <c r="Q369">
        <v>6015</v>
      </c>
      <c r="R369">
        <v>641</v>
      </c>
      <c r="S369">
        <v>242</v>
      </c>
    </row>
    <row r="370" spans="11:19" x14ac:dyDescent="0.3">
      <c r="K370" s="16">
        <f t="shared" si="5"/>
        <v>44031</v>
      </c>
      <c r="L370" s="17">
        <v>0.33333333333333331</v>
      </c>
      <c r="M370" s="14">
        <v>650</v>
      </c>
      <c r="N370" s="14">
        <v>0</v>
      </c>
      <c r="O370" s="14">
        <v>0</v>
      </c>
      <c r="P370" s="14">
        <v>650</v>
      </c>
      <c r="Q370">
        <v>6479</v>
      </c>
      <c r="R370">
        <v>666</v>
      </c>
      <c r="S370">
        <v>683</v>
      </c>
    </row>
    <row r="371" spans="11:19" x14ac:dyDescent="0.3">
      <c r="K371" s="16">
        <f t="shared" si="5"/>
        <v>44031</v>
      </c>
      <c r="L371" s="17">
        <v>0.375</v>
      </c>
      <c r="M371" s="14">
        <v>650</v>
      </c>
      <c r="N371" s="14">
        <v>0</v>
      </c>
      <c r="O371" s="14">
        <v>-66</v>
      </c>
      <c r="P371" s="14">
        <v>584</v>
      </c>
      <c r="Q371">
        <v>6980</v>
      </c>
      <c r="R371">
        <v>600</v>
      </c>
      <c r="S371">
        <v>1312</v>
      </c>
    </row>
    <row r="372" spans="11:19" x14ac:dyDescent="0.3">
      <c r="K372" s="16">
        <f t="shared" si="5"/>
        <v>44031</v>
      </c>
      <c r="L372" s="17">
        <v>0.41666666666666669</v>
      </c>
      <c r="M372" s="14">
        <v>650</v>
      </c>
      <c r="N372" s="14">
        <v>0</v>
      </c>
      <c r="O372" s="14">
        <v>-301</v>
      </c>
      <c r="P372" s="14">
        <v>349</v>
      </c>
      <c r="Q372">
        <v>7328</v>
      </c>
      <c r="R372">
        <v>662</v>
      </c>
      <c r="S372">
        <v>1832</v>
      </c>
    </row>
    <row r="373" spans="11:19" x14ac:dyDescent="0.3">
      <c r="K373" s="16">
        <f t="shared" si="5"/>
        <v>44031</v>
      </c>
      <c r="L373" s="17">
        <v>0.45833333333333331</v>
      </c>
      <c r="M373" s="14">
        <v>650</v>
      </c>
      <c r="N373" s="14">
        <v>0</v>
      </c>
      <c r="O373" s="14">
        <v>-534</v>
      </c>
      <c r="P373" s="14">
        <v>116</v>
      </c>
      <c r="Q373">
        <v>7579</v>
      </c>
      <c r="R373">
        <v>786</v>
      </c>
      <c r="S373">
        <v>2192</v>
      </c>
    </row>
    <row r="374" spans="11:19" x14ac:dyDescent="0.3">
      <c r="K374" s="16">
        <f t="shared" si="5"/>
        <v>44031</v>
      </c>
      <c r="L374" s="17">
        <v>0.5</v>
      </c>
      <c r="M374" s="14">
        <v>650</v>
      </c>
      <c r="N374" s="14">
        <v>0</v>
      </c>
      <c r="O374" s="14">
        <v>0</v>
      </c>
      <c r="P374" s="14">
        <v>650</v>
      </c>
      <c r="Q374">
        <v>7917</v>
      </c>
      <c r="R374">
        <v>851</v>
      </c>
      <c r="S374">
        <v>2379</v>
      </c>
    </row>
    <row r="375" spans="11:19" x14ac:dyDescent="0.3">
      <c r="K375" s="16">
        <f t="shared" si="5"/>
        <v>44031</v>
      </c>
      <c r="L375" s="17">
        <v>0.54166666666666663</v>
      </c>
      <c r="M375" s="14">
        <v>650</v>
      </c>
      <c r="N375" s="14">
        <v>0</v>
      </c>
      <c r="O375" s="14">
        <v>-870</v>
      </c>
      <c r="P375" s="14">
        <v>-220</v>
      </c>
      <c r="Q375">
        <v>7567</v>
      </c>
      <c r="R375">
        <v>803</v>
      </c>
      <c r="S375">
        <v>2504</v>
      </c>
    </row>
    <row r="376" spans="11:19" x14ac:dyDescent="0.3">
      <c r="K376" s="16">
        <f t="shared" si="5"/>
        <v>44031</v>
      </c>
      <c r="L376" s="17">
        <v>0.58333333333333337</v>
      </c>
      <c r="M376" s="14">
        <v>650</v>
      </c>
      <c r="N376" s="14">
        <v>0</v>
      </c>
      <c r="O376" s="14">
        <v>0</v>
      </c>
      <c r="P376" s="14">
        <v>650</v>
      </c>
      <c r="Q376">
        <v>7279</v>
      </c>
      <c r="R376">
        <v>783</v>
      </c>
      <c r="S376">
        <v>2471</v>
      </c>
    </row>
    <row r="377" spans="11:19" x14ac:dyDescent="0.3">
      <c r="K377" s="16">
        <f t="shared" si="5"/>
        <v>44031</v>
      </c>
      <c r="L377" s="17">
        <v>0.625</v>
      </c>
      <c r="M377" s="14">
        <v>650</v>
      </c>
      <c r="N377" s="14">
        <v>0</v>
      </c>
      <c r="O377" s="14">
        <v>-1200</v>
      </c>
      <c r="P377" s="14">
        <v>-550</v>
      </c>
      <c r="Q377">
        <v>7005</v>
      </c>
      <c r="R377">
        <v>879</v>
      </c>
      <c r="S377">
        <v>2347</v>
      </c>
    </row>
    <row r="378" spans="11:19" x14ac:dyDescent="0.3">
      <c r="K378" s="16">
        <f t="shared" si="5"/>
        <v>44031</v>
      </c>
      <c r="L378" s="17">
        <v>0.66666666666666663</v>
      </c>
      <c r="M378" s="14">
        <v>650</v>
      </c>
      <c r="N378" s="14">
        <v>0</v>
      </c>
      <c r="O378" s="14">
        <v>-1200</v>
      </c>
      <c r="P378" s="14">
        <v>-550</v>
      </c>
      <c r="Q378">
        <v>6848</v>
      </c>
      <c r="R378">
        <v>905</v>
      </c>
      <c r="S378">
        <v>2049</v>
      </c>
    </row>
    <row r="379" spans="11:19" x14ac:dyDescent="0.3">
      <c r="K379" s="16">
        <f t="shared" si="5"/>
        <v>44031</v>
      </c>
      <c r="L379" s="17">
        <v>0.70833333333333337</v>
      </c>
      <c r="M379" s="14">
        <v>650</v>
      </c>
      <c r="N379" s="14">
        <v>0</v>
      </c>
      <c r="O379" s="14">
        <v>-963</v>
      </c>
      <c r="P379" s="14">
        <v>-313</v>
      </c>
      <c r="Q379">
        <v>6854</v>
      </c>
      <c r="R379">
        <v>1020</v>
      </c>
      <c r="S379">
        <v>1681</v>
      </c>
    </row>
    <row r="380" spans="11:19" x14ac:dyDescent="0.3">
      <c r="K380" s="16">
        <f t="shared" si="5"/>
        <v>44031</v>
      </c>
      <c r="L380" s="17">
        <v>0.75</v>
      </c>
      <c r="M380" s="14">
        <v>650</v>
      </c>
      <c r="N380" s="14">
        <v>0</v>
      </c>
      <c r="O380" s="14">
        <v>-237</v>
      </c>
      <c r="P380" s="14">
        <v>413</v>
      </c>
      <c r="Q380">
        <v>7074</v>
      </c>
      <c r="R380">
        <v>1115</v>
      </c>
      <c r="S380">
        <v>1162</v>
      </c>
    </row>
    <row r="381" spans="11:19" x14ac:dyDescent="0.3">
      <c r="K381" s="16">
        <f t="shared" si="5"/>
        <v>44031</v>
      </c>
      <c r="L381" s="17">
        <v>0.79166666666666663</v>
      </c>
      <c r="M381" s="14">
        <v>650</v>
      </c>
      <c r="N381" s="14">
        <v>0</v>
      </c>
      <c r="O381" s="14">
        <v>0</v>
      </c>
      <c r="P381" s="14">
        <v>650</v>
      </c>
      <c r="Q381">
        <v>7286</v>
      </c>
      <c r="R381">
        <v>1103</v>
      </c>
      <c r="S381">
        <v>596</v>
      </c>
    </row>
    <row r="382" spans="11:19" x14ac:dyDescent="0.3">
      <c r="K382" s="16">
        <f t="shared" si="5"/>
        <v>44031</v>
      </c>
      <c r="L382" s="17">
        <v>0.83333333333333337</v>
      </c>
      <c r="M382" s="14">
        <v>650</v>
      </c>
      <c r="N382" s="14">
        <v>0</v>
      </c>
      <c r="O382" s="14">
        <v>265</v>
      </c>
      <c r="P382" s="14">
        <v>915</v>
      </c>
      <c r="Q382">
        <v>7232</v>
      </c>
      <c r="R382">
        <v>1075</v>
      </c>
      <c r="S382">
        <v>189</v>
      </c>
    </row>
    <row r="383" spans="11:19" x14ac:dyDescent="0.3">
      <c r="K383" s="16">
        <f t="shared" si="5"/>
        <v>44031</v>
      </c>
      <c r="L383" s="17">
        <v>0.875</v>
      </c>
      <c r="M383" s="14">
        <v>650</v>
      </c>
      <c r="N383" s="14">
        <v>0</v>
      </c>
      <c r="O383" s="14">
        <v>279</v>
      </c>
      <c r="P383" s="14">
        <v>929</v>
      </c>
      <c r="Q383">
        <v>7247</v>
      </c>
      <c r="R383">
        <v>1087</v>
      </c>
      <c r="S383">
        <v>16</v>
      </c>
    </row>
    <row r="384" spans="11:19" x14ac:dyDescent="0.3">
      <c r="K384" s="16">
        <f t="shared" si="5"/>
        <v>44031</v>
      </c>
      <c r="L384" s="17">
        <v>0.91666666666666663</v>
      </c>
      <c r="M384" s="14">
        <v>650</v>
      </c>
      <c r="N384" s="14">
        <v>0</v>
      </c>
      <c r="O384" s="14">
        <v>1027</v>
      </c>
      <c r="P384" s="14">
        <v>1677</v>
      </c>
      <c r="Q384">
        <v>7849</v>
      </c>
      <c r="R384">
        <v>956</v>
      </c>
      <c r="S384">
        <v>0</v>
      </c>
    </row>
    <row r="385" spans="11:19" x14ac:dyDescent="0.3">
      <c r="K385" s="16">
        <f t="shared" si="5"/>
        <v>44031</v>
      </c>
      <c r="L385" s="17">
        <v>0.95833333333333337</v>
      </c>
      <c r="M385" s="14">
        <v>650</v>
      </c>
      <c r="N385" s="14">
        <v>67</v>
      </c>
      <c r="O385" s="14">
        <v>1200</v>
      </c>
      <c r="P385" s="14">
        <v>1917</v>
      </c>
      <c r="Q385">
        <v>8007</v>
      </c>
      <c r="R385">
        <v>887</v>
      </c>
      <c r="S385">
        <v>0</v>
      </c>
    </row>
    <row r="386" spans="11:19" x14ac:dyDescent="0.3">
      <c r="K386" s="16">
        <f t="shared" si="5"/>
        <v>44032</v>
      </c>
      <c r="L386" s="17">
        <v>0</v>
      </c>
      <c r="M386" s="14">
        <v>650</v>
      </c>
      <c r="N386" s="14">
        <v>0</v>
      </c>
      <c r="O386" s="14">
        <v>0</v>
      </c>
      <c r="P386" s="14">
        <v>650</v>
      </c>
      <c r="Q386">
        <v>7354</v>
      </c>
      <c r="R386">
        <v>906</v>
      </c>
      <c r="S386">
        <v>0</v>
      </c>
    </row>
    <row r="387" spans="11:19" x14ac:dyDescent="0.3">
      <c r="K387" s="16">
        <f t="shared" si="5"/>
        <v>44032</v>
      </c>
      <c r="L387" s="17">
        <v>4.1666666666666664E-2</v>
      </c>
      <c r="M387" s="14">
        <v>650</v>
      </c>
      <c r="N387" s="14">
        <v>401</v>
      </c>
      <c r="O387" s="14">
        <v>0</v>
      </c>
      <c r="P387" s="14">
        <v>1051</v>
      </c>
      <c r="Q387">
        <v>6955</v>
      </c>
      <c r="R387">
        <v>706</v>
      </c>
      <c r="S387">
        <v>0</v>
      </c>
    </row>
    <row r="388" spans="11:19" x14ac:dyDescent="0.3">
      <c r="K388" s="16">
        <f t="shared" si="5"/>
        <v>44032</v>
      </c>
      <c r="L388" s="17">
        <v>8.3333333333333329E-2</v>
      </c>
      <c r="M388" s="14">
        <v>650</v>
      </c>
      <c r="N388" s="14">
        <v>94</v>
      </c>
      <c r="O388" s="14">
        <v>0</v>
      </c>
      <c r="P388" s="14">
        <v>744</v>
      </c>
      <c r="Q388">
        <v>6632</v>
      </c>
      <c r="R388">
        <v>553</v>
      </c>
      <c r="S388">
        <v>0</v>
      </c>
    </row>
    <row r="389" spans="11:19" x14ac:dyDescent="0.3">
      <c r="K389" s="16">
        <f t="shared" si="5"/>
        <v>44032</v>
      </c>
      <c r="L389" s="17">
        <v>0.125</v>
      </c>
      <c r="M389" s="14">
        <v>650</v>
      </c>
      <c r="N389" s="14">
        <v>0</v>
      </c>
      <c r="O389" s="14">
        <v>-22</v>
      </c>
      <c r="P389" s="14">
        <v>628</v>
      </c>
      <c r="Q389">
        <v>6293</v>
      </c>
      <c r="R389">
        <v>550</v>
      </c>
      <c r="S389">
        <v>0</v>
      </c>
    </row>
    <row r="390" spans="11:19" x14ac:dyDescent="0.3">
      <c r="K390" s="16">
        <f t="shared" si="5"/>
        <v>44032</v>
      </c>
      <c r="L390" s="17">
        <v>0.16666666666666666</v>
      </c>
      <c r="M390" s="14">
        <v>650</v>
      </c>
      <c r="N390" s="14">
        <v>15</v>
      </c>
      <c r="O390" s="14">
        <v>0</v>
      </c>
      <c r="P390" s="14">
        <v>665</v>
      </c>
      <c r="Q390">
        <v>6294</v>
      </c>
      <c r="R390">
        <v>509</v>
      </c>
      <c r="S390">
        <v>0</v>
      </c>
    </row>
    <row r="391" spans="11:19" x14ac:dyDescent="0.3">
      <c r="K391" s="16">
        <f t="shared" si="5"/>
        <v>44032</v>
      </c>
      <c r="L391" s="17">
        <v>0.20833333333333334</v>
      </c>
      <c r="M391" s="14">
        <v>650</v>
      </c>
      <c r="N391" s="14">
        <v>450</v>
      </c>
      <c r="O391" s="14">
        <v>0</v>
      </c>
      <c r="P391" s="14">
        <v>1100</v>
      </c>
      <c r="Q391">
        <v>6685</v>
      </c>
      <c r="R391">
        <v>455</v>
      </c>
      <c r="S391">
        <v>0</v>
      </c>
    </row>
    <row r="392" spans="11:19" x14ac:dyDescent="0.3">
      <c r="K392" s="16">
        <f t="shared" si="5"/>
        <v>44032</v>
      </c>
      <c r="L392" s="17">
        <v>0.25</v>
      </c>
      <c r="M392" s="14">
        <v>650</v>
      </c>
      <c r="N392" s="14">
        <v>929</v>
      </c>
      <c r="O392" s="14">
        <v>0</v>
      </c>
      <c r="P392" s="14">
        <v>1579</v>
      </c>
      <c r="Q392">
        <v>7272</v>
      </c>
      <c r="R392">
        <v>499</v>
      </c>
      <c r="S392">
        <v>28</v>
      </c>
    </row>
    <row r="393" spans="11:19" x14ac:dyDescent="0.3">
      <c r="K393" s="16">
        <f t="shared" si="5"/>
        <v>44032</v>
      </c>
      <c r="L393" s="17">
        <v>0.29166666666666669</v>
      </c>
      <c r="M393" s="14">
        <v>650</v>
      </c>
      <c r="N393" s="14">
        <v>1347</v>
      </c>
      <c r="O393" s="14">
        <v>0</v>
      </c>
      <c r="P393" s="14">
        <v>1997</v>
      </c>
      <c r="Q393">
        <v>8003</v>
      </c>
      <c r="R393">
        <v>434</v>
      </c>
      <c r="S393">
        <v>222</v>
      </c>
    </row>
    <row r="394" spans="11:19" x14ac:dyDescent="0.3">
      <c r="K394" s="16">
        <f t="shared" si="5"/>
        <v>44032</v>
      </c>
      <c r="L394" s="17">
        <v>0.33333333333333331</v>
      </c>
      <c r="M394" s="14">
        <v>650</v>
      </c>
      <c r="N394" s="14">
        <v>1535</v>
      </c>
      <c r="O394" s="14">
        <v>0</v>
      </c>
      <c r="P394" s="14">
        <v>2185</v>
      </c>
      <c r="Q394">
        <v>8690</v>
      </c>
      <c r="R394">
        <v>471</v>
      </c>
      <c r="S394">
        <v>677</v>
      </c>
    </row>
    <row r="395" spans="11:19" x14ac:dyDescent="0.3">
      <c r="K395" s="16">
        <f t="shared" si="5"/>
        <v>44032</v>
      </c>
      <c r="L395" s="17">
        <v>0.375</v>
      </c>
      <c r="M395" s="14">
        <v>650</v>
      </c>
      <c r="N395" s="14">
        <v>0</v>
      </c>
      <c r="O395" s="14">
        <v>0</v>
      </c>
      <c r="P395" s="14">
        <v>650</v>
      </c>
      <c r="Q395">
        <v>9150</v>
      </c>
      <c r="R395">
        <v>429</v>
      </c>
      <c r="S395">
        <v>1262</v>
      </c>
    </row>
    <row r="396" spans="11:19" x14ac:dyDescent="0.3">
      <c r="K396" s="16">
        <f t="shared" si="5"/>
        <v>44032</v>
      </c>
      <c r="L396" s="17">
        <v>0.41666666666666669</v>
      </c>
      <c r="M396" s="14">
        <v>650</v>
      </c>
      <c r="N396" s="14">
        <v>0</v>
      </c>
      <c r="O396" s="14">
        <v>0</v>
      </c>
      <c r="P396" s="14">
        <v>650</v>
      </c>
      <c r="Q396">
        <v>9399</v>
      </c>
      <c r="R396">
        <v>454</v>
      </c>
      <c r="S396">
        <v>1774</v>
      </c>
    </row>
    <row r="397" spans="11:19" x14ac:dyDescent="0.3">
      <c r="K397" s="16">
        <f t="shared" si="5"/>
        <v>44032</v>
      </c>
      <c r="L397" s="17">
        <v>0.45833333333333331</v>
      </c>
      <c r="M397" s="14">
        <v>650</v>
      </c>
      <c r="N397" s="14">
        <v>0</v>
      </c>
      <c r="O397" s="14">
        <v>0</v>
      </c>
      <c r="P397" s="14">
        <v>650</v>
      </c>
      <c r="Q397">
        <v>9629</v>
      </c>
      <c r="R397">
        <v>496</v>
      </c>
      <c r="S397">
        <v>2066</v>
      </c>
    </row>
    <row r="398" spans="11:19" x14ac:dyDescent="0.3">
      <c r="K398" s="16">
        <f t="shared" si="5"/>
        <v>44032</v>
      </c>
      <c r="L398" s="17">
        <v>0.5</v>
      </c>
      <c r="M398" s="14">
        <v>650</v>
      </c>
      <c r="N398" s="14">
        <v>1259</v>
      </c>
      <c r="O398" s="14">
        <v>0</v>
      </c>
      <c r="P398" s="14">
        <v>1909</v>
      </c>
      <c r="Q398">
        <v>9767</v>
      </c>
      <c r="R398">
        <v>539</v>
      </c>
      <c r="S398">
        <v>2212</v>
      </c>
    </row>
    <row r="399" spans="11:19" x14ac:dyDescent="0.3">
      <c r="K399" s="16">
        <f t="shared" si="5"/>
        <v>44032</v>
      </c>
      <c r="L399" s="17">
        <v>0.54166666666666663</v>
      </c>
      <c r="M399" s="14">
        <v>650</v>
      </c>
      <c r="N399" s="14">
        <v>1122</v>
      </c>
      <c r="O399" s="14">
        <v>0</v>
      </c>
      <c r="P399" s="14">
        <v>1772</v>
      </c>
      <c r="Q399">
        <v>9673</v>
      </c>
      <c r="R399">
        <v>471</v>
      </c>
      <c r="S399">
        <v>2327</v>
      </c>
    </row>
    <row r="400" spans="11:19" x14ac:dyDescent="0.3">
      <c r="K400" s="16">
        <f t="shared" si="5"/>
        <v>44032</v>
      </c>
      <c r="L400" s="17">
        <v>0.58333333333333337</v>
      </c>
      <c r="M400" s="14">
        <v>650</v>
      </c>
      <c r="N400" s="14">
        <v>1216</v>
      </c>
      <c r="O400" s="14">
        <v>0</v>
      </c>
      <c r="P400" s="14">
        <v>1866</v>
      </c>
      <c r="Q400">
        <v>9616</v>
      </c>
      <c r="R400">
        <v>395</v>
      </c>
      <c r="S400">
        <v>2253</v>
      </c>
    </row>
    <row r="401" spans="11:19" x14ac:dyDescent="0.3">
      <c r="K401" s="16">
        <f t="shared" si="5"/>
        <v>44032</v>
      </c>
      <c r="L401" s="17">
        <v>0.625</v>
      </c>
      <c r="M401" s="14">
        <v>650</v>
      </c>
      <c r="N401" s="14">
        <v>988</v>
      </c>
      <c r="O401" s="14">
        <v>0</v>
      </c>
      <c r="P401" s="14">
        <v>1638</v>
      </c>
      <c r="Q401">
        <v>9384</v>
      </c>
      <c r="R401">
        <v>481</v>
      </c>
      <c r="S401">
        <v>2162</v>
      </c>
    </row>
    <row r="402" spans="11:19" x14ac:dyDescent="0.3">
      <c r="K402" s="16">
        <f t="shared" si="5"/>
        <v>44032</v>
      </c>
      <c r="L402" s="17">
        <v>0.66666666666666663</v>
      </c>
      <c r="M402" s="14">
        <v>650</v>
      </c>
      <c r="N402" s="14">
        <v>955</v>
      </c>
      <c r="O402" s="14">
        <v>0</v>
      </c>
      <c r="P402" s="14">
        <v>1605</v>
      </c>
      <c r="Q402">
        <v>9170</v>
      </c>
      <c r="R402">
        <v>497</v>
      </c>
      <c r="S402">
        <v>1968</v>
      </c>
    </row>
    <row r="403" spans="11:19" x14ac:dyDescent="0.3">
      <c r="K403" s="16">
        <f t="shared" si="5"/>
        <v>44032</v>
      </c>
      <c r="L403" s="17">
        <v>0.70833333333333337</v>
      </c>
      <c r="M403" s="14">
        <v>650</v>
      </c>
      <c r="N403" s="14">
        <v>1141</v>
      </c>
      <c r="O403" s="14">
        <v>0</v>
      </c>
      <c r="P403" s="14">
        <v>1791</v>
      </c>
      <c r="Q403">
        <v>9025</v>
      </c>
      <c r="R403">
        <v>528</v>
      </c>
      <c r="S403">
        <v>1610</v>
      </c>
    </row>
    <row r="404" spans="11:19" x14ac:dyDescent="0.3">
      <c r="K404" s="16">
        <f t="shared" si="5"/>
        <v>44032</v>
      </c>
      <c r="L404" s="17">
        <v>0.75</v>
      </c>
      <c r="M404" s="14">
        <v>650</v>
      </c>
      <c r="N404" s="14">
        <v>1710</v>
      </c>
      <c r="O404" s="14">
        <v>0</v>
      </c>
      <c r="P404" s="14">
        <v>2360</v>
      </c>
      <c r="Q404">
        <v>9150</v>
      </c>
      <c r="R404">
        <v>563</v>
      </c>
      <c r="S404">
        <v>1135</v>
      </c>
    </row>
    <row r="405" spans="11:19" x14ac:dyDescent="0.3">
      <c r="K405" s="16">
        <f t="shared" si="5"/>
        <v>44032</v>
      </c>
      <c r="L405" s="17">
        <v>0.79166666666666663</v>
      </c>
      <c r="M405" s="14">
        <v>650</v>
      </c>
      <c r="N405" s="14">
        <v>2055</v>
      </c>
      <c r="O405" s="14">
        <v>0</v>
      </c>
      <c r="P405" s="14">
        <v>2705</v>
      </c>
      <c r="Q405">
        <v>9095</v>
      </c>
      <c r="R405">
        <v>754</v>
      </c>
      <c r="S405">
        <v>562</v>
      </c>
    </row>
    <row r="406" spans="11:19" x14ac:dyDescent="0.3">
      <c r="K406" s="16">
        <f t="shared" si="5"/>
        <v>44032</v>
      </c>
      <c r="L406" s="17">
        <v>0.83333333333333337</v>
      </c>
      <c r="M406" s="14">
        <v>650</v>
      </c>
      <c r="N406" s="14">
        <v>1979</v>
      </c>
      <c r="O406" s="14">
        <v>0</v>
      </c>
      <c r="P406" s="14">
        <v>2629</v>
      </c>
      <c r="Q406">
        <v>8592</v>
      </c>
      <c r="R406">
        <v>727</v>
      </c>
      <c r="S406">
        <v>175</v>
      </c>
    </row>
    <row r="407" spans="11:19" x14ac:dyDescent="0.3">
      <c r="K407" s="16">
        <f t="shared" si="5"/>
        <v>44032</v>
      </c>
      <c r="L407" s="17">
        <v>0.875</v>
      </c>
      <c r="M407" s="14">
        <v>650</v>
      </c>
      <c r="N407" s="14">
        <v>1876</v>
      </c>
      <c r="O407" s="14">
        <v>0</v>
      </c>
      <c r="P407" s="14">
        <v>2526</v>
      </c>
      <c r="Q407">
        <v>8297</v>
      </c>
      <c r="R407">
        <v>704</v>
      </c>
      <c r="S407">
        <v>13</v>
      </c>
    </row>
    <row r="408" spans="11:19" x14ac:dyDescent="0.3">
      <c r="K408" s="16">
        <f t="shared" si="5"/>
        <v>44032</v>
      </c>
      <c r="L408" s="17">
        <v>0.91666666666666663</v>
      </c>
      <c r="M408" s="14">
        <v>650</v>
      </c>
      <c r="N408" s="14">
        <v>2100</v>
      </c>
      <c r="O408" s="14">
        <v>18</v>
      </c>
      <c r="P408" s="14">
        <v>2768</v>
      </c>
      <c r="Q408">
        <v>8741</v>
      </c>
      <c r="R408">
        <v>638</v>
      </c>
      <c r="S408">
        <v>0</v>
      </c>
    </row>
    <row r="409" spans="11:19" x14ac:dyDescent="0.3">
      <c r="K409" s="16">
        <f t="shared" si="5"/>
        <v>44032</v>
      </c>
      <c r="L409" s="17">
        <v>0.95833333333333337</v>
      </c>
      <c r="M409" s="14">
        <v>650</v>
      </c>
      <c r="N409" s="14">
        <v>2100</v>
      </c>
      <c r="O409" s="14">
        <v>0</v>
      </c>
      <c r="P409" s="14">
        <v>2750</v>
      </c>
      <c r="Q409">
        <v>8743</v>
      </c>
      <c r="R409">
        <v>520</v>
      </c>
      <c r="S409">
        <v>0</v>
      </c>
    </row>
    <row r="410" spans="11:19" x14ac:dyDescent="0.3">
      <c r="K410" s="16">
        <f t="shared" si="5"/>
        <v>44033</v>
      </c>
      <c r="L410" s="17">
        <v>0</v>
      </c>
      <c r="M410" s="14">
        <v>650</v>
      </c>
      <c r="N410" s="14">
        <v>1729</v>
      </c>
      <c r="O410" s="14">
        <v>0</v>
      </c>
      <c r="P410" s="14">
        <v>2379</v>
      </c>
      <c r="Q410">
        <v>8026</v>
      </c>
      <c r="R410">
        <v>526</v>
      </c>
      <c r="S410">
        <v>0</v>
      </c>
    </row>
    <row r="411" spans="11:19" x14ac:dyDescent="0.3">
      <c r="K411" s="16">
        <f t="shared" ref="K411:K474" si="6">K387+1</f>
        <v>44033</v>
      </c>
      <c r="L411" s="17">
        <v>4.1666666666666664E-2</v>
      </c>
      <c r="M411" s="14">
        <v>650</v>
      </c>
      <c r="N411" s="14">
        <v>1526</v>
      </c>
      <c r="O411" s="14">
        <v>0</v>
      </c>
      <c r="P411" s="14">
        <v>2176</v>
      </c>
      <c r="Q411">
        <v>7621</v>
      </c>
      <c r="R411">
        <v>325</v>
      </c>
      <c r="S411">
        <v>0</v>
      </c>
    </row>
    <row r="412" spans="11:19" x14ac:dyDescent="0.3">
      <c r="K412" s="16">
        <f t="shared" si="6"/>
        <v>44033</v>
      </c>
      <c r="L412" s="17">
        <v>8.3333333333333329E-2</v>
      </c>
      <c r="M412" s="14">
        <v>650</v>
      </c>
      <c r="N412" s="14">
        <v>1192</v>
      </c>
      <c r="O412" s="14">
        <v>0</v>
      </c>
      <c r="P412" s="14">
        <v>1842</v>
      </c>
      <c r="Q412">
        <v>7305</v>
      </c>
      <c r="R412">
        <v>346</v>
      </c>
      <c r="S412">
        <v>0</v>
      </c>
    </row>
    <row r="413" spans="11:19" x14ac:dyDescent="0.3">
      <c r="K413" s="16">
        <f t="shared" si="6"/>
        <v>44033</v>
      </c>
      <c r="L413" s="17">
        <v>0.125</v>
      </c>
      <c r="M413" s="14">
        <v>650</v>
      </c>
      <c r="N413" s="14">
        <v>662</v>
      </c>
      <c r="O413" s="14">
        <v>0</v>
      </c>
      <c r="P413" s="14">
        <v>1312</v>
      </c>
      <c r="Q413">
        <v>6936</v>
      </c>
      <c r="R413">
        <v>347</v>
      </c>
      <c r="S413">
        <v>0</v>
      </c>
    </row>
    <row r="414" spans="11:19" x14ac:dyDescent="0.3">
      <c r="K414" s="16">
        <f t="shared" si="6"/>
        <v>44033</v>
      </c>
      <c r="L414" s="17">
        <v>0.16666666666666666</v>
      </c>
      <c r="M414" s="14">
        <v>650</v>
      </c>
      <c r="N414" s="14">
        <v>629</v>
      </c>
      <c r="O414" s="14">
        <v>0</v>
      </c>
      <c r="P414" s="14">
        <v>1279</v>
      </c>
      <c r="Q414">
        <v>6859</v>
      </c>
      <c r="R414">
        <v>298</v>
      </c>
      <c r="S414">
        <v>0</v>
      </c>
    </row>
    <row r="415" spans="11:19" x14ac:dyDescent="0.3">
      <c r="K415" s="16">
        <f t="shared" si="6"/>
        <v>44033</v>
      </c>
      <c r="L415" s="17">
        <v>0.20833333333333334</v>
      </c>
      <c r="M415" s="14">
        <v>650</v>
      </c>
      <c r="N415" s="14">
        <v>891</v>
      </c>
      <c r="O415" s="14">
        <v>0</v>
      </c>
      <c r="P415" s="14">
        <v>1541</v>
      </c>
      <c r="Q415">
        <v>7147</v>
      </c>
      <c r="R415">
        <v>314</v>
      </c>
      <c r="S415">
        <v>0</v>
      </c>
    </row>
    <row r="416" spans="11:19" x14ac:dyDescent="0.3">
      <c r="K416" s="16">
        <f t="shared" si="6"/>
        <v>44033</v>
      </c>
      <c r="L416" s="17">
        <v>0.25</v>
      </c>
      <c r="M416" s="14">
        <v>650</v>
      </c>
      <c r="N416" s="14">
        <v>0</v>
      </c>
      <c r="O416" s="14">
        <v>0</v>
      </c>
      <c r="P416" s="14">
        <v>650</v>
      </c>
      <c r="Q416">
        <v>7661</v>
      </c>
      <c r="R416">
        <v>265</v>
      </c>
      <c r="S416">
        <v>31</v>
      </c>
    </row>
    <row r="417" spans="11:19" x14ac:dyDescent="0.3">
      <c r="K417" s="16">
        <f t="shared" si="6"/>
        <v>44033</v>
      </c>
      <c r="L417" s="17">
        <v>0.29166666666666669</v>
      </c>
      <c r="M417" s="14">
        <v>650</v>
      </c>
      <c r="N417" s="14">
        <v>1778</v>
      </c>
      <c r="O417" s="14">
        <v>0</v>
      </c>
      <c r="P417" s="14">
        <v>2428</v>
      </c>
      <c r="Q417">
        <v>8339</v>
      </c>
      <c r="R417">
        <v>329</v>
      </c>
      <c r="S417">
        <v>230</v>
      </c>
    </row>
    <row r="418" spans="11:19" x14ac:dyDescent="0.3">
      <c r="K418" s="16">
        <f t="shared" si="6"/>
        <v>44033</v>
      </c>
      <c r="L418" s="17">
        <v>0.33333333333333331</v>
      </c>
      <c r="M418" s="14">
        <v>650</v>
      </c>
      <c r="N418" s="14">
        <v>1891</v>
      </c>
      <c r="O418" s="14">
        <v>0</v>
      </c>
      <c r="P418" s="14">
        <v>2541</v>
      </c>
      <c r="Q418">
        <v>8989</v>
      </c>
      <c r="R418">
        <v>400</v>
      </c>
      <c r="S418">
        <v>688</v>
      </c>
    </row>
    <row r="419" spans="11:19" x14ac:dyDescent="0.3">
      <c r="K419" s="16">
        <f t="shared" si="6"/>
        <v>44033</v>
      </c>
      <c r="L419" s="17">
        <v>0.375</v>
      </c>
      <c r="M419" s="14">
        <v>650</v>
      </c>
      <c r="N419" s="14">
        <v>1605</v>
      </c>
      <c r="O419" s="14">
        <v>0</v>
      </c>
      <c r="P419" s="14">
        <v>2255</v>
      </c>
      <c r="Q419">
        <v>9429</v>
      </c>
      <c r="R419">
        <v>507</v>
      </c>
      <c r="S419">
        <v>1309</v>
      </c>
    </row>
    <row r="420" spans="11:19" x14ac:dyDescent="0.3">
      <c r="K420" s="16">
        <f t="shared" si="6"/>
        <v>44033</v>
      </c>
      <c r="L420" s="17">
        <v>0.41666666666666669</v>
      </c>
      <c r="M420" s="14">
        <v>650</v>
      </c>
      <c r="N420" s="14">
        <v>1344</v>
      </c>
      <c r="O420" s="14">
        <v>0</v>
      </c>
      <c r="P420" s="14">
        <v>1994</v>
      </c>
      <c r="Q420">
        <v>9664</v>
      </c>
      <c r="R420">
        <v>541</v>
      </c>
      <c r="S420">
        <v>1773</v>
      </c>
    </row>
    <row r="421" spans="11:19" x14ac:dyDescent="0.3">
      <c r="K421" s="16">
        <f t="shared" si="6"/>
        <v>44033</v>
      </c>
      <c r="L421" s="17">
        <v>0.45833333333333331</v>
      </c>
      <c r="M421" s="14">
        <v>650</v>
      </c>
      <c r="N421" s="14">
        <v>0</v>
      </c>
      <c r="O421" s="14">
        <v>0</v>
      </c>
      <c r="P421" s="14">
        <v>650</v>
      </c>
      <c r="Q421">
        <v>9880</v>
      </c>
      <c r="R421">
        <v>634</v>
      </c>
      <c r="S421">
        <v>2102</v>
      </c>
    </row>
    <row r="422" spans="11:19" x14ac:dyDescent="0.3">
      <c r="K422" s="16">
        <f t="shared" si="6"/>
        <v>44033</v>
      </c>
      <c r="L422" s="17">
        <v>0.5</v>
      </c>
      <c r="M422" s="14">
        <v>650</v>
      </c>
      <c r="N422" s="14">
        <v>1138</v>
      </c>
      <c r="O422" s="14">
        <v>0</v>
      </c>
      <c r="P422" s="14">
        <v>1788</v>
      </c>
      <c r="Q422">
        <v>9966</v>
      </c>
      <c r="R422">
        <v>660</v>
      </c>
      <c r="S422">
        <v>2168</v>
      </c>
    </row>
    <row r="423" spans="11:19" x14ac:dyDescent="0.3">
      <c r="K423" s="16">
        <f t="shared" si="6"/>
        <v>44033</v>
      </c>
      <c r="L423" s="17">
        <v>0.54166666666666663</v>
      </c>
      <c r="M423" s="14">
        <v>650</v>
      </c>
      <c r="N423" s="14">
        <v>1086</v>
      </c>
      <c r="O423" s="14">
        <v>0</v>
      </c>
      <c r="P423" s="14">
        <v>1736</v>
      </c>
      <c r="Q423">
        <v>9844</v>
      </c>
      <c r="R423">
        <v>580</v>
      </c>
      <c r="S423">
        <v>2262</v>
      </c>
    </row>
    <row r="424" spans="11:19" x14ac:dyDescent="0.3">
      <c r="K424" s="16">
        <f t="shared" si="6"/>
        <v>44033</v>
      </c>
      <c r="L424" s="17">
        <v>0.58333333333333337</v>
      </c>
      <c r="M424" s="14">
        <v>650</v>
      </c>
      <c r="N424" s="14">
        <v>1003</v>
      </c>
      <c r="O424" s="14">
        <v>0</v>
      </c>
      <c r="P424" s="14">
        <v>1653</v>
      </c>
      <c r="Q424">
        <v>9796</v>
      </c>
      <c r="R424">
        <v>604</v>
      </c>
      <c r="S424">
        <v>2273</v>
      </c>
    </row>
    <row r="425" spans="11:19" x14ac:dyDescent="0.3">
      <c r="K425" s="16">
        <f t="shared" si="6"/>
        <v>44033</v>
      </c>
      <c r="L425" s="17">
        <v>0.625</v>
      </c>
      <c r="M425" s="14">
        <v>650</v>
      </c>
      <c r="N425" s="14">
        <v>873</v>
      </c>
      <c r="O425" s="14">
        <v>0</v>
      </c>
      <c r="P425" s="14">
        <v>1523</v>
      </c>
      <c r="Q425">
        <v>9551</v>
      </c>
      <c r="R425">
        <v>596</v>
      </c>
      <c r="S425">
        <v>2166</v>
      </c>
    </row>
    <row r="426" spans="11:19" x14ac:dyDescent="0.3">
      <c r="K426" s="16">
        <f t="shared" si="6"/>
        <v>44033</v>
      </c>
      <c r="L426" s="17">
        <v>0.66666666666666663</v>
      </c>
      <c r="M426" s="14">
        <v>650</v>
      </c>
      <c r="N426" s="14">
        <v>772</v>
      </c>
      <c r="O426" s="14">
        <v>0</v>
      </c>
      <c r="P426" s="14">
        <v>1422</v>
      </c>
      <c r="Q426">
        <v>9331</v>
      </c>
      <c r="R426">
        <v>656</v>
      </c>
      <c r="S426">
        <v>1991</v>
      </c>
    </row>
    <row r="427" spans="11:19" x14ac:dyDescent="0.3">
      <c r="K427" s="16">
        <f t="shared" si="6"/>
        <v>44033</v>
      </c>
      <c r="L427" s="17">
        <v>0.70833333333333337</v>
      </c>
      <c r="M427" s="14">
        <v>650</v>
      </c>
      <c r="N427" s="14">
        <v>838</v>
      </c>
      <c r="O427" s="14">
        <v>0</v>
      </c>
      <c r="P427" s="14">
        <v>1488</v>
      </c>
      <c r="Q427">
        <v>9180</v>
      </c>
      <c r="R427">
        <v>808</v>
      </c>
      <c r="S427">
        <v>1625</v>
      </c>
    </row>
    <row r="428" spans="11:19" x14ac:dyDescent="0.3">
      <c r="K428" s="16">
        <f t="shared" si="6"/>
        <v>44033</v>
      </c>
      <c r="L428" s="17">
        <v>0.75</v>
      </c>
      <c r="M428" s="14">
        <v>650</v>
      </c>
      <c r="N428" s="14">
        <v>1604</v>
      </c>
      <c r="O428" s="14">
        <v>0</v>
      </c>
      <c r="P428" s="14">
        <v>2254</v>
      </c>
      <c r="Q428">
        <v>9297</v>
      </c>
      <c r="R428">
        <v>824</v>
      </c>
      <c r="S428">
        <v>1124</v>
      </c>
    </row>
    <row r="429" spans="11:19" x14ac:dyDescent="0.3">
      <c r="K429" s="16">
        <f t="shared" si="6"/>
        <v>44033</v>
      </c>
      <c r="L429" s="17">
        <v>0.79166666666666663</v>
      </c>
      <c r="M429" s="14">
        <v>650</v>
      </c>
      <c r="N429" s="14">
        <v>1919</v>
      </c>
      <c r="O429" s="14">
        <v>0</v>
      </c>
      <c r="P429" s="14">
        <v>2569</v>
      </c>
      <c r="Q429">
        <v>9163</v>
      </c>
      <c r="R429">
        <v>955</v>
      </c>
      <c r="S429">
        <v>562</v>
      </c>
    </row>
    <row r="430" spans="11:19" x14ac:dyDescent="0.3">
      <c r="K430" s="16">
        <f t="shared" si="6"/>
        <v>44033</v>
      </c>
      <c r="L430" s="17">
        <v>0.83333333333333337</v>
      </c>
      <c r="M430" s="14">
        <v>650</v>
      </c>
      <c r="N430" s="14">
        <v>1851</v>
      </c>
      <c r="O430" s="14">
        <v>0</v>
      </c>
      <c r="P430" s="14">
        <v>2501</v>
      </c>
      <c r="Q430">
        <v>8659</v>
      </c>
      <c r="R430">
        <v>925</v>
      </c>
      <c r="S430">
        <v>169</v>
      </c>
    </row>
    <row r="431" spans="11:19" x14ac:dyDescent="0.3">
      <c r="K431" s="16">
        <f t="shared" si="6"/>
        <v>44033</v>
      </c>
      <c r="L431" s="17">
        <v>0.875</v>
      </c>
      <c r="M431" s="14">
        <v>650</v>
      </c>
      <c r="N431" s="14">
        <v>1834</v>
      </c>
      <c r="O431" s="14">
        <v>0</v>
      </c>
      <c r="P431" s="14">
        <v>2484</v>
      </c>
      <c r="Q431">
        <v>8371</v>
      </c>
      <c r="R431">
        <v>819</v>
      </c>
      <c r="S431">
        <v>11</v>
      </c>
    </row>
    <row r="432" spans="11:19" x14ac:dyDescent="0.3">
      <c r="K432" s="16">
        <f t="shared" si="6"/>
        <v>44033</v>
      </c>
      <c r="L432" s="17">
        <v>0.91666666666666663</v>
      </c>
      <c r="M432" s="14">
        <v>650</v>
      </c>
      <c r="N432" s="14">
        <v>2190</v>
      </c>
      <c r="O432" s="14">
        <v>0</v>
      </c>
      <c r="P432" s="14">
        <v>2840</v>
      </c>
      <c r="Q432">
        <v>8790</v>
      </c>
      <c r="R432">
        <v>897</v>
      </c>
      <c r="S432">
        <v>0</v>
      </c>
    </row>
    <row r="433" spans="11:19" x14ac:dyDescent="0.3">
      <c r="K433" s="16">
        <f t="shared" si="6"/>
        <v>44033</v>
      </c>
      <c r="L433" s="17">
        <v>0.95833333333333337</v>
      </c>
      <c r="M433" s="14">
        <v>650</v>
      </c>
      <c r="N433" s="14">
        <v>0</v>
      </c>
      <c r="O433" s="14">
        <v>0</v>
      </c>
      <c r="P433" s="14">
        <v>650</v>
      </c>
      <c r="Q433">
        <v>8795</v>
      </c>
      <c r="R433">
        <v>796</v>
      </c>
      <c r="S433">
        <v>0</v>
      </c>
    </row>
    <row r="434" spans="11:19" x14ac:dyDescent="0.3">
      <c r="K434" s="16">
        <f t="shared" si="6"/>
        <v>44034</v>
      </c>
      <c r="L434" s="17">
        <v>0</v>
      </c>
      <c r="M434" s="14">
        <v>650</v>
      </c>
      <c r="N434" s="14">
        <v>0</v>
      </c>
      <c r="O434" s="14">
        <v>0</v>
      </c>
      <c r="P434" s="14">
        <v>650</v>
      </c>
      <c r="Q434">
        <v>8051</v>
      </c>
      <c r="R434">
        <v>912</v>
      </c>
      <c r="S434">
        <v>0</v>
      </c>
    </row>
    <row r="435" spans="11:19" x14ac:dyDescent="0.3">
      <c r="K435" s="16">
        <f t="shared" si="6"/>
        <v>44034</v>
      </c>
      <c r="L435" s="17">
        <v>4.1666666666666664E-2</v>
      </c>
      <c r="M435" s="14">
        <v>650</v>
      </c>
      <c r="N435" s="14">
        <v>967</v>
      </c>
      <c r="O435" s="14">
        <v>0</v>
      </c>
      <c r="P435" s="14">
        <v>1617</v>
      </c>
      <c r="Q435">
        <v>7645</v>
      </c>
      <c r="R435">
        <v>667</v>
      </c>
      <c r="S435">
        <v>0</v>
      </c>
    </row>
    <row r="436" spans="11:19" x14ac:dyDescent="0.3">
      <c r="K436" s="16">
        <f t="shared" si="6"/>
        <v>44034</v>
      </c>
      <c r="L436" s="17">
        <v>8.3333333333333329E-2</v>
      </c>
      <c r="M436" s="14">
        <v>650</v>
      </c>
      <c r="N436" s="14">
        <v>0</v>
      </c>
      <c r="O436" s="14">
        <v>0</v>
      </c>
      <c r="P436" s="14">
        <v>650</v>
      </c>
      <c r="Q436">
        <v>7328</v>
      </c>
      <c r="R436">
        <v>694</v>
      </c>
      <c r="S436">
        <v>0</v>
      </c>
    </row>
    <row r="437" spans="11:19" x14ac:dyDescent="0.3">
      <c r="K437" s="16">
        <f t="shared" si="6"/>
        <v>44034</v>
      </c>
      <c r="L437" s="17">
        <v>0.125</v>
      </c>
      <c r="M437" s="14">
        <v>650</v>
      </c>
      <c r="N437" s="14">
        <v>207</v>
      </c>
      <c r="O437" s="14">
        <v>0</v>
      </c>
      <c r="P437" s="14">
        <v>857</v>
      </c>
      <c r="Q437">
        <v>6959</v>
      </c>
      <c r="R437">
        <v>745</v>
      </c>
      <c r="S437">
        <v>0</v>
      </c>
    </row>
    <row r="438" spans="11:19" x14ac:dyDescent="0.3">
      <c r="K438" s="16">
        <f t="shared" si="6"/>
        <v>44034</v>
      </c>
      <c r="L438" s="17">
        <v>0.16666666666666666</v>
      </c>
      <c r="M438" s="14">
        <v>650</v>
      </c>
      <c r="N438" s="14">
        <v>0</v>
      </c>
      <c r="O438" s="14">
        <v>0</v>
      </c>
      <c r="P438" s="14">
        <v>650</v>
      </c>
      <c r="Q438">
        <v>6881</v>
      </c>
      <c r="R438">
        <v>602</v>
      </c>
      <c r="S438">
        <v>0</v>
      </c>
    </row>
    <row r="439" spans="11:19" x14ac:dyDescent="0.3">
      <c r="K439" s="16">
        <f t="shared" si="6"/>
        <v>44034</v>
      </c>
      <c r="L439" s="17">
        <v>0.20833333333333334</v>
      </c>
      <c r="M439" s="14">
        <v>650</v>
      </c>
      <c r="N439" s="14">
        <v>830</v>
      </c>
      <c r="O439" s="14">
        <v>0</v>
      </c>
      <c r="P439" s="14">
        <v>1480</v>
      </c>
      <c r="Q439">
        <v>7166</v>
      </c>
      <c r="R439">
        <v>553</v>
      </c>
      <c r="S439">
        <v>0</v>
      </c>
    </row>
    <row r="440" spans="11:19" x14ac:dyDescent="0.3">
      <c r="K440" s="16">
        <f t="shared" si="6"/>
        <v>44034</v>
      </c>
      <c r="L440" s="17">
        <v>0.25</v>
      </c>
      <c r="M440" s="14">
        <v>650</v>
      </c>
      <c r="N440" s="14">
        <v>1322</v>
      </c>
      <c r="O440" s="14">
        <v>0</v>
      </c>
      <c r="P440" s="14">
        <v>1972</v>
      </c>
      <c r="Q440">
        <v>7678</v>
      </c>
      <c r="R440">
        <v>509</v>
      </c>
      <c r="S440">
        <v>27</v>
      </c>
    </row>
    <row r="441" spans="11:19" x14ac:dyDescent="0.3">
      <c r="K441" s="16">
        <f t="shared" si="6"/>
        <v>44034</v>
      </c>
      <c r="L441" s="17">
        <v>0.29166666666666669</v>
      </c>
      <c r="M441" s="14">
        <v>650</v>
      </c>
      <c r="N441" s="14">
        <v>1798</v>
      </c>
      <c r="O441" s="14">
        <v>0</v>
      </c>
      <c r="P441" s="14">
        <v>2448</v>
      </c>
      <c r="Q441">
        <v>8358</v>
      </c>
      <c r="R441">
        <v>493</v>
      </c>
      <c r="S441">
        <v>223</v>
      </c>
    </row>
    <row r="442" spans="11:19" x14ac:dyDescent="0.3">
      <c r="K442" s="16">
        <f t="shared" si="6"/>
        <v>44034</v>
      </c>
      <c r="L442" s="17">
        <v>0.33333333333333331</v>
      </c>
      <c r="M442" s="14">
        <v>650</v>
      </c>
      <c r="N442" s="14">
        <v>1881</v>
      </c>
      <c r="O442" s="14">
        <v>0</v>
      </c>
      <c r="P442" s="14">
        <v>2531</v>
      </c>
      <c r="Q442">
        <v>9008</v>
      </c>
      <c r="R442">
        <v>592</v>
      </c>
      <c r="S442">
        <v>683</v>
      </c>
    </row>
    <row r="443" spans="11:19" x14ac:dyDescent="0.3">
      <c r="K443" s="16">
        <f t="shared" si="6"/>
        <v>44034</v>
      </c>
      <c r="L443" s="17">
        <v>0.375</v>
      </c>
      <c r="M443" s="14">
        <v>650</v>
      </c>
      <c r="N443" s="14">
        <v>1540</v>
      </c>
      <c r="O443" s="14">
        <v>0</v>
      </c>
      <c r="P443" s="14">
        <v>2190</v>
      </c>
      <c r="Q443">
        <v>9452</v>
      </c>
      <c r="R443">
        <v>510</v>
      </c>
      <c r="S443">
        <v>1312</v>
      </c>
    </row>
    <row r="444" spans="11:19" x14ac:dyDescent="0.3">
      <c r="K444" s="16">
        <f t="shared" si="6"/>
        <v>44034</v>
      </c>
      <c r="L444" s="17">
        <v>0.41666666666666669</v>
      </c>
      <c r="M444" s="14">
        <v>650</v>
      </c>
      <c r="N444" s="14">
        <v>0</v>
      </c>
      <c r="O444" s="14">
        <v>0</v>
      </c>
      <c r="P444" s="14">
        <v>650</v>
      </c>
      <c r="Q444">
        <v>9692</v>
      </c>
      <c r="R444">
        <v>621</v>
      </c>
      <c r="S444">
        <v>1797</v>
      </c>
    </row>
    <row r="445" spans="11:19" x14ac:dyDescent="0.3">
      <c r="K445" s="16">
        <f t="shared" si="6"/>
        <v>44034</v>
      </c>
      <c r="L445" s="17">
        <v>0.45833333333333331</v>
      </c>
      <c r="M445" s="14">
        <v>650</v>
      </c>
      <c r="N445" s="14">
        <v>978</v>
      </c>
      <c r="O445" s="14">
        <v>0</v>
      </c>
      <c r="P445" s="14">
        <v>1628</v>
      </c>
      <c r="Q445">
        <v>9913</v>
      </c>
      <c r="R445">
        <v>693</v>
      </c>
      <c r="S445">
        <v>2156</v>
      </c>
    </row>
    <row r="446" spans="11:19" x14ac:dyDescent="0.3">
      <c r="K446" s="16">
        <f t="shared" si="6"/>
        <v>44034</v>
      </c>
      <c r="L446" s="17">
        <v>0.5</v>
      </c>
      <c r="M446" s="14">
        <v>650</v>
      </c>
      <c r="N446" s="14">
        <v>0</v>
      </c>
      <c r="O446" s="14">
        <v>0</v>
      </c>
      <c r="P446" s="14">
        <v>650</v>
      </c>
      <c r="Q446">
        <v>10006</v>
      </c>
      <c r="R446">
        <v>700</v>
      </c>
      <c r="S446">
        <v>2296</v>
      </c>
    </row>
    <row r="447" spans="11:19" x14ac:dyDescent="0.3">
      <c r="K447" s="16">
        <f t="shared" si="6"/>
        <v>44034</v>
      </c>
      <c r="L447" s="17">
        <v>0.54166666666666663</v>
      </c>
      <c r="M447" s="14">
        <v>650</v>
      </c>
      <c r="N447" s="14">
        <v>736</v>
      </c>
      <c r="O447" s="14">
        <v>0</v>
      </c>
      <c r="P447" s="14">
        <v>1386</v>
      </c>
      <c r="Q447">
        <v>9894</v>
      </c>
      <c r="R447">
        <v>685</v>
      </c>
      <c r="S447">
        <v>2396</v>
      </c>
    </row>
    <row r="448" spans="11:19" x14ac:dyDescent="0.3">
      <c r="K448" s="16">
        <f t="shared" si="6"/>
        <v>44034</v>
      </c>
      <c r="L448" s="17">
        <v>0.58333333333333337</v>
      </c>
      <c r="M448" s="14">
        <v>650</v>
      </c>
      <c r="N448" s="14">
        <v>0</v>
      </c>
      <c r="O448" s="14">
        <v>0</v>
      </c>
      <c r="P448" s="14">
        <v>650</v>
      </c>
      <c r="Q448">
        <v>9864</v>
      </c>
      <c r="R448">
        <v>633</v>
      </c>
      <c r="S448">
        <v>2399</v>
      </c>
    </row>
    <row r="449" spans="11:19" x14ac:dyDescent="0.3">
      <c r="K449" s="16">
        <f t="shared" si="6"/>
        <v>44034</v>
      </c>
      <c r="L449" s="17">
        <v>0.625</v>
      </c>
      <c r="M449" s="14">
        <v>650</v>
      </c>
      <c r="N449" s="14">
        <v>672</v>
      </c>
      <c r="O449" s="14">
        <v>0</v>
      </c>
      <c r="P449" s="14">
        <v>1322</v>
      </c>
      <c r="Q449">
        <v>9637</v>
      </c>
      <c r="R449">
        <v>675</v>
      </c>
      <c r="S449">
        <v>2293</v>
      </c>
    </row>
    <row r="450" spans="11:19" x14ac:dyDescent="0.3">
      <c r="K450" s="16">
        <f t="shared" si="6"/>
        <v>44034</v>
      </c>
      <c r="L450" s="17">
        <v>0.66666666666666663</v>
      </c>
      <c r="M450" s="14">
        <v>650</v>
      </c>
      <c r="N450" s="14">
        <v>571</v>
      </c>
      <c r="O450" s="14">
        <v>0</v>
      </c>
      <c r="P450" s="14">
        <v>1221</v>
      </c>
      <c r="Q450">
        <v>9432</v>
      </c>
      <c r="R450">
        <v>764</v>
      </c>
      <c r="S450">
        <v>2103</v>
      </c>
    </row>
    <row r="451" spans="11:19" x14ac:dyDescent="0.3">
      <c r="K451" s="16">
        <f t="shared" si="6"/>
        <v>44034</v>
      </c>
      <c r="L451" s="17">
        <v>0.70833333333333337</v>
      </c>
      <c r="M451" s="14">
        <v>650</v>
      </c>
      <c r="N451" s="14">
        <v>730</v>
      </c>
      <c r="O451" s="14">
        <v>0</v>
      </c>
      <c r="P451" s="14">
        <v>1380</v>
      </c>
      <c r="Q451">
        <v>9289</v>
      </c>
      <c r="R451">
        <v>837</v>
      </c>
      <c r="S451">
        <v>1732</v>
      </c>
    </row>
    <row r="452" spans="11:19" x14ac:dyDescent="0.3">
      <c r="K452" s="16">
        <f t="shared" si="6"/>
        <v>44034</v>
      </c>
      <c r="L452" s="17">
        <v>0.75</v>
      </c>
      <c r="M452" s="14">
        <v>650</v>
      </c>
      <c r="N452" s="14">
        <v>0</v>
      </c>
      <c r="O452" s="14">
        <v>0</v>
      </c>
      <c r="P452" s="14">
        <v>650</v>
      </c>
      <c r="Q452">
        <v>9394</v>
      </c>
      <c r="R452">
        <v>880</v>
      </c>
      <c r="S452">
        <v>1217</v>
      </c>
    </row>
    <row r="453" spans="11:19" x14ac:dyDescent="0.3">
      <c r="K453" s="16">
        <f t="shared" si="6"/>
        <v>44034</v>
      </c>
      <c r="L453" s="17">
        <v>0.79166666666666663</v>
      </c>
      <c r="M453" s="14">
        <v>650</v>
      </c>
      <c r="N453" s="14">
        <v>1603</v>
      </c>
      <c r="O453" s="14">
        <v>0</v>
      </c>
      <c r="P453" s="14">
        <v>2253</v>
      </c>
      <c r="Q453">
        <v>9251</v>
      </c>
      <c r="R453">
        <v>965</v>
      </c>
      <c r="S453">
        <v>635</v>
      </c>
    </row>
    <row r="454" spans="11:19" x14ac:dyDescent="0.3">
      <c r="K454" s="16">
        <f t="shared" si="6"/>
        <v>44034</v>
      </c>
      <c r="L454" s="17">
        <v>0.83333333333333337</v>
      </c>
      <c r="M454" s="14">
        <v>650</v>
      </c>
      <c r="N454" s="14">
        <v>0</v>
      </c>
      <c r="O454" s="14">
        <v>0</v>
      </c>
      <c r="P454" s="14">
        <v>650</v>
      </c>
      <c r="Q454">
        <v>8743</v>
      </c>
      <c r="R454">
        <v>940</v>
      </c>
      <c r="S454">
        <v>173</v>
      </c>
    </row>
    <row r="455" spans="11:19" x14ac:dyDescent="0.3">
      <c r="K455" s="16">
        <f t="shared" si="6"/>
        <v>44034</v>
      </c>
      <c r="L455" s="17">
        <v>0.875</v>
      </c>
      <c r="M455" s="14">
        <v>650</v>
      </c>
      <c r="N455" s="14">
        <v>0</v>
      </c>
      <c r="O455" s="14">
        <v>0</v>
      </c>
      <c r="P455" s="14">
        <v>650</v>
      </c>
      <c r="Q455">
        <v>8457</v>
      </c>
      <c r="R455">
        <v>838</v>
      </c>
      <c r="S455">
        <v>17</v>
      </c>
    </row>
    <row r="456" spans="11:19" x14ac:dyDescent="0.3">
      <c r="K456" s="16">
        <f t="shared" si="6"/>
        <v>44034</v>
      </c>
      <c r="L456" s="17">
        <v>0.91666666666666663</v>
      </c>
      <c r="M456" s="14">
        <v>650</v>
      </c>
      <c r="N456" s="14">
        <v>2056</v>
      </c>
      <c r="O456" s="14">
        <v>0</v>
      </c>
      <c r="P456" s="14">
        <v>2706</v>
      </c>
      <c r="Q456">
        <v>8882</v>
      </c>
      <c r="R456">
        <v>802</v>
      </c>
      <c r="S456">
        <v>0</v>
      </c>
    </row>
    <row r="457" spans="11:19" x14ac:dyDescent="0.3">
      <c r="K457" s="16">
        <f t="shared" si="6"/>
        <v>44034</v>
      </c>
      <c r="L457" s="17">
        <v>0.95833333333333337</v>
      </c>
      <c r="M457" s="14">
        <v>650</v>
      </c>
      <c r="N457" s="14">
        <v>1938</v>
      </c>
      <c r="O457" s="14">
        <v>0</v>
      </c>
      <c r="P457" s="14">
        <v>2588</v>
      </c>
      <c r="Q457">
        <v>8868</v>
      </c>
      <c r="R457">
        <v>917</v>
      </c>
      <c r="S457">
        <v>0</v>
      </c>
    </row>
    <row r="458" spans="11:19" x14ac:dyDescent="0.3">
      <c r="K458" s="16">
        <f t="shared" si="6"/>
        <v>44035</v>
      </c>
      <c r="L458" s="17">
        <v>0</v>
      </c>
      <c r="M458" s="14">
        <v>650</v>
      </c>
      <c r="N458" s="14">
        <v>0</v>
      </c>
      <c r="O458" s="14">
        <v>0</v>
      </c>
      <c r="P458" s="14">
        <v>650</v>
      </c>
      <c r="Q458">
        <v>8105</v>
      </c>
      <c r="R458">
        <v>826</v>
      </c>
      <c r="S458">
        <v>0</v>
      </c>
    </row>
    <row r="459" spans="11:19" x14ac:dyDescent="0.3">
      <c r="K459" s="16">
        <f t="shared" si="6"/>
        <v>44035</v>
      </c>
      <c r="L459" s="17">
        <v>4.1666666666666664E-2</v>
      </c>
      <c r="M459" s="14">
        <v>650</v>
      </c>
      <c r="N459" s="14">
        <v>0</v>
      </c>
      <c r="O459" s="14">
        <v>0</v>
      </c>
      <c r="P459" s="14">
        <v>650</v>
      </c>
      <c r="Q459">
        <v>7698</v>
      </c>
      <c r="R459">
        <v>672</v>
      </c>
      <c r="S459">
        <v>0</v>
      </c>
    </row>
    <row r="460" spans="11:19" x14ac:dyDescent="0.3">
      <c r="K460" s="16">
        <f t="shared" si="6"/>
        <v>44035</v>
      </c>
      <c r="L460" s="17">
        <v>8.3333333333333329E-2</v>
      </c>
      <c r="M460" s="14">
        <v>650</v>
      </c>
      <c r="N460" s="14">
        <v>0</v>
      </c>
      <c r="O460" s="14">
        <v>0</v>
      </c>
      <c r="P460" s="14">
        <v>650</v>
      </c>
      <c r="Q460">
        <v>7379</v>
      </c>
      <c r="R460">
        <v>476</v>
      </c>
      <c r="S460">
        <v>0</v>
      </c>
    </row>
    <row r="461" spans="11:19" x14ac:dyDescent="0.3">
      <c r="K461" s="16">
        <f t="shared" si="6"/>
        <v>44035</v>
      </c>
      <c r="L461" s="17">
        <v>0.125</v>
      </c>
      <c r="M461" s="14">
        <v>650</v>
      </c>
      <c r="N461" s="14">
        <v>0</v>
      </c>
      <c r="O461" s="14">
        <v>0</v>
      </c>
      <c r="P461" s="14">
        <v>650</v>
      </c>
      <c r="Q461">
        <v>7011</v>
      </c>
      <c r="R461">
        <v>433</v>
      </c>
      <c r="S461">
        <v>0</v>
      </c>
    </row>
    <row r="462" spans="11:19" x14ac:dyDescent="0.3">
      <c r="K462" s="16">
        <f t="shared" si="6"/>
        <v>44035</v>
      </c>
      <c r="L462" s="17">
        <v>0.16666666666666666</v>
      </c>
      <c r="M462" s="14">
        <v>650</v>
      </c>
      <c r="N462" s="14">
        <v>0</v>
      </c>
      <c r="O462" s="14">
        <v>0</v>
      </c>
      <c r="P462" s="14">
        <v>650</v>
      </c>
      <c r="Q462">
        <v>6934</v>
      </c>
      <c r="R462">
        <v>439</v>
      </c>
      <c r="S462">
        <v>0</v>
      </c>
    </row>
    <row r="463" spans="11:19" x14ac:dyDescent="0.3">
      <c r="K463" s="16">
        <f t="shared" si="6"/>
        <v>44035</v>
      </c>
      <c r="L463" s="17">
        <v>0.20833333333333334</v>
      </c>
      <c r="M463" s="14">
        <v>650</v>
      </c>
      <c r="N463" s="14">
        <v>764</v>
      </c>
      <c r="O463" s="14">
        <v>0</v>
      </c>
      <c r="P463" s="14">
        <v>1414</v>
      </c>
      <c r="Q463">
        <v>7216</v>
      </c>
      <c r="R463">
        <v>431</v>
      </c>
      <c r="S463">
        <v>0</v>
      </c>
    </row>
    <row r="464" spans="11:19" x14ac:dyDescent="0.3">
      <c r="K464" s="16">
        <f t="shared" si="6"/>
        <v>44035</v>
      </c>
      <c r="L464" s="17">
        <v>0.25</v>
      </c>
      <c r="M464" s="14">
        <v>650</v>
      </c>
      <c r="N464" s="14">
        <v>1214</v>
      </c>
      <c r="O464" s="14">
        <v>0</v>
      </c>
      <c r="P464" s="14">
        <v>1864</v>
      </c>
      <c r="Q464">
        <v>7723</v>
      </c>
      <c r="R464">
        <v>431</v>
      </c>
      <c r="S464">
        <v>21</v>
      </c>
    </row>
    <row r="465" spans="11:19" x14ac:dyDescent="0.3">
      <c r="K465" s="16">
        <f t="shared" si="6"/>
        <v>44035</v>
      </c>
      <c r="L465" s="17">
        <v>0.29166666666666669</v>
      </c>
      <c r="M465" s="14">
        <v>650</v>
      </c>
      <c r="N465" s="14">
        <v>1634</v>
      </c>
      <c r="O465" s="14">
        <v>0</v>
      </c>
      <c r="P465" s="14">
        <v>2284</v>
      </c>
      <c r="Q465">
        <v>8410</v>
      </c>
      <c r="R465">
        <v>476</v>
      </c>
      <c r="S465">
        <v>219</v>
      </c>
    </row>
    <row r="466" spans="11:19" x14ac:dyDescent="0.3">
      <c r="K466" s="16">
        <f t="shared" si="6"/>
        <v>44035</v>
      </c>
      <c r="L466" s="17">
        <v>0.33333333333333331</v>
      </c>
      <c r="M466" s="14">
        <v>650</v>
      </c>
      <c r="N466" s="14">
        <v>0</v>
      </c>
      <c r="O466" s="14">
        <v>0</v>
      </c>
      <c r="P466" s="14">
        <v>650</v>
      </c>
      <c r="Q466">
        <v>9060</v>
      </c>
      <c r="R466">
        <v>679</v>
      </c>
      <c r="S466">
        <v>664</v>
      </c>
    </row>
    <row r="467" spans="11:19" x14ac:dyDescent="0.3">
      <c r="K467" s="16">
        <f t="shared" si="6"/>
        <v>44035</v>
      </c>
      <c r="L467" s="17">
        <v>0.375</v>
      </c>
      <c r="M467" s="14">
        <v>650</v>
      </c>
      <c r="N467" s="14">
        <v>0</v>
      </c>
      <c r="O467" s="14">
        <v>0</v>
      </c>
      <c r="P467" s="14">
        <v>650</v>
      </c>
      <c r="Q467">
        <v>9510</v>
      </c>
      <c r="R467">
        <v>653</v>
      </c>
      <c r="S467">
        <v>1258</v>
      </c>
    </row>
    <row r="468" spans="11:19" x14ac:dyDescent="0.3">
      <c r="K468" s="16">
        <f t="shared" si="6"/>
        <v>44035</v>
      </c>
      <c r="L468" s="17">
        <v>0.41666666666666669</v>
      </c>
      <c r="M468" s="14">
        <v>650</v>
      </c>
      <c r="N468" s="14">
        <v>1324</v>
      </c>
      <c r="O468" s="14">
        <v>0</v>
      </c>
      <c r="P468" s="14">
        <v>1974</v>
      </c>
      <c r="Q468">
        <v>9756</v>
      </c>
      <c r="R468">
        <v>712</v>
      </c>
      <c r="S468">
        <v>1716</v>
      </c>
    </row>
    <row r="469" spans="11:19" x14ac:dyDescent="0.3">
      <c r="K469" s="16">
        <f t="shared" si="6"/>
        <v>44035</v>
      </c>
      <c r="L469" s="17">
        <v>0.45833333333333331</v>
      </c>
      <c r="M469" s="14">
        <v>650</v>
      </c>
      <c r="N469" s="14">
        <v>1222</v>
      </c>
      <c r="O469" s="14">
        <v>0</v>
      </c>
      <c r="P469" s="14">
        <v>1872</v>
      </c>
      <c r="Q469">
        <v>9976</v>
      </c>
      <c r="R469">
        <v>699</v>
      </c>
      <c r="S469">
        <v>2052</v>
      </c>
    </row>
    <row r="470" spans="11:19" x14ac:dyDescent="0.3">
      <c r="K470" s="16">
        <f t="shared" si="6"/>
        <v>44035</v>
      </c>
      <c r="L470" s="17">
        <v>0.5</v>
      </c>
      <c r="M470" s="14">
        <v>650</v>
      </c>
      <c r="N470" s="14">
        <v>1279</v>
      </c>
      <c r="O470" s="14">
        <v>0</v>
      </c>
      <c r="P470" s="14">
        <v>1929</v>
      </c>
      <c r="Q470">
        <v>10063</v>
      </c>
      <c r="R470">
        <v>602</v>
      </c>
      <c r="S470">
        <v>2184</v>
      </c>
    </row>
    <row r="471" spans="11:19" x14ac:dyDescent="0.3">
      <c r="K471" s="16">
        <f t="shared" si="6"/>
        <v>44035</v>
      </c>
      <c r="L471" s="17">
        <v>0.54166666666666663</v>
      </c>
      <c r="M471" s="14">
        <v>650</v>
      </c>
      <c r="N471" s="14">
        <v>0</v>
      </c>
      <c r="O471" s="14">
        <v>0</v>
      </c>
      <c r="P471" s="14">
        <v>650</v>
      </c>
      <c r="Q471">
        <v>9944</v>
      </c>
      <c r="R471">
        <v>706</v>
      </c>
      <c r="S471">
        <v>2283</v>
      </c>
    </row>
    <row r="472" spans="11:19" x14ac:dyDescent="0.3">
      <c r="K472" s="16">
        <f t="shared" si="6"/>
        <v>44035</v>
      </c>
      <c r="L472" s="17">
        <v>0.58333333333333337</v>
      </c>
      <c r="M472" s="14">
        <v>650</v>
      </c>
      <c r="N472" s="14">
        <v>0</v>
      </c>
      <c r="O472" s="14">
        <v>0</v>
      </c>
      <c r="P472" s="14">
        <v>650</v>
      </c>
      <c r="Q472">
        <v>9907</v>
      </c>
      <c r="R472">
        <v>732</v>
      </c>
      <c r="S472">
        <v>2252</v>
      </c>
    </row>
    <row r="473" spans="11:19" x14ac:dyDescent="0.3">
      <c r="K473" s="16">
        <f t="shared" si="6"/>
        <v>44035</v>
      </c>
      <c r="L473" s="17">
        <v>0.625</v>
      </c>
      <c r="M473" s="14">
        <v>650</v>
      </c>
      <c r="N473" s="14">
        <v>0</v>
      </c>
      <c r="O473" s="14">
        <v>0</v>
      </c>
      <c r="P473" s="14">
        <v>650</v>
      </c>
      <c r="Q473">
        <v>9667</v>
      </c>
      <c r="R473">
        <v>947</v>
      </c>
      <c r="S473">
        <v>2131</v>
      </c>
    </row>
    <row r="474" spans="11:19" x14ac:dyDescent="0.3">
      <c r="K474" s="16">
        <f t="shared" si="6"/>
        <v>44035</v>
      </c>
      <c r="L474" s="17">
        <v>0.66666666666666663</v>
      </c>
      <c r="M474" s="14">
        <v>650</v>
      </c>
      <c r="N474" s="14">
        <v>360</v>
      </c>
      <c r="O474" s="14">
        <v>0</v>
      </c>
      <c r="P474" s="14">
        <v>1010</v>
      </c>
      <c r="Q474">
        <v>9446</v>
      </c>
      <c r="R474">
        <v>1089</v>
      </c>
      <c r="S474">
        <v>1926</v>
      </c>
    </row>
    <row r="475" spans="11:19" x14ac:dyDescent="0.3">
      <c r="K475" s="16">
        <f t="shared" ref="K475:K538" si="7">K451+1</f>
        <v>44035</v>
      </c>
      <c r="L475" s="17">
        <v>0.70833333333333337</v>
      </c>
      <c r="M475" s="14">
        <v>650</v>
      </c>
      <c r="N475" s="14">
        <v>517</v>
      </c>
      <c r="O475" s="14">
        <v>0</v>
      </c>
      <c r="P475" s="14">
        <v>1167</v>
      </c>
      <c r="Q475">
        <v>9283</v>
      </c>
      <c r="R475">
        <v>1198</v>
      </c>
      <c r="S475">
        <v>1501</v>
      </c>
    </row>
    <row r="476" spans="11:19" x14ac:dyDescent="0.3">
      <c r="K476" s="16">
        <f t="shared" si="7"/>
        <v>44035</v>
      </c>
      <c r="L476" s="17">
        <v>0.75</v>
      </c>
      <c r="M476" s="14">
        <v>650</v>
      </c>
      <c r="N476" s="14">
        <v>0</v>
      </c>
      <c r="O476" s="14">
        <v>0</v>
      </c>
      <c r="P476" s="14">
        <v>650</v>
      </c>
      <c r="Q476">
        <v>9374</v>
      </c>
      <c r="R476">
        <v>1167</v>
      </c>
      <c r="S476">
        <v>1020</v>
      </c>
    </row>
    <row r="477" spans="11:19" x14ac:dyDescent="0.3">
      <c r="K477" s="16">
        <f t="shared" si="7"/>
        <v>44035</v>
      </c>
      <c r="L477" s="17">
        <v>0.79166666666666663</v>
      </c>
      <c r="M477" s="14">
        <v>650</v>
      </c>
      <c r="N477" s="14">
        <v>1569</v>
      </c>
      <c r="O477" s="14">
        <v>0</v>
      </c>
      <c r="P477" s="14">
        <v>2219</v>
      </c>
      <c r="Q477">
        <v>9221</v>
      </c>
      <c r="R477">
        <v>1136</v>
      </c>
      <c r="S477">
        <v>471</v>
      </c>
    </row>
    <row r="478" spans="11:19" x14ac:dyDescent="0.3">
      <c r="K478" s="16">
        <f t="shared" si="7"/>
        <v>44035</v>
      </c>
      <c r="L478" s="17">
        <v>0.83333333333333337</v>
      </c>
      <c r="M478" s="14">
        <v>650</v>
      </c>
      <c r="N478" s="14">
        <v>1490</v>
      </c>
      <c r="O478" s="14">
        <v>0</v>
      </c>
      <c r="P478" s="14">
        <v>2140</v>
      </c>
      <c r="Q478">
        <v>8707</v>
      </c>
      <c r="R478">
        <v>1035</v>
      </c>
      <c r="S478">
        <v>150</v>
      </c>
    </row>
    <row r="479" spans="11:19" x14ac:dyDescent="0.3">
      <c r="K479" s="16">
        <f t="shared" si="7"/>
        <v>44035</v>
      </c>
      <c r="L479" s="17">
        <v>0.875</v>
      </c>
      <c r="M479" s="14">
        <v>650</v>
      </c>
      <c r="N479" s="14">
        <v>1292</v>
      </c>
      <c r="O479" s="14">
        <v>0</v>
      </c>
      <c r="P479" s="14">
        <v>1942</v>
      </c>
      <c r="Q479">
        <v>8414</v>
      </c>
      <c r="R479">
        <v>1091</v>
      </c>
      <c r="S479">
        <v>6</v>
      </c>
    </row>
    <row r="480" spans="11:19" x14ac:dyDescent="0.3">
      <c r="K480" s="16">
        <f t="shared" si="7"/>
        <v>44035</v>
      </c>
      <c r="L480" s="17">
        <v>0.91666666666666663</v>
      </c>
      <c r="M480" s="14">
        <v>650</v>
      </c>
      <c r="N480" s="14">
        <v>0</v>
      </c>
      <c r="O480" s="14">
        <v>0</v>
      </c>
      <c r="P480" s="14">
        <v>650</v>
      </c>
      <c r="Q480">
        <v>8832</v>
      </c>
      <c r="R480">
        <v>1009</v>
      </c>
      <c r="S480">
        <v>0</v>
      </c>
    </row>
    <row r="481" spans="11:19" x14ac:dyDescent="0.3">
      <c r="K481" s="16">
        <f t="shared" si="7"/>
        <v>44035</v>
      </c>
      <c r="L481" s="17">
        <v>0.95833333333333337</v>
      </c>
      <c r="M481" s="14">
        <v>650</v>
      </c>
      <c r="N481" s="14">
        <v>1818</v>
      </c>
      <c r="O481" s="14">
        <v>0</v>
      </c>
      <c r="P481" s="14">
        <v>2468</v>
      </c>
      <c r="Q481">
        <v>8827</v>
      </c>
      <c r="R481">
        <v>997</v>
      </c>
      <c r="S481">
        <v>0</v>
      </c>
    </row>
    <row r="482" spans="11:19" x14ac:dyDescent="0.3">
      <c r="K482" s="16">
        <f t="shared" si="7"/>
        <v>44036</v>
      </c>
      <c r="L482" s="17">
        <v>0</v>
      </c>
      <c r="M482" s="14">
        <v>650</v>
      </c>
      <c r="N482" s="14">
        <v>1133</v>
      </c>
      <c r="O482" s="14">
        <v>0</v>
      </c>
      <c r="P482" s="14">
        <v>1783</v>
      </c>
      <c r="Q482">
        <v>8104</v>
      </c>
      <c r="R482">
        <v>962</v>
      </c>
      <c r="S482">
        <v>0</v>
      </c>
    </row>
    <row r="483" spans="11:19" x14ac:dyDescent="0.3">
      <c r="K483" s="16">
        <f t="shared" si="7"/>
        <v>44036</v>
      </c>
      <c r="L483" s="17">
        <v>4.1666666666666664E-2</v>
      </c>
      <c r="M483" s="14">
        <v>650</v>
      </c>
      <c r="N483" s="14">
        <v>1082</v>
      </c>
      <c r="O483" s="14">
        <v>0</v>
      </c>
      <c r="P483" s="14">
        <v>1732</v>
      </c>
      <c r="Q483">
        <v>7691</v>
      </c>
      <c r="R483">
        <v>921</v>
      </c>
      <c r="S483">
        <v>0</v>
      </c>
    </row>
    <row r="484" spans="11:19" x14ac:dyDescent="0.3">
      <c r="K484" s="16">
        <f t="shared" si="7"/>
        <v>44036</v>
      </c>
      <c r="L484" s="17">
        <v>8.3333333333333329E-2</v>
      </c>
      <c r="M484" s="14">
        <v>650</v>
      </c>
      <c r="N484" s="14">
        <v>591</v>
      </c>
      <c r="O484" s="14">
        <v>0</v>
      </c>
      <c r="P484" s="14">
        <v>1241</v>
      </c>
      <c r="Q484">
        <v>7366</v>
      </c>
      <c r="R484">
        <v>1089</v>
      </c>
      <c r="S484">
        <v>0</v>
      </c>
    </row>
    <row r="485" spans="11:19" x14ac:dyDescent="0.3">
      <c r="K485" s="16">
        <f t="shared" si="7"/>
        <v>44036</v>
      </c>
      <c r="L485" s="17">
        <v>0.125</v>
      </c>
      <c r="M485" s="14">
        <v>650</v>
      </c>
      <c r="N485" s="14">
        <v>214</v>
      </c>
      <c r="O485" s="14">
        <v>0</v>
      </c>
      <c r="P485" s="14">
        <v>864</v>
      </c>
      <c r="Q485">
        <v>7004</v>
      </c>
      <c r="R485">
        <v>1105</v>
      </c>
      <c r="S485">
        <v>0</v>
      </c>
    </row>
    <row r="486" spans="11:19" x14ac:dyDescent="0.3">
      <c r="K486" s="16">
        <f t="shared" si="7"/>
        <v>44036</v>
      </c>
      <c r="L486" s="17">
        <v>0.16666666666666666</v>
      </c>
      <c r="M486" s="14">
        <v>650</v>
      </c>
      <c r="N486" s="14">
        <v>180</v>
      </c>
      <c r="O486" s="14">
        <v>0</v>
      </c>
      <c r="P486" s="14">
        <v>830</v>
      </c>
      <c r="Q486">
        <v>6927</v>
      </c>
      <c r="R486">
        <v>1056</v>
      </c>
      <c r="S486">
        <v>0</v>
      </c>
    </row>
    <row r="487" spans="11:19" x14ac:dyDescent="0.3">
      <c r="K487" s="16">
        <f t="shared" si="7"/>
        <v>44036</v>
      </c>
      <c r="L487" s="17">
        <v>0.20833333333333334</v>
      </c>
      <c r="M487" s="14">
        <v>650</v>
      </c>
      <c r="N487" s="14">
        <v>508</v>
      </c>
      <c r="O487" s="14">
        <v>0</v>
      </c>
      <c r="P487" s="14">
        <v>1158</v>
      </c>
      <c r="Q487">
        <v>7222</v>
      </c>
      <c r="R487">
        <v>1014</v>
      </c>
      <c r="S487">
        <v>0</v>
      </c>
    </row>
    <row r="488" spans="11:19" x14ac:dyDescent="0.3">
      <c r="K488" s="16">
        <f t="shared" si="7"/>
        <v>44036</v>
      </c>
      <c r="L488" s="17">
        <v>0.25</v>
      </c>
      <c r="M488" s="14">
        <v>650</v>
      </c>
      <c r="N488" s="14">
        <v>0</v>
      </c>
      <c r="O488" s="14">
        <v>0</v>
      </c>
      <c r="P488" s="14">
        <v>650</v>
      </c>
      <c r="Q488">
        <v>7706</v>
      </c>
      <c r="R488">
        <v>995</v>
      </c>
      <c r="S488">
        <v>14</v>
      </c>
    </row>
    <row r="489" spans="11:19" x14ac:dyDescent="0.3">
      <c r="K489" s="16">
        <f t="shared" si="7"/>
        <v>44036</v>
      </c>
      <c r="L489" s="17">
        <v>0.29166666666666669</v>
      </c>
      <c r="M489" s="14">
        <v>650</v>
      </c>
      <c r="N489" s="14">
        <v>1214</v>
      </c>
      <c r="O489" s="14">
        <v>0</v>
      </c>
      <c r="P489" s="14">
        <v>1864</v>
      </c>
      <c r="Q489">
        <v>8365</v>
      </c>
      <c r="R489">
        <v>968</v>
      </c>
      <c r="S489">
        <v>183</v>
      </c>
    </row>
    <row r="490" spans="11:19" x14ac:dyDescent="0.3">
      <c r="K490" s="16">
        <f t="shared" si="7"/>
        <v>44036</v>
      </c>
      <c r="L490" s="17">
        <v>0.33333333333333331</v>
      </c>
      <c r="M490" s="14">
        <v>650</v>
      </c>
      <c r="N490" s="14">
        <v>1404</v>
      </c>
      <c r="O490" s="14">
        <v>0</v>
      </c>
      <c r="P490" s="14">
        <v>2054</v>
      </c>
      <c r="Q490">
        <v>9000</v>
      </c>
      <c r="R490">
        <v>1008</v>
      </c>
      <c r="S490">
        <v>581</v>
      </c>
    </row>
    <row r="491" spans="11:19" x14ac:dyDescent="0.3">
      <c r="K491" s="16">
        <f t="shared" si="7"/>
        <v>44036</v>
      </c>
      <c r="L491" s="17">
        <v>0.375</v>
      </c>
      <c r="M491" s="14">
        <v>650</v>
      </c>
      <c r="N491" s="14">
        <v>0</v>
      </c>
      <c r="O491" s="14">
        <v>786</v>
      </c>
      <c r="P491" s="14">
        <v>1436</v>
      </c>
      <c r="Q491">
        <v>9423</v>
      </c>
      <c r="R491">
        <v>1201</v>
      </c>
      <c r="S491">
        <v>1088</v>
      </c>
    </row>
    <row r="492" spans="11:19" x14ac:dyDescent="0.3">
      <c r="K492" s="16">
        <f t="shared" si="7"/>
        <v>44036</v>
      </c>
      <c r="L492" s="17">
        <v>0.41666666666666669</v>
      </c>
      <c r="M492" s="14">
        <v>650</v>
      </c>
      <c r="N492" s="14">
        <v>855</v>
      </c>
      <c r="O492" s="14">
        <v>0</v>
      </c>
      <c r="P492" s="14">
        <v>1505</v>
      </c>
      <c r="Q492">
        <v>9634</v>
      </c>
      <c r="R492">
        <v>1406</v>
      </c>
      <c r="S492">
        <v>1370</v>
      </c>
    </row>
    <row r="493" spans="11:19" x14ac:dyDescent="0.3">
      <c r="K493" s="16">
        <f t="shared" si="7"/>
        <v>44036</v>
      </c>
      <c r="L493" s="17">
        <v>0.45833333333333331</v>
      </c>
      <c r="M493" s="14">
        <v>650</v>
      </c>
      <c r="N493" s="14">
        <v>616</v>
      </c>
      <c r="O493" s="14">
        <v>0</v>
      </c>
      <c r="P493" s="14">
        <v>1266</v>
      </c>
      <c r="Q493">
        <v>9819</v>
      </c>
      <c r="R493">
        <v>1761</v>
      </c>
      <c r="S493">
        <v>1600</v>
      </c>
    </row>
    <row r="494" spans="11:19" x14ac:dyDescent="0.3">
      <c r="K494" s="16">
        <f t="shared" si="7"/>
        <v>44036</v>
      </c>
      <c r="L494" s="17">
        <v>0.5</v>
      </c>
      <c r="M494" s="14">
        <v>650</v>
      </c>
      <c r="N494" s="14">
        <v>657</v>
      </c>
      <c r="O494" s="14">
        <v>0</v>
      </c>
      <c r="P494" s="14">
        <v>1307</v>
      </c>
      <c r="Q494">
        <v>9901</v>
      </c>
      <c r="R494">
        <v>1655</v>
      </c>
      <c r="S494">
        <v>1752</v>
      </c>
    </row>
    <row r="495" spans="11:19" x14ac:dyDescent="0.3">
      <c r="K495" s="16">
        <f t="shared" si="7"/>
        <v>44036</v>
      </c>
      <c r="L495" s="17">
        <v>0.54166666666666663</v>
      </c>
      <c r="M495" s="14">
        <v>650</v>
      </c>
      <c r="N495" s="14">
        <v>304</v>
      </c>
      <c r="O495" s="14">
        <v>0</v>
      </c>
      <c r="P495" s="14">
        <v>954</v>
      </c>
      <c r="Q495">
        <v>9713</v>
      </c>
      <c r="R495">
        <v>1717</v>
      </c>
      <c r="S495">
        <v>1859</v>
      </c>
    </row>
    <row r="496" spans="11:19" x14ac:dyDescent="0.3">
      <c r="K496" s="16">
        <f t="shared" si="7"/>
        <v>44036</v>
      </c>
      <c r="L496" s="17">
        <v>0.58333333333333337</v>
      </c>
      <c r="M496" s="14">
        <v>650</v>
      </c>
      <c r="N496" s="14">
        <v>106</v>
      </c>
      <c r="O496" s="14">
        <v>0</v>
      </c>
      <c r="P496" s="14">
        <v>756</v>
      </c>
      <c r="Q496">
        <v>9628</v>
      </c>
      <c r="R496">
        <v>1766</v>
      </c>
      <c r="S496">
        <v>1923</v>
      </c>
    </row>
    <row r="497" spans="11:19" x14ac:dyDescent="0.3">
      <c r="K497" s="16">
        <f t="shared" si="7"/>
        <v>44036</v>
      </c>
      <c r="L497" s="17">
        <v>0.625</v>
      </c>
      <c r="M497" s="14">
        <v>650</v>
      </c>
      <c r="N497" s="14">
        <v>0</v>
      </c>
      <c r="O497" s="14">
        <v>-373</v>
      </c>
      <c r="P497" s="14">
        <v>277</v>
      </c>
      <c r="Q497">
        <v>9333</v>
      </c>
      <c r="R497">
        <v>2007</v>
      </c>
      <c r="S497">
        <v>1866</v>
      </c>
    </row>
    <row r="498" spans="11:19" x14ac:dyDescent="0.3">
      <c r="K498" s="16">
        <f t="shared" si="7"/>
        <v>44036</v>
      </c>
      <c r="L498" s="17">
        <v>0.66666666666666663</v>
      </c>
      <c r="M498" s="14">
        <v>650</v>
      </c>
      <c r="N498" s="14">
        <v>0</v>
      </c>
      <c r="O498" s="14">
        <v>-425</v>
      </c>
      <c r="P498" s="14">
        <v>225</v>
      </c>
      <c r="Q498">
        <v>9074</v>
      </c>
      <c r="R498">
        <v>1922</v>
      </c>
      <c r="S498">
        <v>1667</v>
      </c>
    </row>
    <row r="499" spans="11:19" x14ac:dyDescent="0.3">
      <c r="K499" s="16">
        <f t="shared" si="7"/>
        <v>44036</v>
      </c>
      <c r="L499" s="17">
        <v>0.70833333333333337</v>
      </c>
      <c r="M499" s="14">
        <v>650</v>
      </c>
      <c r="N499" s="14">
        <v>0</v>
      </c>
      <c r="O499" s="14">
        <v>-184</v>
      </c>
      <c r="P499" s="14">
        <v>466</v>
      </c>
      <c r="Q499">
        <v>8930</v>
      </c>
      <c r="R499">
        <v>1833</v>
      </c>
      <c r="S499">
        <v>1374</v>
      </c>
    </row>
    <row r="500" spans="11:19" x14ac:dyDescent="0.3">
      <c r="K500" s="16">
        <f t="shared" si="7"/>
        <v>44036</v>
      </c>
      <c r="L500" s="17">
        <v>0.75</v>
      </c>
      <c r="M500" s="14">
        <v>650</v>
      </c>
      <c r="N500" s="14">
        <v>0</v>
      </c>
      <c r="O500" s="14">
        <v>0</v>
      </c>
      <c r="P500" s="14">
        <v>650</v>
      </c>
      <c r="Q500">
        <v>8998</v>
      </c>
      <c r="R500">
        <v>1752</v>
      </c>
      <c r="S500">
        <v>898</v>
      </c>
    </row>
    <row r="501" spans="11:19" x14ac:dyDescent="0.3">
      <c r="K501" s="16">
        <f t="shared" si="7"/>
        <v>44036</v>
      </c>
      <c r="L501" s="17">
        <v>0.79166666666666663</v>
      </c>
      <c r="M501" s="14">
        <v>650</v>
      </c>
      <c r="N501" s="14">
        <v>760</v>
      </c>
      <c r="O501" s="14">
        <v>0</v>
      </c>
      <c r="P501" s="14">
        <v>1410</v>
      </c>
      <c r="Q501">
        <v>8827</v>
      </c>
      <c r="R501">
        <v>1726</v>
      </c>
      <c r="S501">
        <v>457</v>
      </c>
    </row>
    <row r="502" spans="11:19" x14ac:dyDescent="0.3">
      <c r="K502" s="16">
        <f t="shared" si="7"/>
        <v>44036</v>
      </c>
      <c r="L502" s="17">
        <v>0.83333333333333337</v>
      </c>
      <c r="M502" s="14">
        <v>650</v>
      </c>
      <c r="N502" s="14">
        <v>0</v>
      </c>
      <c r="O502" s="14">
        <v>0</v>
      </c>
      <c r="P502" s="14">
        <v>650</v>
      </c>
      <c r="Q502">
        <v>8343</v>
      </c>
      <c r="R502">
        <v>1677</v>
      </c>
      <c r="S502">
        <v>103</v>
      </c>
    </row>
    <row r="503" spans="11:19" x14ac:dyDescent="0.3">
      <c r="K503" s="16">
        <f t="shared" si="7"/>
        <v>44036</v>
      </c>
      <c r="L503" s="17">
        <v>0.875</v>
      </c>
      <c r="M503" s="14">
        <v>650</v>
      </c>
      <c r="N503" s="14">
        <v>0</v>
      </c>
      <c r="O503" s="14">
        <v>0</v>
      </c>
      <c r="P503" s="14">
        <v>650</v>
      </c>
      <c r="Q503">
        <v>8074</v>
      </c>
      <c r="R503">
        <v>1576</v>
      </c>
      <c r="S503">
        <v>8</v>
      </c>
    </row>
    <row r="504" spans="11:19" x14ac:dyDescent="0.3">
      <c r="K504" s="16">
        <f t="shared" si="7"/>
        <v>44036</v>
      </c>
      <c r="L504" s="17">
        <v>0.91666666666666663</v>
      </c>
      <c r="M504" s="14">
        <v>650</v>
      </c>
      <c r="N504" s="14">
        <v>1181</v>
      </c>
      <c r="O504" s="14">
        <v>0</v>
      </c>
      <c r="P504" s="14">
        <v>1831</v>
      </c>
      <c r="Q504">
        <v>8511</v>
      </c>
      <c r="R504">
        <v>1468</v>
      </c>
      <c r="S504">
        <v>0</v>
      </c>
    </row>
    <row r="505" spans="11:19" x14ac:dyDescent="0.3">
      <c r="K505" s="16">
        <f t="shared" si="7"/>
        <v>44036</v>
      </c>
      <c r="L505" s="17">
        <v>0.95833333333333337</v>
      </c>
      <c r="M505" s="14">
        <v>650</v>
      </c>
      <c r="N505" s="14">
        <v>1368</v>
      </c>
      <c r="O505" s="14">
        <v>0</v>
      </c>
      <c r="P505" s="14">
        <v>2018</v>
      </c>
      <c r="Q505">
        <v>8526</v>
      </c>
      <c r="R505">
        <v>1307</v>
      </c>
      <c r="S505">
        <v>0</v>
      </c>
    </row>
    <row r="506" spans="11:19" x14ac:dyDescent="0.3">
      <c r="K506" s="16">
        <f t="shared" si="7"/>
        <v>44037</v>
      </c>
      <c r="L506" s="17">
        <v>0</v>
      </c>
      <c r="M506" s="14">
        <v>650</v>
      </c>
      <c r="N506" s="14">
        <v>0</v>
      </c>
      <c r="O506" s="14">
        <v>660</v>
      </c>
      <c r="P506" s="14">
        <v>1310</v>
      </c>
      <c r="Q506">
        <v>7768</v>
      </c>
      <c r="R506">
        <v>1337</v>
      </c>
      <c r="S506">
        <v>0</v>
      </c>
    </row>
    <row r="507" spans="11:19" x14ac:dyDescent="0.3">
      <c r="K507" s="16">
        <f t="shared" si="7"/>
        <v>44037</v>
      </c>
      <c r="L507" s="17">
        <v>4.1666666666666664E-2</v>
      </c>
      <c r="M507" s="14">
        <v>650</v>
      </c>
      <c r="N507" s="14">
        <v>0</v>
      </c>
      <c r="O507" s="14">
        <v>670</v>
      </c>
      <c r="P507" s="14">
        <v>1320</v>
      </c>
      <c r="Q507">
        <v>7312</v>
      </c>
      <c r="R507">
        <v>955</v>
      </c>
      <c r="S507">
        <v>0</v>
      </c>
    </row>
    <row r="508" spans="11:19" x14ac:dyDescent="0.3">
      <c r="K508" s="16">
        <f t="shared" si="7"/>
        <v>44037</v>
      </c>
      <c r="L508" s="17">
        <v>8.3333333333333329E-2</v>
      </c>
      <c r="M508" s="14">
        <v>650</v>
      </c>
      <c r="N508" s="14">
        <v>0</v>
      </c>
      <c r="O508" s="14">
        <v>352</v>
      </c>
      <c r="P508" s="14">
        <v>1002</v>
      </c>
      <c r="Q508">
        <v>6953</v>
      </c>
      <c r="R508">
        <v>915</v>
      </c>
      <c r="S508">
        <v>0</v>
      </c>
    </row>
    <row r="509" spans="11:19" x14ac:dyDescent="0.3">
      <c r="K509" s="16">
        <f t="shared" si="7"/>
        <v>44037</v>
      </c>
      <c r="L509" s="17">
        <v>0.125</v>
      </c>
      <c r="M509" s="14">
        <v>650</v>
      </c>
      <c r="N509" s="14">
        <v>0</v>
      </c>
      <c r="O509" s="14">
        <v>5</v>
      </c>
      <c r="P509" s="14">
        <v>655</v>
      </c>
      <c r="Q509">
        <v>6552</v>
      </c>
      <c r="R509">
        <v>862</v>
      </c>
      <c r="S509">
        <v>0</v>
      </c>
    </row>
    <row r="510" spans="11:19" x14ac:dyDescent="0.3">
      <c r="K510" s="16">
        <f t="shared" si="7"/>
        <v>44037</v>
      </c>
      <c r="L510" s="17">
        <v>0.16666666666666666</v>
      </c>
      <c r="M510" s="14">
        <v>650</v>
      </c>
      <c r="N510" s="14">
        <v>0</v>
      </c>
      <c r="O510" s="14">
        <v>-58</v>
      </c>
      <c r="P510" s="14">
        <v>592</v>
      </c>
      <c r="Q510">
        <v>6381</v>
      </c>
      <c r="R510">
        <v>755</v>
      </c>
      <c r="S510">
        <v>0</v>
      </c>
    </row>
    <row r="511" spans="11:19" x14ac:dyDescent="0.3">
      <c r="K511" s="16">
        <f t="shared" si="7"/>
        <v>44037</v>
      </c>
      <c r="L511" s="17">
        <v>0.20833333333333334</v>
      </c>
      <c r="M511" s="14">
        <v>650</v>
      </c>
      <c r="N511" s="14">
        <v>0</v>
      </c>
      <c r="O511" s="14">
        <v>15</v>
      </c>
      <c r="P511" s="14">
        <v>665</v>
      </c>
      <c r="Q511">
        <v>6446</v>
      </c>
      <c r="R511">
        <v>742</v>
      </c>
      <c r="S511">
        <v>0</v>
      </c>
    </row>
    <row r="512" spans="11:19" x14ac:dyDescent="0.3">
      <c r="K512" s="16">
        <f t="shared" si="7"/>
        <v>44037</v>
      </c>
      <c r="L512" s="17">
        <v>0.25</v>
      </c>
      <c r="M512" s="14">
        <v>650</v>
      </c>
      <c r="N512" s="14">
        <v>0</v>
      </c>
      <c r="O512" s="14">
        <v>0</v>
      </c>
      <c r="P512" s="14">
        <v>650</v>
      </c>
      <c r="Q512">
        <v>6542</v>
      </c>
      <c r="R512">
        <v>812</v>
      </c>
      <c r="S512">
        <v>13</v>
      </c>
    </row>
    <row r="513" spans="11:19" x14ac:dyDescent="0.3">
      <c r="K513" s="16">
        <f t="shared" si="7"/>
        <v>44037</v>
      </c>
      <c r="L513" s="17">
        <v>0.29166666666666669</v>
      </c>
      <c r="M513" s="14">
        <v>650</v>
      </c>
      <c r="N513" s="14">
        <v>0</v>
      </c>
      <c r="O513" s="14">
        <v>157</v>
      </c>
      <c r="P513" s="14">
        <v>807</v>
      </c>
      <c r="Q513">
        <v>6839</v>
      </c>
      <c r="R513">
        <v>764</v>
      </c>
      <c r="S513">
        <v>184</v>
      </c>
    </row>
    <row r="514" spans="11:19" x14ac:dyDescent="0.3">
      <c r="K514" s="16">
        <f t="shared" si="7"/>
        <v>44037</v>
      </c>
      <c r="L514" s="17">
        <v>0.33333333333333331</v>
      </c>
      <c r="M514" s="14">
        <v>650</v>
      </c>
      <c r="N514" s="14">
        <v>0</v>
      </c>
      <c r="O514" s="14">
        <v>221</v>
      </c>
      <c r="P514" s="14">
        <v>871</v>
      </c>
      <c r="Q514">
        <v>7381</v>
      </c>
      <c r="R514">
        <v>853</v>
      </c>
      <c r="S514">
        <v>567</v>
      </c>
    </row>
    <row r="515" spans="11:19" x14ac:dyDescent="0.3">
      <c r="K515" s="16">
        <f t="shared" si="7"/>
        <v>44037</v>
      </c>
      <c r="L515" s="17">
        <v>0.375</v>
      </c>
      <c r="M515" s="14">
        <v>650</v>
      </c>
      <c r="N515" s="14">
        <v>0</v>
      </c>
      <c r="O515" s="14">
        <v>76</v>
      </c>
      <c r="P515" s="14">
        <v>726</v>
      </c>
      <c r="Q515">
        <v>7887</v>
      </c>
      <c r="R515">
        <v>961</v>
      </c>
      <c r="S515">
        <v>1105</v>
      </c>
    </row>
    <row r="516" spans="11:19" x14ac:dyDescent="0.3">
      <c r="K516" s="16">
        <f t="shared" si="7"/>
        <v>44037</v>
      </c>
      <c r="L516" s="17">
        <v>0.41666666666666669</v>
      </c>
      <c r="M516" s="14">
        <v>650</v>
      </c>
      <c r="N516" s="14">
        <v>0</v>
      </c>
      <c r="O516" s="14">
        <v>0</v>
      </c>
      <c r="P516" s="14">
        <v>650</v>
      </c>
      <c r="Q516">
        <v>8124</v>
      </c>
      <c r="R516">
        <v>1010</v>
      </c>
      <c r="S516">
        <v>1489</v>
      </c>
    </row>
    <row r="517" spans="11:19" x14ac:dyDescent="0.3">
      <c r="K517" s="16">
        <f t="shared" si="7"/>
        <v>44037</v>
      </c>
      <c r="L517" s="17">
        <v>0.45833333333333331</v>
      </c>
      <c r="M517" s="14">
        <v>650</v>
      </c>
      <c r="N517" s="14">
        <v>0</v>
      </c>
      <c r="O517" s="14">
        <v>-213</v>
      </c>
      <c r="P517" s="14">
        <v>437</v>
      </c>
      <c r="Q517">
        <v>8312</v>
      </c>
      <c r="R517">
        <v>954</v>
      </c>
      <c r="S517">
        <v>1825</v>
      </c>
    </row>
    <row r="518" spans="11:19" x14ac:dyDescent="0.3">
      <c r="K518" s="16">
        <f t="shared" si="7"/>
        <v>44037</v>
      </c>
      <c r="L518" s="17">
        <v>0.5</v>
      </c>
      <c r="M518" s="14">
        <v>650</v>
      </c>
      <c r="N518" s="14">
        <v>0</v>
      </c>
      <c r="O518" s="14">
        <v>-39</v>
      </c>
      <c r="P518" s="14">
        <v>611</v>
      </c>
      <c r="Q518">
        <v>8549</v>
      </c>
      <c r="R518">
        <v>986</v>
      </c>
      <c r="S518">
        <v>1857</v>
      </c>
    </row>
    <row r="519" spans="11:19" x14ac:dyDescent="0.3">
      <c r="K519" s="16">
        <f t="shared" si="7"/>
        <v>44037</v>
      </c>
      <c r="L519" s="17">
        <v>0.54166666666666663</v>
      </c>
      <c r="M519" s="14">
        <v>650</v>
      </c>
      <c r="N519" s="14">
        <v>0</v>
      </c>
      <c r="O519" s="14">
        <v>0</v>
      </c>
      <c r="P519" s="14">
        <v>650</v>
      </c>
      <c r="Q519">
        <v>8239</v>
      </c>
      <c r="R519">
        <v>1130</v>
      </c>
      <c r="S519">
        <v>1956</v>
      </c>
    </row>
    <row r="520" spans="11:19" x14ac:dyDescent="0.3">
      <c r="K520" s="16">
        <f t="shared" si="7"/>
        <v>44037</v>
      </c>
      <c r="L520" s="17">
        <v>0.58333333333333337</v>
      </c>
      <c r="M520" s="14">
        <v>650</v>
      </c>
      <c r="N520" s="14">
        <v>0</v>
      </c>
      <c r="O520" s="14">
        <v>-883</v>
      </c>
      <c r="P520" s="14">
        <v>-233</v>
      </c>
      <c r="Q520">
        <v>8004</v>
      </c>
      <c r="R520">
        <v>1321</v>
      </c>
      <c r="S520">
        <v>1933</v>
      </c>
    </row>
    <row r="521" spans="11:19" x14ac:dyDescent="0.3">
      <c r="K521" s="16">
        <f t="shared" si="7"/>
        <v>44037</v>
      </c>
      <c r="L521" s="17">
        <v>0.625</v>
      </c>
      <c r="M521" s="14">
        <v>650</v>
      </c>
      <c r="N521" s="14">
        <v>0</v>
      </c>
      <c r="O521" s="14">
        <v>-726</v>
      </c>
      <c r="P521" s="14">
        <v>-76</v>
      </c>
      <c r="Q521">
        <v>7717</v>
      </c>
      <c r="R521">
        <v>1549</v>
      </c>
      <c r="S521">
        <v>1771</v>
      </c>
    </row>
    <row r="522" spans="11:19" x14ac:dyDescent="0.3">
      <c r="K522" s="16">
        <f t="shared" si="7"/>
        <v>44037</v>
      </c>
      <c r="L522" s="17">
        <v>0.66666666666666663</v>
      </c>
      <c r="M522" s="14">
        <v>650</v>
      </c>
      <c r="N522" s="14">
        <v>0</v>
      </c>
      <c r="O522" s="14">
        <v>-943</v>
      </c>
      <c r="P522" s="14">
        <v>-293</v>
      </c>
      <c r="Q522">
        <v>7500</v>
      </c>
      <c r="R522">
        <v>1746</v>
      </c>
      <c r="S522">
        <v>1579</v>
      </c>
    </row>
    <row r="523" spans="11:19" x14ac:dyDescent="0.3">
      <c r="K523" s="16">
        <f t="shared" si="7"/>
        <v>44037</v>
      </c>
      <c r="L523" s="17">
        <v>0.70833333333333337</v>
      </c>
      <c r="M523" s="14">
        <v>650</v>
      </c>
      <c r="N523" s="14">
        <v>0</v>
      </c>
      <c r="O523" s="14">
        <v>-910</v>
      </c>
      <c r="P523" s="14">
        <v>-260</v>
      </c>
      <c r="Q523">
        <v>7428</v>
      </c>
      <c r="R523">
        <v>1961</v>
      </c>
      <c r="S523">
        <v>1264</v>
      </c>
    </row>
    <row r="524" spans="11:19" x14ac:dyDescent="0.3">
      <c r="K524" s="16">
        <f t="shared" si="7"/>
        <v>44037</v>
      </c>
      <c r="L524" s="17">
        <v>0.75</v>
      </c>
      <c r="M524" s="14">
        <v>650</v>
      </c>
      <c r="N524" s="14">
        <v>0</v>
      </c>
      <c r="O524" s="14">
        <v>-396</v>
      </c>
      <c r="P524" s="14">
        <v>254</v>
      </c>
      <c r="Q524">
        <v>7611</v>
      </c>
      <c r="R524">
        <v>2077</v>
      </c>
      <c r="S524">
        <v>820</v>
      </c>
    </row>
    <row r="525" spans="11:19" x14ac:dyDescent="0.3">
      <c r="K525" s="16">
        <f t="shared" si="7"/>
        <v>44037</v>
      </c>
      <c r="L525" s="17">
        <v>0.79166666666666663</v>
      </c>
      <c r="M525" s="14">
        <v>650</v>
      </c>
      <c r="N525" s="14">
        <v>0</v>
      </c>
      <c r="O525" s="14">
        <v>0</v>
      </c>
      <c r="P525" s="14">
        <v>650</v>
      </c>
      <c r="Q525">
        <v>7601</v>
      </c>
      <c r="R525">
        <v>1910</v>
      </c>
      <c r="S525">
        <v>428</v>
      </c>
    </row>
    <row r="526" spans="11:19" x14ac:dyDescent="0.3">
      <c r="K526" s="16">
        <f t="shared" si="7"/>
        <v>44037</v>
      </c>
      <c r="L526" s="17">
        <v>0.83333333333333337</v>
      </c>
      <c r="M526" s="14">
        <v>650</v>
      </c>
      <c r="N526" s="14">
        <v>0</v>
      </c>
      <c r="O526" s="14">
        <v>0</v>
      </c>
      <c r="P526" s="14">
        <v>650</v>
      </c>
      <c r="Q526">
        <v>7296</v>
      </c>
      <c r="R526">
        <v>1767</v>
      </c>
      <c r="S526">
        <v>104</v>
      </c>
    </row>
    <row r="527" spans="11:19" x14ac:dyDescent="0.3">
      <c r="K527" s="16">
        <f t="shared" si="7"/>
        <v>44037</v>
      </c>
      <c r="L527" s="17">
        <v>0.875</v>
      </c>
      <c r="M527" s="14">
        <v>650</v>
      </c>
      <c r="N527" s="14">
        <v>0</v>
      </c>
      <c r="O527" s="14">
        <v>0</v>
      </c>
      <c r="P527" s="14">
        <v>650</v>
      </c>
      <c r="Q527">
        <v>7212</v>
      </c>
      <c r="R527">
        <v>1648</v>
      </c>
      <c r="S527">
        <v>4</v>
      </c>
    </row>
    <row r="528" spans="11:19" x14ac:dyDescent="0.3">
      <c r="K528" s="16">
        <f t="shared" si="7"/>
        <v>44037</v>
      </c>
      <c r="L528" s="17">
        <v>0.91666666666666663</v>
      </c>
      <c r="M528" s="14">
        <v>650</v>
      </c>
      <c r="N528" s="14">
        <v>0</v>
      </c>
      <c r="O528" s="14">
        <v>447</v>
      </c>
      <c r="P528" s="14">
        <v>1097</v>
      </c>
      <c r="Q528">
        <v>7769</v>
      </c>
      <c r="R528">
        <v>1618</v>
      </c>
      <c r="S528">
        <v>0</v>
      </c>
    </row>
    <row r="529" spans="11:19" x14ac:dyDescent="0.3">
      <c r="K529" s="16">
        <f t="shared" si="7"/>
        <v>44037</v>
      </c>
      <c r="L529" s="17">
        <v>0.95833333333333337</v>
      </c>
      <c r="M529" s="14">
        <v>650</v>
      </c>
      <c r="N529" s="14">
        <v>0</v>
      </c>
      <c r="O529" s="14">
        <v>734</v>
      </c>
      <c r="P529" s="14">
        <v>1384</v>
      </c>
      <c r="Q529">
        <v>7914</v>
      </c>
      <c r="R529">
        <v>1489</v>
      </c>
      <c r="S529">
        <v>0</v>
      </c>
    </row>
    <row r="530" spans="11:19" x14ac:dyDescent="0.3">
      <c r="K530" s="16">
        <f t="shared" si="7"/>
        <v>44038</v>
      </c>
      <c r="L530" s="17">
        <v>0</v>
      </c>
      <c r="M530" s="14">
        <v>650</v>
      </c>
      <c r="N530" s="14">
        <v>0</v>
      </c>
      <c r="O530" s="14">
        <v>799</v>
      </c>
      <c r="P530" s="14">
        <v>1449</v>
      </c>
      <c r="Q530">
        <v>7290</v>
      </c>
      <c r="R530">
        <v>1414</v>
      </c>
      <c r="S530">
        <v>0</v>
      </c>
    </row>
    <row r="531" spans="11:19" x14ac:dyDescent="0.3">
      <c r="K531" s="16">
        <f t="shared" si="7"/>
        <v>44038</v>
      </c>
      <c r="L531" s="17">
        <v>4.1666666666666664E-2</v>
      </c>
      <c r="M531" s="14">
        <v>650</v>
      </c>
      <c r="N531" s="14">
        <v>0</v>
      </c>
      <c r="O531" s="14">
        <v>619</v>
      </c>
      <c r="P531" s="14">
        <v>1269</v>
      </c>
      <c r="Q531">
        <v>6871</v>
      </c>
      <c r="R531">
        <v>1179</v>
      </c>
      <c r="S531">
        <v>0</v>
      </c>
    </row>
    <row r="532" spans="11:19" x14ac:dyDescent="0.3">
      <c r="K532" s="16">
        <f t="shared" si="7"/>
        <v>44038</v>
      </c>
      <c r="L532" s="17">
        <v>8.3333333333333329E-2</v>
      </c>
      <c r="M532" s="14">
        <v>650</v>
      </c>
      <c r="N532" s="14">
        <v>0</v>
      </c>
      <c r="O532" s="14">
        <v>56</v>
      </c>
      <c r="P532" s="14">
        <v>706</v>
      </c>
      <c r="Q532">
        <v>6516</v>
      </c>
      <c r="R532">
        <v>1388</v>
      </c>
      <c r="S532">
        <v>0</v>
      </c>
    </row>
    <row r="533" spans="11:19" x14ac:dyDescent="0.3">
      <c r="K533" s="16">
        <f t="shared" si="7"/>
        <v>44038</v>
      </c>
      <c r="L533" s="17">
        <v>0.125</v>
      </c>
      <c r="M533" s="14">
        <v>650</v>
      </c>
      <c r="N533" s="14">
        <v>0</v>
      </c>
      <c r="O533" s="14">
        <v>0</v>
      </c>
      <c r="P533" s="14">
        <v>650</v>
      </c>
      <c r="Q533">
        <v>6102</v>
      </c>
      <c r="R533">
        <v>1340</v>
      </c>
      <c r="S533">
        <v>0</v>
      </c>
    </row>
    <row r="534" spans="11:19" x14ac:dyDescent="0.3">
      <c r="K534" s="16">
        <f t="shared" si="7"/>
        <v>44038</v>
      </c>
      <c r="L534" s="17">
        <v>0.16666666666666666</v>
      </c>
      <c r="M534" s="14">
        <v>650</v>
      </c>
      <c r="N534" s="14">
        <v>0</v>
      </c>
      <c r="O534" s="14">
        <v>0</v>
      </c>
      <c r="P534" s="14">
        <v>650</v>
      </c>
      <c r="Q534">
        <v>5899</v>
      </c>
      <c r="R534">
        <v>1327</v>
      </c>
      <c r="S534">
        <v>0</v>
      </c>
    </row>
    <row r="535" spans="11:19" x14ac:dyDescent="0.3">
      <c r="K535" s="16">
        <f t="shared" si="7"/>
        <v>44038</v>
      </c>
      <c r="L535" s="17">
        <v>0.20833333333333334</v>
      </c>
      <c r="M535" s="14">
        <v>650</v>
      </c>
      <c r="N535" s="14">
        <v>0</v>
      </c>
      <c r="O535" s="14">
        <v>0</v>
      </c>
      <c r="P535" s="14">
        <v>650</v>
      </c>
      <c r="Q535">
        <v>5847</v>
      </c>
      <c r="R535">
        <v>1407</v>
      </c>
      <c r="S535">
        <v>0</v>
      </c>
    </row>
    <row r="536" spans="11:19" x14ac:dyDescent="0.3">
      <c r="K536" s="16">
        <f t="shared" si="7"/>
        <v>44038</v>
      </c>
      <c r="L536" s="17">
        <v>0.25</v>
      </c>
      <c r="M536" s="14">
        <v>650</v>
      </c>
      <c r="N536" s="14">
        <v>0</v>
      </c>
      <c r="O536" s="14">
        <v>289</v>
      </c>
      <c r="P536" s="14">
        <v>939</v>
      </c>
      <c r="Q536">
        <v>5788</v>
      </c>
      <c r="R536">
        <v>1522</v>
      </c>
      <c r="S536">
        <v>7</v>
      </c>
    </row>
    <row r="537" spans="11:19" x14ac:dyDescent="0.3">
      <c r="K537" s="16">
        <f t="shared" si="7"/>
        <v>44038</v>
      </c>
      <c r="L537" s="17">
        <v>0.29166666666666669</v>
      </c>
      <c r="M537" s="14">
        <v>650</v>
      </c>
      <c r="N537" s="14">
        <v>0</v>
      </c>
      <c r="O537" s="14">
        <v>306</v>
      </c>
      <c r="P537" s="14">
        <v>956</v>
      </c>
      <c r="Q537">
        <v>5931</v>
      </c>
      <c r="R537">
        <v>1501</v>
      </c>
      <c r="S537">
        <v>139</v>
      </c>
    </row>
    <row r="538" spans="11:19" x14ac:dyDescent="0.3">
      <c r="K538" s="16">
        <f t="shared" si="7"/>
        <v>44038</v>
      </c>
      <c r="L538" s="17">
        <v>0.33333333333333331</v>
      </c>
      <c r="M538" s="14">
        <v>650</v>
      </c>
      <c r="N538" s="14">
        <v>0</v>
      </c>
      <c r="O538" s="14">
        <v>471</v>
      </c>
      <c r="P538" s="14">
        <v>1121</v>
      </c>
      <c r="Q538">
        <v>6372</v>
      </c>
      <c r="R538">
        <v>1396</v>
      </c>
      <c r="S538">
        <v>514</v>
      </c>
    </row>
    <row r="539" spans="11:19" x14ac:dyDescent="0.3">
      <c r="K539" s="16">
        <f t="shared" ref="K539:K602" si="8">K515+1</f>
        <v>44038</v>
      </c>
      <c r="L539" s="17">
        <v>0.375</v>
      </c>
      <c r="M539" s="14">
        <v>650</v>
      </c>
      <c r="N539" s="14">
        <v>0</v>
      </c>
      <c r="O539" s="14">
        <v>0</v>
      </c>
      <c r="P539" s="14">
        <v>650</v>
      </c>
      <c r="Q539">
        <v>6859</v>
      </c>
      <c r="R539">
        <v>1504</v>
      </c>
      <c r="S539">
        <v>971</v>
      </c>
    </row>
    <row r="540" spans="11:19" x14ac:dyDescent="0.3">
      <c r="K540" s="16">
        <f t="shared" si="8"/>
        <v>44038</v>
      </c>
      <c r="L540" s="17">
        <v>0.41666666666666669</v>
      </c>
      <c r="M540" s="14">
        <v>650</v>
      </c>
      <c r="N540" s="14">
        <v>0</v>
      </c>
      <c r="O540" s="14">
        <v>0</v>
      </c>
      <c r="P540" s="14">
        <v>650</v>
      </c>
      <c r="Q540">
        <v>7187</v>
      </c>
      <c r="R540">
        <v>1524</v>
      </c>
      <c r="S540">
        <v>1294</v>
      </c>
    </row>
    <row r="541" spans="11:19" x14ac:dyDescent="0.3">
      <c r="K541" s="16">
        <f t="shared" si="8"/>
        <v>44038</v>
      </c>
      <c r="L541" s="17">
        <v>0.45833333333333331</v>
      </c>
      <c r="M541" s="14">
        <v>650</v>
      </c>
      <c r="N541" s="14">
        <v>0</v>
      </c>
      <c r="O541" s="14">
        <v>0</v>
      </c>
      <c r="P541" s="14">
        <v>650</v>
      </c>
      <c r="Q541">
        <v>7449</v>
      </c>
      <c r="R541">
        <v>1671</v>
      </c>
      <c r="S541">
        <v>1537</v>
      </c>
    </row>
    <row r="542" spans="11:19" x14ac:dyDescent="0.3">
      <c r="K542" s="16">
        <f t="shared" si="8"/>
        <v>44038</v>
      </c>
      <c r="L542" s="17">
        <v>0.5</v>
      </c>
      <c r="M542" s="14">
        <v>650</v>
      </c>
      <c r="N542" s="14">
        <v>0</v>
      </c>
      <c r="O542" s="14">
        <v>0</v>
      </c>
      <c r="P542" s="14">
        <v>650</v>
      </c>
      <c r="Q542">
        <v>7787</v>
      </c>
      <c r="R542">
        <v>1692</v>
      </c>
      <c r="S542">
        <v>1657</v>
      </c>
    </row>
    <row r="543" spans="11:19" x14ac:dyDescent="0.3">
      <c r="K543" s="16">
        <f t="shared" si="8"/>
        <v>44038</v>
      </c>
      <c r="L543" s="17">
        <v>0.54166666666666663</v>
      </c>
      <c r="M543" s="14">
        <v>650</v>
      </c>
      <c r="N543" s="14">
        <v>0</v>
      </c>
      <c r="O543" s="14">
        <v>-69</v>
      </c>
      <c r="P543" s="14">
        <v>581</v>
      </c>
      <c r="Q543">
        <v>7416</v>
      </c>
      <c r="R543">
        <v>1767</v>
      </c>
      <c r="S543">
        <v>1727</v>
      </c>
    </row>
    <row r="544" spans="11:19" x14ac:dyDescent="0.3">
      <c r="K544" s="16">
        <f t="shared" si="8"/>
        <v>44038</v>
      </c>
      <c r="L544" s="17">
        <v>0.58333333333333337</v>
      </c>
      <c r="M544" s="14">
        <v>650</v>
      </c>
      <c r="N544" s="14">
        <v>0</v>
      </c>
      <c r="O544" s="14">
        <v>-798</v>
      </c>
      <c r="P544" s="14">
        <v>-148</v>
      </c>
      <c r="Q544">
        <v>7090</v>
      </c>
      <c r="R544">
        <v>2080</v>
      </c>
      <c r="S544">
        <v>1818</v>
      </c>
    </row>
    <row r="545" spans="11:19" x14ac:dyDescent="0.3">
      <c r="K545" s="16">
        <f t="shared" si="8"/>
        <v>44038</v>
      </c>
      <c r="L545" s="17">
        <v>0.625</v>
      </c>
      <c r="M545" s="14">
        <v>650</v>
      </c>
      <c r="N545" s="14">
        <v>0</v>
      </c>
      <c r="O545" s="14">
        <v>-1200</v>
      </c>
      <c r="P545" s="14">
        <v>-550</v>
      </c>
      <c r="Q545">
        <v>6795</v>
      </c>
      <c r="R545">
        <v>2255</v>
      </c>
      <c r="S545">
        <v>1752</v>
      </c>
    </row>
    <row r="546" spans="11:19" x14ac:dyDescent="0.3">
      <c r="K546" s="16">
        <f t="shared" si="8"/>
        <v>44038</v>
      </c>
      <c r="L546" s="17">
        <v>0.66666666666666663</v>
      </c>
      <c r="M546" s="14">
        <v>650</v>
      </c>
      <c r="N546" s="14">
        <v>0</v>
      </c>
      <c r="O546" s="14">
        <v>-1200</v>
      </c>
      <c r="P546" s="14">
        <v>-550</v>
      </c>
      <c r="Q546">
        <v>6630</v>
      </c>
      <c r="R546">
        <v>2346</v>
      </c>
      <c r="S546">
        <v>1583</v>
      </c>
    </row>
    <row r="547" spans="11:19" x14ac:dyDescent="0.3">
      <c r="K547" s="16">
        <f t="shared" si="8"/>
        <v>44038</v>
      </c>
      <c r="L547" s="17">
        <v>0.70833333333333337</v>
      </c>
      <c r="M547" s="14">
        <v>650</v>
      </c>
      <c r="N547" s="14">
        <v>0</v>
      </c>
      <c r="O547" s="14">
        <v>-1200</v>
      </c>
      <c r="P547" s="14">
        <v>-550</v>
      </c>
      <c r="Q547">
        <v>6633</v>
      </c>
      <c r="R547">
        <v>2672</v>
      </c>
      <c r="S547">
        <v>1269</v>
      </c>
    </row>
    <row r="548" spans="11:19" x14ac:dyDescent="0.3">
      <c r="K548" s="16">
        <f t="shared" si="8"/>
        <v>44038</v>
      </c>
      <c r="L548" s="17">
        <v>0.75</v>
      </c>
      <c r="M548" s="14">
        <v>650</v>
      </c>
      <c r="N548" s="14">
        <v>0</v>
      </c>
      <c r="O548" s="14">
        <v>-618</v>
      </c>
      <c r="P548" s="14">
        <v>32</v>
      </c>
      <c r="Q548">
        <v>6916</v>
      </c>
      <c r="R548">
        <v>2672</v>
      </c>
      <c r="S548">
        <v>887</v>
      </c>
    </row>
    <row r="549" spans="11:19" x14ac:dyDescent="0.3">
      <c r="K549" s="16">
        <f t="shared" si="8"/>
        <v>44038</v>
      </c>
      <c r="L549" s="17">
        <v>0.79166666666666663</v>
      </c>
      <c r="M549" s="14">
        <v>650</v>
      </c>
      <c r="N549" s="14">
        <v>0</v>
      </c>
      <c r="O549" s="14">
        <v>0</v>
      </c>
      <c r="P549" s="14">
        <v>650</v>
      </c>
      <c r="Q549">
        <v>7152</v>
      </c>
      <c r="R549">
        <v>2497</v>
      </c>
      <c r="S549">
        <v>421</v>
      </c>
    </row>
    <row r="550" spans="11:19" x14ac:dyDescent="0.3">
      <c r="K550" s="16">
        <f t="shared" si="8"/>
        <v>44038</v>
      </c>
      <c r="L550" s="17">
        <v>0.83333333333333337</v>
      </c>
      <c r="M550" s="14">
        <v>650</v>
      </c>
      <c r="N550" s="14">
        <v>0</v>
      </c>
      <c r="O550" s="14">
        <v>0</v>
      </c>
      <c r="P550" s="14">
        <v>650</v>
      </c>
      <c r="Q550">
        <v>7114</v>
      </c>
      <c r="R550">
        <v>2496</v>
      </c>
      <c r="S550">
        <v>105</v>
      </c>
    </row>
    <row r="551" spans="11:19" x14ac:dyDescent="0.3">
      <c r="K551" s="16">
        <f t="shared" si="8"/>
        <v>44038</v>
      </c>
      <c r="L551" s="17">
        <v>0.875</v>
      </c>
      <c r="M551" s="14">
        <v>650</v>
      </c>
      <c r="N551" s="14">
        <v>0</v>
      </c>
      <c r="O551" s="14">
        <v>0</v>
      </c>
      <c r="P551" s="14">
        <v>650</v>
      </c>
      <c r="Q551">
        <v>7155</v>
      </c>
      <c r="R551">
        <v>2558</v>
      </c>
      <c r="S551">
        <v>8</v>
      </c>
    </row>
    <row r="552" spans="11:19" x14ac:dyDescent="0.3">
      <c r="K552" s="16">
        <f t="shared" si="8"/>
        <v>44038</v>
      </c>
      <c r="L552" s="17">
        <v>0.91666666666666663</v>
      </c>
      <c r="M552" s="14">
        <v>650</v>
      </c>
      <c r="N552" s="14">
        <v>0</v>
      </c>
      <c r="O552" s="14">
        <v>1064</v>
      </c>
      <c r="P552" s="14">
        <v>1714</v>
      </c>
      <c r="Q552">
        <v>7714</v>
      </c>
      <c r="R552">
        <v>2533</v>
      </c>
      <c r="S552">
        <v>0</v>
      </c>
    </row>
    <row r="553" spans="11:19" x14ac:dyDescent="0.3">
      <c r="K553" s="16">
        <f t="shared" si="8"/>
        <v>44038</v>
      </c>
      <c r="L553" s="17">
        <v>0.95833333333333337</v>
      </c>
      <c r="M553" s="14">
        <v>650</v>
      </c>
      <c r="N553" s="14">
        <v>0</v>
      </c>
      <c r="O553" s="14">
        <v>462</v>
      </c>
      <c r="P553" s="14">
        <v>1112</v>
      </c>
      <c r="Q553">
        <v>7840</v>
      </c>
      <c r="R553">
        <v>2301</v>
      </c>
      <c r="S553">
        <v>0</v>
      </c>
    </row>
    <row r="554" spans="11:19" x14ac:dyDescent="0.3">
      <c r="K554" s="16">
        <f t="shared" si="8"/>
        <v>44039</v>
      </c>
      <c r="L554" s="17">
        <v>0</v>
      </c>
      <c r="M554" s="14">
        <v>650</v>
      </c>
      <c r="N554" s="14">
        <v>0</v>
      </c>
      <c r="O554" s="14">
        <v>-636</v>
      </c>
      <c r="P554" s="14">
        <v>14</v>
      </c>
      <c r="Q554">
        <v>7129</v>
      </c>
      <c r="R554">
        <v>2076</v>
      </c>
      <c r="S554">
        <v>0</v>
      </c>
    </row>
    <row r="555" spans="11:19" x14ac:dyDescent="0.3">
      <c r="K555" s="16">
        <f t="shared" si="8"/>
        <v>44039</v>
      </c>
      <c r="L555" s="17">
        <v>4.1666666666666664E-2</v>
      </c>
      <c r="M555" s="14">
        <v>650</v>
      </c>
      <c r="N555" s="14">
        <v>0</v>
      </c>
      <c r="O555" s="14">
        <v>-779</v>
      </c>
      <c r="P555" s="14">
        <v>-129</v>
      </c>
      <c r="Q555">
        <v>6763</v>
      </c>
      <c r="R555">
        <v>1855</v>
      </c>
      <c r="S555">
        <v>0</v>
      </c>
    </row>
    <row r="556" spans="11:19" x14ac:dyDescent="0.3">
      <c r="K556" s="16">
        <f t="shared" si="8"/>
        <v>44039</v>
      </c>
      <c r="L556" s="17">
        <v>8.3333333333333329E-2</v>
      </c>
      <c r="M556" s="14">
        <v>650</v>
      </c>
      <c r="N556" s="14">
        <v>0</v>
      </c>
      <c r="O556" s="14">
        <v>-910</v>
      </c>
      <c r="P556" s="14">
        <v>-260</v>
      </c>
      <c r="Q556">
        <v>6478</v>
      </c>
      <c r="R556">
        <v>1703</v>
      </c>
      <c r="S556">
        <v>0</v>
      </c>
    </row>
    <row r="557" spans="11:19" x14ac:dyDescent="0.3">
      <c r="K557" s="16">
        <f t="shared" si="8"/>
        <v>44039</v>
      </c>
      <c r="L557" s="17">
        <v>0.125</v>
      </c>
      <c r="M557" s="14">
        <v>650</v>
      </c>
      <c r="N557" s="14">
        <v>0</v>
      </c>
      <c r="O557" s="14">
        <v>-1134</v>
      </c>
      <c r="P557" s="14">
        <v>-484</v>
      </c>
      <c r="Q557">
        <v>6185</v>
      </c>
      <c r="R557">
        <v>1635</v>
      </c>
      <c r="S557">
        <v>0</v>
      </c>
    </row>
    <row r="558" spans="11:19" x14ac:dyDescent="0.3">
      <c r="K558" s="16">
        <f t="shared" si="8"/>
        <v>44039</v>
      </c>
      <c r="L558" s="17">
        <v>0.16666666666666666</v>
      </c>
      <c r="M558" s="14">
        <v>650</v>
      </c>
      <c r="N558" s="14">
        <v>0</v>
      </c>
      <c r="O558" s="14">
        <v>-1026</v>
      </c>
      <c r="P558" s="14">
        <v>-376</v>
      </c>
      <c r="Q558">
        <v>6196</v>
      </c>
      <c r="R558">
        <v>1532</v>
      </c>
      <c r="S558">
        <v>0</v>
      </c>
    </row>
    <row r="559" spans="11:19" x14ac:dyDescent="0.3">
      <c r="K559" s="16">
        <f t="shared" si="8"/>
        <v>44039</v>
      </c>
      <c r="L559" s="17">
        <v>0.20833333333333334</v>
      </c>
      <c r="M559" s="14">
        <v>650</v>
      </c>
      <c r="N559" s="14">
        <v>0</v>
      </c>
      <c r="O559" s="14">
        <v>-531</v>
      </c>
      <c r="P559" s="14">
        <v>119</v>
      </c>
      <c r="Q559">
        <v>6598</v>
      </c>
      <c r="R559">
        <v>1430</v>
      </c>
      <c r="S559">
        <v>0</v>
      </c>
    </row>
    <row r="560" spans="11:19" x14ac:dyDescent="0.3">
      <c r="K560" s="16">
        <f t="shared" si="8"/>
        <v>44039</v>
      </c>
      <c r="L560" s="17">
        <v>0.25</v>
      </c>
      <c r="M560" s="14">
        <v>650</v>
      </c>
      <c r="N560" s="14">
        <v>0</v>
      </c>
      <c r="O560" s="14">
        <v>-10</v>
      </c>
      <c r="P560" s="14">
        <v>640</v>
      </c>
      <c r="Q560">
        <v>7182</v>
      </c>
      <c r="R560">
        <v>1445</v>
      </c>
      <c r="S560">
        <v>12</v>
      </c>
    </row>
    <row r="561" spans="11:19" x14ac:dyDescent="0.3">
      <c r="K561" s="16">
        <f t="shared" si="8"/>
        <v>44039</v>
      </c>
      <c r="L561" s="17">
        <v>0.29166666666666669</v>
      </c>
      <c r="M561" s="14">
        <v>650</v>
      </c>
      <c r="N561" s="14">
        <v>0</v>
      </c>
      <c r="O561" s="14">
        <v>610</v>
      </c>
      <c r="P561" s="14">
        <v>1260</v>
      </c>
      <c r="Q561">
        <v>7893</v>
      </c>
      <c r="R561">
        <v>1379</v>
      </c>
      <c r="S561">
        <v>145</v>
      </c>
    </row>
    <row r="562" spans="11:19" x14ac:dyDescent="0.3">
      <c r="K562" s="16">
        <f t="shared" si="8"/>
        <v>44039</v>
      </c>
      <c r="L562" s="17">
        <v>0.33333333333333331</v>
      </c>
      <c r="M562" s="14">
        <v>650</v>
      </c>
      <c r="N562" s="14">
        <v>0</v>
      </c>
      <c r="O562" s="14">
        <v>961</v>
      </c>
      <c r="P562" s="14">
        <v>1611</v>
      </c>
      <c r="Q562">
        <v>8592</v>
      </c>
      <c r="R562">
        <v>1358</v>
      </c>
      <c r="S562">
        <v>506</v>
      </c>
    </row>
    <row r="563" spans="11:19" x14ac:dyDescent="0.3">
      <c r="K563" s="16">
        <f t="shared" si="8"/>
        <v>44039</v>
      </c>
      <c r="L563" s="17">
        <v>0.375</v>
      </c>
      <c r="M563" s="14">
        <v>650</v>
      </c>
      <c r="N563" s="14">
        <v>177</v>
      </c>
      <c r="O563" s="14">
        <v>956</v>
      </c>
      <c r="P563" s="14">
        <v>1783</v>
      </c>
      <c r="Q563">
        <v>9030</v>
      </c>
      <c r="R563">
        <v>1198</v>
      </c>
      <c r="S563">
        <v>934</v>
      </c>
    </row>
    <row r="564" spans="11:19" x14ac:dyDescent="0.3">
      <c r="K564" s="16">
        <f t="shared" si="8"/>
        <v>44039</v>
      </c>
      <c r="L564" s="17">
        <v>0.41666666666666669</v>
      </c>
      <c r="M564" s="14">
        <v>650</v>
      </c>
      <c r="N564" s="14">
        <v>907</v>
      </c>
      <c r="O564" s="14">
        <v>0</v>
      </c>
      <c r="P564" s="14">
        <v>1557</v>
      </c>
      <c r="Q564">
        <v>9263</v>
      </c>
      <c r="R564">
        <v>1253</v>
      </c>
      <c r="S564">
        <v>1341</v>
      </c>
    </row>
    <row r="565" spans="11:19" x14ac:dyDescent="0.3">
      <c r="K565" s="16">
        <f t="shared" si="8"/>
        <v>44039</v>
      </c>
      <c r="L565" s="17">
        <v>0.45833333333333331</v>
      </c>
      <c r="M565" s="14">
        <v>650</v>
      </c>
      <c r="N565" s="14">
        <v>0</v>
      </c>
      <c r="O565" s="14">
        <v>650</v>
      </c>
      <c r="P565" s="14">
        <v>1300</v>
      </c>
      <c r="Q565">
        <v>9471</v>
      </c>
      <c r="R565">
        <v>1496</v>
      </c>
      <c r="S565">
        <v>1563</v>
      </c>
    </row>
    <row r="566" spans="11:19" x14ac:dyDescent="0.3">
      <c r="K566" s="16">
        <f t="shared" si="8"/>
        <v>44039</v>
      </c>
      <c r="L566" s="17">
        <v>0.5</v>
      </c>
      <c r="M566" s="14">
        <v>650</v>
      </c>
      <c r="N566" s="14">
        <v>804</v>
      </c>
      <c r="O566" s="14">
        <v>0</v>
      </c>
      <c r="P566" s="14">
        <v>1454</v>
      </c>
      <c r="Q566">
        <v>9572</v>
      </c>
      <c r="R566">
        <v>1358</v>
      </c>
      <c r="S566">
        <v>1654</v>
      </c>
    </row>
    <row r="567" spans="11:19" x14ac:dyDescent="0.3">
      <c r="K567" s="16">
        <f t="shared" si="8"/>
        <v>44039</v>
      </c>
      <c r="L567" s="17">
        <v>0.54166666666666663</v>
      </c>
      <c r="M567" s="14">
        <v>650</v>
      </c>
      <c r="N567" s="14">
        <v>641</v>
      </c>
      <c r="O567" s="14">
        <v>0</v>
      </c>
      <c r="P567" s="14">
        <v>1291</v>
      </c>
      <c r="Q567">
        <v>9441</v>
      </c>
      <c r="R567">
        <v>1278</v>
      </c>
      <c r="S567">
        <v>1770</v>
      </c>
    </row>
    <row r="568" spans="11:19" x14ac:dyDescent="0.3">
      <c r="K568" s="16">
        <f t="shared" si="8"/>
        <v>44039</v>
      </c>
      <c r="L568" s="17">
        <v>0.58333333333333337</v>
      </c>
      <c r="M568" s="14">
        <v>650</v>
      </c>
      <c r="N568" s="14">
        <v>446</v>
      </c>
      <c r="O568" s="14">
        <v>0</v>
      </c>
      <c r="P568" s="14">
        <v>1096</v>
      </c>
      <c r="Q568">
        <v>9347</v>
      </c>
      <c r="R568">
        <v>1334</v>
      </c>
      <c r="S568">
        <v>1815</v>
      </c>
    </row>
    <row r="569" spans="11:19" x14ac:dyDescent="0.3">
      <c r="K569" s="16">
        <f t="shared" si="8"/>
        <v>44039</v>
      </c>
      <c r="L569" s="17">
        <v>0.625</v>
      </c>
      <c r="M569" s="14">
        <v>650</v>
      </c>
      <c r="N569" s="14">
        <v>219</v>
      </c>
      <c r="O569" s="14">
        <v>0</v>
      </c>
      <c r="P569" s="14">
        <v>869</v>
      </c>
      <c r="Q569">
        <v>9078</v>
      </c>
      <c r="R569">
        <v>1386</v>
      </c>
      <c r="S569">
        <v>1721</v>
      </c>
    </row>
    <row r="570" spans="11:19" x14ac:dyDescent="0.3">
      <c r="K570" s="16">
        <f t="shared" si="8"/>
        <v>44039</v>
      </c>
      <c r="L570" s="17">
        <v>0.66666666666666663</v>
      </c>
      <c r="M570" s="14">
        <v>650</v>
      </c>
      <c r="N570" s="14">
        <v>136</v>
      </c>
      <c r="O570" s="14">
        <v>0</v>
      </c>
      <c r="P570" s="14">
        <v>786</v>
      </c>
      <c r="Q570">
        <v>8860</v>
      </c>
      <c r="R570">
        <v>1468</v>
      </c>
      <c r="S570">
        <v>1507</v>
      </c>
    </row>
    <row r="571" spans="11:19" x14ac:dyDescent="0.3">
      <c r="K571" s="16">
        <f t="shared" si="8"/>
        <v>44039</v>
      </c>
      <c r="L571" s="17">
        <v>0.70833333333333337</v>
      </c>
      <c r="M571" s="14">
        <v>650</v>
      </c>
      <c r="N571" s="14">
        <v>107</v>
      </c>
      <c r="O571" s="14">
        <v>0</v>
      </c>
      <c r="P571" s="14">
        <v>757</v>
      </c>
      <c r="Q571">
        <v>8719</v>
      </c>
      <c r="R571">
        <v>1655</v>
      </c>
      <c r="S571">
        <v>1211</v>
      </c>
    </row>
    <row r="572" spans="11:19" x14ac:dyDescent="0.3">
      <c r="K572" s="16">
        <f t="shared" si="8"/>
        <v>44039</v>
      </c>
      <c r="L572" s="17">
        <v>0.75</v>
      </c>
      <c r="M572" s="14">
        <v>650</v>
      </c>
      <c r="N572" s="14">
        <v>597</v>
      </c>
      <c r="O572" s="14">
        <v>0</v>
      </c>
      <c r="P572" s="14">
        <v>1247</v>
      </c>
      <c r="Q572">
        <v>8900</v>
      </c>
      <c r="R572">
        <v>1787</v>
      </c>
      <c r="S572">
        <v>774</v>
      </c>
    </row>
    <row r="573" spans="11:19" x14ac:dyDescent="0.3">
      <c r="K573" s="16">
        <f t="shared" si="8"/>
        <v>44039</v>
      </c>
      <c r="L573" s="17">
        <v>0.79166666666666663</v>
      </c>
      <c r="M573" s="14">
        <v>650</v>
      </c>
      <c r="N573" s="14">
        <v>792</v>
      </c>
      <c r="O573" s="14">
        <v>0</v>
      </c>
      <c r="P573" s="14">
        <v>1442</v>
      </c>
      <c r="Q573">
        <v>8880</v>
      </c>
      <c r="R573">
        <v>1957</v>
      </c>
      <c r="S573">
        <v>407</v>
      </c>
    </row>
    <row r="574" spans="11:19" x14ac:dyDescent="0.3">
      <c r="K574" s="16">
        <f t="shared" si="8"/>
        <v>44039</v>
      </c>
      <c r="L574" s="17">
        <v>0.83333333333333337</v>
      </c>
      <c r="M574" s="14">
        <v>650</v>
      </c>
      <c r="N574" s="14">
        <v>606</v>
      </c>
      <c r="O574" s="14">
        <v>0</v>
      </c>
      <c r="P574" s="14">
        <v>1256</v>
      </c>
      <c r="Q574">
        <v>8399</v>
      </c>
      <c r="R574">
        <v>1983</v>
      </c>
      <c r="S574">
        <v>99</v>
      </c>
    </row>
    <row r="575" spans="11:19" x14ac:dyDescent="0.3">
      <c r="K575" s="16">
        <f t="shared" si="8"/>
        <v>44039</v>
      </c>
      <c r="L575" s="17">
        <v>0.875</v>
      </c>
      <c r="M575" s="14">
        <v>650</v>
      </c>
      <c r="N575" s="14">
        <v>233</v>
      </c>
      <c r="O575" s="14">
        <v>0</v>
      </c>
      <c r="P575" s="14">
        <v>883</v>
      </c>
      <c r="Q575">
        <v>8097</v>
      </c>
      <c r="R575">
        <v>2153</v>
      </c>
      <c r="S575">
        <v>7</v>
      </c>
    </row>
    <row r="576" spans="11:19" x14ac:dyDescent="0.3">
      <c r="K576" s="16">
        <f t="shared" si="8"/>
        <v>44039</v>
      </c>
      <c r="L576" s="17">
        <v>0.91666666666666663</v>
      </c>
      <c r="M576" s="14">
        <v>650</v>
      </c>
      <c r="N576" s="14">
        <v>705</v>
      </c>
      <c r="O576" s="14">
        <v>0</v>
      </c>
      <c r="P576" s="14">
        <v>1355</v>
      </c>
      <c r="Q576">
        <v>8523</v>
      </c>
      <c r="R576">
        <v>2117</v>
      </c>
      <c r="S576">
        <v>0</v>
      </c>
    </row>
    <row r="577" spans="11:19" x14ac:dyDescent="0.3">
      <c r="K577" s="16">
        <f t="shared" si="8"/>
        <v>44039</v>
      </c>
      <c r="L577" s="17">
        <v>0.95833333333333337</v>
      </c>
      <c r="M577" s="14">
        <v>650</v>
      </c>
      <c r="N577" s="14">
        <v>0</v>
      </c>
      <c r="O577" s="14">
        <v>847</v>
      </c>
      <c r="P577" s="14">
        <v>1497</v>
      </c>
      <c r="Q577">
        <v>8552</v>
      </c>
      <c r="R577">
        <v>1935</v>
      </c>
      <c r="S577">
        <v>0</v>
      </c>
    </row>
    <row r="578" spans="11:19" x14ac:dyDescent="0.3">
      <c r="K578" s="16">
        <f t="shared" si="8"/>
        <v>44040</v>
      </c>
      <c r="L578" s="17">
        <v>0</v>
      </c>
      <c r="M578" s="14">
        <v>650</v>
      </c>
      <c r="N578" s="14">
        <v>138</v>
      </c>
      <c r="O578" s="14">
        <v>0</v>
      </c>
      <c r="P578" s="14">
        <v>788</v>
      </c>
      <c r="Q578">
        <v>7872</v>
      </c>
      <c r="R578">
        <v>1964</v>
      </c>
      <c r="S578">
        <v>0</v>
      </c>
    </row>
    <row r="579" spans="11:19" x14ac:dyDescent="0.3">
      <c r="K579" s="16">
        <f t="shared" si="8"/>
        <v>44040</v>
      </c>
      <c r="L579" s="17">
        <v>4.1666666666666664E-2</v>
      </c>
      <c r="M579" s="14">
        <v>650</v>
      </c>
      <c r="N579" s="14">
        <v>0</v>
      </c>
      <c r="O579" s="14">
        <v>0</v>
      </c>
      <c r="P579" s="14">
        <v>650</v>
      </c>
      <c r="Q579">
        <v>7488</v>
      </c>
      <c r="R579">
        <v>1553</v>
      </c>
      <c r="S579">
        <v>0</v>
      </c>
    </row>
    <row r="580" spans="11:19" x14ac:dyDescent="0.3">
      <c r="K580" s="16">
        <f t="shared" si="8"/>
        <v>44040</v>
      </c>
      <c r="L580" s="17">
        <v>8.3333333333333329E-2</v>
      </c>
      <c r="M580" s="14">
        <v>650</v>
      </c>
      <c r="N580" s="14">
        <v>0</v>
      </c>
      <c r="O580" s="14">
        <v>-88</v>
      </c>
      <c r="P580" s="14">
        <v>562</v>
      </c>
      <c r="Q580">
        <v>7185</v>
      </c>
      <c r="R580">
        <v>1507</v>
      </c>
      <c r="S580">
        <v>0</v>
      </c>
    </row>
    <row r="581" spans="11:19" x14ac:dyDescent="0.3">
      <c r="K581" s="16">
        <f t="shared" si="8"/>
        <v>44040</v>
      </c>
      <c r="L581" s="17">
        <v>0.125</v>
      </c>
      <c r="M581" s="14">
        <v>650</v>
      </c>
      <c r="N581" s="14">
        <v>0</v>
      </c>
      <c r="O581" s="14">
        <v>-424</v>
      </c>
      <c r="P581" s="14">
        <v>226</v>
      </c>
      <c r="Q581">
        <v>6843</v>
      </c>
      <c r="R581">
        <v>1502</v>
      </c>
      <c r="S581">
        <v>0</v>
      </c>
    </row>
    <row r="582" spans="11:19" x14ac:dyDescent="0.3">
      <c r="K582" s="16">
        <f t="shared" si="8"/>
        <v>44040</v>
      </c>
      <c r="L582" s="17">
        <v>0.16666666666666666</v>
      </c>
      <c r="M582" s="14">
        <v>650</v>
      </c>
      <c r="N582" s="14">
        <v>0</v>
      </c>
      <c r="O582" s="14">
        <v>-286</v>
      </c>
      <c r="P582" s="14">
        <v>364</v>
      </c>
      <c r="Q582">
        <v>6778</v>
      </c>
      <c r="R582">
        <v>1373</v>
      </c>
      <c r="S582">
        <v>0</v>
      </c>
    </row>
    <row r="583" spans="11:19" x14ac:dyDescent="0.3">
      <c r="K583" s="16">
        <f t="shared" si="8"/>
        <v>44040</v>
      </c>
      <c r="L583" s="17">
        <v>0.20833333333333334</v>
      </c>
      <c r="M583" s="14">
        <v>650</v>
      </c>
      <c r="N583" s="14">
        <v>0</v>
      </c>
      <c r="O583" s="14">
        <v>-45</v>
      </c>
      <c r="P583" s="14">
        <v>605</v>
      </c>
      <c r="Q583">
        <v>7079</v>
      </c>
      <c r="R583">
        <v>1424</v>
      </c>
      <c r="S583">
        <v>0</v>
      </c>
    </row>
    <row r="584" spans="11:19" x14ac:dyDescent="0.3">
      <c r="K584" s="16">
        <f t="shared" si="8"/>
        <v>44040</v>
      </c>
      <c r="L584" s="17">
        <v>0.25</v>
      </c>
      <c r="M584" s="14">
        <v>650</v>
      </c>
      <c r="N584" s="14">
        <v>434</v>
      </c>
      <c r="O584" s="14">
        <v>0</v>
      </c>
      <c r="P584" s="14">
        <v>1084</v>
      </c>
      <c r="Q584">
        <v>7576</v>
      </c>
      <c r="R584">
        <v>1400</v>
      </c>
      <c r="S584">
        <v>6</v>
      </c>
    </row>
    <row r="585" spans="11:19" x14ac:dyDescent="0.3">
      <c r="K585" s="16">
        <f t="shared" si="8"/>
        <v>44040</v>
      </c>
      <c r="L585" s="17">
        <v>0.29166666666666669</v>
      </c>
      <c r="M585" s="14">
        <v>650</v>
      </c>
      <c r="N585" s="14">
        <v>925</v>
      </c>
      <c r="O585" s="14">
        <v>0</v>
      </c>
      <c r="P585" s="14">
        <v>1575</v>
      </c>
      <c r="Q585">
        <v>8243</v>
      </c>
      <c r="R585">
        <v>1457</v>
      </c>
      <c r="S585">
        <v>101</v>
      </c>
    </row>
    <row r="586" spans="11:19" x14ac:dyDescent="0.3">
      <c r="K586" s="16">
        <f t="shared" si="8"/>
        <v>44040</v>
      </c>
      <c r="L586" s="17">
        <v>0.33333333333333331</v>
      </c>
      <c r="M586" s="14">
        <v>650</v>
      </c>
      <c r="N586" s="14">
        <v>1425</v>
      </c>
      <c r="O586" s="14">
        <v>0</v>
      </c>
      <c r="P586" s="14">
        <v>2075</v>
      </c>
      <c r="Q586">
        <v>8898</v>
      </c>
      <c r="R586">
        <v>1292</v>
      </c>
      <c r="S586">
        <v>413</v>
      </c>
    </row>
    <row r="587" spans="11:19" x14ac:dyDescent="0.3">
      <c r="K587" s="16">
        <f t="shared" si="8"/>
        <v>44040</v>
      </c>
      <c r="L587" s="17">
        <v>0.375</v>
      </c>
      <c r="M587" s="14">
        <v>650</v>
      </c>
      <c r="N587" s="14">
        <v>1628</v>
      </c>
      <c r="O587" s="14">
        <v>0</v>
      </c>
      <c r="P587" s="14">
        <v>2278</v>
      </c>
      <c r="Q587">
        <v>9347</v>
      </c>
      <c r="R587">
        <v>967</v>
      </c>
      <c r="S587">
        <v>746</v>
      </c>
    </row>
    <row r="588" spans="11:19" x14ac:dyDescent="0.3">
      <c r="K588" s="16">
        <f t="shared" si="8"/>
        <v>44040</v>
      </c>
      <c r="L588" s="17">
        <v>0.41666666666666669</v>
      </c>
      <c r="M588" s="14">
        <v>650</v>
      </c>
      <c r="N588" s="14">
        <v>1332</v>
      </c>
      <c r="O588" s="14">
        <v>0</v>
      </c>
      <c r="P588" s="14">
        <v>1982</v>
      </c>
      <c r="Q588">
        <v>9590</v>
      </c>
      <c r="R588">
        <v>1160</v>
      </c>
      <c r="S588">
        <v>1094</v>
      </c>
    </row>
    <row r="589" spans="11:19" x14ac:dyDescent="0.3">
      <c r="K589" s="16">
        <f t="shared" si="8"/>
        <v>44040</v>
      </c>
      <c r="L589" s="17">
        <v>0.45833333333333331</v>
      </c>
      <c r="M589" s="14">
        <v>650</v>
      </c>
      <c r="N589" s="14">
        <v>0</v>
      </c>
      <c r="O589" s="14">
        <v>675</v>
      </c>
      <c r="P589" s="14">
        <v>1325</v>
      </c>
      <c r="Q589">
        <v>9792</v>
      </c>
      <c r="R589">
        <v>1266</v>
      </c>
      <c r="S589">
        <v>1293</v>
      </c>
    </row>
    <row r="590" spans="11:19" x14ac:dyDescent="0.3">
      <c r="K590" s="16">
        <f t="shared" si="8"/>
        <v>44040</v>
      </c>
      <c r="L590" s="17">
        <v>0.5</v>
      </c>
      <c r="M590" s="14">
        <v>650</v>
      </c>
      <c r="N590" s="14">
        <v>0</v>
      </c>
      <c r="O590" s="14">
        <v>0</v>
      </c>
      <c r="P590" s="14">
        <v>650</v>
      </c>
      <c r="Q590">
        <v>9876</v>
      </c>
      <c r="R590">
        <v>1339</v>
      </c>
      <c r="S590">
        <v>1427</v>
      </c>
    </row>
    <row r="591" spans="11:19" x14ac:dyDescent="0.3">
      <c r="K591" s="16">
        <f t="shared" si="8"/>
        <v>44040</v>
      </c>
      <c r="L591" s="17">
        <v>0.54166666666666663</v>
      </c>
      <c r="M591" s="14">
        <v>650</v>
      </c>
      <c r="N591" s="14">
        <v>1006</v>
      </c>
      <c r="O591" s="14">
        <v>0</v>
      </c>
      <c r="P591" s="14">
        <v>1656</v>
      </c>
      <c r="Q591">
        <v>9741</v>
      </c>
      <c r="R591">
        <v>1229</v>
      </c>
      <c r="S591">
        <v>1513</v>
      </c>
    </row>
    <row r="592" spans="11:19" x14ac:dyDescent="0.3">
      <c r="K592" s="16">
        <f t="shared" si="8"/>
        <v>44040</v>
      </c>
      <c r="L592" s="17">
        <v>0.58333333333333337</v>
      </c>
      <c r="M592" s="14">
        <v>650</v>
      </c>
      <c r="N592" s="14">
        <v>754</v>
      </c>
      <c r="O592" s="14">
        <v>0</v>
      </c>
      <c r="P592" s="14">
        <v>1404</v>
      </c>
      <c r="Q592">
        <v>9679</v>
      </c>
      <c r="R592">
        <v>1427</v>
      </c>
      <c r="S592">
        <v>1585</v>
      </c>
    </row>
    <row r="593" spans="11:19" x14ac:dyDescent="0.3">
      <c r="K593" s="16">
        <f t="shared" si="8"/>
        <v>44040</v>
      </c>
      <c r="L593" s="17">
        <v>0.625</v>
      </c>
      <c r="M593" s="14">
        <v>650</v>
      </c>
      <c r="N593" s="14">
        <v>326</v>
      </c>
      <c r="O593" s="14">
        <v>0</v>
      </c>
      <c r="P593" s="14">
        <v>976</v>
      </c>
      <c r="Q593">
        <v>9422</v>
      </c>
      <c r="R593">
        <v>1635</v>
      </c>
      <c r="S593">
        <v>1548</v>
      </c>
    </row>
    <row r="594" spans="11:19" x14ac:dyDescent="0.3">
      <c r="K594" s="16">
        <f t="shared" si="8"/>
        <v>44040</v>
      </c>
      <c r="L594" s="17">
        <v>0.66666666666666663</v>
      </c>
      <c r="M594" s="14">
        <v>650</v>
      </c>
      <c r="N594" s="14">
        <v>252</v>
      </c>
      <c r="O594" s="14">
        <v>0</v>
      </c>
      <c r="P594" s="14">
        <v>902</v>
      </c>
      <c r="Q594">
        <v>9218</v>
      </c>
      <c r="R594">
        <v>1611</v>
      </c>
      <c r="S594">
        <v>1444</v>
      </c>
    </row>
    <row r="595" spans="11:19" x14ac:dyDescent="0.3">
      <c r="K595" s="16">
        <f t="shared" si="8"/>
        <v>44040</v>
      </c>
      <c r="L595" s="17">
        <v>0.70833333333333337</v>
      </c>
      <c r="M595" s="14">
        <v>650</v>
      </c>
      <c r="N595" s="14">
        <v>351</v>
      </c>
      <c r="O595" s="14">
        <v>0</v>
      </c>
      <c r="P595" s="14">
        <v>1001</v>
      </c>
      <c r="Q595">
        <v>9074</v>
      </c>
      <c r="R595">
        <v>1653</v>
      </c>
      <c r="S595">
        <v>1163</v>
      </c>
    </row>
    <row r="596" spans="11:19" x14ac:dyDescent="0.3">
      <c r="K596" s="16">
        <f t="shared" si="8"/>
        <v>44040</v>
      </c>
      <c r="L596" s="17">
        <v>0.75</v>
      </c>
      <c r="M596" s="14">
        <v>650</v>
      </c>
      <c r="N596" s="14">
        <v>581</v>
      </c>
      <c r="O596" s="14">
        <v>0</v>
      </c>
      <c r="P596" s="14">
        <v>1231</v>
      </c>
      <c r="Q596">
        <v>9180</v>
      </c>
      <c r="R596">
        <v>1903</v>
      </c>
      <c r="S596">
        <v>793</v>
      </c>
    </row>
    <row r="597" spans="11:19" x14ac:dyDescent="0.3">
      <c r="K597" s="16">
        <f t="shared" si="8"/>
        <v>44040</v>
      </c>
      <c r="L597" s="17">
        <v>0.79166666666666663</v>
      </c>
      <c r="M597" s="14">
        <v>650</v>
      </c>
      <c r="N597" s="14">
        <v>0</v>
      </c>
      <c r="O597" s="14">
        <v>0</v>
      </c>
      <c r="P597" s="14">
        <v>650</v>
      </c>
      <c r="Q597">
        <v>9065</v>
      </c>
      <c r="R597">
        <v>1596</v>
      </c>
      <c r="S597">
        <v>421</v>
      </c>
    </row>
    <row r="598" spans="11:19" x14ac:dyDescent="0.3">
      <c r="K598" s="16">
        <f t="shared" si="8"/>
        <v>44040</v>
      </c>
      <c r="L598" s="17">
        <v>0.83333333333333337</v>
      </c>
      <c r="M598" s="14">
        <v>650</v>
      </c>
      <c r="N598" s="14">
        <v>794</v>
      </c>
      <c r="O598" s="14">
        <v>0</v>
      </c>
      <c r="P598" s="14">
        <v>1444</v>
      </c>
      <c r="Q598">
        <v>8552</v>
      </c>
      <c r="R598">
        <v>1684</v>
      </c>
      <c r="S598">
        <v>122</v>
      </c>
    </row>
    <row r="599" spans="11:19" x14ac:dyDescent="0.3">
      <c r="K599" s="16">
        <f t="shared" si="8"/>
        <v>44040</v>
      </c>
      <c r="L599" s="17">
        <v>0.875</v>
      </c>
      <c r="M599" s="14">
        <v>650</v>
      </c>
      <c r="N599" s="14">
        <v>882</v>
      </c>
      <c r="O599" s="14">
        <v>0</v>
      </c>
      <c r="P599" s="14">
        <v>1532</v>
      </c>
      <c r="Q599">
        <v>8304</v>
      </c>
      <c r="R599">
        <v>1472</v>
      </c>
      <c r="S599">
        <v>5</v>
      </c>
    </row>
    <row r="600" spans="11:19" x14ac:dyDescent="0.3">
      <c r="K600" s="16">
        <f t="shared" si="8"/>
        <v>44040</v>
      </c>
      <c r="L600" s="17">
        <v>0.91666666666666663</v>
      </c>
      <c r="M600" s="14">
        <v>650</v>
      </c>
      <c r="N600" s="14">
        <v>1158</v>
      </c>
      <c r="O600" s="14">
        <v>0</v>
      </c>
      <c r="P600" s="14">
        <v>1808</v>
      </c>
      <c r="Q600">
        <v>8704</v>
      </c>
      <c r="R600">
        <v>1604</v>
      </c>
      <c r="S600">
        <v>0</v>
      </c>
    </row>
    <row r="601" spans="11:19" x14ac:dyDescent="0.3">
      <c r="K601" s="16">
        <f t="shared" si="8"/>
        <v>44040</v>
      </c>
      <c r="L601" s="17">
        <v>0.95833333333333337</v>
      </c>
      <c r="M601" s="14">
        <v>650</v>
      </c>
      <c r="N601" s="14">
        <v>1152</v>
      </c>
      <c r="O601" s="14">
        <v>0</v>
      </c>
      <c r="P601" s="14">
        <v>1802</v>
      </c>
      <c r="Q601">
        <v>8694</v>
      </c>
      <c r="R601">
        <v>1611</v>
      </c>
      <c r="S601">
        <v>0</v>
      </c>
    </row>
    <row r="602" spans="11:19" x14ac:dyDescent="0.3">
      <c r="K602" s="16">
        <f t="shared" si="8"/>
        <v>44041</v>
      </c>
      <c r="L602" s="17">
        <v>0</v>
      </c>
      <c r="M602" s="14">
        <v>650</v>
      </c>
      <c r="N602" s="14">
        <v>0</v>
      </c>
      <c r="O602" s="14">
        <v>0</v>
      </c>
      <c r="P602" s="14">
        <v>650</v>
      </c>
      <c r="Q602">
        <v>7940</v>
      </c>
      <c r="R602">
        <v>1734</v>
      </c>
      <c r="S602">
        <v>0</v>
      </c>
    </row>
    <row r="603" spans="11:19" x14ac:dyDescent="0.3">
      <c r="K603" s="16">
        <f t="shared" ref="K603:K666" si="9">K579+1</f>
        <v>44041</v>
      </c>
      <c r="L603" s="17">
        <v>4.1666666666666664E-2</v>
      </c>
      <c r="M603" s="14">
        <v>650</v>
      </c>
      <c r="N603" s="14">
        <v>0</v>
      </c>
      <c r="O603" s="14">
        <v>0</v>
      </c>
      <c r="P603" s="14">
        <v>650</v>
      </c>
      <c r="Q603">
        <v>7551</v>
      </c>
      <c r="R603">
        <v>1393</v>
      </c>
      <c r="S603">
        <v>0</v>
      </c>
    </row>
    <row r="604" spans="11:19" x14ac:dyDescent="0.3">
      <c r="K604" s="16">
        <f t="shared" si="9"/>
        <v>44041</v>
      </c>
      <c r="L604" s="17">
        <v>8.3333333333333329E-2</v>
      </c>
      <c r="M604" s="14">
        <v>650</v>
      </c>
      <c r="N604" s="14">
        <v>263</v>
      </c>
      <c r="O604" s="14">
        <v>0</v>
      </c>
      <c r="P604" s="14">
        <v>913</v>
      </c>
      <c r="Q604">
        <v>7243</v>
      </c>
      <c r="R604">
        <v>1214</v>
      </c>
      <c r="S604">
        <v>0</v>
      </c>
    </row>
    <row r="605" spans="11:19" x14ac:dyDescent="0.3">
      <c r="K605" s="16">
        <f t="shared" si="9"/>
        <v>44041</v>
      </c>
      <c r="L605" s="17">
        <v>0.125</v>
      </c>
      <c r="M605" s="14">
        <v>650</v>
      </c>
      <c r="N605" s="14">
        <v>0</v>
      </c>
      <c r="O605" s="14">
        <v>0</v>
      </c>
      <c r="P605" s="14">
        <v>650</v>
      </c>
      <c r="Q605">
        <v>6898</v>
      </c>
      <c r="R605">
        <v>1052</v>
      </c>
      <c r="S605">
        <v>0</v>
      </c>
    </row>
    <row r="606" spans="11:19" x14ac:dyDescent="0.3">
      <c r="K606" s="16">
        <f t="shared" si="9"/>
        <v>44041</v>
      </c>
      <c r="L606" s="17">
        <v>0.16666666666666666</v>
      </c>
      <c r="M606" s="14">
        <v>650</v>
      </c>
      <c r="N606" s="14">
        <v>106</v>
      </c>
      <c r="O606" s="14">
        <v>0</v>
      </c>
      <c r="P606" s="14">
        <v>756</v>
      </c>
      <c r="Q606">
        <v>6829</v>
      </c>
      <c r="R606">
        <v>952</v>
      </c>
      <c r="S606">
        <v>0</v>
      </c>
    </row>
    <row r="607" spans="11:19" x14ac:dyDescent="0.3">
      <c r="K607" s="16">
        <f t="shared" si="9"/>
        <v>44041</v>
      </c>
      <c r="L607" s="17">
        <v>0.20833333333333334</v>
      </c>
      <c r="M607" s="14">
        <v>650</v>
      </c>
      <c r="N607" s="14">
        <v>483</v>
      </c>
      <c r="O607" s="14">
        <v>0</v>
      </c>
      <c r="P607" s="14">
        <v>1133</v>
      </c>
      <c r="Q607">
        <v>7123</v>
      </c>
      <c r="R607">
        <v>939</v>
      </c>
      <c r="S607">
        <v>0</v>
      </c>
    </row>
    <row r="608" spans="11:19" x14ac:dyDescent="0.3">
      <c r="K608" s="16">
        <f t="shared" si="9"/>
        <v>44041</v>
      </c>
      <c r="L608" s="17">
        <v>0.25</v>
      </c>
      <c r="M608" s="14">
        <v>650</v>
      </c>
      <c r="N608" s="14">
        <v>1056</v>
      </c>
      <c r="O608" s="14">
        <v>0</v>
      </c>
      <c r="P608" s="14">
        <v>1706</v>
      </c>
      <c r="Q608">
        <v>7613</v>
      </c>
      <c r="R608">
        <v>808</v>
      </c>
      <c r="S608">
        <v>12</v>
      </c>
    </row>
    <row r="609" spans="11:19" x14ac:dyDescent="0.3">
      <c r="K609" s="16">
        <f t="shared" si="9"/>
        <v>44041</v>
      </c>
      <c r="L609" s="17">
        <v>0.29166666666666669</v>
      </c>
      <c r="M609" s="14">
        <v>650</v>
      </c>
      <c r="N609" s="14">
        <v>1588</v>
      </c>
      <c r="O609" s="14">
        <v>0</v>
      </c>
      <c r="P609" s="14">
        <v>2238</v>
      </c>
      <c r="Q609">
        <v>8283</v>
      </c>
      <c r="R609">
        <v>770</v>
      </c>
      <c r="S609">
        <v>164</v>
      </c>
    </row>
    <row r="610" spans="11:19" x14ac:dyDescent="0.3">
      <c r="K610" s="16">
        <f t="shared" si="9"/>
        <v>44041</v>
      </c>
      <c r="L610" s="17">
        <v>0.33333333333333331</v>
      </c>
      <c r="M610" s="14">
        <v>650</v>
      </c>
      <c r="N610" s="14">
        <v>1694</v>
      </c>
      <c r="O610" s="14">
        <v>0</v>
      </c>
      <c r="P610" s="14">
        <v>2344</v>
      </c>
      <c r="Q610">
        <v>8937</v>
      </c>
      <c r="R610">
        <v>885</v>
      </c>
      <c r="S610">
        <v>590</v>
      </c>
    </row>
    <row r="611" spans="11:19" x14ac:dyDescent="0.3">
      <c r="K611" s="16">
        <f t="shared" si="9"/>
        <v>44041</v>
      </c>
      <c r="L611" s="17">
        <v>0.375</v>
      </c>
      <c r="M611" s="14">
        <v>650</v>
      </c>
      <c r="N611" s="14">
        <v>1644</v>
      </c>
      <c r="O611" s="14">
        <v>0</v>
      </c>
      <c r="P611" s="14">
        <v>2294</v>
      </c>
      <c r="Q611">
        <v>9394</v>
      </c>
      <c r="R611">
        <v>806</v>
      </c>
      <c r="S611">
        <v>1177</v>
      </c>
    </row>
    <row r="612" spans="11:19" x14ac:dyDescent="0.3">
      <c r="K612" s="16">
        <f t="shared" si="9"/>
        <v>44041</v>
      </c>
      <c r="L612" s="17">
        <v>0.41666666666666669</v>
      </c>
      <c r="M612" s="14">
        <v>650</v>
      </c>
      <c r="N612" s="14">
        <v>1521</v>
      </c>
      <c r="O612" s="14">
        <v>0</v>
      </c>
      <c r="P612" s="14">
        <v>2171</v>
      </c>
      <c r="Q612">
        <v>9649</v>
      </c>
      <c r="R612">
        <v>758</v>
      </c>
      <c r="S612">
        <v>1606</v>
      </c>
    </row>
    <row r="613" spans="11:19" x14ac:dyDescent="0.3">
      <c r="K613" s="16">
        <f t="shared" si="9"/>
        <v>44041</v>
      </c>
      <c r="L613" s="17">
        <v>0.45833333333333331</v>
      </c>
      <c r="M613" s="14">
        <v>650</v>
      </c>
      <c r="N613" s="14">
        <v>1283</v>
      </c>
      <c r="O613" s="14">
        <v>0</v>
      </c>
      <c r="P613" s="14">
        <v>1933</v>
      </c>
      <c r="Q613">
        <v>9865</v>
      </c>
      <c r="R613">
        <v>901</v>
      </c>
      <c r="S613">
        <v>1918</v>
      </c>
    </row>
    <row r="614" spans="11:19" x14ac:dyDescent="0.3">
      <c r="K614" s="16">
        <f t="shared" si="9"/>
        <v>44041</v>
      </c>
      <c r="L614" s="17">
        <v>0.5</v>
      </c>
      <c r="M614" s="14">
        <v>650</v>
      </c>
      <c r="N614" s="14">
        <v>1225</v>
      </c>
      <c r="O614" s="14">
        <v>0</v>
      </c>
      <c r="P614" s="14">
        <v>1875</v>
      </c>
      <c r="Q614">
        <v>9965</v>
      </c>
      <c r="R614">
        <v>1024</v>
      </c>
      <c r="S614">
        <v>1958</v>
      </c>
    </row>
    <row r="615" spans="11:19" x14ac:dyDescent="0.3">
      <c r="K615" s="16">
        <f t="shared" si="9"/>
        <v>44041</v>
      </c>
      <c r="L615" s="17">
        <v>0.54166666666666663</v>
      </c>
      <c r="M615" s="14">
        <v>650</v>
      </c>
      <c r="N615" s="14">
        <v>1017</v>
      </c>
      <c r="O615" s="14">
        <v>0</v>
      </c>
      <c r="P615" s="14">
        <v>1667</v>
      </c>
      <c r="Q615">
        <v>9852</v>
      </c>
      <c r="R615">
        <v>1049</v>
      </c>
      <c r="S615">
        <v>2032</v>
      </c>
    </row>
    <row r="616" spans="11:19" x14ac:dyDescent="0.3">
      <c r="K616" s="16">
        <f t="shared" si="9"/>
        <v>44041</v>
      </c>
      <c r="L616" s="17">
        <v>0.58333333333333337</v>
      </c>
      <c r="M616" s="14">
        <v>650</v>
      </c>
      <c r="N616" s="14">
        <v>904</v>
      </c>
      <c r="O616" s="14">
        <v>0</v>
      </c>
      <c r="P616" s="14">
        <v>1554</v>
      </c>
      <c r="Q616">
        <v>9827</v>
      </c>
      <c r="R616">
        <v>1151</v>
      </c>
      <c r="S616">
        <v>2018</v>
      </c>
    </row>
    <row r="617" spans="11:19" x14ac:dyDescent="0.3">
      <c r="K617" s="16">
        <f t="shared" si="9"/>
        <v>44041</v>
      </c>
      <c r="L617" s="17">
        <v>0.625</v>
      </c>
      <c r="M617" s="14">
        <v>650</v>
      </c>
      <c r="N617" s="14">
        <v>0</v>
      </c>
      <c r="O617" s="14">
        <v>0</v>
      </c>
      <c r="P617" s="14">
        <v>650</v>
      </c>
      <c r="Q617">
        <v>9599</v>
      </c>
      <c r="R617">
        <v>1238</v>
      </c>
      <c r="S617">
        <v>1965</v>
      </c>
    </row>
    <row r="618" spans="11:19" x14ac:dyDescent="0.3">
      <c r="K618" s="16">
        <f t="shared" si="9"/>
        <v>44041</v>
      </c>
      <c r="L618" s="17">
        <v>0.66666666666666663</v>
      </c>
      <c r="M618" s="14">
        <v>650</v>
      </c>
      <c r="N618" s="14">
        <v>456</v>
      </c>
      <c r="O618" s="14">
        <v>0</v>
      </c>
      <c r="P618" s="14">
        <v>1106</v>
      </c>
      <c r="Q618">
        <v>9417</v>
      </c>
      <c r="R618">
        <v>1259</v>
      </c>
      <c r="S618">
        <v>1791</v>
      </c>
    </row>
    <row r="619" spans="11:19" x14ac:dyDescent="0.3">
      <c r="K619" s="16">
        <f t="shared" si="9"/>
        <v>44041</v>
      </c>
      <c r="L619" s="17">
        <v>0.70833333333333337</v>
      </c>
      <c r="M619" s="14">
        <v>650</v>
      </c>
      <c r="N619" s="14">
        <v>0</v>
      </c>
      <c r="O619" s="14">
        <v>0</v>
      </c>
      <c r="P619" s="14">
        <v>650</v>
      </c>
      <c r="Q619">
        <v>9281</v>
      </c>
      <c r="R619">
        <v>1222</v>
      </c>
      <c r="S619">
        <v>1466</v>
      </c>
    </row>
    <row r="620" spans="11:19" x14ac:dyDescent="0.3">
      <c r="K620" s="16">
        <f t="shared" si="9"/>
        <v>44041</v>
      </c>
      <c r="L620" s="17">
        <v>0.75</v>
      </c>
      <c r="M620" s="14">
        <v>650</v>
      </c>
      <c r="N620" s="14">
        <v>1418</v>
      </c>
      <c r="O620" s="14">
        <v>0</v>
      </c>
      <c r="P620" s="14">
        <v>2068</v>
      </c>
      <c r="Q620">
        <v>9359</v>
      </c>
      <c r="R620">
        <v>1059</v>
      </c>
      <c r="S620">
        <v>978</v>
      </c>
    </row>
    <row r="621" spans="11:19" x14ac:dyDescent="0.3">
      <c r="K621" s="16">
        <f t="shared" si="9"/>
        <v>44041</v>
      </c>
      <c r="L621" s="17">
        <v>0.79166666666666663</v>
      </c>
      <c r="M621" s="14">
        <v>650</v>
      </c>
      <c r="N621" s="14">
        <v>1750</v>
      </c>
      <c r="O621" s="14">
        <v>0</v>
      </c>
      <c r="P621" s="14">
        <v>2400</v>
      </c>
      <c r="Q621">
        <v>9224</v>
      </c>
      <c r="R621">
        <v>1107</v>
      </c>
      <c r="S621">
        <v>482</v>
      </c>
    </row>
    <row r="622" spans="11:19" x14ac:dyDescent="0.3">
      <c r="K622" s="16">
        <f t="shared" si="9"/>
        <v>44041</v>
      </c>
      <c r="L622" s="17">
        <v>0.83333333333333337</v>
      </c>
      <c r="M622" s="14">
        <v>650</v>
      </c>
      <c r="N622" s="14">
        <v>1430</v>
      </c>
      <c r="O622" s="14">
        <v>0</v>
      </c>
      <c r="P622" s="14">
        <v>2080</v>
      </c>
      <c r="Q622">
        <v>8701</v>
      </c>
      <c r="R622">
        <v>1118</v>
      </c>
      <c r="S622">
        <v>121</v>
      </c>
    </row>
    <row r="623" spans="11:19" x14ac:dyDescent="0.3">
      <c r="K623" s="16">
        <f t="shared" si="9"/>
        <v>44041</v>
      </c>
      <c r="L623" s="17">
        <v>0.875</v>
      </c>
      <c r="M623" s="14">
        <v>650</v>
      </c>
      <c r="N623" s="14">
        <v>0</v>
      </c>
      <c r="O623" s="14">
        <v>0</v>
      </c>
      <c r="P623" s="14">
        <v>650</v>
      </c>
      <c r="Q623">
        <v>8455</v>
      </c>
      <c r="R623">
        <v>1246</v>
      </c>
      <c r="S623">
        <v>7</v>
      </c>
    </row>
    <row r="624" spans="11:19" x14ac:dyDescent="0.3">
      <c r="K624" s="16">
        <f t="shared" si="9"/>
        <v>44041</v>
      </c>
      <c r="L624" s="17">
        <v>0.91666666666666663</v>
      </c>
      <c r="M624" s="14">
        <v>650</v>
      </c>
      <c r="N624" s="14">
        <v>1605</v>
      </c>
      <c r="O624" s="14">
        <v>0</v>
      </c>
      <c r="P624" s="14">
        <v>2255</v>
      </c>
      <c r="Q624">
        <v>8863</v>
      </c>
      <c r="R624">
        <v>1236</v>
      </c>
      <c r="S624">
        <v>0</v>
      </c>
    </row>
    <row r="625" spans="11:19" x14ac:dyDescent="0.3">
      <c r="K625" s="16">
        <f t="shared" si="9"/>
        <v>44041</v>
      </c>
      <c r="L625" s="17">
        <v>0.95833333333333337</v>
      </c>
      <c r="M625" s="14">
        <v>650</v>
      </c>
      <c r="N625" s="14">
        <v>0</v>
      </c>
      <c r="O625" s="14">
        <v>0</v>
      </c>
      <c r="P625" s="14">
        <v>650</v>
      </c>
      <c r="Q625">
        <v>8820</v>
      </c>
      <c r="R625">
        <v>1190</v>
      </c>
      <c r="S625">
        <v>0</v>
      </c>
    </row>
    <row r="626" spans="11:19" x14ac:dyDescent="0.3">
      <c r="K626" s="16">
        <f t="shared" si="9"/>
        <v>44042</v>
      </c>
      <c r="L626" s="17">
        <v>0</v>
      </c>
      <c r="M626" s="14">
        <v>650</v>
      </c>
      <c r="N626" s="14">
        <v>0</v>
      </c>
      <c r="O626" s="14">
        <v>0</v>
      </c>
      <c r="P626" s="14">
        <v>650</v>
      </c>
      <c r="Q626">
        <v>8034</v>
      </c>
      <c r="R626">
        <v>1238</v>
      </c>
      <c r="S626">
        <v>0</v>
      </c>
    </row>
    <row r="627" spans="11:19" x14ac:dyDescent="0.3">
      <c r="K627" s="16">
        <f t="shared" si="9"/>
        <v>44042</v>
      </c>
      <c r="L627" s="17">
        <v>4.1666666666666664E-2</v>
      </c>
      <c r="M627" s="14">
        <v>650</v>
      </c>
      <c r="N627" s="14">
        <v>857</v>
      </c>
      <c r="O627" s="14">
        <v>0</v>
      </c>
      <c r="P627" s="14">
        <v>1507</v>
      </c>
      <c r="Q627">
        <v>7642</v>
      </c>
      <c r="R627">
        <v>937</v>
      </c>
      <c r="S627">
        <v>0</v>
      </c>
    </row>
    <row r="628" spans="11:19" x14ac:dyDescent="0.3">
      <c r="K628" s="16">
        <f t="shared" si="9"/>
        <v>44042</v>
      </c>
      <c r="L628" s="17">
        <v>8.3333333333333329E-2</v>
      </c>
      <c r="M628" s="14">
        <v>650</v>
      </c>
      <c r="N628" s="14">
        <v>0</v>
      </c>
      <c r="O628" s="14">
        <v>0</v>
      </c>
      <c r="P628" s="14">
        <v>650</v>
      </c>
      <c r="Q628">
        <v>7333</v>
      </c>
      <c r="R628">
        <v>907</v>
      </c>
      <c r="S628">
        <v>0</v>
      </c>
    </row>
    <row r="629" spans="11:19" x14ac:dyDescent="0.3">
      <c r="K629" s="16">
        <f t="shared" si="9"/>
        <v>44042</v>
      </c>
      <c r="L629" s="17">
        <v>0.125</v>
      </c>
      <c r="M629" s="14">
        <v>650</v>
      </c>
      <c r="N629" s="14">
        <v>287</v>
      </c>
      <c r="O629" s="14">
        <v>0</v>
      </c>
      <c r="P629" s="14">
        <v>937</v>
      </c>
      <c r="Q629">
        <v>6989</v>
      </c>
      <c r="R629">
        <v>857</v>
      </c>
      <c r="S629">
        <v>0</v>
      </c>
    </row>
    <row r="630" spans="11:19" x14ac:dyDescent="0.3">
      <c r="K630" s="16">
        <f t="shared" si="9"/>
        <v>44042</v>
      </c>
      <c r="L630" s="17">
        <v>0.16666666666666666</v>
      </c>
      <c r="M630" s="14">
        <v>650</v>
      </c>
      <c r="N630" s="14">
        <v>0</v>
      </c>
      <c r="O630" s="14">
        <v>0</v>
      </c>
      <c r="P630" s="14">
        <v>650</v>
      </c>
      <c r="Q630">
        <v>6921</v>
      </c>
      <c r="R630">
        <v>775</v>
      </c>
      <c r="S630">
        <v>0</v>
      </c>
    </row>
    <row r="631" spans="11:19" x14ac:dyDescent="0.3">
      <c r="K631" s="16">
        <f t="shared" si="9"/>
        <v>44042</v>
      </c>
      <c r="L631" s="17">
        <v>0.20833333333333334</v>
      </c>
      <c r="M631" s="14">
        <v>650</v>
      </c>
      <c r="N631" s="14">
        <v>0</v>
      </c>
      <c r="O631" s="14">
        <v>0</v>
      </c>
      <c r="P631" s="14">
        <v>650</v>
      </c>
      <c r="Q631">
        <v>7206</v>
      </c>
      <c r="R631">
        <v>787</v>
      </c>
      <c r="S631">
        <v>0</v>
      </c>
    </row>
    <row r="632" spans="11:19" x14ac:dyDescent="0.3">
      <c r="K632" s="16">
        <f t="shared" si="9"/>
        <v>44042</v>
      </c>
      <c r="L632" s="17">
        <v>0.25</v>
      </c>
      <c r="M632" s="14">
        <v>650</v>
      </c>
      <c r="N632" s="14">
        <v>1030</v>
      </c>
      <c r="O632" s="14">
        <v>0</v>
      </c>
      <c r="P632" s="14">
        <v>1680</v>
      </c>
      <c r="Q632">
        <v>7687</v>
      </c>
      <c r="R632">
        <v>586</v>
      </c>
      <c r="S632">
        <v>16</v>
      </c>
    </row>
    <row r="633" spans="11:19" x14ac:dyDescent="0.3">
      <c r="K633" s="16">
        <f t="shared" si="9"/>
        <v>44042</v>
      </c>
      <c r="L633" s="17">
        <v>0.29166666666666669</v>
      </c>
      <c r="M633" s="14">
        <v>650</v>
      </c>
      <c r="N633" s="14">
        <v>0</v>
      </c>
      <c r="O633" s="14">
        <v>0</v>
      </c>
      <c r="P633" s="14">
        <v>650</v>
      </c>
      <c r="Q633">
        <v>8368</v>
      </c>
      <c r="R633">
        <v>521</v>
      </c>
      <c r="S633">
        <v>204</v>
      </c>
    </row>
    <row r="634" spans="11:19" x14ac:dyDescent="0.3">
      <c r="K634" s="16">
        <f t="shared" si="9"/>
        <v>44042</v>
      </c>
      <c r="L634" s="17">
        <v>0.33333333333333331</v>
      </c>
      <c r="M634" s="14">
        <v>650</v>
      </c>
      <c r="N634" s="14">
        <v>1833</v>
      </c>
      <c r="O634" s="14">
        <v>0</v>
      </c>
      <c r="P634" s="14">
        <v>2483</v>
      </c>
      <c r="Q634">
        <v>9025</v>
      </c>
      <c r="R634">
        <v>477</v>
      </c>
      <c r="S634">
        <v>628</v>
      </c>
    </row>
    <row r="635" spans="11:19" x14ac:dyDescent="0.3">
      <c r="K635" s="16">
        <f t="shared" si="9"/>
        <v>44042</v>
      </c>
      <c r="L635" s="17">
        <v>0.375</v>
      </c>
      <c r="M635" s="14">
        <v>650</v>
      </c>
      <c r="N635" s="14">
        <v>1677</v>
      </c>
      <c r="O635" s="14">
        <v>0</v>
      </c>
      <c r="P635" s="14">
        <v>2327</v>
      </c>
      <c r="Q635">
        <v>9499</v>
      </c>
      <c r="R635">
        <v>531</v>
      </c>
      <c r="S635">
        <v>1206</v>
      </c>
    </row>
    <row r="636" spans="11:19" x14ac:dyDescent="0.3">
      <c r="K636" s="16">
        <f t="shared" si="9"/>
        <v>44042</v>
      </c>
      <c r="L636" s="17">
        <v>0.41666666666666669</v>
      </c>
      <c r="M636" s="14">
        <v>650</v>
      </c>
      <c r="N636" s="14">
        <v>1499</v>
      </c>
      <c r="O636" s="14">
        <v>0</v>
      </c>
      <c r="P636" s="14">
        <v>2149</v>
      </c>
      <c r="Q636">
        <v>9779</v>
      </c>
      <c r="R636">
        <v>550</v>
      </c>
      <c r="S636">
        <v>1648</v>
      </c>
    </row>
    <row r="637" spans="11:19" x14ac:dyDescent="0.3">
      <c r="K637" s="16">
        <f t="shared" si="9"/>
        <v>44042</v>
      </c>
      <c r="L637" s="17">
        <v>0.45833333333333331</v>
      </c>
      <c r="M637" s="14">
        <v>650</v>
      </c>
      <c r="N637" s="14">
        <v>1486</v>
      </c>
      <c r="O637" s="14">
        <v>0</v>
      </c>
      <c r="P637" s="14">
        <v>2136</v>
      </c>
      <c r="Q637">
        <v>10015</v>
      </c>
      <c r="R637">
        <v>492</v>
      </c>
      <c r="S637">
        <v>1955</v>
      </c>
    </row>
    <row r="638" spans="11:19" x14ac:dyDescent="0.3">
      <c r="K638" s="16">
        <f t="shared" si="9"/>
        <v>44042</v>
      </c>
      <c r="L638" s="17">
        <v>0.5</v>
      </c>
      <c r="M638" s="14">
        <v>650</v>
      </c>
      <c r="N638" s="14">
        <v>0</v>
      </c>
      <c r="O638" s="14">
        <v>0</v>
      </c>
      <c r="P638" s="14">
        <v>650</v>
      </c>
      <c r="Q638">
        <v>10134</v>
      </c>
      <c r="R638">
        <v>539</v>
      </c>
      <c r="S638">
        <v>1994</v>
      </c>
    </row>
    <row r="639" spans="11:19" x14ac:dyDescent="0.3">
      <c r="K639" s="16">
        <f t="shared" si="9"/>
        <v>44042</v>
      </c>
      <c r="L639" s="17">
        <v>0.54166666666666663</v>
      </c>
      <c r="M639" s="14">
        <v>650</v>
      </c>
      <c r="N639" s="14">
        <v>0</v>
      </c>
      <c r="O639" s="14">
        <v>0</v>
      </c>
      <c r="P639" s="14">
        <v>650</v>
      </c>
      <c r="Q639">
        <v>10047</v>
      </c>
      <c r="R639">
        <v>600</v>
      </c>
      <c r="S639">
        <v>2085</v>
      </c>
    </row>
    <row r="640" spans="11:19" x14ac:dyDescent="0.3">
      <c r="K640" s="16">
        <f t="shared" si="9"/>
        <v>44042</v>
      </c>
      <c r="L640" s="17">
        <v>0.58333333333333337</v>
      </c>
      <c r="M640" s="14">
        <v>650</v>
      </c>
      <c r="N640" s="14">
        <v>0</v>
      </c>
      <c r="O640" s="14">
        <v>0</v>
      </c>
      <c r="P640" s="14">
        <v>650</v>
      </c>
      <c r="Q640">
        <v>10064</v>
      </c>
      <c r="R640">
        <v>586</v>
      </c>
      <c r="S640">
        <v>2121</v>
      </c>
    </row>
    <row r="641" spans="11:19" x14ac:dyDescent="0.3">
      <c r="K641" s="16">
        <f t="shared" si="9"/>
        <v>44042</v>
      </c>
      <c r="L641" s="17">
        <v>0.625</v>
      </c>
      <c r="M641" s="14">
        <v>650</v>
      </c>
      <c r="N641" s="14">
        <v>1192</v>
      </c>
      <c r="O641" s="14">
        <v>0</v>
      </c>
      <c r="P641" s="14">
        <v>1842</v>
      </c>
      <c r="Q641">
        <v>9866</v>
      </c>
      <c r="R641">
        <v>555</v>
      </c>
      <c r="S641">
        <v>2047</v>
      </c>
    </row>
    <row r="642" spans="11:19" x14ac:dyDescent="0.3">
      <c r="K642" s="16">
        <f t="shared" si="9"/>
        <v>44042</v>
      </c>
      <c r="L642" s="17">
        <v>0.66666666666666663</v>
      </c>
      <c r="M642" s="14">
        <v>650</v>
      </c>
      <c r="N642" s="14">
        <v>0</v>
      </c>
      <c r="O642" s="14">
        <v>0</v>
      </c>
      <c r="P642" s="14">
        <v>650</v>
      </c>
      <c r="Q642">
        <v>9697</v>
      </c>
      <c r="R642">
        <v>638</v>
      </c>
      <c r="S642">
        <v>1825</v>
      </c>
    </row>
    <row r="643" spans="11:19" x14ac:dyDescent="0.3">
      <c r="K643" s="16">
        <f t="shared" si="9"/>
        <v>44042</v>
      </c>
      <c r="L643" s="17">
        <v>0.70833333333333337</v>
      </c>
      <c r="M643" s="14">
        <v>650</v>
      </c>
      <c r="N643" s="14">
        <v>0</v>
      </c>
      <c r="O643" s="14">
        <v>0</v>
      </c>
      <c r="P643" s="14">
        <v>650</v>
      </c>
      <c r="Q643">
        <v>9557</v>
      </c>
      <c r="R643">
        <v>693</v>
      </c>
      <c r="S643">
        <v>1485</v>
      </c>
    </row>
    <row r="644" spans="11:19" x14ac:dyDescent="0.3">
      <c r="K644" s="16">
        <f t="shared" si="9"/>
        <v>44042</v>
      </c>
      <c r="L644" s="17">
        <v>0.75</v>
      </c>
      <c r="M644" s="14">
        <v>650</v>
      </c>
      <c r="N644" s="14">
        <v>1928</v>
      </c>
      <c r="O644" s="14">
        <v>0</v>
      </c>
      <c r="P644" s="14">
        <v>2578</v>
      </c>
      <c r="Q644">
        <v>9586</v>
      </c>
      <c r="R644">
        <v>689</v>
      </c>
      <c r="S644">
        <v>987</v>
      </c>
    </row>
    <row r="645" spans="11:19" x14ac:dyDescent="0.3">
      <c r="K645" s="16">
        <f t="shared" si="9"/>
        <v>44042</v>
      </c>
      <c r="L645" s="17">
        <v>0.79166666666666663</v>
      </c>
      <c r="M645" s="14">
        <v>650</v>
      </c>
      <c r="N645" s="14">
        <v>2069</v>
      </c>
      <c r="O645" s="14">
        <v>0</v>
      </c>
      <c r="P645" s="14">
        <v>2719</v>
      </c>
      <c r="Q645">
        <v>9414</v>
      </c>
      <c r="R645">
        <v>883</v>
      </c>
      <c r="S645">
        <v>498</v>
      </c>
    </row>
    <row r="646" spans="11:19" x14ac:dyDescent="0.3">
      <c r="K646" s="16">
        <f t="shared" si="9"/>
        <v>44042</v>
      </c>
      <c r="L646" s="17">
        <v>0.83333333333333337</v>
      </c>
      <c r="M646" s="14">
        <v>650</v>
      </c>
      <c r="N646" s="14">
        <v>1732</v>
      </c>
      <c r="O646" s="14">
        <v>0</v>
      </c>
      <c r="P646" s="14">
        <v>2382</v>
      </c>
      <c r="Q646">
        <v>8873</v>
      </c>
      <c r="R646">
        <v>1059</v>
      </c>
      <c r="S646">
        <v>131</v>
      </c>
    </row>
    <row r="647" spans="11:19" x14ac:dyDescent="0.3">
      <c r="K647" s="16">
        <f t="shared" si="9"/>
        <v>44042</v>
      </c>
      <c r="L647" s="17">
        <v>0.875</v>
      </c>
      <c r="M647" s="14">
        <v>650</v>
      </c>
      <c r="N647" s="14">
        <v>1626</v>
      </c>
      <c r="O647" s="14">
        <v>0</v>
      </c>
      <c r="P647" s="14">
        <v>2276</v>
      </c>
      <c r="Q647">
        <v>8627</v>
      </c>
      <c r="R647">
        <v>966</v>
      </c>
      <c r="S647">
        <v>11</v>
      </c>
    </row>
    <row r="648" spans="11:19" x14ac:dyDescent="0.3">
      <c r="K648" s="16">
        <f t="shared" si="9"/>
        <v>44042</v>
      </c>
      <c r="L648" s="17">
        <v>0.91666666666666663</v>
      </c>
      <c r="M648" s="14">
        <v>650</v>
      </c>
      <c r="N648" s="14">
        <v>2184</v>
      </c>
      <c r="O648" s="14">
        <v>0</v>
      </c>
      <c r="P648" s="14">
        <v>2834</v>
      </c>
      <c r="Q648">
        <v>9041</v>
      </c>
      <c r="R648">
        <v>836</v>
      </c>
      <c r="S648">
        <v>0</v>
      </c>
    </row>
    <row r="649" spans="11:19" x14ac:dyDescent="0.3">
      <c r="K649" s="16">
        <f t="shared" si="9"/>
        <v>44042</v>
      </c>
      <c r="L649" s="17">
        <v>0.95833333333333337</v>
      </c>
      <c r="M649" s="14">
        <v>650</v>
      </c>
      <c r="N649" s="14">
        <v>2217</v>
      </c>
      <c r="O649" s="14">
        <v>0</v>
      </c>
      <c r="P649" s="14">
        <v>2867</v>
      </c>
      <c r="Q649">
        <v>8960</v>
      </c>
      <c r="R649">
        <v>733</v>
      </c>
      <c r="S649">
        <v>0</v>
      </c>
    </row>
    <row r="650" spans="11:19" x14ac:dyDescent="0.3">
      <c r="K650" s="16">
        <f t="shared" si="9"/>
        <v>44043</v>
      </c>
      <c r="L650" s="17">
        <v>0</v>
      </c>
      <c r="M650" s="14">
        <v>650</v>
      </c>
      <c r="N650" s="14">
        <v>1433</v>
      </c>
      <c r="O650" s="14">
        <v>0</v>
      </c>
      <c r="P650" s="14">
        <v>2083</v>
      </c>
      <c r="Q650">
        <v>8147</v>
      </c>
      <c r="R650">
        <v>706</v>
      </c>
      <c r="S650">
        <v>0</v>
      </c>
    </row>
    <row r="651" spans="11:19" x14ac:dyDescent="0.3">
      <c r="K651" s="16">
        <f t="shared" si="9"/>
        <v>44043</v>
      </c>
      <c r="L651" s="17">
        <v>4.1666666666666664E-2</v>
      </c>
      <c r="M651" s="14">
        <v>650</v>
      </c>
      <c r="N651" s="14">
        <v>1142</v>
      </c>
      <c r="O651" s="14">
        <v>0</v>
      </c>
      <c r="P651" s="14">
        <v>1792</v>
      </c>
      <c r="Q651">
        <v>7736</v>
      </c>
      <c r="R651">
        <v>587</v>
      </c>
      <c r="S651">
        <v>0</v>
      </c>
    </row>
    <row r="652" spans="11:19" x14ac:dyDescent="0.3">
      <c r="K652" s="16">
        <f t="shared" si="9"/>
        <v>44043</v>
      </c>
      <c r="L652" s="17">
        <v>8.3333333333333329E-2</v>
      </c>
      <c r="M652" s="14">
        <v>650</v>
      </c>
      <c r="N652" s="14">
        <v>1034</v>
      </c>
      <c r="O652" s="14">
        <v>0</v>
      </c>
      <c r="P652" s="14">
        <v>1684</v>
      </c>
      <c r="Q652">
        <v>7432</v>
      </c>
      <c r="R652">
        <v>554</v>
      </c>
      <c r="S652">
        <v>0</v>
      </c>
    </row>
    <row r="653" spans="11:19" x14ac:dyDescent="0.3">
      <c r="K653" s="16">
        <f t="shared" si="9"/>
        <v>44043</v>
      </c>
      <c r="L653" s="17">
        <v>0.125</v>
      </c>
      <c r="M653" s="14">
        <v>650</v>
      </c>
      <c r="N653" s="14">
        <v>769</v>
      </c>
      <c r="O653" s="14">
        <v>0</v>
      </c>
      <c r="P653" s="14">
        <v>1419</v>
      </c>
      <c r="Q653">
        <v>7079</v>
      </c>
      <c r="R653">
        <v>467</v>
      </c>
      <c r="S653">
        <v>0</v>
      </c>
    </row>
    <row r="654" spans="11:19" x14ac:dyDescent="0.3">
      <c r="K654" s="16">
        <f t="shared" si="9"/>
        <v>44043</v>
      </c>
      <c r="L654" s="17">
        <v>0.16666666666666666</v>
      </c>
      <c r="M654" s="14">
        <v>650</v>
      </c>
      <c r="N654" s="14">
        <v>0</v>
      </c>
      <c r="O654" s="14">
        <v>0</v>
      </c>
      <c r="P654" s="14">
        <v>650</v>
      </c>
      <c r="Q654">
        <v>7018</v>
      </c>
      <c r="R654">
        <v>488</v>
      </c>
      <c r="S654">
        <v>0</v>
      </c>
    </row>
    <row r="655" spans="11:19" x14ac:dyDescent="0.3">
      <c r="K655" s="16">
        <f t="shared" si="9"/>
        <v>44043</v>
      </c>
      <c r="L655" s="17">
        <v>0.20833333333333334</v>
      </c>
      <c r="M655" s="14">
        <v>650</v>
      </c>
      <c r="N655" s="14">
        <v>0</v>
      </c>
      <c r="O655" s="14">
        <v>0</v>
      </c>
      <c r="P655" s="14">
        <v>650</v>
      </c>
      <c r="Q655">
        <v>7288</v>
      </c>
      <c r="R655">
        <v>519</v>
      </c>
      <c r="S655">
        <v>0</v>
      </c>
    </row>
    <row r="656" spans="11:19" x14ac:dyDescent="0.3">
      <c r="K656" s="16">
        <f t="shared" si="9"/>
        <v>44043</v>
      </c>
      <c r="L656" s="17">
        <v>0.25</v>
      </c>
      <c r="M656" s="14">
        <v>650</v>
      </c>
      <c r="N656" s="14">
        <v>1286</v>
      </c>
      <c r="O656" s="14">
        <v>0</v>
      </c>
      <c r="P656" s="14">
        <v>1936</v>
      </c>
      <c r="Q656">
        <v>7742</v>
      </c>
      <c r="R656">
        <v>556</v>
      </c>
      <c r="S656">
        <v>6</v>
      </c>
    </row>
    <row r="657" spans="11:19" x14ac:dyDescent="0.3">
      <c r="K657" s="16">
        <f t="shared" si="9"/>
        <v>44043</v>
      </c>
      <c r="L657" s="17">
        <v>0.29166666666666669</v>
      </c>
      <c r="M657" s="14">
        <v>650</v>
      </c>
      <c r="N657" s="14">
        <v>1603</v>
      </c>
      <c r="O657" s="14">
        <v>0</v>
      </c>
      <c r="P657" s="14">
        <v>2253</v>
      </c>
      <c r="Q657">
        <v>8394</v>
      </c>
      <c r="R657">
        <v>570</v>
      </c>
      <c r="S657">
        <v>144</v>
      </c>
    </row>
    <row r="658" spans="11:19" x14ac:dyDescent="0.3">
      <c r="K658" s="16">
        <f t="shared" si="9"/>
        <v>44043</v>
      </c>
      <c r="L658" s="17">
        <v>0.33333333333333331</v>
      </c>
      <c r="M658" s="14">
        <v>650</v>
      </c>
      <c r="N658" s="14">
        <v>786</v>
      </c>
      <c r="O658" s="14">
        <v>0</v>
      </c>
      <c r="P658" s="14">
        <v>1436</v>
      </c>
      <c r="Q658">
        <v>9032</v>
      </c>
      <c r="R658">
        <v>566</v>
      </c>
      <c r="S658">
        <v>593</v>
      </c>
    </row>
    <row r="659" spans="11:19" x14ac:dyDescent="0.3">
      <c r="K659" s="16">
        <f t="shared" si="9"/>
        <v>44043</v>
      </c>
      <c r="L659" s="17">
        <v>0.375</v>
      </c>
      <c r="M659" s="14">
        <v>650</v>
      </c>
      <c r="N659" s="14">
        <v>1638</v>
      </c>
      <c r="O659" s="14">
        <v>0</v>
      </c>
      <c r="P659" s="14">
        <v>2288</v>
      </c>
      <c r="Q659">
        <v>9525</v>
      </c>
      <c r="R659">
        <v>628</v>
      </c>
      <c r="S659">
        <v>1176</v>
      </c>
    </row>
    <row r="660" spans="11:19" x14ac:dyDescent="0.3">
      <c r="K660" s="16">
        <f t="shared" si="9"/>
        <v>44043</v>
      </c>
      <c r="L660" s="17">
        <v>0.41666666666666669</v>
      </c>
      <c r="M660" s="14">
        <v>650</v>
      </c>
      <c r="N660" s="14">
        <v>1416</v>
      </c>
      <c r="O660" s="14">
        <v>0</v>
      </c>
      <c r="P660" s="14">
        <v>2066</v>
      </c>
      <c r="Q660">
        <v>9788</v>
      </c>
      <c r="R660">
        <v>642</v>
      </c>
      <c r="S660">
        <v>1649</v>
      </c>
    </row>
    <row r="661" spans="11:19" x14ac:dyDescent="0.3">
      <c r="K661" s="16">
        <f t="shared" si="9"/>
        <v>44043</v>
      </c>
      <c r="L661" s="17">
        <v>0.45833333333333331</v>
      </c>
      <c r="M661" s="14">
        <v>650</v>
      </c>
      <c r="N661" s="14">
        <v>1310</v>
      </c>
      <c r="O661" s="14">
        <v>0</v>
      </c>
      <c r="P661" s="14">
        <v>1960</v>
      </c>
      <c r="Q661">
        <v>10010</v>
      </c>
      <c r="R661">
        <v>642</v>
      </c>
      <c r="S661">
        <v>1978</v>
      </c>
    </row>
    <row r="662" spans="11:19" x14ac:dyDescent="0.3">
      <c r="K662" s="16">
        <f t="shared" si="9"/>
        <v>44043</v>
      </c>
      <c r="L662" s="17">
        <v>0.5</v>
      </c>
      <c r="M662" s="14">
        <v>650</v>
      </c>
      <c r="N662" s="14">
        <v>1301</v>
      </c>
      <c r="O662" s="14">
        <v>0</v>
      </c>
      <c r="P662" s="14">
        <v>1951</v>
      </c>
      <c r="Q662">
        <v>10135</v>
      </c>
      <c r="R662">
        <v>668</v>
      </c>
      <c r="S662">
        <v>2171</v>
      </c>
    </row>
    <row r="663" spans="11:19" x14ac:dyDescent="0.3">
      <c r="K663" s="16">
        <f t="shared" si="9"/>
        <v>44043</v>
      </c>
      <c r="L663" s="17">
        <v>0.54166666666666663</v>
      </c>
      <c r="M663" s="14">
        <v>650</v>
      </c>
      <c r="N663" s="14">
        <v>972</v>
      </c>
      <c r="O663" s="14">
        <v>0</v>
      </c>
      <c r="P663" s="14">
        <v>1622</v>
      </c>
      <c r="Q663">
        <v>9945</v>
      </c>
      <c r="R663">
        <v>686</v>
      </c>
      <c r="S663">
        <v>2296</v>
      </c>
    </row>
    <row r="664" spans="11:19" x14ac:dyDescent="0.3">
      <c r="K664" s="16">
        <f t="shared" si="9"/>
        <v>44043</v>
      </c>
      <c r="L664" s="17">
        <v>0.58333333333333337</v>
      </c>
      <c r="M664" s="14">
        <v>650</v>
      </c>
      <c r="N664" s="14">
        <v>1027</v>
      </c>
      <c r="O664" s="14">
        <v>0</v>
      </c>
      <c r="P664" s="14">
        <v>1677</v>
      </c>
      <c r="Q664">
        <v>9972</v>
      </c>
      <c r="R664">
        <v>698</v>
      </c>
      <c r="S664">
        <v>2256</v>
      </c>
    </row>
    <row r="665" spans="11:19" x14ac:dyDescent="0.3">
      <c r="K665" s="16">
        <f t="shared" si="9"/>
        <v>44043</v>
      </c>
      <c r="L665" s="17">
        <v>0.625</v>
      </c>
      <c r="M665" s="14">
        <v>650</v>
      </c>
      <c r="N665" s="14">
        <v>970</v>
      </c>
      <c r="O665" s="14">
        <v>0</v>
      </c>
      <c r="P665" s="14">
        <v>1620</v>
      </c>
      <c r="Q665">
        <v>9764</v>
      </c>
      <c r="R665">
        <v>665</v>
      </c>
      <c r="S665">
        <v>2138</v>
      </c>
    </row>
    <row r="666" spans="11:19" x14ac:dyDescent="0.3">
      <c r="K666" s="16">
        <f t="shared" si="9"/>
        <v>44043</v>
      </c>
      <c r="L666" s="17">
        <v>0.66666666666666663</v>
      </c>
      <c r="M666" s="14">
        <v>650</v>
      </c>
      <c r="N666" s="14">
        <v>0</v>
      </c>
      <c r="O666" s="14">
        <v>0</v>
      </c>
      <c r="P666" s="14">
        <v>650</v>
      </c>
      <c r="Q666">
        <v>9548</v>
      </c>
      <c r="R666">
        <v>590</v>
      </c>
      <c r="S666">
        <v>1859</v>
      </c>
    </row>
    <row r="667" spans="11:19" x14ac:dyDescent="0.3">
      <c r="K667" s="16">
        <f t="shared" ref="K667:K730" si="10">K643+1</f>
        <v>44043</v>
      </c>
      <c r="L667" s="17">
        <v>0.70833333333333337</v>
      </c>
      <c r="M667" s="14">
        <v>650</v>
      </c>
      <c r="N667" s="14">
        <v>1164</v>
      </c>
      <c r="O667" s="14">
        <v>0</v>
      </c>
      <c r="P667" s="14">
        <v>1814</v>
      </c>
      <c r="Q667">
        <v>9419</v>
      </c>
      <c r="R667">
        <v>654</v>
      </c>
      <c r="S667">
        <v>1537</v>
      </c>
    </row>
    <row r="668" spans="11:19" x14ac:dyDescent="0.3">
      <c r="K668" s="16">
        <f t="shared" si="10"/>
        <v>44043</v>
      </c>
      <c r="L668" s="17">
        <v>0.75</v>
      </c>
      <c r="M668" s="14">
        <v>650</v>
      </c>
      <c r="N668" s="14">
        <v>1658</v>
      </c>
      <c r="O668" s="14">
        <v>0</v>
      </c>
      <c r="P668" s="14">
        <v>2308</v>
      </c>
      <c r="Q668">
        <v>9401</v>
      </c>
      <c r="R668">
        <v>653</v>
      </c>
      <c r="S668">
        <v>1030</v>
      </c>
    </row>
    <row r="669" spans="11:19" x14ac:dyDescent="0.3">
      <c r="K669" s="16">
        <f t="shared" si="10"/>
        <v>44043</v>
      </c>
      <c r="L669" s="17">
        <v>0.79166666666666663</v>
      </c>
      <c r="M669" s="14">
        <v>650</v>
      </c>
      <c r="N669" s="14">
        <v>0</v>
      </c>
      <c r="O669" s="14">
        <v>0</v>
      </c>
      <c r="P669" s="14">
        <v>650</v>
      </c>
      <c r="Q669">
        <v>9138</v>
      </c>
      <c r="R669">
        <v>612</v>
      </c>
      <c r="S669">
        <v>538</v>
      </c>
    </row>
    <row r="670" spans="11:19" x14ac:dyDescent="0.3">
      <c r="K670" s="16">
        <f t="shared" si="10"/>
        <v>44043</v>
      </c>
      <c r="L670" s="17">
        <v>0.83333333333333337</v>
      </c>
      <c r="M670" s="14">
        <v>650</v>
      </c>
      <c r="N670" s="14">
        <v>1882</v>
      </c>
      <c r="O670" s="14">
        <v>0</v>
      </c>
      <c r="P670" s="14">
        <v>2532</v>
      </c>
      <c r="Q670">
        <v>8635</v>
      </c>
      <c r="R670">
        <v>811</v>
      </c>
      <c r="S670">
        <v>153</v>
      </c>
    </row>
    <row r="671" spans="11:19" x14ac:dyDescent="0.3">
      <c r="K671" s="16">
        <f t="shared" si="10"/>
        <v>44043</v>
      </c>
      <c r="L671" s="17">
        <v>0.875</v>
      </c>
      <c r="M671" s="14">
        <v>650</v>
      </c>
      <c r="N671" s="14">
        <v>1916</v>
      </c>
      <c r="O671" s="14">
        <v>0</v>
      </c>
      <c r="P671" s="14">
        <v>2566</v>
      </c>
      <c r="Q671">
        <v>8438</v>
      </c>
      <c r="R671">
        <v>725</v>
      </c>
      <c r="S671">
        <v>14</v>
      </c>
    </row>
    <row r="672" spans="11:19" x14ac:dyDescent="0.3">
      <c r="K672" s="16">
        <f t="shared" si="10"/>
        <v>44043</v>
      </c>
      <c r="L672" s="17">
        <v>0.91666666666666663</v>
      </c>
      <c r="M672" s="14">
        <v>650</v>
      </c>
      <c r="N672" s="14">
        <v>2485</v>
      </c>
      <c r="O672" s="14">
        <v>0</v>
      </c>
      <c r="P672" s="14">
        <v>3135</v>
      </c>
      <c r="Q672">
        <v>8866</v>
      </c>
      <c r="R672">
        <v>601</v>
      </c>
      <c r="S672">
        <v>0</v>
      </c>
    </row>
    <row r="673" spans="11:19" x14ac:dyDescent="0.3">
      <c r="K673" s="16">
        <f t="shared" si="10"/>
        <v>44043</v>
      </c>
      <c r="L673" s="17">
        <v>0.95833333333333337</v>
      </c>
      <c r="M673" s="14">
        <v>650</v>
      </c>
      <c r="N673" s="14">
        <v>2514</v>
      </c>
      <c r="O673" s="14">
        <v>0</v>
      </c>
      <c r="P673" s="14">
        <v>3164</v>
      </c>
      <c r="Q673">
        <v>8766</v>
      </c>
      <c r="R673">
        <v>424</v>
      </c>
      <c r="S673">
        <v>0</v>
      </c>
    </row>
    <row r="674" spans="11:19" x14ac:dyDescent="0.3">
      <c r="K674" s="16">
        <f t="shared" si="10"/>
        <v>44044</v>
      </c>
      <c r="L674" s="17">
        <v>0</v>
      </c>
      <c r="M674" s="14">
        <v>650</v>
      </c>
      <c r="N674" s="14">
        <v>0</v>
      </c>
      <c r="O674" s="14">
        <v>1004</v>
      </c>
      <c r="P674" s="14">
        <v>1654</v>
      </c>
      <c r="Q674">
        <v>7967</v>
      </c>
      <c r="R674">
        <v>466</v>
      </c>
      <c r="S674">
        <v>0</v>
      </c>
    </row>
    <row r="675" spans="11:19" x14ac:dyDescent="0.3">
      <c r="K675" s="16">
        <f t="shared" si="10"/>
        <v>44044</v>
      </c>
      <c r="L675" s="17">
        <v>4.1666666666666664E-2</v>
      </c>
      <c r="M675" s="14">
        <v>650</v>
      </c>
      <c r="N675" s="14">
        <v>1299</v>
      </c>
      <c r="O675" s="14">
        <v>0</v>
      </c>
      <c r="P675" s="14">
        <v>1949</v>
      </c>
      <c r="Q675">
        <v>7502</v>
      </c>
      <c r="R675">
        <v>357</v>
      </c>
      <c r="S675">
        <v>0</v>
      </c>
    </row>
    <row r="676" spans="11:19" x14ac:dyDescent="0.3">
      <c r="K676" s="16">
        <f t="shared" si="10"/>
        <v>44044</v>
      </c>
      <c r="L676" s="17">
        <v>8.3333333333333329E-2</v>
      </c>
      <c r="M676" s="14">
        <v>650</v>
      </c>
      <c r="N676" s="14">
        <v>1000</v>
      </c>
      <c r="O676" s="14">
        <v>0</v>
      </c>
      <c r="P676" s="14">
        <v>1650</v>
      </c>
      <c r="Q676">
        <v>7148</v>
      </c>
      <c r="R676">
        <v>304</v>
      </c>
      <c r="S676">
        <v>0</v>
      </c>
    </row>
    <row r="677" spans="11:19" x14ac:dyDescent="0.3">
      <c r="K677" s="16">
        <f t="shared" si="10"/>
        <v>44044</v>
      </c>
      <c r="L677" s="17">
        <v>0.125</v>
      </c>
      <c r="M677" s="14">
        <v>650</v>
      </c>
      <c r="N677" s="14">
        <v>0</v>
      </c>
      <c r="O677" s="14">
        <v>0</v>
      </c>
      <c r="P677" s="14">
        <v>650</v>
      </c>
      <c r="Q677">
        <v>6736</v>
      </c>
      <c r="R677">
        <v>279</v>
      </c>
      <c r="S677">
        <v>0</v>
      </c>
    </row>
    <row r="678" spans="11:19" x14ac:dyDescent="0.3">
      <c r="K678" s="16">
        <f t="shared" si="10"/>
        <v>44044</v>
      </c>
      <c r="L678" s="17">
        <v>0.16666666666666666</v>
      </c>
      <c r="M678" s="14">
        <v>650</v>
      </c>
      <c r="N678" s="14">
        <v>0</v>
      </c>
      <c r="O678" s="14">
        <v>0</v>
      </c>
      <c r="P678" s="14">
        <v>650</v>
      </c>
      <c r="Q678">
        <v>6561</v>
      </c>
      <c r="R678">
        <v>311</v>
      </c>
      <c r="S678">
        <v>0</v>
      </c>
    </row>
    <row r="679" spans="11:19" x14ac:dyDescent="0.3">
      <c r="K679" s="16">
        <f t="shared" si="10"/>
        <v>44044</v>
      </c>
      <c r="L679" s="17">
        <v>0.20833333333333334</v>
      </c>
      <c r="M679" s="14">
        <v>650</v>
      </c>
      <c r="N679" s="14">
        <v>0</v>
      </c>
      <c r="O679" s="14">
        <v>0</v>
      </c>
      <c r="P679" s="14">
        <v>650</v>
      </c>
      <c r="Q679">
        <v>6577</v>
      </c>
      <c r="R679">
        <v>273</v>
      </c>
      <c r="S679">
        <v>0</v>
      </c>
    </row>
    <row r="680" spans="11:19" x14ac:dyDescent="0.3">
      <c r="K680" s="16">
        <f t="shared" si="10"/>
        <v>44044</v>
      </c>
      <c r="L680" s="17">
        <v>0.25</v>
      </c>
      <c r="M680" s="14">
        <v>650</v>
      </c>
      <c r="N680" s="14">
        <v>464</v>
      </c>
      <c r="O680" s="14">
        <v>0</v>
      </c>
      <c r="P680" s="14">
        <v>1114</v>
      </c>
      <c r="Q680">
        <v>6616</v>
      </c>
      <c r="R680">
        <v>257</v>
      </c>
      <c r="S680">
        <v>18</v>
      </c>
    </row>
    <row r="681" spans="11:19" x14ac:dyDescent="0.3">
      <c r="K681" s="16">
        <f t="shared" si="10"/>
        <v>44044</v>
      </c>
      <c r="L681" s="17">
        <v>0.29166666666666669</v>
      </c>
      <c r="M681" s="14">
        <v>650</v>
      </c>
      <c r="N681" s="14">
        <v>593</v>
      </c>
      <c r="O681" s="14">
        <v>0</v>
      </c>
      <c r="P681" s="14">
        <v>1243</v>
      </c>
      <c r="Q681">
        <v>6896</v>
      </c>
      <c r="R681">
        <v>221</v>
      </c>
      <c r="S681">
        <v>190</v>
      </c>
    </row>
    <row r="682" spans="11:19" x14ac:dyDescent="0.3">
      <c r="K682" s="16">
        <f t="shared" si="10"/>
        <v>44044</v>
      </c>
      <c r="L682" s="17">
        <v>0.33333333333333331</v>
      </c>
      <c r="M682" s="14">
        <v>650</v>
      </c>
      <c r="N682" s="14">
        <v>622</v>
      </c>
      <c r="O682" s="14">
        <v>0</v>
      </c>
      <c r="P682" s="14">
        <v>1272</v>
      </c>
      <c r="Q682">
        <v>7426</v>
      </c>
      <c r="R682">
        <v>258</v>
      </c>
      <c r="S682">
        <v>647</v>
      </c>
    </row>
    <row r="683" spans="11:19" x14ac:dyDescent="0.3">
      <c r="K683" s="16">
        <f t="shared" si="10"/>
        <v>44044</v>
      </c>
      <c r="L683" s="17">
        <v>0.375</v>
      </c>
      <c r="M683" s="14">
        <v>650</v>
      </c>
      <c r="N683" s="14">
        <v>0</v>
      </c>
      <c r="O683" s="14">
        <v>0</v>
      </c>
      <c r="P683" s="14">
        <v>650</v>
      </c>
      <c r="Q683">
        <v>7996</v>
      </c>
      <c r="R683">
        <v>268</v>
      </c>
      <c r="S683">
        <v>1289</v>
      </c>
    </row>
    <row r="684" spans="11:19" x14ac:dyDescent="0.3">
      <c r="K684" s="16">
        <f t="shared" si="10"/>
        <v>44044</v>
      </c>
      <c r="L684" s="17">
        <v>0.41666666666666669</v>
      </c>
      <c r="M684" s="14">
        <v>650</v>
      </c>
      <c r="N684" s="14">
        <v>353</v>
      </c>
      <c r="O684" s="14">
        <v>0</v>
      </c>
      <c r="P684" s="14">
        <v>1003</v>
      </c>
      <c r="Q684">
        <v>8335</v>
      </c>
      <c r="R684">
        <v>308</v>
      </c>
      <c r="S684">
        <v>1849</v>
      </c>
    </row>
    <row r="685" spans="11:19" x14ac:dyDescent="0.3">
      <c r="K685" s="16">
        <f t="shared" si="10"/>
        <v>44044</v>
      </c>
      <c r="L685" s="17">
        <v>0.45833333333333331</v>
      </c>
      <c r="M685" s="14">
        <v>650</v>
      </c>
      <c r="N685" s="14">
        <v>103</v>
      </c>
      <c r="O685" s="14">
        <v>0</v>
      </c>
      <c r="P685" s="14">
        <v>753</v>
      </c>
      <c r="Q685">
        <v>8595</v>
      </c>
      <c r="R685">
        <v>366</v>
      </c>
      <c r="S685">
        <v>2301</v>
      </c>
    </row>
    <row r="686" spans="11:19" x14ac:dyDescent="0.3">
      <c r="K686" s="16">
        <f t="shared" si="10"/>
        <v>44044</v>
      </c>
      <c r="L686" s="17">
        <v>0.5</v>
      </c>
      <c r="M686" s="14">
        <v>650</v>
      </c>
      <c r="N686" s="14">
        <v>0</v>
      </c>
      <c r="O686" s="14">
        <v>112</v>
      </c>
      <c r="P686" s="14">
        <v>762</v>
      </c>
      <c r="Q686">
        <v>8931</v>
      </c>
      <c r="R686">
        <v>426</v>
      </c>
      <c r="S686">
        <v>2569</v>
      </c>
    </row>
    <row r="687" spans="11:19" x14ac:dyDescent="0.3">
      <c r="K687" s="16">
        <f t="shared" si="10"/>
        <v>44044</v>
      </c>
      <c r="L687" s="17">
        <v>0.54166666666666663</v>
      </c>
      <c r="M687" s="14">
        <v>650</v>
      </c>
      <c r="N687" s="14">
        <v>0</v>
      </c>
      <c r="O687" s="14">
        <v>-251</v>
      </c>
      <c r="P687" s="14">
        <v>399</v>
      </c>
      <c r="Q687">
        <v>8717</v>
      </c>
      <c r="R687">
        <v>428</v>
      </c>
      <c r="S687">
        <v>2721</v>
      </c>
    </row>
    <row r="688" spans="11:19" x14ac:dyDescent="0.3">
      <c r="K688" s="16">
        <f t="shared" si="10"/>
        <v>44044</v>
      </c>
      <c r="L688" s="17">
        <v>0.58333333333333337</v>
      </c>
      <c r="M688" s="14">
        <v>650</v>
      </c>
      <c r="N688" s="14">
        <v>0</v>
      </c>
      <c r="O688" s="14">
        <v>-306</v>
      </c>
      <c r="P688" s="14">
        <v>344</v>
      </c>
      <c r="Q688">
        <v>8650</v>
      </c>
      <c r="R688">
        <v>445</v>
      </c>
      <c r="S688">
        <v>2694</v>
      </c>
    </row>
    <row r="689" spans="11:19" x14ac:dyDescent="0.3">
      <c r="K689" s="16">
        <f t="shared" si="10"/>
        <v>44044</v>
      </c>
      <c r="L689" s="17">
        <v>0.625</v>
      </c>
      <c r="M689" s="14">
        <v>650</v>
      </c>
      <c r="N689" s="14">
        <v>0</v>
      </c>
      <c r="O689" s="14">
        <v>-443</v>
      </c>
      <c r="P689" s="14">
        <v>207</v>
      </c>
      <c r="Q689">
        <v>8488</v>
      </c>
      <c r="R689">
        <v>487</v>
      </c>
      <c r="S689">
        <v>2548</v>
      </c>
    </row>
    <row r="690" spans="11:19" x14ac:dyDescent="0.3">
      <c r="K690" s="16">
        <f t="shared" si="10"/>
        <v>44044</v>
      </c>
      <c r="L690" s="17">
        <v>0.66666666666666663</v>
      </c>
      <c r="M690" s="14">
        <v>650</v>
      </c>
      <c r="N690" s="14">
        <v>0</v>
      </c>
      <c r="O690" s="14">
        <v>-333</v>
      </c>
      <c r="P690" s="14">
        <v>317</v>
      </c>
      <c r="Q690">
        <v>8338</v>
      </c>
      <c r="R690">
        <v>529</v>
      </c>
      <c r="S690">
        <v>2251</v>
      </c>
    </row>
    <row r="691" spans="11:19" x14ac:dyDescent="0.3">
      <c r="K691" s="16">
        <f t="shared" si="10"/>
        <v>44044</v>
      </c>
      <c r="L691" s="17">
        <v>0.70833333333333337</v>
      </c>
      <c r="M691" s="14">
        <v>650</v>
      </c>
      <c r="N691" s="14">
        <v>0</v>
      </c>
      <c r="O691" s="14">
        <v>-60</v>
      </c>
      <c r="P691" s="14">
        <v>590</v>
      </c>
      <c r="Q691">
        <v>8286</v>
      </c>
      <c r="R691">
        <v>665</v>
      </c>
      <c r="S691">
        <v>1796</v>
      </c>
    </row>
    <row r="692" spans="11:19" x14ac:dyDescent="0.3">
      <c r="K692" s="16">
        <f t="shared" si="10"/>
        <v>44044</v>
      </c>
      <c r="L692" s="17">
        <v>0.75</v>
      </c>
      <c r="M692" s="14">
        <v>650</v>
      </c>
      <c r="N692" s="14">
        <v>0</v>
      </c>
      <c r="O692" s="14">
        <v>0</v>
      </c>
      <c r="P692" s="14">
        <v>650</v>
      </c>
      <c r="Q692">
        <v>8286</v>
      </c>
      <c r="R692">
        <v>717</v>
      </c>
      <c r="S692">
        <v>1191</v>
      </c>
    </row>
    <row r="693" spans="11:19" x14ac:dyDescent="0.3">
      <c r="K693" s="16">
        <f t="shared" si="10"/>
        <v>44044</v>
      </c>
      <c r="L693" s="17">
        <v>0.79166666666666663</v>
      </c>
      <c r="M693" s="14">
        <v>650</v>
      </c>
      <c r="N693" s="14">
        <v>886</v>
      </c>
      <c r="O693" s="14">
        <v>0</v>
      </c>
      <c r="P693" s="14">
        <v>1536</v>
      </c>
      <c r="Q693">
        <v>8153</v>
      </c>
      <c r="R693">
        <v>819</v>
      </c>
      <c r="S693">
        <v>580</v>
      </c>
    </row>
    <row r="694" spans="11:19" x14ac:dyDescent="0.3">
      <c r="K694" s="16">
        <f t="shared" si="10"/>
        <v>44044</v>
      </c>
      <c r="L694" s="17">
        <v>0.83333333333333337</v>
      </c>
      <c r="M694" s="14">
        <v>650</v>
      </c>
      <c r="N694" s="14">
        <v>677</v>
      </c>
      <c r="O694" s="14">
        <v>0</v>
      </c>
      <c r="P694" s="14">
        <v>1327</v>
      </c>
      <c r="Q694">
        <v>7833</v>
      </c>
      <c r="R694">
        <v>1041</v>
      </c>
      <c r="S694">
        <v>175</v>
      </c>
    </row>
    <row r="695" spans="11:19" x14ac:dyDescent="0.3">
      <c r="K695" s="16">
        <f t="shared" si="10"/>
        <v>44044</v>
      </c>
      <c r="L695" s="17">
        <v>0.875</v>
      </c>
      <c r="M695" s="14">
        <v>650</v>
      </c>
      <c r="N695" s="14">
        <v>779</v>
      </c>
      <c r="O695" s="14">
        <v>0</v>
      </c>
      <c r="P695" s="14">
        <v>1429</v>
      </c>
      <c r="Q695">
        <v>7819</v>
      </c>
      <c r="R695">
        <v>1086</v>
      </c>
      <c r="S695">
        <v>12</v>
      </c>
    </row>
    <row r="696" spans="11:19" x14ac:dyDescent="0.3">
      <c r="K696" s="16">
        <f t="shared" si="10"/>
        <v>44044</v>
      </c>
      <c r="L696" s="17">
        <v>0.91666666666666663</v>
      </c>
      <c r="M696" s="14">
        <v>650</v>
      </c>
      <c r="N696" s="14">
        <v>0</v>
      </c>
      <c r="O696" s="14">
        <v>0</v>
      </c>
      <c r="P696" s="14">
        <v>650</v>
      </c>
      <c r="Q696">
        <v>8386</v>
      </c>
      <c r="R696">
        <v>1082</v>
      </c>
      <c r="S696">
        <v>0</v>
      </c>
    </row>
    <row r="697" spans="11:19" x14ac:dyDescent="0.3">
      <c r="K697" s="16">
        <f t="shared" si="10"/>
        <v>44044</v>
      </c>
      <c r="L697" s="17">
        <v>0.95833333333333337</v>
      </c>
      <c r="M697" s="14">
        <v>650</v>
      </c>
      <c r="N697" s="14">
        <v>1346</v>
      </c>
      <c r="O697" s="14">
        <v>0</v>
      </c>
      <c r="P697" s="14">
        <v>1996</v>
      </c>
      <c r="Q697">
        <v>8341</v>
      </c>
      <c r="R697">
        <v>1065</v>
      </c>
      <c r="S697">
        <v>0</v>
      </c>
    </row>
    <row r="698" spans="11:19" x14ac:dyDescent="0.3">
      <c r="K698" s="16">
        <f t="shared" si="10"/>
        <v>44045</v>
      </c>
      <c r="L698" s="17">
        <v>0</v>
      </c>
      <c r="M698" s="14">
        <v>650</v>
      </c>
      <c r="N698" s="14">
        <v>577</v>
      </c>
      <c r="O698" s="14">
        <v>0</v>
      </c>
      <c r="P698" s="14">
        <v>1227</v>
      </c>
      <c r="Q698">
        <v>7581</v>
      </c>
      <c r="R698">
        <v>1075</v>
      </c>
      <c r="S698">
        <v>0</v>
      </c>
    </row>
    <row r="699" spans="11:19" x14ac:dyDescent="0.3">
      <c r="K699" s="16">
        <f t="shared" si="10"/>
        <v>44045</v>
      </c>
      <c r="L699" s="17">
        <v>4.1666666666666664E-2</v>
      </c>
      <c r="M699" s="14">
        <v>650</v>
      </c>
      <c r="N699" s="14">
        <v>274</v>
      </c>
      <c r="O699" s="14">
        <v>424</v>
      </c>
      <c r="P699" s="14">
        <v>1348</v>
      </c>
      <c r="Q699">
        <v>7171</v>
      </c>
      <c r="R699">
        <v>787</v>
      </c>
      <c r="S699">
        <v>0</v>
      </c>
    </row>
    <row r="700" spans="11:19" x14ac:dyDescent="0.3">
      <c r="K700" s="16">
        <f t="shared" si="10"/>
        <v>44045</v>
      </c>
      <c r="L700" s="17">
        <v>8.3333333333333329E-2</v>
      </c>
      <c r="M700" s="14">
        <v>650</v>
      </c>
      <c r="N700" s="14">
        <v>0</v>
      </c>
      <c r="O700" s="14">
        <v>454</v>
      </c>
      <c r="P700" s="14">
        <v>1104</v>
      </c>
      <c r="Q700">
        <v>6825</v>
      </c>
      <c r="R700">
        <v>687</v>
      </c>
      <c r="S700">
        <v>0</v>
      </c>
    </row>
    <row r="701" spans="11:19" x14ac:dyDescent="0.3">
      <c r="K701" s="16">
        <f t="shared" si="10"/>
        <v>44045</v>
      </c>
      <c r="L701" s="17">
        <v>0.125</v>
      </c>
      <c r="M701" s="14">
        <v>650</v>
      </c>
      <c r="N701" s="14">
        <v>0</v>
      </c>
      <c r="O701" s="14">
        <v>110</v>
      </c>
      <c r="P701" s="14">
        <v>760</v>
      </c>
      <c r="Q701">
        <v>6429</v>
      </c>
      <c r="R701">
        <v>636</v>
      </c>
      <c r="S701">
        <v>0</v>
      </c>
    </row>
    <row r="702" spans="11:19" x14ac:dyDescent="0.3">
      <c r="K702" s="16">
        <f t="shared" si="10"/>
        <v>44045</v>
      </c>
      <c r="L702" s="17">
        <v>0.16666666666666666</v>
      </c>
      <c r="M702" s="14">
        <v>650</v>
      </c>
      <c r="N702" s="14">
        <v>0</v>
      </c>
      <c r="O702" s="14">
        <v>-67</v>
      </c>
      <c r="P702" s="14">
        <v>583</v>
      </c>
      <c r="Q702">
        <v>6238</v>
      </c>
      <c r="R702">
        <v>623</v>
      </c>
      <c r="S702">
        <v>0</v>
      </c>
    </row>
    <row r="703" spans="11:19" x14ac:dyDescent="0.3">
      <c r="K703" s="16">
        <f t="shared" si="10"/>
        <v>44045</v>
      </c>
      <c r="L703" s="17">
        <v>0.20833333333333334</v>
      </c>
      <c r="M703" s="14">
        <v>650</v>
      </c>
      <c r="N703" s="14">
        <v>0</v>
      </c>
      <c r="O703" s="14">
        <v>-83</v>
      </c>
      <c r="P703" s="14">
        <v>567</v>
      </c>
      <c r="Q703">
        <v>6166</v>
      </c>
      <c r="R703">
        <v>562</v>
      </c>
      <c r="S703">
        <v>0</v>
      </c>
    </row>
    <row r="704" spans="11:19" x14ac:dyDescent="0.3">
      <c r="K704" s="16">
        <f t="shared" si="10"/>
        <v>44045</v>
      </c>
      <c r="L704" s="17">
        <v>0.25</v>
      </c>
      <c r="M704" s="14">
        <v>650</v>
      </c>
      <c r="N704" s="14">
        <v>0</v>
      </c>
      <c r="O704" s="14">
        <v>-160</v>
      </c>
      <c r="P704" s="14">
        <v>490</v>
      </c>
      <c r="Q704">
        <v>6063</v>
      </c>
      <c r="R704">
        <v>489</v>
      </c>
      <c r="S704">
        <v>18</v>
      </c>
    </row>
    <row r="705" spans="11:19" x14ac:dyDescent="0.3">
      <c r="K705" s="16">
        <f t="shared" si="10"/>
        <v>44045</v>
      </c>
      <c r="L705" s="17">
        <v>0.29166666666666669</v>
      </c>
      <c r="M705" s="14">
        <v>650</v>
      </c>
      <c r="N705" s="14">
        <v>0</v>
      </c>
      <c r="O705" s="14">
        <v>-248</v>
      </c>
      <c r="P705" s="14">
        <v>402</v>
      </c>
      <c r="Q705">
        <v>6215</v>
      </c>
      <c r="R705">
        <v>542</v>
      </c>
      <c r="S705">
        <v>190</v>
      </c>
    </row>
    <row r="706" spans="11:19" x14ac:dyDescent="0.3">
      <c r="K706" s="16">
        <f t="shared" si="10"/>
        <v>44045</v>
      </c>
      <c r="L706" s="17">
        <v>0.33333333333333331</v>
      </c>
      <c r="M706" s="14">
        <v>650</v>
      </c>
      <c r="N706" s="14">
        <v>0</v>
      </c>
      <c r="O706" s="14">
        <v>-195</v>
      </c>
      <c r="P706" s="14">
        <v>455</v>
      </c>
      <c r="Q706">
        <v>6662</v>
      </c>
      <c r="R706">
        <v>475</v>
      </c>
      <c r="S706">
        <v>645</v>
      </c>
    </row>
    <row r="707" spans="11:19" x14ac:dyDescent="0.3">
      <c r="K707" s="16">
        <f t="shared" si="10"/>
        <v>44045</v>
      </c>
      <c r="L707" s="17">
        <v>0.375</v>
      </c>
      <c r="M707" s="14">
        <v>650</v>
      </c>
      <c r="N707" s="14">
        <v>0</v>
      </c>
      <c r="O707" s="14">
        <v>-184</v>
      </c>
      <c r="P707" s="14">
        <v>466</v>
      </c>
      <c r="Q707">
        <v>7222</v>
      </c>
      <c r="R707">
        <v>358</v>
      </c>
      <c r="S707">
        <v>1306</v>
      </c>
    </row>
    <row r="708" spans="11:19" x14ac:dyDescent="0.3">
      <c r="K708" s="16">
        <f t="shared" si="10"/>
        <v>44045</v>
      </c>
      <c r="L708" s="17">
        <v>0.41666666666666669</v>
      </c>
      <c r="M708" s="14">
        <v>650</v>
      </c>
      <c r="N708" s="14">
        <v>0</v>
      </c>
      <c r="O708" s="14">
        <v>-305</v>
      </c>
      <c r="P708" s="14">
        <v>345</v>
      </c>
      <c r="Q708">
        <v>7649</v>
      </c>
      <c r="R708">
        <v>320</v>
      </c>
      <c r="S708">
        <v>1891</v>
      </c>
    </row>
    <row r="709" spans="11:19" x14ac:dyDescent="0.3">
      <c r="K709" s="16">
        <f t="shared" si="10"/>
        <v>44045</v>
      </c>
      <c r="L709" s="17">
        <v>0.45833333333333331</v>
      </c>
      <c r="M709" s="14">
        <v>650</v>
      </c>
      <c r="N709" s="14">
        <v>0</v>
      </c>
      <c r="O709" s="14">
        <v>-532</v>
      </c>
      <c r="P709" s="14">
        <v>118</v>
      </c>
      <c r="Q709">
        <v>7989</v>
      </c>
      <c r="R709">
        <v>397</v>
      </c>
      <c r="S709">
        <v>2381</v>
      </c>
    </row>
    <row r="710" spans="11:19" x14ac:dyDescent="0.3">
      <c r="K710" s="16">
        <f t="shared" si="10"/>
        <v>44045</v>
      </c>
      <c r="L710" s="17">
        <v>0.5</v>
      </c>
      <c r="M710" s="14">
        <v>650</v>
      </c>
      <c r="N710" s="14">
        <v>0</v>
      </c>
      <c r="O710" s="14">
        <v>-485</v>
      </c>
      <c r="P710" s="14">
        <v>165</v>
      </c>
      <c r="Q710">
        <v>8372</v>
      </c>
      <c r="R710">
        <v>441</v>
      </c>
      <c r="S710">
        <v>2674</v>
      </c>
    </row>
    <row r="711" spans="11:19" x14ac:dyDescent="0.3">
      <c r="K711" s="16">
        <f t="shared" si="10"/>
        <v>44045</v>
      </c>
      <c r="L711" s="17">
        <v>0.54166666666666663</v>
      </c>
      <c r="M711" s="14">
        <v>650</v>
      </c>
      <c r="N711" s="14">
        <v>0</v>
      </c>
      <c r="O711" s="14">
        <v>-893</v>
      </c>
      <c r="P711" s="14">
        <v>-243</v>
      </c>
      <c r="Q711">
        <v>8098</v>
      </c>
      <c r="R711">
        <v>393</v>
      </c>
      <c r="S711">
        <v>2860</v>
      </c>
    </row>
    <row r="712" spans="11:19" x14ac:dyDescent="0.3">
      <c r="K712" s="16">
        <f t="shared" si="10"/>
        <v>44045</v>
      </c>
      <c r="L712" s="17">
        <v>0.58333333333333337</v>
      </c>
      <c r="M712" s="14">
        <v>650</v>
      </c>
      <c r="N712" s="14">
        <v>0</v>
      </c>
      <c r="O712" s="14">
        <v>-1103</v>
      </c>
      <c r="P712" s="14">
        <v>-453</v>
      </c>
      <c r="Q712">
        <v>7978</v>
      </c>
      <c r="R712">
        <v>507</v>
      </c>
      <c r="S712">
        <v>2838</v>
      </c>
    </row>
    <row r="713" spans="11:19" x14ac:dyDescent="0.3">
      <c r="K713" s="16">
        <f t="shared" si="10"/>
        <v>44045</v>
      </c>
      <c r="L713" s="17">
        <v>0.625</v>
      </c>
      <c r="M713" s="14">
        <v>650</v>
      </c>
      <c r="N713" s="14">
        <v>0</v>
      </c>
      <c r="O713" s="14">
        <v>-1149</v>
      </c>
      <c r="P713" s="14">
        <v>-499</v>
      </c>
      <c r="Q713">
        <v>7818</v>
      </c>
      <c r="R713">
        <v>561</v>
      </c>
      <c r="S713">
        <v>2671</v>
      </c>
    </row>
    <row r="714" spans="11:19" x14ac:dyDescent="0.3">
      <c r="K714" s="16">
        <f t="shared" si="10"/>
        <v>44045</v>
      </c>
      <c r="L714" s="17">
        <v>0.66666666666666663</v>
      </c>
      <c r="M714" s="14">
        <v>650</v>
      </c>
      <c r="N714" s="14">
        <v>0</v>
      </c>
      <c r="O714" s="14">
        <v>-982</v>
      </c>
      <c r="P714" s="14">
        <v>-332</v>
      </c>
      <c r="Q714">
        <v>7711</v>
      </c>
      <c r="R714">
        <v>600</v>
      </c>
      <c r="S714">
        <v>2363</v>
      </c>
    </row>
    <row r="715" spans="11:19" x14ac:dyDescent="0.3">
      <c r="K715" s="16">
        <f t="shared" si="10"/>
        <v>44045</v>
      </c>
      <c r="L715" s="17">
        <v>0.70833333333333337</v>
      </c>
      <c r="M715" s="14">
        <v>650</v>
      </c>
      <c r="N715" s="14">
        <v>0</v>
      </c>
      <c r="O715" s="14">
        <v>-756</v>
      </c>
      <c r="P715" s="14">
        <v>-106</v>
      </c>
      <c r="Q715">
        <v>7718</v>
      </c>
      <c r="R715">
        <v>830</v>
      </c>
      <c r="S715">
        <v>1920</v>
      </c>
    </row>
    <row r="716" spans="11:19" x14ac:dyDescent="0.3">
      <c r="K716" s="16">
        <f t="shared" si="10"/>
        <v>44045</v>
      </c>
      <c r="L716" s="17">
        <v>0.75</v>
      </c>
      <c r="M716" s="14">
        <v>650</v>
      </c>
      <c r="N716" s="14">
        <v>0</v>
      </c>
      <c r="O716" s="14">
        <v>-239</v>
      </c>
      <c r="P716" s="14">
        <v>411</v>
      </c>
      <c r="Q716">
        <v>7793</v>
      </c>
      <c r="R716">
        <v>1009</v>
      </c>
      <c r="S716">
        <v>1301</v>
      </c>
    </row>
    <row r="717" spans="11:19" x14ac:dyDescent="0.3">
      <c r="K717" s="16">
        <f t="shared" si="10"/>
        <v>44045</v>
      </c>
      <c r="L717" s="17">
        <v>0.79166666666666663</v>
      </c>
      <c r="M717" s="14">
        <v>650</v>
      </c>
      <c r="N717" s="14">
        <v>0</v>
      </c>
      <c r="O717" s="14">
        <v>417</v>
      </c>
      <c r="P717" s="14">
        <v>1067</v>
      </c>
      <c r="Q717">
        <v>7893</v>
      </c>
      <c r="R717">
        <v>1100</v>
      </c>
      <c r="S717">
        <v>670</v>
      </c>
    </row>
    <row r="718" spans="11:19" x14ac:dyDescent="0.3">
      <c r="K718" s="16">
        <f t="shared" si="10"/>
        <v>44045</v>
      </c>
      <c r="L718" s="17">
        <v>0.83333333333333337</v>
      </c>
      <c r="M718" s="14">
        <v>650</v>
      </c>
      <c r="N718" s="14">
        <v>0</v>
      </c>
      <c r="O718" s="14">
        <v>974</v>
      </c>
      <c r="P718" s="14">
        <v>1624</v>
      </c>
      <c r="Q718">
        <v>7811</v>
      </c>
      <c r="R718">
        <v>947</v>
      </c>
      <c r="S718">
        <v>191</v>
      </c>
    </row>
    <row r="719" spans="11:19" x14ac:dyDescent="0.3">
      <c r="K719" s="16">
        <f t="shared" si="10"/>
        <v>44045</v>
      </c>
      <c r="L719" s="17">
        <v>0.875</v>
      </c>
      <c r="M719" s="14">
        <v>650</v>
      </c>
      <c r="N719" s="14">
        <v>0</v>
      </c>
      <c r="O719" s="14">
        <v>1131</v>
      </c>
      <c r="P719" s="14">
        <v>1781</v>
      </c>
      <c r="Q719">
        <v>7925</v>
      </c>
      <c r="R719">
        <v>1071</v>
      </c>
      <c r="S719">
        <v>22</v>
      </c>
    </row>
    <row r="720" spans="11:19" x14ac:dyDescent="0.3">
      <c r="K720" s="16">
        <f t="shared" si="10"/>
        <v>44045</v>
      </c>
      <c r="L720" s="17">
        <v>0.91666666666666663</v>
      </c>
      <c r="M720" s="14">
        <v>650</v>
      </c>
      <c r="N720" s="14">
        <v>264</v>
      </c>
      <c r="O720" s="14">
        <v>1200</v>
      </c>
      <c r="P720" s="14">
        <v>2114</v>
      </c>
      <c r="Q720">
        <v>8468</v>
      </c>
      <c r="R720">
        <v>1302</v>
      </c>
      <c r="S720">
        <v>0</v>
      </c>
    </row>
    <row r="721" spans="11:19" x14ac:dyDescent="0.3">
      <c r="K721" s="16">
        <f t="shared" si="10"/>
        <v>44045</v>
      </c>
      <c r="L721" s="17">
        <v>0.95833333333333337</v>
      </c>
      <c r="M721" s="14">
        <v>650</v>
      </c>
      <c r="N721" s="14">
        <v>201</v>
      </c>
      <c r="O721" s="14">
        <v>1200</v>
      </c>
      <c r="P721" s="14">
        <v>2051</v>
      </c>
      <c r="Q721">
        <v>8360</v>
      </c>
      <c r="R721">
        <v>1270</v>
      </c>
      <c r="S721">
        <v>0</v>
      </c>
    </row>
    <row r="722" spans="11:19" x14ac:dyDescent="0.3">
      <c r="K722" s="16">
        <f t="shared" si="10"/>
        <v>44046</v>
      </c>
      <c r="L722" s="17">
        <v>0</v>
      </c>
      <c r="M722" s="14">
        <v>650</v>
      </c>
      <c r="N722" s="14">
        <v>357</v>
      </c>
      <c r="O722" s="14">
        <v>0</v>
      </c>
      <c r="P722" s="14">
        <v>1007</v>
      </c>
      <c r="Q722">
        <v>7484</v>
      </c>
      <c r="R722">
        <v>1440</v>
      </c>
      <c r="S722">
        <v>0</v>
      </c>
    </row>
    <row r="723" spans="11:19" x14ac:dyDescent="0.3">
      <c r="K723" s="16">
        <f t="shared" si="10"/>
        <v>44046</v>
      </c>
      <c r="L723" s="17">
        <v>4.1666666666666664E-2</v>
      </c>
      <c r="M723" s="14">
        <v>650</v>
      </c>
      <c r="N723" s="14">
        <v>168</v>
      </c>
      <c r="O723" s="14">
        <v>0</v>
      </c>
      <c r="P723" s="14">
        <v>818</v>
      </c>
      <c r="Q723">
        <v>7103</v>
      </c>
      <c r="R723">
        <v>1248</v>
      </c>
      <c r="S723">
        <v>0</v>
      </c>
    </row>
    <row r="724" spans="11:19" x14ac:dyDescent="0.3">
      <c r="K724" s="16">
        <f t="shared" si="10"/>
        <v>44046</v>
      </c>
      <c r="L724" s="17">
        <v>8.3333333333333329E-2</v>
      </c>
      <c r="M724" s="14">
        <v>650</v>
      </c>
      <c r="N724" s="14">
        <v>0</v>
      </c>
      <c r="O724" s="14">
        <v>-141</v>
      </c>
      <c r="P724" s="14">
        <v>509</v>
      </c>
      <c r="Q724">
        <v>6819</v>
      </c>
      <c r="R724">
        <v>1116</v>
      </c>
      <c r="S724">
        <v>0</v>
      </c>
    </row>
    <row r="725" spans="11:19" x14ac:dyDescent="0.3">
      <c r="K725" s="16">
        <f t="shared" si="10"/>
        <v>44046</v>
      </c>
      <c r="L725" s="17">
        <v>0.125</v>
      </c>
      <c r="M725" s="14">
        <v>650</v>
      </c>
      <c r="N725" s="14">
        <v>0</v>
      </c>
      <c r="O725" s="14">
        <v>-191</v>
      </c>
      <c r="P725" s="14">
        <v>459</v>
      </c>
      <c r="Q725">
        <v>6527</v>
      </c>
      <c r="R725">
        <v>875</v>
      </c>
      <c r="S725">
        <v>0</v>
      </c>
    </row>
    <row r="726" spans="11:19" x14ac:dyDescent="0.3">
      <c r="K726" s="16">
        <f t="shared" si="10"/>
        <v>44046</v>
      </c>
      <c r="L726" s="17">
        <v>0.16666666666666666</v>
      </c>
      <c r="M726" s="14">
        <v>650</v>
      </c>
      <c r="N726" s="14">
        <v>0</v>
      </c>
      <c r="O726" s="14">
        <v>-4</v>
      </c>
      <c r="P726" s="14">
        <v>646</v>
      </c>
      <c r="Q726">
        <v>6526</v>
      </c>
      <c r="R726">
        <v>681</v>
      </c>
      <c r="S726">
        <v>0</v>
      </c>
    </row>
    <row r="727" spans="11:19" x14ac:dyDescent="0.3">
      <c r="K727" s="16">
        <f t="shared" si="10"/>
        <v>44046</v>
      </c>
      <c r="L727" s="17">
        <v>0.20833333333333334</v>
      </c>
      <c r="M727" s="14">
        <v>650</v>
      </c>
      <c r="N727" s="14">
        <v>517</v>
      </c>
      <c r="O727" s="14">
        <v>0</v>
      </c>
      <c r="P727" s="14">
        <v>1167</v>
      </c>
      <c r="Q727">
        <v>6857</v>
      </c>
      <c r="R727">
        <v>482</v>
      </c>
      <c r="S727">
        <v>0</v>
      </c>
    </row>
    <row r="728" spans="11:19" x14ac:dyDescent="0.3">
      <c r="K728" s="16">
        <f t="shared" si="10"/>
        <v>44046</v>
      </c>
      <c r="L728" s="17">
        <v>0.25</v>
      </c>
      <c r="M728" s="14">
        <v>650</v>
      </c>
      <c r="N728" s="14">
        <v>864</v>
      </c>
      <c r="O728" s="14">
        <v>0</v>
      </c>
      <c r="P728" s="14">
        <v>1514</v>
      </c>
      <c r="Q728">
        <v>7319</v>
      </c>
      <c r="R728">
        <v>545</v>
      </c>
      <c r="S728">
        <v>16</v>
      </c>
    </row>
    <row r="729" spans="11:19" x14ac:dyDescent="0.3">
      <c r="K729" s="16">
        <f t="shared" si="10"/>
        <v>44046</v>
      </c>
      <c r="L729" s="17">
        <v>0.29166666666666669</v>
      </c>
      <c r="M729" s="14">
        <v>650</v>
      </c>
      <c r="N729" s="14">
        <v>1377</v>
      </c>
      <c r="O729" s="14">
        <v>0</v>
      </c>
      <c r="P729" s="14">
        <v>2027</v>
      </c>
      <c r="Q729">
        <v>8041</v>
      </c>
      <c r="R729">
        <v>398</v>
      </c>
      <c r="S729">
        <v>189</v>
      </c>
    </row>
    <row r="730" spans="11:19" x14ac:dyDescent="0.3">
      <c r="K730" s="16">
        <f t="shared" si="10"/>
        <v>44046</v>
      </c>
      <c r="L730" s="17">
        <v>0.33333333333333331</v>
      </c>
      <c r="M730" s="14">
        <v>650</v>
      </c>
      <c r="N730" s="14">
        <v>1553</v>
      </c>
      <c r="O730" s="14">
        <v>0</v>
      </c>
      <c r="P730" s="14">
        <v>2203</v>
      </c>
      <c r="Q730">
        <v>8758</v>
      </c>
      <c r="R730">
        <v>484</v>
      </c>
      <c r="S730">
        <v>636</v>
      </c>
    </row>
    <row r="731" spans="11:19" x14ac:dyDescent="0.3">
      <c r="K731" s="16">
        <f t="shared" ref="K731:K794" si="11">K707+1</f>
        <v>44046</v>
      </c>
      <c r="L731" s="17">
        <v>0.375</v>
      </c>
      <c r="M731" s="14">
        <v>650</v>
      </c>
      <c r="N731" s="14">
        <v>0</v>
      </c>
      <c r="O731" s="14">
        <v>0</v>
      </c>
      <c r="P731" s="14">
        <v>650</v>
      </c>
      <c r="Q731">
        <v>9319</v>
      </c>
      <c r="R731">
        <v>393</v>
      </c>
      <c r="S731">
        <v>1311</v>
      </c>
    </row>
    <row r="732" spans="11:19" x14ac:dyDescent="0.3">
      <c r="K732" s="16">
        <f t="shared" si="11"/>
        <v>44046</v>
      </c>
      <c r="L732" s="17">
        <v>0.41666666666666669</v>
      </c>
      <c r="M732" s="14">
        <v>650</v>
      </c>
      <c r="N732" s="14">
        <v>1304</v>
      </c>
      <c r="O732" s="14">
        <v>0</v>
      </c>
      <c r="P732" s="14">
        <v>1954</v>
      </c>
      <c r="Q732">
        <v>9692</v>
      </c>
      <c r="R732">
        <v>390</v>
      </c>
      <c r="S732">
        <v>1917</v>
      </c>
    </row>
    <row r="733" spans="11:19" x14ac:dyDescent="0.3">
      <c r="K733" s="16">
        <f t="shared" si="11"/>
        <v>44046</v>
      </c>
      <c r="L733" s="17">
        <v>0.45833333333333331</v>
      </c>
      <c r="M733" s="14">
        <v>650</v>
      </c>
      <c r="N733" s="14">
        <v>0</v>
      </c>
      <c r="O733" s="14">
        <v>0</v>
      </c>
      <c r="P733" s="14">
        <v>650</v>
      </c>
      <c r="Q733">
        <v>9982</v>
      </c>
      <c r="R733">
        <v>494</v>
      </c>
      <c r="S733">
        <v>2415</v>
      </c>
    </row>
    <row r="734" spans="11:19" x14ac:dyDescent="0.3">
      <c r="K734" s="16">
        <f t="shared" si="11"/>
        <v>44046</v>
      </c>
      <c r="L734" s="17">
        <v>0.5</v>
      </c>
      <c r="M734" s="14">
        <v>650</v>
      </c>
      <c r="N734" s="14">
        <v>1291</v>
      </c>
      <c r="O734" s="14">
        <v>0</v>
      </c>
      <c r="P734" s="14">
        <v>1941</v>
      </c>
      <c r="Q734">
        <v>10178</v>
      </c>
      <c r="R734">
        <v>411</v>
      </c>
      <c r="S734">
        <v>2721</v>
      </c>
    </row>
    <row r="735" spans="11:19" x14ac:dyDescent="0.3">
      <c r="K735" s="16">
        <f t="shared" si="11"/>
        <v>44046</v>
      </c>
      <c r="L735" s="17">
        <v>0.54166666666666663</v>
      </c>
      <c r="M735" s="14">
        <v>650</v>
      </c>
      <c r="N735" s="14">
        <v>1179</v>
      </c>
      <c r="O735" s="14">
        <v>0</v>
      </c>
      <c r="P735" s="14">
        <v>1829</v>
      </c>
      <c r="Q735">
        <v>10119</v>
      </c>
      <c r="R735">
        <v>289</v>
      </c>
      <c r="S735">
        <v>2900</v>
      </c>
    </row>
    <row r="736" spans="11:19" x14ac:dyDescent="0.3">
      <c r="K736" s="16">
        <f t="shared" si="11"/>
        <v>44046</v>
      </c>
      <c r="L736" s="17">
        <v>0.58333333333333337</v>
      </c>
      <c r="M736" s="14">
        <v>650</v>
      </c>
      <c r="N736" s="14">
        <v>1351</v>
      </c>
      <c r="O736" s="14">
        <v>0</v>
      </c>
      <c r="P736" s="14">
        <v>2001</v>
      </c>
      <c r="Q736">
        <v>10237</v>
      </c>
      <c r="R736">
        <v>273</v>
      </c>
      <c r="S736">
        <v>2862</v>
      </c>
    </row>
    <row r="737" spans="11:19" x14ac:dyDescent="0.3">
      <c r="K737" s="16">
        <f t="shared" si="11"/>
        <v>44046</v>
      </c>
      <c r="L737" s="17">
        <v>0.625</v>
      </c>
      <c r="M737" s="14">
        <v>650</v>
      </c>
      <c r="N737" s="14">
        <v>1380</v>
      </c>
      <c r="O737" s="14">
        <v>0</v>
      </c>
      <c r="P737" s="14">
        <v>2030</v>
      </c>
      <c r="Q737">
        <v>10087</v>
      </c>
      <c r="R737">
        <v>268</v>
      </c>
      <c r="S737">
        <v>2688</v>
      </c>
    </row>
    <row r="738" spans="11:19" x14ac:dyDescent="0.3">
      <c r="K738" s="16">
        <f t="shared" si="11"/>
        <v>44046</v>
      </c>
      <c r="L738" s="17">
        <v>0.66666666666666663</v>
      </c>
      <c r="M738" s="14">
        <v>650</v>
      </c>
      <c r="N738" s="14">
        <v>1544</v>
      </c>
      <c r="O738" s="14">
        <v>0</v>
      </c>
      <c r="P738" s="14">
        <v>2194</v>
      </c>
      <c r="Q738">
        <v>9919</v>
      </c>
      <c r="R738">
        <v>267</v>
      </c>
      <c r="S738">
        <v>2360</v>
      </c>
    </row>
    <row r="739" spans="11:19" x14ac:dyDescent="0.3">
      <c r="K739" s="16">
        <f t="shared" si="11"/>
        <v>44046</v>
      </c>
      <c r="L739" s="17">
        <v>0.70833333333333337</v>
      </c>
      <c r="M739" s="14">
        <v>650</v>
      </c>
      <c r="N739" s="14">
        <v>1413</v>
      </c>
      <c r="O739" s="14">
        <v>0</v>
      </c>
      <c r="P739" s="14">
        <v>2063</v>
      </c>
      <c r="Q739">
        <v>9755</v>
      </c>
      <c r="R739">
        <v>290</v>
      </c>
      <c r="S739">
        <v>1908</v>
      </c>
    </row>
    <row r="740" spans="11:19" x14ac:dyDescent="0.3">
      <c r="K740" s="16">
        <f t="shared" si="11"/>
        <v>44046</v>
      </c>
      <c r="L740" s="17">
        <v>0.75</v>
      </c>
      <c r="M740" s="14">
        <v>650</v>
      </c>
      <c r="N740" s="14">
        <v>0</v>
      </c>
      <c r="O740" s="14">
        <v>0</v>
      </c>
      <c r="P740" s="14">
        <v>650</v>
      </c>
      <c r="Q740">
        <v>9657</v>
      </c>
      <c r="R740">
        <v>293</v>
      </c>
      <c r="S740">
        <v>1281</v>
      </c>
    </row>
    <row r="741" spans="11:19" x14ac:dyDescent="0.3">
      <c r="K741" s="16">
        <f t="shared" si="11"/>
        <v>44046</v>
      </c>
      <c r="L741" s="17">
        <v>0.79166666666666663</v>
      </c>
      <c r="M741" s="14">
        <v>650</v>
      </c>
      <c r="N741" s="14">
        <v>0</v>
      </c>
      <c r="O741" s="14">
        <v>0</v>
      </c>
      <c r="P741" s="14">
        <v>650</v>
      </c>
      <c r="Q741">
        <v>9464</v>
      </c>
      <c r="R741">
        <v>452</v>
      </c>
      <c r="S741">
        <v>669</v>
      </c>
    </row>
    <row r="742" spans="11:19" x14ac:dyDescent="0.3">
      <c r="K742" s="16">
        <f t="shared" si="11"/>
        <v>44046</v>
      </c>
      <c r="L742" s="17">
        <v>0.83333333333333337</v>
      </c>
      <c r="M742" s="14">
        <v>650</v>
      </c>
      <c r="N742" s="14">
        <v>2158</v>
      </c>
      <c r="O742" s="14">
        <v>0</v>
      </c>
      <c r="P742" s="14">
        <v>2808</v>
      </c>
      <c r="Q742">
        <v>8909</v>
      </c>
      <c r="R742">
        <v>461</v>
      </c>
      <c r="S742">
        <v>181</v>
      </c>
    </row>
    <row r="743" spans="11:19" x14ac:dyDescent="0.3">
      <c r="K743" s="16">
        <f t="shared" si="11"/>
        <v>44046</v>
      </c>
      <c r="L743" s="17">
        <v>0.875</v>
      </c>
      <c r="M743" s="14">
        <v>650</v>
      </c>
      <c r="N743" s="14">
        <v>887</v>
      </c>
      <c r="O743" s="14">
        <v>0</v>
      </c>
      <c r="P743" s="14">
        <v>1537</v>
      </c>
      <c r="Q743">
        <v>8724</v>
      </c>
      <c r="R743">
        <v>529</v>
      </c>
      <c r="S743">
        <v>34</v>
      </c>
    </row>
    <row r="744" spans="11:19" x14ac:dyDescent="0.3">
      <c r="K744" s="16">
        <f t="shared" si="11"/>
        <v>44046</v>
      </c>
      <c r="L744" s="17">
        <v>0.91666666666666663</v>
      </c>
      <c r="M744" s="14">
        <v>650</v>
      </c>
      <c r="N744" s="14">
        <v>0</v>
      </c>
      <c r="O744" s="14">
        <v>270</v>
      </c>
      <c r="P744" s="14">
        <v>920</v>
      </c>
      <c r="Q744">
        <v>9131</v>
      </c>
      <c r="R744">
        <v>678</v>
      </c>
      <c r="S744">
        <v>0</v>
      </c>
    </row>
    <row r="745" spans="11:19" x14ac:dyDescent="0.3">
      <c r="K745" s="16">
        <f t="shared" si="11"/>
        <v>44046</v>
      </c>
      <c r="L745" s="17">
        <v>0.95833333333333337</v>
      </c>
      <c r="M745" s="14">
        <v>650</v>
      </c>
      <c r="N745" s="14">
        <v>0</v>
      </c>
      <c r="O745" s="14">
        <v>0</v>
      </c>
      <c r="P745" s="14">
        <v>650</v>
      </c>
      <c r="Q745">
        <v>8942</v>
      </c>
      <c r="R745">
        <v>688</v>
      </c>
      <c r="S745">
        <v>0</v>
      </c>
    </row>
    <row r="746" spans="11:19" x14ac:dyDescent="0.3">
      <c r="K746" s="16">
        <f t="shared" si="11"/>
        <v>44047</v>
      </c>
      <c r="L746" s="17">
        <v>0</v>
      </c>
      <c r="M746" s="14">
        <v>602</v>
      </c>
      <c r="N746" s="14">
        <v>1349</v>
      </c>
      <c r="O746" s="14">
        <v>0</v>
      </c>
      <c r="P746" s="14">
        <v>1951</v>
      </c>
      <c r="Q746">
        <v>8107</v>
      </c>
      <c r="R746">
        <v>718</v>
      </c>
      <c r="S746">
        <v>0</v>
      </c>
    </row>
    <row r="747" spans="11:19" x14ac:dyDescent="0.3">
      <c r="K747" s="16">
        <f t="shared" si="11"/>
        <v>44047</v>
      </c>
      <c r="L747" s="17">
        <v>4.1666666666666664E-2</v>
      </c>
      <c r="M747" s="14">
        <v>602</v>
      </c>
      <c r="N747" s="14">
        <v>0</v>
      </c>
      <c r="O747" s="14">
        <v>0</v>
      </c>
      <c r="P747" s="14">
        <v>602</v>
      </c>
      <c r="Q747">
        <v>7704</v>
      </c>
      <c r="R747">
        <v>627</v>
      </c>
      <c r="S747">
        <v>0</v>
      </c>
    </row>
    <row r="748" spans="11:19" x14ac:dyDescent="0.3">
      <c r="K748" s="16">
        <f t="shared" si="11"/>
        <v>44047</v>
      </c>
      <c r="L748" s="17">
        <v>8.3333333333333329E-2</v>
      </c>
      <c r="M748" s="14">
        <v>602</v>
      </c>
      <c r="N748" s="14">
        <v>821</v>
      </c>
      <c r="O748" s="14">
        <v>0</v>
      </c>
      <c r="P748" s="14">
        <v>1423</v>
      </c>
      <c r="Q748">
        <v>7418</v>
      </c>
      <c r="R748">
        <v>561</v>
      </c>
      <c r="S748">
        <v>0</v>
      </c>
    </row>
    <row r="749" spans="11:19" x14ac:dyDescent="0.3">
      <c r="K749" s="16">
        <f t="shared" si="11"/>
        <v>44047</v>
      </c>
      <c r="L749" s="17">
        <v>0.125</v>
      </c>
      <c r="M749" s="14">
        <v>602</v>
      </c>
      <c r="N749" s="14">
        <v>610</v>
      </c>
      <c r="O749" s="14">
        <v>0</v>
      </c>
      <c r="P749" s="14">
        <v>1212</v>
      </c>
      <c r="Q749">
        <v>7096</v>
      </c>
      <c r="R749">
        <v>530</v>
      </c>
      <c r="S749">
        <v>0</v>
      </c>
    </row>
    <row r="750" spans="11:19" x14ac:dyDescent="0.3">
      <c r="K750" s="16">
        <f t="shared" si="11"/>
        <v>44047</v>
      </c>
      <c r="L750" s="17">
        <v>0.16666666666666666</v>
      </c>
      <c r="M750" s="14">
        <v>602</v>
      </c>
      <c r="N750" s="14">
        <v>0</v>
      </c>
      <c r="O750" s="14">
        <v>0</v>
      </c>
      <c r="P750" s="14">
        <v>602</v>
      </c>
      <c r="Q750">
        <v>7054</v>
      </c>
      <c r="R750">
        <v>513</v>
      </c>
      <c r="S750">
        <v>0</v>
      </c>
    </row>
    <row r="751" spans="11:19" x14ac:dyDescent="0.3">
      <c r="K751" s="16">
        <f t="shared" si="11"/>
        <v>44047</v>
      </c>
      <c r="L751" s="17">
        <v>0.20833333333333334</v>
      </c>
      <c r="M751" s="14">
        <v>602</v>
      </c>
      <c r="N751" s="14">
        <v>851</v>
      </c>
      <c r="O751" s="14">
        <v>0</v>
      </c>
      <c r="P751" s="14">
        <v>1453</v>
      </c>
      <c r="Q751">
        <v>7306</v>
      </c>
      <c r="R751">
        <v>484</v>
      </c>
      <c r="S751">
        <v>0</v>
      </c>
    </row>
    <row r="752" spans="11:19" x14ac:dyDescent="0.3">
      <c r="K752" s="16">
        <f t="shared" si="11"/>
        <v>44047</v>
      </c>
      <c r="L752" s="17">
        <v>0.25</v>
      </c>
      <c r="M752" s="14">
        <v>602</v>
      </c>
      <c r="N752" s="14">
        <v>1292</v>
      </c>
      <c r="O752" s="14">
        <v>0</v>
      </c>
      <c r="P752" s="14">
        <v>1894</v>
      </c>
      <c r="Q752">
        <v>7726</v>
      </c>
      <c r="R752">
        <v>402</v>
      </c>
      <c r="S752">
        <v>25</v>
      </c>
    </row>
    <row r="753" spans="11:19" x14ac:dyDescent="0.3">
      <c r="K753" s="16">
        <f t="shared" si="11"/>
        <v>44047</v>
      </c>
      <c r="L753" s="17">
        <v>0.29166666666666669</v>
      </c>
      <c r="M753" s="14">
        <v>602</v>
      </c>
      <c r="N753" s="14">
        <v>0</v>
      </c>
      <c r="O753" s="14">
        <v>0</v>
      </c>
      <c r="P753" s="14">
        <v>602</v>
      </c>
      <c r="Q753">
        <v>8443</v>
      </c>
      <c r="R753">
        <v>327</v>
      </c>
      <c r="S753">
        <v>233</v>
      </c>
    </row>
    <row r="754" spans="11:19" x14ac:dyDescent="0.3">
      <c r="K754" s="16">
        <f t="shared" si="11"/>
        <v>44047</v>
      </c>
      <c r="L754" s="17">
        <v>0.33333333333333331</v>
      </c>
      <c r="M754" s="14">
        <v>602</v>
      </c>
      <c r="N754" s="14">
        <v>1770</v>
      </c>
      <c r="O754" s="14">
        <v>0</v>
      </c>
      <c r="P754" s="14">
        <v>2372</v>
      </c>
      <c r="Q754">
        <v>9133</v>
      </c>
      <c r="R754">
        <v>344</v>
      </c>
      <c r="S754">
        <v>715</v>
      </c>
    </row>
    <row r="755" spans="11:19" x14ac:dyDescent="0.3">
      <c r="K755" s="16">
        <f t="shared" si="11"/>
        <v>44047</v>
      </c>
      <c r="L755" s="17">
        <v>0.375</v>
      </c>
      <c r="M755" s="14">
        <v>602</v>
      </c>
      <c r="N755" s="14">
        <v>0</v>
      </c>
      <c r="O755" s="14">
        <v>0</v>
      </c>
      <c r="P755" s="14">
        <v>602</v>
      </c>
      <c r="Q755">
        <v>9712</v>
      </c>
      <c r="R755">
        <v>311</v>
      </c>
      <c r="S755">
        <v>1363</v>
      </c>
    </row>
    <row r="756" spans="11:19" x14ac:dyDescent="0.3">
      <c r="K756" s="16">
        <f t="shared" si="11"/>
        <v>44047</v>
      </c>
      <c r="L756" s="17">
        <v>0.41666666666666669</v>
      </c>
      <c r="M756" s="14">
        <v>602</v>
      </c>
      <c r="N756" s="14">
        <v>1739</v>
      </c>
      <c r="O756" s="14">
        <v>0</v>
      </c>
      <c r="P756" s="14">
        <v>2341</v>
      </c>
      <c r="Q756">
        <v>10117</v>
      </c>
      <c r="R756">
        <v>317</v>
      </c>
      <c r="S756">
        <v>1947</v>
      </c>
    </row>
    <row r="757" spans="11:19" x14ac:dyDescent="0.3">
      <c r="K757" s="16">
        <f t="shared" si="11"/>
        <v>44047</v>
      </c>
      <c r="L757" s="17">
        <v>0.45833333333333331</v>
      </c>
      <c r="M757" s="14">
        <v>602</v>
      </c>
      <c r="N757" s="14">
        <v>1558</v>
      </c>
      <c r="O757" s="14">
        <v>0</v>
      </c>
      <c r="P757" s="14">
        <v>2160</v>
      </c>
      <c r="Q757">
        <v>10433</v>
      </c>
      <c r="R757">
        <v>365</v>
      </c>
      <c r="S757">
        <v>2397</v>
      </c>
    </row>
    <row r="758" spans="11:19" x14ac:dyDescent="0.3">
      <c r="K758" s="16">
        <f t="shared" si="11"/>
        <v>44047</v>
      </c>
      <c r="L758" s="17">
        <v>0.5</v>
      </c>
      <c r="M758" s="14">
        <v>602</v>
      </c>
      <c r="N758" s="14">
        <v>1443</v>
      </c>
      <c r="O758" s="14">
        <v>0</v>
      </c>
      <c r="P758" s="14">
        <v>2045</v>
      </c>
      <c r="Q758">
        <v>10596</v>
      </c>
      <c r="R758">
        <v>417</v>
      </c>
      <c r="S758">
        <v>2628</v>
      </c>
    </row>
    <row r="759" spans="11:19" x14ac:dyDescent="0.3">
      <c r="K759" s="16">
        <f t="shared" si="11"/>
        <v>44047</v>
      </c>
      <c r="L759" s="17">
        <v>0.54166666666666663</v>
      </c>
      <c r="M759" s="14">
        <v>602</v>
      </c>
      <c r="N759" s="14">
        <v>0</v>
      </c>
      <c r="O759" s="14">
        <v>0</v>
      </c>
      <c r="P759" s="14">
        <v>602</v>
      </c>
      <c r="Q759">
        <v>10546</v>
      </c>
      <c r="R759">
        <v>408</v>
      </c>
      <c r="S759">
        <v>2774</v>
      </c>
    </row>
    <row r="760" spans="11:19" x14ac:dyDescent="0.3">
      <c r="K760" s="16">
        <f t="shared" si="11"/>
        <v>44047</v>
      </c>
      <c r="L760" s="17">
        <v>0.58333333333333337</v>
      </c>
      <c r="M760" s="14">
        <v>602</v>
      </c>
      <c r="N760" s="14">
        <v>0</v>
      </c>
      <c r="O760" s="14">
        <v>0</v>
      </c>
      <c r="P760" s="14">
        <v>602</v>
      </c>
      <c r="Q760">
        <v>10699</v>
      </c>
      <c r="R760">
        <v>593</v>
      </c>
      <c r="S760">
        <v>2738</v>
      </c>
    </row>
    <row r="761" spans="11:19" x14ac:dyDescent="0.3">
      <c r="K761" s="16">
        <f t="shared" si="11"/>
        <v>44047</v>
      </c>
      <c r="L761" s="17">
        <v>0.625</v>
      </c>
      <c r="M761" s="14">
        <v>602</v>
      </c>
      <c r="N761" s="14">
        <v>1333</v>
      </c>
      <c r="O761" s="14">
        <v>0</v>
      </c>
      <c r="P761" s="14">
        <v>1935</v>
      </c>
      <c r="Q761">
        <v>10572</v>
      </c>
      <c r="R761">
        <v>748</v>
      </c>
      <c r="S761">
        <v>2548</v>
      </c>
    </row>
    <row r="762" spans="11:19" x14ac:dyDescent="0.3">
      <c r="K762" s="16">
        <f t="shared" si="11"/>
        <v>44047</v>
      </c>
      <c r="L762" s="17">
        <v>0.66666666666666663</v>
      </c>
      <c r="M762" s="14">
        <v>602</v>
      </c>
      <c r="N762" s="14">
        <v>1385</v>
      </c>
      <c r="O762" s="14">
        <v>0</v>
      </c>
      <c r="P762" s="14">
        <v>1987</v>
      </c>
      <c r="Q762">
        <v>10402</v>
      </c>
      <c r="R762">
        <v>824</v>
      </c>
      <c r="S762">
        <v>2253</v>
      </c>
    </row>
    <row r="763" spans="11:19" x14ac:dyDescent="0.3">
      <c r="K763" s="16">
        <f t="shared" si="11"/>
        <v>44047</v>
      </c>
      <c r="L763" s="17">
        <v>0.70833333333333337</v>
      </c>
      <c r="M763" s="14">
        <v>602</v>
      </c>
      <c r="N763" s="14">
        <v>1669</v>
      </c>
      <c r="O763" s="14">
        <v>0</v>
      </c>
      <c r="P763" s="14">
        <v>2271</v>
      </c>
      <c r="Q763">
        <v>10225</v>
      </c>
      <c r="R763">
        <v>788</v>
      </c>
      <c r="S763">
        <v>1831</v>
      </c>
    </row>
    <row r="764" spans="11:19" x14ac:dyDescent="0.3">
      <c r="K764" s="16">
        <f t="shared" si="11"/>
        <v>44047</v>
      </c>
      <c r="L764" s="17">
        <v>0.75</v>
      </c>
      <c r="M764" s="14">
        <v>602</v>
      </c>
      <c r="N764" s="14">
        <v>0</v>
      </c>
      <c r="O764" s="14">
        <v>0</v>
      </c>
      <c r="P764" s="14">
        <v>602</v>
      </c>
      <c r="Q764">
        <v>10044</v>
      </c>
      <c r="R764">
        <v>821</v>
      </c>
      <c r="S764">
        <v>1241</v>
      </c>
    </row>
    <row r="765" spans="11:19" x14ac:dyDescent="0.3">
      <c r="K765" s="16">
        <f t="shared" si="11"/>
        <v>44047</v>
      </c>
      <c r="L765" s="17">
        <v>0.79166666666666663</v>
      </c>
      <c r="M765" s="14">
        <v>602</v>
      </c>
      <c r="N765" s="14">
        <v>0</v>
      </c>
      <c r="O765" s="14">
        <v>0</v>
      </c>
      <c r="P765" s="14">
        <v>602</v>
      </c>
      <c r="Q765">
        <v>9729</v>
      </c>
      <c r="R765">
        <v>878</v>
      </c>
      <c r="S765">
        <v>656</v>
      </c>
    </row>
    <row r="766" spans="11:19" x14ac:dyDescent="0.3">
      <c r="K766" s="16">
        <f t="shared" si="11"/>
        <v>44047</v>
      </c>
      <c r="L766" s="17">
        <v>0.83333333333333337</v>
      </c>
      <c r="M766" s="14">
        <v>602</v>
      </c>
      <c r="N766" s="14">
        <v>1770</v>
      </c>
      <c r="O766" s="14">
        <v>0</v>
      </c>
      <c r="P766" s="14">
        <v>2372</v>
      </c>
      <c r="Q766">
        <v>9150</v>
      </c>
      <c r="R766">
        <v>887</v>
      </c>
      <c r="S766">
        <v>188</v>
      </c>
    </row>
    <row r="767" spans="11:19" x14ac:dyDescent="0.3">
      <c r="K767" s="16">
        <f t="shared" si="11"/>
        <v>44047</v>
      </c>
      <c r="L767" s="17">
        <v>0.875</v>
      </c>
      <c r="M767" s="14">
        <v>602</v>
      </c>
      <c r="N767" s="14">
        <v>0</v>
      </c>
      <c r="O767" s="14">
        <v>0</v>
      </c>
      <c r="P767" s="14">
        <v>602</v>
      </c>
      <c r="Q767">
        <v>8953</v>
      </c>
      <c r="R767">
        <v>698</v>
      </c>
      <c r="S767">
        <v>41</v>
      </c>
    </row>
    <row r="768" spans="11:19" x14ac:dyDescent="0.3">
      <c r="K768" s="16">
        <f t="shared" si="11"/>
        <v>44047</v>
      </c>
      <c r="L768" s="17">
        <v>0.91666666666666663</v>
      </c>
      <c r="M768" s="14">
        <v>602</v>
      </c>
      <c r="N768" s="14">
        <v>1770</v>
      </c>
      <c r="O768" s="14">
        <v>0</v>
      </c>
      <c r="P768" s="14">
        <v>2372</v>
      </c>
      <c r="Q768">
        <v>9349</v>
      </c>
      <c r="R768">
        <v>650</v>
      </c>
      <c r="S768">
        <v>0</v>
      </c>
    </row>
    <row r="769" spans="11:19" x14ac:dyDescent="0.3">
      <c r="K769" s="16">
        <f t="shared" si="11"/>
        <v>44047</v>
      </c>
      <c r="L769" s="17">
        <v>0.95833333333333337</v>
      </c>
      <c r="M769" s="14">
        <v>602</v>
      </c>
      <c r="N769" s="14">
        <v>1770</v>
      </c>
      <c r="O769" s="14">
        <v>0</v>
      </c>
      <c r="P769" s="14">
        <v>2372</v>
      </c>
      <c r="Q769">
        <v>9123</v>
      </c>
      <c r="R769">
        <v>606</v>
      </c>
      <c r="S769">
        <v>0</v>
      </c>
    </row>
    <row r="770" spans="11:19" x14ac:dyDescent="0.3">
      <c r="K770" s="16">
        <f t="shared" si="11"/>
        <v>44048</v>
      </c>
      <c r="L770" s="17">
        <v>0</v>
      </c>
      <c r="M770" s="14">
        <v>602</v>
      </c>
      <c r="N770" s="14">
        <v>0</v>
      </c>
      <c r="O770" s="14">
        <v>0</v>
      </c>
      <c r="P770" s="14">
        <v>602</v>
      </c>
      <c r="Q770">
        <v>8174</v>
      </c>
      <c r="R770">
        <v>602</v>
      </c>
      <c r="S770">
        <v>0</v>
      </c>
    </row>
    <row r="771" spans="11:19" x14ac:dyDescent="0.3">
      <c r="K771" s="16">
        <f t="shared" si="11"/>
        <v>44048</v>
      </c>
      <c r="L771" s="17">
        <v>4.1666666666666664E-2</v>
      </c>
      <c r="M771" s="14">
        <v>602</v>
      </c>
      <c r="N771" s="14">
        <v>1313</v>
      </c>
      <c r="O771" s="14">
        <v>0</v>
      </c>
      <c r="P771" s="14">
        <v>1915</v>
      </c>
      <c r="Q771">
        <v>7768</v>
      </c>
      <c r="R771">
        <v>495</v>
      </c>
      <c r="S771">
        <v>0</v>
      </c>
    </row>
    <row r="772" spans="11:19" x14ac:dyDescent="0.3">
      <c r="K772" s="16">
        <f t="shared" si="11"/>
        <v>44048</v>
      </c>
      <c r="L772" s="17">
        <v>8.3333333333333329E-2</v>
      </c>
      <c r="M772" s="14">
        <v>602</v>
      </c>
      <c r="N772" s="14">
        <v>1029</v>
      </c>
      <c r="O772" s="14">
        <v>0</v>
      </c>
      <c r="P772" s="14">
        <v>1631</v>
      </c>
      <c r="Q772">
        <v>7482</v>
      </c>
      <c r="R772">
        <v>494</v>
      </c>
      <c r="S772">
        <v>0</v>
      </c>
    </row>
    <row r="773" spans="11:19" x14ac:dyDescent="0.3">
      <c r="K773" s="16">
        <f t="shared" si="11"/>
        <v>44048</v>
      </c>
      <c r="L773" s="17">
        <v>0.125</v>
      </c>
      <c r="M773" s="14">
        <v>602</v>
      </c>
      <c r="N773" s="14">
        <v>0</v>
      </c>
      <c r="O773" s="14">
        <v>0</v>
      </c>
      <c r="P773" s="14">
        <v>602</v>
      </c>
      <c r="Q773">
        <v>7164</v>
      </c>
      <c r="R773">
        <v>524</v>
      </c>
      <c r="S773">
        <v>0</v>
      </c>
    </row>
    <row r="774" spans="11:19" x14ac:dyDescent="0.3">
      <c r="K774" s="16">
        <f t="shared" si="11"/>
        <v>44048</v>
      </c>
      <c r="L774" s="17">
        <v>0.16666666666666666</v>
      </c>
      <c r="M774" s="14">
        <v>602</v>
      </c>
      <c r="N774" s="14">
        <v>350</v>
      </c>
      <c r="O774" s="14">
        <v>0</v>
      </c>
      <c r="P774" s="14">
        <v>952</v>
      </c>
      <c r="Q774">
        <v>7125</v>
      </c>
      <c r="R774">
        <v>731</v>
      </c>
      <c r="S774">
        <v>0</v>
      </c>
    </row>
    <row r="775" spans="11:19" x14ac:dyDescent="0.3">
      <c r="K775" s="16">
        <f t="shared" si="11"/>
        <v>44048</v>
      </c>
      <c r="L775" s="17">
        <v>0.20833333333333334</v>
      </c>
      <c r="M775" s="14">
        <v>602</v>
      </c>
      <c r="N775" s="14">
        <v>673</v>
      </c>
      <c r="O775" s="14">
        <v>0</v>
      </c>
      <c r="P775" s="14">
        <v>1275</v>
      </c>
      <c r="Q775">
        <v>7375</v>
      </c>
      <c r="R775">
        <v>644</v>
      </c>
      <c r="S775">
        <v>0</v>
      </c>
    </row>
    <row r="776" spans="11:19" x14ac:dyDescent="0.3">
      <c r="K776" s="16">
        <f t="shared" si="11"/>
        <v>44048</v>
      </c>
      <c r="L776" s="17">
        <v>0.25</v>
      </c>
      <c r="M776" s="14">
        <v>602</v>
      </c>
      <c r="N776" s="14">
        <v>934</v>
      </c>
      <c r="O776" s="14">
        <v>0</v>
      </c>
      <c r="P776" s="14">
        <v>1536</v>
      </c>
      <c r="Q776">
        <v>7791</v>
      </c>
      <c r="R776">
        <v>740</v>
      </c>
      <c r="S776">
        <v>19</v>
      </c>
    </row>
    <row r="777" spans="11:19" x14ac:dyDescent="0.3">
      <c r="K777" s="16">
        <f t="shared" si="11"/>
        <v>44048</v>
      </c>
      <c r="L777" s="17">
        <v>0.29166666666666669</v>
      </c>
      <c r="M777" s="14">
        <v>602</v>
      </c>
      <c r="N777" s="14">
        <v>1624</v>
      </c>
      <c r="O777" s="14">
        <v>0</v>
      </c>
      <c r="P777" s="14">
        <v>2226</v>
      </c>
      <c r="Q777">
        <v>8520</v>
      </c>
      <c r="R777">
        <v>589</v>
      </c>
      <c r="S777">
        <v>184</v>
      </c>
    </row>
    <row r="778" spans="11:19" x14ac:dyDescent="0.3">
      <c r="K778" s="16">
        <f t="shared" si="11"/>
        <v>44048</v>
      </c>
      <c r="L778" s="17">
        <v>0.33333333333333331</v>
      </c>
      <c r="M778" s="14">
        <v>602</v>
      </c>
      <c r="N778" s="14">
        <v>0</v>
      </c>
      <c r="O778" s="14">
        <v>0</v>
      </c>
      <c r="P778" s="14">
        <v>602</v>
      </c>
      <c r="Q778">
        <v>9208</v>
      </c>
      <c r="R778">
        <v>464</v>
      </c>
      <c r="S778">
        <v>607</v>
      </c>
    </row>
    <row r="779" spans="11:19" x14ac:dyDescent="0.3">
      <c r="K779" s="16">
        <f t="shared" si="11"/>
        <v>44048</v>
      </c>
      <c r="L779" s="17">
        <v>0.375</v>
      </c>
      <c r="M779" s="14">
        <v>602</v>
      </c>
      <c r="N779" s="14">
        <v>1904</v>
      </c>
      <c r="O779" s="14">
        <v>0</v>
      </c>
      <c r="P779" s="14">
        <v>2506</v>
      </c>
      <c r="Q779">
        <v>9790</v>
      </c>
      <c r="R779">
        <v>397</v>
      </c>
      <c r="S779">
        <v>1210</v>
      </c>
    </row>
    <row r="780" spans="11:19" x14ac:dyDescent="0.3">
      <c r="K780" s="16">
        <f t="shared" si="11"/>
        <v>44048</v>
      </c>
      <c r="L780" s="17">
        <v>0.41666666666666669</v>
      </c>
      <c r="M780" s="14">
        <v>602</v>
      </c>
      <c r="N780" s="14">
        <v>1904</v>
      </c>
      <c r="O780" s="14">
        <v>0</v>
      </c>
      <c r="P780" s="14">
        <v>2506</v>
      </c>
      <c r="Q780">
        <v>10190</v>
      </c>
      <c r="R780">
        <v>306</v>
      </c>
      <c r="S780">
        <v>1709</v>
      </c>
    </row>
    <row r="781" spans="11:19" x14ac:dyDescent="0.3">
      <c r="K781" s="16">
        <f t="shared" si="11"/>
        <v>44048</v>
      </c>
      <c r="L781" s="17">
        <v>0.45833333333333331</v>
      </c>
      <c r="M781" s="14">
        <v>602</v>
      </c>
      <c r="N781" s="14">
        <v>0</v>
      </c>
      <c r="O781" s="14">
        <v>0</v>
      </c>
      <c r="P781" s="14">
        <v>602</v>
      </c>
      <c r="Q781">
        <v>10489</v>
      </c>
      <c r="R781">
        <v>282</v>
      </c>
      <c r="S781">
        <v>2137</v>
      </c>
    </row>
    <row r="782" spans="11:19" x14ac:dyDescent="0.3">
      <c r="K782" s="16">
        <f t="shared" si="11"/>
        <v>44048</v>
      </c>
      <c r="L782" s="17">
        <v>0.5</v>
      </c>
      <c r="M782" s="14">
        <v>602</v>
      </c>
      <c r="N782" s="14">
        <v>0</v>
      </c>
      <c r="O782" s="14">
        <v>0</v>
      </c>
      <c r="P782" s="14">
        <v>602</v>
      </c>
      <c r="Q782">
        <v>10628</v>
      </c>
      <c r="R782">
        <v>265</v>
      </c>
      <c r="S782">
        <v>2347</v>
      </c>
    </row>
    <row r="783" spans="11:19" x14ac:dyDescent="0.3">
      <c r="K783" s="16">
        <f t="shared" si="11"/>
        <v>44048</v>
      </c>
      <c r="L783" s="17">
        <v>0.54166666666666663</v>
      </c>
      <c r="M783" s="14">
        <v>602</v>
      </c>
      <c r="N783" s="14">
        <v>1549</v>
      </c>
      <c r="O783" s="14">
        <v>0</v>
      </c>
      <c r="P783" s="14">
        <v>2151</v>
      </c>
      <c r="Q783">
        <v>10552</v>
      </c>
      <c r="R783">
        <v>386</v>
      </c>
      <c r="S783">
        <v>2500</v>
      </c>
    </row>
    <row r="784" spans="11:19" x14ac:dyDescent="0.3">
      <c r="K784" s="16">
        <f t="shared" si="11"/>
        <v>44048</v>
      </c>
      <c r="L784" s="17">
        <v>0.58333333333333337</v>
      </c>
      <c r="M784" s="14">
        <v>602</v>
      </c>
      <c r="N784" s="14">
        <v>1570</v>
      </c>
      <c r="O784" s="14">
        <v>0</v>
      </c>
      <c r="P784" s="14">
        <v>2172</v>
      </c>
      <c r="Q784">
        <v>10677</v>
      </c>
      <c r="R784">
        <v>583</v>
      </c>
      <c r="S784">
        <v>2490</v>
      </c>
    </row>
    <row r="785" spans="11:19" x14ac:dyDescent="0.3">
      <c r="K785" s="16">
        <f t="shared" si="11"/>
        <v>44048</v>
      </c>
      <c r="L785" s="17">
        <v>0.625</v>
      </c>
      <c r="M785" s="14">
        <v>602</v>
      </c>
      <c r="N785" s="14">
        <v>0</v>
      </c>
      <c r="O785" s="14">
        <v>0</v>
      </c>
      <c r="P785" s="14">
        <v>602</v>
      </c>
      <c r="Q785">
        <v>10522</v>
      </c>
      <c r="R785">
        <v>537</v>
      </c>
      <c r="S785">
        <v>2335</v>
      </c>
    </row>
    <row r="786" spans="11:19" x14ac:dyDescent="0.3">
      <c r="K786" s="16">
        <f t="shared" si="11"/>
        <v>44048</v>
      </c>
      <c r="L786" s="17">
        <v>0.66666666666666663</v>
      </c>
      <c r="M786" s="14">
        <v>602</v>
      </c>
      <c r="N786" s="14">
        <v>0</v>
      </c>
      <c r="O786" s="14">
        <v>0</v>
      </c>
      <c r="P786" s="14">
        <v>602</v>
      </c>
      <c r="Q786">
        <v>10330</v>
      </c>
      <c r="R786">
        <v>420</v>
      </c>
      <c r="S786">
        <v>2086</v>
      </c>
    </row>
    <row r="787" spans="11:19" x14ac:dyDescent="0.3">
      <c r="K787" s="16">
        <f t="shared" si="11"/>
        <v>44048</v>
      </c>
      <c r="L787" s="17">
        <v>0.70833333333333337</v>
      </c>
      <c r="M787" s="14">
        <v>602</v>
      </c>
      <c r="N787" s="14">
        <v>0</v>
      </c>
      <c r="O787" s="14">
        <v>0</v>
      </c>
      <c r="P787" s="14">
        <v>602</v>
      </c>
      <c r="Q787">
        <v>10142</v>
      </c>
      <c r="R787">
        <v>457</v>
      </c>
      <c r="S787">
        <v>1683</v>
      </c>
    </row>
    <row r="788" spans="11:19" x14ac:dyDescent="0.3">
      <c r="K788" s="16">
        <f t="shared" si="11"/>
        <v>44048</v>
      </c>
      <c r="L788" s="17">
        <v>0.75</v>
      </c>
      <c r="M788" s="14">
        <v>602</v>
      </c>
      <c r="N788" s="14">
        <v>1904</v>
      </c>
      <c r="O788" s="14">
        <v>0</v>
      </c>
      <c r="P788" s="14">
        <v>2506</v>
      </c>
      <c r="Q788">
        <v>9971</v>
      </c>
      <c r="R788">
        <v>516</v>
      </c>
      <c r="S788">
        <v>1152</v>
      </c>
    </row>
    <row r="789" spans="11:19" x14ac:dyDescent="0.3">
      <c r="K789" s="16">
        <f t="shared" si="11"/>
        <v>44048</v>
      </c>
      <c r="L789" s="17">
        <v>0.79166666666666663</v>
      </c>
      <c r="M789" s="14">
        <v>602</v>
      </c>
      <c r="N789" s="14">
        <v>0</v>
      </c>
      <c r="O789" s="14">
        <v>0</v>
      </c>
      <c r="P789" s="14">
        <v>602</v>
      </c>
      <c r="Q789">
        <v>9666</v>
      </c>
      <c r="R789">
        <v>541</v>
      </c>
      <c r="S789">
        <v>619</v>
      </c>
    </row>
    <row r="790" spans="11:19" x14ac:dyDescent="0.3">
      <c r="K790" s="16">
        <f t="shared" si="11"/>
        <v>44048</v>
      </c>
      <c r="L790" s="17">
        <v>0.83333333333333337</v>
      </c>
      <c r="M790" s="14">
        <v>602</v>
      </c>
      <c r="N790" s="14">
        <v>1904</v>
      </c>
      <c r="O790" s="14">
        <v>0</v>
      </c>
      <c r="P790" s="14">
        <v>2506</v>
      </c>
      <c r="Q790">
        <v>9093</v>
      </c>
      <c r="R790">
        <v>687</v>
      </c>
      <c r="S790">
        <v>183</v>
      </c>
    </row>
    <row r="791" spans="11:19" x14ac:dyDescent="0.3">
      <c r="K791" s="16">
        <f t="shared" si="11"/>
        <v>44048</v>
      </c>
      <c r="L791" s="17">
        <v>0.875</v>
      </c>
      <c r="M791" s="14">
        <v>602</v>
      </c>
      <c r="N791" s="14">
        <v>1904</v>
      </c>
      <c r="O791" s="14">
        <v>0</v>
      </c>
      <c r="P791" s="14">
        <v>2506</v>
      </c>
      <c r="Q791">
        <v>8897</v>
      </c>
      <c r="R791">
        <v>559</v>
      </c>
      <c r="S791">
        <v>31</v>
      </c>
    </row>
    <row r="792" spans="11:19" x14ac:dyDescent="0.3">
      <c r="K792" s="16">
        <f t="shared" si="11"/>
        <v>44048</v>
      </c>
      <c r="L792" s="17">
        <v>0.91666666666666663</v>
      </c>
      <c r="M792" s="14">
        <v>602</v>
      </c>
      <c r="N792" s="14">
        <v>189</v>
      </c>
      <c r="O792" s="14">
        <v>0</v>
      </c>
      <c r="P792" s="14">
        <v>791</v>
      </c>
      <c r="Q792">
        <v>9292</v>
      </c>
      <c r="R792">
        <v>507</v>
      </c>
      <c r="S792">
        <v>0</v>
      </c>
    </row>
    <row r="793" spans="11:19" x14ac:dyDescent="0.3">
      <c r="K793" s="16">
        <f t="shared" si="11"/>
        <v>44048</v>
      </c>
      <c r="L793" s="17">
        <v>0.95833333333333337</v>
      </c>
      <c r="M793" s="14">
        <v>602</v>
      </c>
      <c r="N793" s="14">
        <v>46</v>
      </c>
      <c r="O793" s="14">
        <v>0</v>
      </c>
      <c r="P793" s="14">
        <v>648</v>
      </c>
      <c r="Q793">
        <v>9079</v>
      </c>
      <c r="R793">
        <v>445</v>
      </c>
      <c r="S793">
        <v>0</v>
      </c>
    </row>
    <row r="794" spans="11:19" x14ac:dyDescent="0.3">
      <c r="K794" s="16">
        <f t="shared" si="11"/>
        <v>44049</v>
      </c>
      <c r="L794" s="17">
        <v>0</v>
      </c>
      <c r="M794" s="14">
        <v>602</v>
      </c>
      <c r="N794" s="14">
        <v>1719</v>
      </c>
      <c r="O794" s="14">
        <v>0</v>
      </c>
      <c r="P794" s="14">
        <v>2321</v>
      </c>
      <c r="Q794">
        <v>8142</v>
      </c>
      <c r="R794">
        <v>540</v>
      </c>
      <c r="S794">
        <v>0</v>
      </c>
    </row>
    <row r="795" spans="11:19" x14ac:dyDescent="0.3">
      <c r="K795" s="16">
        <f t="shared" ref="K795:K858" si="12">K771+1</f>
        <v>44049</v>
      </c>
      <c r="L795" s="17">
        <v>4.1666666666666664E-2</v>
      </c>
      <c r="M795" s="14">
        <v>602</v>
      </c>
      <c r="N795" s="14">
        <v>0</v>
      </c>
      <c r="O795" s="14">
        <v>0</v>
      </c>
      <c r="P795" s="14">
        <v>602</v>
      </c>
      <c r="Q795">
        <v>7737</v>
      </c>
      <c r="R795">
        <v>399</v>
      </c>
      <c r="S795">
        <v>0</v>
      </c>
    </row>
    <row r="796" spans="11:19" x14ac:dyDescent="0.3">
      <c r="K796" s="16">
        <f t="shared" si="12"/>
        <v>44049</v>
      </c>
      <c r="L796" s="17">
        <v>8.3333333333333329E-2</v>
      </c>
      <c r="M796" s="14">
        <v>602</v>
      </c>
      <c r="N796" s="14">
        <v>0</v>
      </c>
      <c r="O796" s="14">
        <v>0</v>
      </c>
      <c r="P796" s="14">
        <v>602</v>
      </c>
      <c r="Q796">
        <v>7451</v>
      </c>
      <c r="R796">
        <v>337</v>
      </c>
      <c r="S796">
        <v>0</v>
      </c>
    </row>
    <row r="797" spans="11:19" x14ac:dyDescent="0.3">
      <c r="K797" s="16">
        <f t="shared" si="12"/>
        <v>44049</v>
      </c>
      <c r="L797" s="17">
        <v>0.125</v>
      </c>
      <c r="M797" s="14">
        <v>602</v>
      </c>
      <c r="N797" s="14">
        <v>849</v>
      </c>
      <c r="O797" s="14">
        <v>0</v>
      </c>
      <c r="P797" s="14">
        <v>1451</v>
      </c>
      <c r="Q797">
        <v>7129</v>
      </c>
      <c r="R797">
        <v>399</v>
      </c>
      <c r="S797">
        <v>0</v>
      </c>
    </row>
    <row r="798" spans="11:19" x14ac:dyDescent="0.3">
      <c r="K798" s="16">
        <f t="shared" si="12"/>
        <v>44049</v>
      </c>
      <c r="L798" s="17">
        <v>0.16666666666666666</v>
      </c>
      <c r="M798" s="14">
        <v>602</v>
      </c>
      <c r="N798" s="14">
        <v>755</v>
      </c>
      <c r="O798" s="14">
        <v>0</v>
      </c>
      <c r="P798" s="14">
        <v>1357</v>
      </c>
      <c r="Q798">
        <v>7088</v>
      </c>
      <c r="R798">
        <v>449</v>
      </c>
      <c r="S798">
        <v>0</v>
      </c>
    </row>
    <row r="799" spans="11:19" x14ac:dyDescent="0.3">
      <c r="K799" s="16">
        <f t="shared" si="12"/>
        <v>44049</v>
      </c>
      <c r="L799" s="17">
        <v>0.20833333333333334</v>
      </c>
      <c r="M799" s="14">
        <v>602</v>
      </c>
      <c r="N799" s="14">
        <v>849</v>
      </c>
      <c r="O799" s="14">
        <v>0</v>
      </c>
      <c r="P799" s="14">
        <v>1451</v>
      </c>
      <c r="Q799">
        <v>7337</v>
      </c>
      <c r="R799">
        <v>431</v>
      </c>
      <c r="S799">
        <v>0</v>
      </c>
    </row>
    <row r="800" spans="11:19" x14ac:dyDescent="0.3">
      <c r="K800" s="16">
        <f t="shared" si="12"/>
        <v>44049</v>
      </c>
      <c r="L800" s="17">
        <v>0.25</v>
      </c>
      <c r="M800" s="14">
        <v>602</v>
      </c>
      <c r="N800" s="14">
        <v>1223</v>
      </c>
      <c r="O800" s="14">
        <v>0</v>
      </c>
      <c r="P800" s="14">
        <v>1825</v>
      </c>
      <c r="Q800">
        <v>7754</v>
      </c>
      <c r="R800">
        <v>413</v>
      </c>
      <c r="S800">
        <v>20</v>
      </c>
    </row>
    <row r="801" spans="11:19" x14ac:dyDescent="0.3">
      <c r="K801" s="16">
        <f t="shared" si="12"/>
        <v>44049</v>
      </c>
      <c r="L801" s="17">
        <v>0.29166666666666669</v>
      </c>
      <c r="M801" s="14">
        <v>602</v>
      </c>
      <c r="N801" s="14">
        <v>0</v>
      </c>
      <c r="O801" s="14">
        <v>0</v>
      </c>
      <c r="P801" s="14">
        <v>602</v>
      </c>
      <c r="Q801">
        <v>8474</v>
      </c>
      <c r="R801">
        <v>346</v>
      </c>
      <c r="S801">
        <v>192</v>
      </c>
    </row>
    <row r="802" spans="11:19" x14ac:dyDescent="0.3">
      <c r="K802" s="16">
        <f t="shared" si="12"/>
        <v>44049</v>
      </c>
      <c r="L802" s="17">
        <v>0.33333333333333331</v>
      </c>
      <c r="M802" s="14">
        <v>602</v>
      </c>
      <c r="N802" s="14">
        <v>0</v>
      </c>
      <c r="O802" s="14">
        <v>0</v>
      </c>
      <c r="P802" s="14">
        <v>602</v>
      </c>
      <c r="Q802">
        <v>9160</v>
      </c>
      <c r="R802">
        <v>370</v>
      </c>
      <c r="S802">
        <v>611</v>
      </c>
    </row>
    <row r="803" spans="11:19" x14ac:dyDescent="0.3">
      <c r="K803" s="16">
        <f t="shared" si="12"/>
        <v>44049</v>
      </c>
      <c r="L803" s="17">
        <v>0.375</v>
      </c>
      <c r="M803" s="14">
        <v>602</v>
      </c>
      <c r="N803" s="14">
        <v>1760</v>
      </c>
      <c r="O803" s="14">
        <v>0</v>
      </c>
      <c r="P803" s="14">
        <v>2362</v>
      </c>
      <c r="Q803">
        <v>9738</v>
      </c>
      <c r="R803">
        <v>409</v>
      </c>
      <c r="S803">
        <v>1259</v>
      </c>
    </row>
    <row r="804" spans="11:19" x14ac:dyDescent="0.3">
      <c r="K804" s="16">
        <f t="shared" si="12"/>
        <v>44049</v>
      </c>
      <c r="L804" s="17">
        <v>0.41666666666666669</v>
      </c>
      <c r="M804" s="14">
        <v>602</v>
      </c>
      <c r="N804" s="14">
        <v>1760</v>
      </c>
      <c r="O804" s="14">
        <v>0</v>
      </c>
      <c r="P804" s="14">
        <v>2362</v>
      </c>
      <c r="Q804">
        <v>10139</v>
      </c>
      <c r="R804">
        <v>316</v>
      </c>
      <c r="S804">
        <v>1811</v>
      </c>
    </row>
    <row r="805" spans="11:19" x14ac:dyDescent="0.3">
      <c r="K805" s="16">
        <f t="shared" si="12"/>
        <v>44049</v>
      </c>
      <c r="L805" s="17">
        <v>0.45833333333333331</v>
      </c>
      <c r="M805" s="14">
        <v>602</v>
      </c>
      <c r="N805" s="14">
        <v>1760</v>
      </c>
      <c r="O805" s="14">
        <v>0</v>
      </c>
      <c r="P805" s="14">
        <v>2362</v>
      </c>
      <c r="Q805">
        <v>10446</v>
      </c>
      <c r="R805">
        <v>355</v>
      </c>
      <c r="S805">
        <v>2259</v>
      </c>
    </row>
    <row r="806" spans="11:19" x14ac:dyDescent="0.3">
      <c r="K806" s="16">
        <f t="shared" si="12"/>
        <v>44049</v>
      </c>
      <c r="L806" s="17">
        <v>0.5</v>
      </c>
      <c r="M806" s="14">
        <v>602</v>
      </c>
      <c r="N806" s="14">
        <v>0</v>
      </c>
      <c r="O806" s="14">
        <v>0</v>
      </c>
      <c r="P806" s="14">
        <v>602</v>
      </c>
      <c r="Q806">
        <v>10599</v>
      </c>
      <c r="R806">
        <v>331</v>
      </c>
      <c r="S806">
        <v>2523</v>
      </c>
    </row>
    <row r="807" spans="11:19" x14ac:dyDescent="0.3">
      <c r="K807" s="16">
        <f t="shared" si="12"/>
        <v>44049</v>
      </c>
      <c r="L807" s="17">
        <v>0.54166666666666663</v>
      </c>
      <c r="M807" s="14">
        <v>602</v>
      </c>
      <c r="N807" s="14">
        <v>0</v>
      </c>
      <c r="O807" s="14">
        <v>0</v>
      </c>
      <c r="P807" s="14">
        <v>602</v>
      </c>
      <c r="Q807">
        <v>10539</v>
      </c>
      <c r="R807">
        <v>378</v>
      </c>
      <c r="S807">
        <v>2699</v>
      </c>
    </row>
    <row r="808" spans="11:19" x14ac:dyDescent="0.3">
      <c r="K808" s="16">
        <f t="shared" si="12"/>
        <v>44049</v>
      </c>
      <c r="L808" s="17">
        <v>0.58333333333333337</v>
      </c>
      <c r="M808" s="14">
        <v>602</v>
      </c>
      <c r="N808" s="14">
        <v>0</v>
      </c>
      <c r="O808" s="14">
        <v>0</v>
      </c>
      <c r="P808" s="14">
        <v>602</v>
      </c>
      <c r="Q808">
        <v>10680</v>
      </c>
      <c r="R808">
        <v>518</v>
      </c>
      <c r="S808">
        <v>2656</v>
      </c>
    </row>
    <row r="809" spans="11:19" x14ac:dyDescent="0.3">
      <c r="K809" s="16">
        <f t="shared" si="12"/>
        <v>44049</v>
      </c>
      <c r="L809" s="17">
        <v>0.625</v>
      </c>
      <c r="M809" s="14">
        <v>602</v>
      </c>
      <c r="N809" s="14">
        <v>0</v>
      </c>
      <c r="O809" s="14">
        <v>0</v>
      </c>
      <c r="P809" s="14">
        <v>602</v>
      </c>
      <c r="Q809">
        <v>10543</v>
      </c>
      <c r="R809">
        <v>629</v>
      </c>
      <c r="S809">
        <v>2488</v>
      </c>
    </row>
    <row r="810" spans="11:19" x14ac:dyDescent="0.3">
      <c r="K810" s="16">
        <f t="shared" si="12"/>
        <v>44049</v>
      </c>
      <c r="L810" s="17">
        <v>0.66666666666666663</v>
      </c>
      <c r="M810" s="14">
        <v>602</v>
      </c>
      <c r="N810" s="14">
        <v>1281</v>
      </c>
      <c r="O810" s="14">
        <v>0</v>
      </c>
      <c r="P810" s="14">
        <v>1883</v>
      </c>
      <c r="Q810">
        <v>10366</v>
      </c>
      <c r="R810">
        <v>832</v>
      </c>
      <c r="S810">
        <v>2220</v>
      </c>
    </row>
    <row r="811" spans="11:19" x14ac:dyDescent="0.3">
      <c r="K811" s="16">
        <f t="shared" si="12"/>
        <v>44049</v>
      </c>
      <c r="L811" s="17">
        <v>0.70833333333333337</v>
      </c>
      <c r="M811" s="14">
        <v>602</v>
      </c>
      <c r="N811" s="14">
        <v>0</v>
      </c>
      <c r="O811" s="14">
        <v>0</v>
      </c>
      <c r="P811" s="14">
        <v>602</v>
      </c>
      <c r="Q811">
        <v>10187</v>
      </c>
      <c r="R811">
        <v>1026</v>
      </c>
      <c r="S811">
        <v>1779</v>
      </c>
    </row>
    <row r="812" spans="11:19" x14ac:dyDescent="0.3">
      <c r="K812" s="16">
        <f t="shared" si="12"/>
        <v>44049</v>
      </c>
      <c r="L812" s="17">
        <v>0.75</v>
      </c>
      <c r="M812" s="14">
        <v>602</v>
      </c>
      <c r="N812" s="14">
        <v>1544</v>
      </c>
      <c r="O812" s="14">
        <v>0</v>
      </c>
      <c r="P812" s="14">
        <v>2146</v>
      </c>
      <c r="Q812">
        <v>10013</v>
      </c>
      <c r="R812">
        <v>1231</v>
      </c>
      <c r="S812">
        <v>1215</v>
      </c>
    </row>
    <row r="813" spans="11:19" x14ac:dyDescent="0.3">
      <c r="K813" s="16">
        <f t="shared" si="12"/>
        <v>44049</v>
      </c>
      <c r="L813" s="17">
        <v>0.79166666666666663</v>
      </c>
      <c r="M813" s="14">
        <v>602</v>
      </c>
      <c r="N813" s="14">
        <v>0</v>
      </c>
      <c r="O813" s="14">
        <v>0</v>
      </c>
      <c r="P813" s="14">
        <v>602</v>
      </c>
      <c r="Q813">
        <v>9704</v>
      </c>
      <c r="R813">
        <v>1303</v>
      </c>
      <c r="S813">
        <v>618</v>
      </c>
    </row>
    <row r="814" spans="11:19" x14ac:dyDescent="0.3">
      <c r="K814" s="16">
        <f t="shared" si="12"/>
        <v>44049</v>
      </c>
      <c r="L814" s="17">
        <v>0.83333333333333337</v>
      </c>
      <c r="M814" s="14">
        <v>602</v>
      </c>
      <c r="N814" s="14">
        <v>1656</v>
      </c>
      <c r="O814" s="14">
        <v>0</v>
      </c>
      <c r="P814" s="14">
        <v>2258</v>
      </c>
      <c r="Q814">
        <v>9128</v>
      </c>
      <c r="R814">
        <v>1219</v>
      </c>
      <c r="S814">
        <v>177</v>
      </c>
    </row>
    <row r="815" spans="11:19" x14ac:dyDescent="0.3">
      <c r="K815" s="16">
        <f t="shared" si="12"/>
        <v>44049</v>
      </c>
      <c r="L815" s="17">
        <v>0.875</v>
      </c>
      <c r="M815" s="14">
        <v>602</v>
      </c>
      <c r="N815" s="14">
        <v>1760</v>
      </c>
      <c r="O815" s="14">
        <v>0</v>
      </c>
      <c r="P815" s="14">
        <v>2362</v>
      </c>
      <c r="Q815">
        <v>8932</v>
      </c>
      <c r="R815">
        <v>1068</v>
      </c>
      <c r="S815">
        <v>32</v>
      </c>
    </row>
    <row r="816" spans="11:19" x14ac:dyDescent="0.3">
      <c r="K816" s="16">
        <f t="shared" si="12"/>
        <v>44049</v>
      </c>
      <c r="L816" s="17">
        <v>0.91666666666666663</v>
      </c>
      <c r="M816" s="14">
        <v>602</v>
      </c>
      <c r="N816" s="14">
        <v>1760</v>
      </c>
      <c r="O816" s="14">
        <v>0</v>
      </c>
      <c r="P816" s="14">
        <v>2362</v>
      </c>
      <c r="Q816">
        <v>9327</v>
      </c>
      <c r="R816">
        <v>896</v>
      </c>
      <c r="S816">
        <v>0</v>
      </c>
    </row>
    <row r="817" spans="11:19" x14ac:dyDescent="0.3">
      <c r="K817" s="16">
        <f t="shared" si="12"/>
        <v>44049</v>
      </c>
      <c r="L817" s="17">
        <v>0.95833333333333337</v>
      </c>
      <c r="M817" s="14">
        <v>602</v>
      </c>
      <c r="N817" s="14">
        <v>0</v>
      </c>
      <c r="O817" s="14">
        <v>0</v>
      </c>
      <c r="P817" s="14">
        <v>602</v>
      </c>
      <c r="Q817">
        <v>9106</v>
      </c>
      <c r="R817">
        <v>813</v>
      </c>
      <c r="S817">
        <v>0</v>
      </c>
    </row>
    <row r="818" spans="11:19" x14ac:dyDescent="0.3">
      <c r="K818" s="16">
        <f t="shared" si="12"/>
        <v>44050</v>
      </c>
      <c r="L818" s="17">
        <v>0</v>
      </c>
      <c r="M818" s="14">
        <v>602</v>
      </c>
      <c r="N818" s="14">
        <v>1213</v>
      </c>
      <c r="O818" s="14">
        <v>0</v>
      </c>
      <c r="P818" s="14">
        <v>1815</v>
      </c>
      <c r="Q818">
        <v>8132</v>
      </c>
      <c r="R818">
        <v>875</v>
      </c>
      <c r="S818">
        <v>0</v>
      </c>
    </row>
    <row r="819" spans="11:19" x14ac:dyDescent="0.3">
      <c r="K819" s="16">
        <f t="shared" si="12"/>
        <v>44050</v>
      </c>
      <c r="L819" s="17">
        <v>4.1666666666666664E-2</v>
      </c>
      <c r="M819" s="14">
        <v>602</v>
      </c>
      <c r="N819" s="14">
        <v>1307</v>
      </c>
      <c r="O819" s="14">
        <v>0</v>
      </c>
      <c r="P819" s="14">
        <v>1909</v>
      </c>
      <c r="Q819">
        <v>7734</v>
      </c>
      <c r="R819">
        <v>626</v>
      </c>
      <c r="S819">
        <v>0</v>
      </c>
    </row>
    <row r="820" spans="11:19" x14ac:dyDescent="0.3">
      <c r="K820" s="16">
        <f t="shared" si="12"/>
        <v>44050</v>
      </c>
      <c r="L820" s="17">
        <v>8.3333333333333329E-2</v>
      </c>
      <c r="M820" s="14">
        <v>602</v>
      </c>
      <c r="N820" s="14">
        <v>1126</v>
      </c>
      <c r="O820" s="14">
        <v>0</v>
      </c>
      <c r="P820" s="14">
        <v>1728</v>
      </c>
      <c r="Q820">
        <v>7430</v>
      </c>
      <c r="R820">
        <v>504</v>
      </c>
      <c r="S820">
        <v>0</v>
      </c>
    </row>
    <row r="821" spans="11:19" x14ac:dyDescent="0.3">
      <c r="K821" s="16">
        <f t="shared" si="12"/>
        <v>44050</v>
      </c>
      <c r="L821" s="17">
        <v>0.125</v>
      </c>
      <c r="M821" s="14">
        <v>602</v>
      </c>
      <c r="N821" s="14">
        <v>849</v>
      </c>
      <c r="O821" s="14">
        <v>0</v>
      </c>
      <c r="P821" s="14">
        <v>1451</v>
      </c>
      <c r="Q821">
        <v>7090</v>
      </c>
      <c r="R821">
        <v>439</v>
      </c>
      <c r="S821">
        <v>0</v>
      </c>
    </row>
    <row r="822" spans="11:19" x14ac:dyDescent="0.3">
      <c r="K822" s="16">
        <f t="shared" si="12"/>
        <v>44050</v>
      </c>
      <c r="L822" s="17">
        <v>0.16666666666666666</v>
      </c>
      <c r="M822" s="14">
        <v>602</v>
      </c>
      <c r="N822" s="14">
        <v>0</v>
      </c>
      <c r="O822" s="14">
        <v>0</v>
      </c>
      <c r="P822" s="14">
        <v>602</v>
      </c>
      <c r="Q822">
        <v>7032</v>
      </c>
      <c r="R822">
        <v>505</v>
      </c>
      <c r="S822">
        <v>0</v>
      </c>
    </row>
    <row r="823" spans="11:19" x14ac:dyDescent="0.3">
      <c r="K823" s="16">
        <f t="shared" si="12"/>
        <v>44050</v>
      </c>
      <c r="L823" s="17">
        <v>0.20833333333333334</v>
      </c>
      <c r="M823" s="14">
        <v>602</v>
      </c>
      <c r="N823" s="14">
        <v>0</v>
      </c>
      <c r="O823" s="14">
        <v>0</v>
      </c>
      <c r="P823" s="14">
        <v>602</v>
      </c>
      <c r="Q823">
        <v>7269</v>
      </c>
      <c r="R823">
        <v>501</v>
      </c>
      <c r="S823">
        <v>0</v>
      </c>
    </row>
    <row r="824" spans="11:19" x14ac:dyDescent="0.3">
      <c r="K824" s="16">
        <f t="shared" si="12"/>
        <v>44050</v>
      </c>
      <c r="L824" s="17">
        <v>0.25</v>
      </c>
      <c r="M824" s="14">
        <v>602</v>
      </c>
      <c r="N824" s="14">
        <v>0</v>
      </c>
      <c r="O824" s="14">
        <v>0</v>
      </c>
      <c r="P824" s="14">
        <v>602</v>
      </c>
      <c r="Q824">
        <v>7653</v>
      </c>
      <c r="R824">
        <v>456</v>
      </c>
      <c r="S824">
        <v>17</v>
      </c>
    </row>
    <row r="825" spans="11:19" x14ac:dyDescent="0.3">
      <c r="K825" s="16">
        <f t="shared" si="12"/>
        <v>44050</v>
      </c>
      <c r="L825" s="17">
        <v>0.29166666666666669</v>
      </c>
      <c r="M825" s="14">
        <v>602</v>
      </c>
      <c r="N825" s="14">
        <v>0</v>
      </c>
      <c r="O825" s="14">
        <v>0</v>
      </c>
      <c r="P825" s="14">
        <v>602</v>
      </c>
      <c r="Q825">
        <v>8339</v>
      </c>
      <c r="R825">
        <v>424</v>
      </c>
      <c r="S825">
        <v>209</v>
      </c>
    </row>
    <row r="826" spans="11:19" x14ac:dyDescent="0.3">
      <c r="K826" s="16">
        <f t="shared" si="12"/>
        <v>44050</v>
      </c>
      <c r="L826" s="17">
        <v>0.33333333333333331</v>
      </c>
      <c r="M826" s="14">
        <v>602</v>
      </c>
      <c r="N826" s="14">
        <v>0</v>
      </c>
      <c r="O826" s="14">
        <v>0</v>
      </c>
      <c r="P826" s="14">
        <v>602</v>
      </c>
      <c r="Q826">
        <v>9006</v>
      </c>
      <c r="R826">
        <v>430</v>
      </c>
      <c r="S826">
        <v>681</v>
      </c>
    </row>
    <row r="827" spans="11:19" x14ac:dyDescent="0.3">
      <c r="K827" s="16">
        <f t="shared" si="12"/>
        <v>44050</v>
      </c>
      <c r="L827" s="17">
        <v>0.375</v>
      </c>
      <c r="M827" s="14">
        <v>602</v>
      </c>
      <c r="N827" s="14">
        <v>0</v>
      </c>
      <c r="O827" s="14">
        <v>0</v>
      </c>
      <c r="P827" s="14">
        <v>602</v>
      </c>
      <c r="Q827">
        <v>9572</v>
      </c>
      <c r="R827">
        <v>536</v>
      </c>
      <c r="S827">
        <v>1335</v>
      </c>
    </row>
    <row r="828" spans="11:19" x14ac:dyDescent="0.3">
      <c r="K828" s="16">
        <f t="shared" si="12"/>
        <v>44050</v>
      </c>
      <c r="L828" s="17">
        <v>0.41666666666666669</v>
      </c>
      <c r="M828" s="14">
        <v>602</v>
      </c>
      <c r="N828" s="14">
        <v>0</v>
      </c>
      <c r="O828" s="14">
        <v>0</v>
      </c>
      <c r="P828" s="14">
        <v>602</v>
      </c>
      <c r="Q828">
        <v>9943</v>
      </c>
      <c r="R828">
        <v>701</v>
      </c>
      <c r="S828">
        <v>1915</v>
      </c>
    </row>
    <row r="829" spans="11:19" x14ac:dyDescent="0.3">
      <c r="K829" s="16">
        <f t="shared" si="12"/>
        <v>44050</v>
      </c>
      <c r="L829" s="17">
        <v>0.45833333333333331</v>
      </c>
      <c r="M829" s="14">
        <v>602</v>
      </c>
      <c r="N829" s="14">
        <v>0</v>
      </c>
      <c r="O829" s="14">
        <v>0</v>
      </c>
      <c r="P829" s="14">
        <v>602</v>
      </c>
      <c r="Q829">
        <v>10208</v>
      </c>
      <c r="R829">
        <v>786</v>
      </c>
      <c r="S829">
        <v>2376</v>
      </c>
    </row>
    <row r="830" spans="11:19" x14ac:dyDescent="0.3">
      <c r="K830" s="16">
        <f t="shared" si="12"/>
        <v>44050</v>
      </c>
      <c r="L830" s="17">
        <v>0.5</v>
      </c>
      <c r="M830" s="14">
        <v>602</v>
      </c>
      <c r="N830" s="14">
        <v>979</v>
      </c>
      <c r="O830" s="14">
        <v>0</v>
      </c>
      <c r="P830" s="14">
        <v>1581</v>
      </c>
      <c r="Q830">
        <v>10364</v>
      </c>
      <c r="R830">
        <v>814</v>
      </c>
      <c r="S830">
        <v>2608</v>
      </c>
    </row>
    <row r="831" spans="11:19" x14ac:dyDescent="0.3">
      <c r="K831" s="16">
        <f t="shared" si="12"/>
        <v>44050</v>
      </c>
      <c r="L831" s="17">
        <v>0.54166666666666663</v>
      </c>
      <c r="M831" s="14">
        <v>602</v>
      </c>
      <c r="N831" s="14">
        <v>0</v>
      </c>
      <c r="O831" s="14">
        <v>0</v>
      </c>
      <c r="P831" s="14">
        <v>602</v>
      </c>
      <c r="Q831">
        <v>10265</v>
      </c>
      <c r="R831">
        <v>752</v>
      </c>
      <c r="S831">
        <v>2774</v>
      </c>
    </row>
    <row r="832" spans="11:19" x14ac:dyDescent="0.3">
      <c r="K832" s="16">
        <f t="shared" si="12"/>
        <v>44050</v>
      </c>
      <c r="L832" s="17">
        <v>0.58333333333333337</v>
      </c>
      <c r="M832" s="14">
        <v>602</v>
      </c>
      <c r="N832" s="14">
        <v>0</v>
      </c>
      <c r="O832" s="14">
        <v>0</v>
      </c>
      <c r="P832" s="14">
        <v>602</v>
      </c>
      <c r="Q832">
        <v>10349</v>
      </c>
      <c r="R832">
        <v>750</v>
      </c>
      <c r="S832">
        <v>2765</v>
      </c>
    </row>
    <row r="833" spans="11:19" x14ac:dyDescent="0.3">
      <c r="K833" s="16">
        <f t="shared" si="12"/>
        <v>44050</v>
      </c>
      <c r="L833" s="17">
        <v>0.625</v>
      </c>
      <c r="M833" s="14">
        <v>602</v>
      </c>
      <c r="N833" s="14">
        <v>806</v>
      </c>
      <c r="O833" s="14">
        <v>0</v>
      </c>
      <c r="P833" s="14">
        <v>1408</v>
      </c>
      <c r="Q833">
        <v>10172</v>
      </c>
      <c r="R833">
        <v>808</v>
      </c>
      <c r="S833">
        <v>2600</v>
      </c>
    </row>
    <row r="834" spans="11:19" x14ac:dyDescent="0.3">
      <c r="K834" s="16">
        <f t="shared" si="12"/>
        <v>44050</v>
      </c>
      <c r="L834" s="17">
        <v>0.66666666666666663</v>
      </c>
      <c r="M834" s="14">
        <v>602</v>
      </c>
      <c r="N834" s="14">
        <v>0</v>
      </c>
      <c r="O834" s="14">
        <v>0</v>
      </c>
      <c r="P834" s="14">
        <v>602</v>
      </c>
      <c r="Q834">
        <v>9959</v>
      </c>
      <c r="R834">
        <v>823</v>
      </c>
      <c r="S834">
        <v>2326</v>
      </c>
    </row>
    <row r="835" spans="11:19" x14ac:dyDescent="0.3">
      <c r="K835" s="16">
        <f t="shared" si="12"/>
        <v>44050</v>
      </c>
      <c r="L835" s="17">
        <v>0.70833333333333337</v>
      </c>
      <c r="M835" s="14">
        <v>602</v>
      </c>
      <c r="N835" s="14">
        <v>0</v>
      </c>
      <c r="O835" s="14">
        <v>0</v>
      </c>
      <c r="P835" s="14">
        <v>602</v>
      </c>
      <c r="Q835">
        <v>9826</v>
      </c>
      <c r="R835">
        <v>688</v>
      </c>
      <c r="S835">
        <v>1910</v>
      </c>
    </row>
    <row r="836" spans="11:19" x14ac:dyDescent="0.3">
      <c r="K836" s="16">
        <f t="shared" si="12"/>
        <v>44050</v>
      </c>
      <c r="L836" s="17">
        <v>0.75</v>
      </c>
      <c r="M836" s="14">
        <v>602</v>
      </c>
      <c r="N836" s="14">
        <v>0</v>
      </c>
      <c r="O836" s="14">
        <v>0</v>
      </c>
      <c r="P836" s="14">
        <v>602</v>
      </c>
      <c r="Q836">
        <v>9648</v>
      </c>
      <c r="R836">
        <v>855</v>
      </c>
      <c r="S836">
        <v>1304</v>
      </c>
    </row>
    <row r="837" spans="11:19" x14ac:dyDescent="0.3">
      <c r="K837" s="16">
        <f t="shared" si="12"/>
        <v>44050</v>
      </c>
      <c r="L837" s="17">
        <v>0.79166666666666663</v>
      </c>
      <c r="M837" s="14">
        <v>602</v>
      </c>
      <c r="N837" s="14">
        <v>0</v>
      </c>
      <c r="O837" s="14">
        <v>0</v>
      </c>
      <c r="P837" s="14">
        <v>602</v>
      </c>
      <c r="Q837">
        <v>9276</v>
      </c>
      <c r="R837">
        <v>864</v>
      </c>
      <c r="S837">
        <v>690</v>
      </c>
    </row>
    <row r="838" spans="11:19" x14ac:dyDescent="0.3">
      <c r="K838" s="16">
        <f t="shared" si="12"/>
        <v>44050</v>
      </c>
      <c r="L838" s="17">
        <v>0.83333333333333337</v>
      </c>
      <c r="M838" s="14">
        <v>602</v>
      </c>
      <c r="N838" s="14">
        <v>1519</v>
      </c>
      <c r="O838" s="14">
        <v>0</v>
      </c>
      <c r="P838" s="14">
        <v>2121</v>
      </c>
      <c r="Q838">
        <v>8753</v>
      </c>
      <c r="R838">
        <v>953</v>
      </c>
      <c r="S838">
        <v>211</v>
      </c>
    </row>
    <row r="839" spans="11:19" x14ac:dyDescent="0.3">
      <c r="K839" s="16">
        <f t="shared" si="12"/>
        <v>44050</v>
      </c>
      <c r="L839" s="17">
        <v>0.875</v>
      </c>
      <c r="M839" s="14">
        <v>602</v>
      </c>
      <c r="N839" s="14">
        <v>0</v>
      </c>
      <c r="O839" s="14">
        <v>0</v>
      </c>
      <c r="P839" s="14">
        <v>602</v>
      </c>
      <c r="Q839">
        <v>8677</v>
      </c>
      <c r="R839">
        <v>954</v>
      </c>
      <c r="S839">
        <v>23</v>
      </c>
    </row>
    <row r="840" spans="11:19" x14ac:dyDescent="0.3">
      <c r="K840" s="16">
        <f t="shared" si="12"/>
        <v>44050</v>
      </c>
      <c r="L840" s="17">
        <v>0.91666666666666663</v>
      </c>
      <c r="M840" s="14">
        <v>602</v>
      </c>
      <c r="N840" s="14">
        <v>0</v>
      </c>
      <c r="O840" s="14">
        <v>0</v>
      </c>
      <c r="P840" s="14">
        <v>602</v>
      </c>
      <c r="Q840">
        <v>9090</v>
      </c>
      <c r="R840">
        <v>765</v>
      </c>
      <c r="S840">
        <v>0</v>
      </c>
    </row>
    <row r="841" spans="11:19" x14ac:dyDescent="0.3">
      <c r="K841" s="16">
        <f t="shared" si="12"/>
        <v>44050</v>
      </c>
      <c r="L841" s="17">
        <v>0.95833333333333337</v>
      </c>
      <c r="M841" s="14">
        <v>602</v>
      </c>
      <c r="N841" s="14">
        <v>1519</v>
      </c>
      <c r="O841" s="14">
        <v>0</v>
      </c>
      <c r="P841" s="14">
        <v>2121</v>
      </c>
      <c r="Q841">
        <v>8888</v>
      </c>
      <c r="R841">
        <v>773</v>
      </c>
      <c r="S841">
        <v>0</v>
      </c>
    </row>
    <row r="842" spans="11:19" x14ac:dyDescent="0.3">
      <c r="K842" s="16">
        <f t="shared" si="12"/>
        <v>44051</v>
      </c>
      <c r="L842" s="17">
        <v>0</v>
      </c>
      <c r="M842" s="14">
        <v>602</v>
      </c>
      <c r="N842" s="14">
        <v>1171</v>
      </c>
      <c r="O842" s="14">
        <v>0</v>
      </c>
      <c r="P842" s="14">
        <v>1773</v>
      </c>
      <c r="Q842">
        <v>7983</v>
      </c>
      <c r="R842">
        <v>620</v>
      </c>
      <c r="S842">
        <v>0</v>
      </c>
    </row>
    <row r="843" spans="11:19" x14ac:dyDescent="0.3">
      <c r="K843" s="16">
        <f t="shared" si="12"/>
        <v>44051</v>
      </c>
      <c r="L843" s="17">
        <v>4.1666666666666664E-2</v>
      </c>
      <c r="M843" s="14">
        <v>602</v>
      </c>
      <c r="N843" s="14">
        <v>0</v>
      </c>
      <c r="O843" s="14">
        <v>0</v>
      </c>
      <c r="P843" s="14">
        <v>602</v>
      </c>
      <c r="Q843">
        <v>7529</v>
      </c>
      <c r="R843">
        <v>460</v>
      </c>
      <c r="S843">
        <v>0</v>
      </c>
    </row>
    <row r="844" spans="11:19" x14ac:dyDescent="0.3">
      <c r="K844" s="16">
        <f t="shared" si="12"/>
        <v>44051</v>
      </c>
      <c r="L844" s="17">
        <v>8.3333333333333329E-2</v>
      </c>
      <c r="M844" s="14">
        <v>602</v>
      </c>
      <c r="N844" s="14">
        <v>927</v>
      </c>
      <c r="O844" s="14">
        <v>0</v>
      </c>
      <c r="P844" s="14">
        <v>1529</v>
      </c>
      <c r="Q844">
        <v>7189</v>
      </c>
      <c r="R844">
        <v>383</v>
      </c>
      <c r="S844">
        <v>0</v>
      </c>
    </row>
    <row r="845" spans="11:19" x14ac:dyDescent="0.3">
      <c r="K845" s="16">
        <f t="shared" si="12"/>
        <v>44051</v>
      </c>
      <c r="L845" s="17">
        <v>0.125</v>
      </c>
      <c r="M845" s="14">
        <v>602</v>
      </c>
      <c r="N845" s="14">
        <v>583</v>
      </c>
      <c r="O845" s="14">
        <v>0</v>
      </c>
      <c r="P845" s="14">
        <v>1185</v>
      </c>
      <c r="Q845">
        <v>6818</v>
      </c>
      <c r="R845">
        <v>354</v>
      </c>
      <c r="S845">
        <v>0</v>
      </c>
    </row>
    <row r="846" spans="11:19" x14ac:dyDescent="0.3">
      <c r="K846" s="16">
        <f t="shared" si="12"/>
        <v>44051</v>
      </c>
      <c r="L846" s="17">
        <v>0.16666666666666666</v>
      </c>
      <c r="M846" s="14">
        <v>602</v>
      </c>
      <c r="N846" s="14">
        <v>0</v>
      </c>
      <c r="O846" s="14">
        <v>0</v>
      </c>
      <c r="P846" s="14">
        <v>602</v>
      </c>
      <c r="Q846">
        <v>6657</v>
      </c>
      <c r="R846">
        <v>298</v>
      </c>
      <c r="S846">
        <v>0</v>
      </c>
    </row>
    <row r="847" spans="11:19" x14ac:dyDescent="0.3">
      <c r="K847" s="16">
        <f t="shared" si="12"/>
        <v>44051</v>
      </c>
      <c r="L847" s="17">
        <v>0.20833333333333334</v>
      </c>
      <c r="M847" s="14">
        <v>602</v>
      </c>
      <c r="N847" s="14">
        <v>0</v>
      </c>
      <c r="O847" s="14">
        <v>0</v>
      </c>
      <c r="P847" s="14">
        <v>602</v>
      </c>
      <c r="Q847">
        <v>6668</v>
      </c>
      <c r="R847">
        <v>236</v>
      </c>
      <c r="S847">
        <v>0</v>
      </c>
    </row>
    <row r="848" spans="11:19" x14ac:dyDescent="0.3">
      <c r="K848" s="16">
        <f t="shared" si="12"/>
        <v>44051</v>
      </c>
      <c r="L848" s="17">
        <v>0.25</v>
      </c>
      <c r="M848" s="14">
        <v>602</v>
      </c>
      <c r="N848" s="14">
        <v>0</v>
      </c>
      <c r="O848" s="14">
        <v>0</v>
      </c>
      <c r="P848" s="14">
        <v>602</v>
      </c>
      <c r="Q848">
        <v>6685</v>
      </c>
      <c r="R848">
        <v>246</v>
      </c>
      <c r="S848">
        <v>16</v>
      </c>
    </row>
    <row r="849" spans="11:19" x14ac:dyDescent="0.3">
      <c r="K849" s="16">
        <f t="shared" si="12"/>
        <v>44051</v>
      </c>
      <c r="L849" s="17">
        <v>0.29166666666666669</v>
      </c>
      <c r="M849" s="14">
        <v>602</v>
      </c>
      <c r="N849" s="14">
        <v>696</v>
      </c>
      <c r="O849" s="14">
        <v>0</v>
      </c>
      <c r="P849" s="14">
        <v>1298</v>
      </c>
      <c r="Q849">
        <v>7000</v>
      </c>
      <c r="R849">
        <v>240</v>
      </c>
      <c r="S849">
        <v>202</v>
      </c>
    </row>
    <row r="850" spans="11:19" x14ac:dyDescent="0.3">
      <c r="K850" s="16">
        <f t="shared" si="12"/>
        <v>44051</v>
      </c>
      <c r="L850" s="17">
        <v>0.33333333333333331</v>
      </c>
      <c r="M850" s="14">
        <v>602</v>
      </c>
      <c r="N850" s="14">
        <v>783</v>
      </c>
      <c r="O850" s="14">
        <v>0</v>
      </c>
      <c r="P850" s="14">
        <v>1385</v>
      </c>
      <c r="Q850">
        <v>7550</v>
      </c>
      <c r="R850">
        <v>218</v>
      </c>
      <c r="S850">
        <v>674</v>
      </c>
    </row>
    <row r="851" spans="11:19" x14ac:dyDescent="0.3">
      <c r="K851" s="16">
        <f t="shared" si="12"/>
        <v>44051</v>
      </c>
      <c r="L851" s="17">
        <v>0.375</v>
      </c>
      <c r="M851" s="14">
        <v>602</v>
      </c>
      <c r="N851" s="14">
        <v>772</v>
      </c>
      <c r="O851" s="14">
        <v>0</v>
      </c>
      <c r="P851" s="14">
        <v>1374</v>
      </c>
      <c r="Q851">
        <v>8227</v>
      </c>
      <c r="R851">
        <v>259</v>
      </c>
      <c r="S851">
        <v>1318</v>
      </c>
    </row>
    <row r="852" spans="11:19" x14ac:dyDescent="0.3">
      <c r="K852" s="16">
        <f t="shared" si="12"/>
        <v>44051</v>
      </c>
      <c r="L852" s="17">
        <v>0.41666666666666669</v>
      </c>
      <c r="M852" s="14">
        <v>602</v>
      </c>
      <c r="N852" s="14">
        <v>605</v>
      </c>
      <c r="O852" s="14">
        <v>0</v>
      </c>
      <c r="P852" s="14">
        <v>1207</v>
      </c>
      <c r="Q852">
        <v>8656</v>
      </c>
      <c r="R852">
        <v>272</v>
      </c>
      <c r="S852">
        <v>1903</v>
      </c>
    </row>
    <row r="853" spans="11:19" x14ac:dyDescent="0.3">
      <c r="K853" s="16">
        <f t="shared" si="12"/>
        <v>44051</v>
      </c>
      <c r="L853" s="17">
        <v>0.45833333333333331</v>
      </c>
      <c r="M853" s="14">
        <v>602</v>
      </c>
      <c r="N853" s="14">
        <v>0</v>
      </c>
      <c r="O853" s="14">
        <v>0</v>
      </c>
      <c r="P853" s="14">
        <v>602</v>
      </c>
      <c r="Q853">
        <v>8961</v>
      </c>
      <c r="R853">
        <v>276</v>
      </c>
      <c r="S853">
        <v>2366</v>
      </c>
    </row>
    <row r="854" spans="11:19" x14ac:dyDescent="0.3">
      <c r="K854" s="16">
        <f t="shared" si="12"/>
        <v>44051</v>
      </c>
      <c r="L854" s="17">
        <v>0.5</v>
      </c>
      <c r="M854" s="14">
        <v>602</v>
      </c>
      <c r="N854" s="14">
        <v>0</v>
      </c>
      <c r="O854" s="14">
        <v>0</v>
      </c>
      <c r="P854" s="14">
        <v>602</v>
      </c>
      <c r="Q854">
        <v>9327</v>
      </c>
      <c r="R854">
        <v>249</v>
      </c>
      <c r="S854">
        <v>2599</v>
      </c>
    </row>
    <row r="855" spans="11:19" x14ac:dyDescent="0.3">
      <c r="K855" s="16">
        <f t="shared" si="12"/>
        <v>44051</v>
      </c>
      <c r="L855" s="17">
        <v>0.54166666666666663</v>
      </c>
      <c r="M855" s="14">
        <v>602</v>
      </c>
      <c r="N855" s="14">
        <v>318</v>
      </c>
      <c r="O855" s="14">
        <v>0</v>
      </c>
      <c r="P855" s="14">
        <v>920</v>
      </c>
      <c r="Q855">
        <v>9164</v>
      </c>
      <c r="R855">
        <v>237</v>
      </c>
      <c r="S855">
        <v>2742</v>
      </c>
    </row>
    <row r="856" spans="11:19" x14ac:dyDescent="0.3">
      <c r="K856" s="16">
        <f t="shared" si="12"/>
        <v>44051</v>
      </c>
      <c r="L856" s="17">
        <v>0.58333333333333337</v>
      </c>
      <c r="M856" s="14">
        <v>602</v>
      </c>
      <c r="N856" s="14">
        <v>0</v>
      </c>
      <c r="O856" s="14">
        <v>0</v>
      </c>
      <c r="P856" s="14">
        <v>602</v>
      </c>
      <c r="Q856">
        <v>9222</v>
      </c>
      <c r="R856">
        <v>225</v>
      </c>
      <c r="S856">
        <v>2698</v>
      </c>
    </row>
    <row r="857" spans="11:19" x14ac:dyDescent="0.3">
      <c r="K857" s="16">
        <f t="shared" si="12"/>
        <v>44051</v>
      </c>
      <c r="L857" s="17">
        <v>0.625</v>
      </c>
      <c r="M857" s="14">
        <v>602</v>
      </c>
      <c r="N857" s="14">
        <v>328</v>
      </c>
      <c r="O857" s="14">
        <v>0</v>
      </c>
      <c r="P857" s="14">
        <v>930</v>
      </c>
      <c r="Q857">
        <v>9104</v>
      </c>
      <c r="R857">
        <v>285</v>
      </c>
      <c r="S857">
        <v>2548</v>
      </c>
    </row>
    <row r="858" spans="11:19" x14ac:dyDescent="0.3">
      <c r="K858" s="16">
        <f t="shared" si="12"/>
        <v>44051</v>
      </c>
      <c r="L858" s="17">
        <v>0.66666666666666663</v>
      </c>
      <c r="M858" s="14">
        <v>602</v>
      </c>
      <c r="N858" s="14">
        <v>0</v>
      </c>
      <c r="O858" s="14">
        <v>0</v>
      </c>
      <c r="P858" s="14">
        <v>602</v>
      </c>
      <c r="Q858">
        <v>8963</v>
      </c>
      <c r="R858">
        <v>317</v>
      </c>
      <c r="S858">
        <v>2264</v>
      </c>
    </row>
    <row r="859" spans="11:19" x14ac:dyDescent="0.3">
      <c r="K859" s="16">
        <f t="shared" ref="K859:K922" si="13">K835+1</f>
        <v>44051</v>
      </c>
      <c r="L859" s="17">
        <v>0.70833333333333337</v>
      </c>
      <c r="M859" s="14">
        <v>602</v>
      </c>
      <c r="N859" s="14">
        <v>0</v>
      </c>
      <c r="O859" s="14">
        <v>0</v>
      </c>
      <c r="P859" s="14">
        <v>602</v>
      </c>
      <c r="Q859">
        <v>8879</v>
      </c>
      <c r="R859">
        <v>426</v>
      </c>
      <c r="S859">
        <v>1838</v>
      </c>
    </row>
    <row r="860" spans="11:19" x14ac:dyDescent="0.3">
      <c r="K860" s="16">
        <f t="shared" si="13"/>
        <v>44051</v>
      </c>
      <c r="L860" s="17">
        <v>0.75</v>
      </c>
      <c r="M860" s="14">
        <v>602</v>
      </c>
      <c r="N860" s="14">
        <v>0</v>
      </c>
      <c r="O860" s="14">
        <v>0</v>
      </c>
      <c r="P860" s="14">
        <v>602</v>
      </c>
      <c r="Q860">
        <v>8708</v>
      </c>
      <c r="R860">
        <v>459</v>
      </c>
      <c r="S860">
        <v>1249</v>
      </c>
    </row>
    <row r="861" spans="11:19" x14ac:dyDescent="0.3">
      <c r="K861" s="16">
        <f t="shared" si="13"/>
        <v>44051</v>
      </c>
      <c r="L861" s="17">
        <v>0.79166666666666663</v>
      </c>
      <c r="M861" s="14">
        <v>602</v>
      </c>
      <c r="N861" s="14">
        <v>0</v>
      </c>
      <c r="O861" s="14">
        <v>0</v>
      </c>
      <c r="P861" s="14">
        <v>602</v>
      </c>
      <c r="Q861">
        <v>8456</v>
      </c>
      <c r="R861">
        <v>700</v>
      </c>
      <c r="S861">
        <v>646</v>
      </c>
    </row>
    <row r="862" spans="11:19" x14ac:dyDescent="0.3">
      <c r="K862" s="16">
        <f t="shared" si="13"/>
        <v>44051</v>
      </c>
      <c r="L862" s="17">
        <v>0.83333333333333337</v>
      </c>
      <c r="M862" s="14">
        <v>602</v>
      </c>
      <c r="N862" s="14">
        <v>0</v>
      </c>
      <c r="O862" s="14">
        <v>0</v>
      </c>
      <c r="P862" s="14">
        <v>602</v>
      </c>
      <c r="Q862">
        <v>8080</v>
      </c>
      <c r="R862">
        <v>942</v>
      </c>
      <c r="S862">
        <v>195</v>
      </c>
    </row>
    <row r="863" spans="11:19" x14ac:dyDescent="0.3">
      <c r="K863" s="16">
        <f t="shared" si="13"/>
        <v>44051</v>
      </c>
      <c r="L863" s="17">
        <v>0.875</v>
      </c>
      <c r="M863" s="14">
        <v>602</v>
      </c>
      <c r="N863" s="14">
        <v>0</v>
      </c>
      <c r="O863" s="14">
        <v>0</v>
      </c>
      <c r="P863" s="14">
        <v>602</v>
      </c>
      <c r="Q863">
        <v>8166</v>
      </c>
      <c r="R863">
        <v>1064</v>
      </c>
      <c r="S863">
        <v>37</v>
      </c>
    </row>
    <row r="864" spans="11:19" x14ac:dyDescent="0.3">
      <c r="K864" s="16">
        <f t="shared" si="13"/>
        <v>44051</v>
      </c>
      <c r="L864" s="17">
        <v>0.91666666666666663</v>
      </c>
      <c r="M864" s="14">
        <v>602</v>
      </c>
      <c r="N864" s="14">
        <v>1171</v>
      </c>
      <c r="O864" s="14">
        <v>0</v>
      </c>
      <c r="P864" s="14">
        <v>1773</v>
      </c>
      <c r="Q864">
        <v>8750</v>
      </c>
      <c r="R864">
        <v>1030</v>
      </c>
      <c r="S864">
        <v>0</v>
      </c>
    </row>
    <row r="865" spans="11:19" x14ac:dyDescent="0.3">
      <c r="K865" s="16">
        <f t="shared" si="13"/>
        <v>44051</v>
      </c>
      <c r="L865" s="17">
        <v>0.95833333333333337</v>
      </c>
      <c r="M865" s="14">
        <v>602</v>
      </c>
      <c r="N865" s="14">
        <v>1171</v>
      </c>
      <c r="O865" s="14">
        <v>0</v>
      </c>
      <c r="P865" s="14">
        <v>1773</v>
      </c>
      <c r="Q865">
        <v>8610</v>
      </c>
      <c r="R865">
        <v>1037</v>
      </c>
      <c r="S865">
        <v>0</v>
      </c>
    </row>
    <row r="866" spans="11:19" x14ac:dyDescent="0.3">
      <c r="K866" s="16">
        <f t="shared" si="13"/>
        <v>44052</v>
      </c>
      <c r="L866" s="17">
        <v>0</v>
      </c>
      <c r="M866" s="14">
        <v>602</v>
      </c>
      <c r="N866" s="14">
        <v>731</v>
      </c>
      <c r="O866" s="14">
        <v>113</v>
      </c>
      <c r="P866" s="14">
        <v>1446</v>
      </c>
      <c r="Q866">
        <v>7737</v>
      </c>
      <c r="R866">
        <v>1035</v>
      </c>
      <c r="S866">
        <v>0</v>
      </c>
    </row>
    <row r="867" spans="11:19" x14ac:dyDescent="0.3">
      <c r="K867" s="16">
        <f t="shared" si="13"/>
        <v>44052</v>
      </c>
      <c r="L867" s="17">
        <v>4.1666666666666664E-2</v>
      </c>
      <c r="M867" s="14">
        <v>602</v>
      </c>
      <c r="N867" s="14">
        <v>0</v>
      </c>
      <c r="O867" s="14">
        <v>785</v>
      </c>
      <c r="P867" s="14">
        <v>1387</v>
      </c>
      <c r="Q867">
        <v>7309</v>
      </c>
      <c r="R867">
        <v>806</v>
      </c>
      <c r="S867">
        <v>0</v>
      </c>
    </row>
    <row r="868" spans="11:19" x14ac:dyDescent="0.3">
      <c r="K868" s="16">
        <f t="shared" si="13"/>
        <v>44052</v>
      </c>
      <c r="L868" s="17">
        <v>8.3333333333333329E-2</v>
      </c>
      <c r="M868" s="14">
        <v>602</v>
      </c>
      <c r="N868" s="14">
        <v>0</v>
      </c>
      <c r="O868" s="14">
        <v>606</v>
      </c>
      <c r="P868" s="14">
        <v>1208</v>
      </c>
      <c r="Q868">
        <v>6967</v>
      </c>
      <c r="R868">
        <v>643</v>
      </c>
      <c r="S868">
        <v>0</v>
      </c>
    </row>
    <row r="869" spans="11:19" x14ac:dyDescent="0.3">
      <c r="K869" s="16">
        <f t="shared" si="13"/>
        <v>44052</v>
      </c>
      <c r="L869" s="17">
        <v>0.125</v>
      </c>
      <c r="M869" s="14">
        <v>602</v>
      </c>
      <c r="N869" s="14">
        <v>0</v>
      </c>
      <c r="O869" s="14">
        <v>298</v>
      </c>
      <c r="P869" s="14">
        <v>900</v>
      </c>
      <c r="Q869">
        <v>6594</v>
      </c>
      <c r="R869">
        <v>575</v>
      </c>
      <c r="S869">
        <v>0</v>
      </c>
    </row>
    <row r="870" spans="11:19" x14ac:dyDescent="0.3">
      <c r="K870" s="16">
        <f t="shared" si="13"/>
        <v>44052</v>
      </c>
      <c r="L870" s="17">
        <v>0.16666666666666666</v>
      </c>
      <c r="M870" s="14">
        <v>602</v>
      </c>
      <c r="N870" s="14">
        <v>0</v>
      </c>
      <c r="O870" s="14">
        <v>0</v>
      </c>
      <c r="P870" s="14">
        <v>602</v>
      </c>
      <c r="Q870">
        <v>6435</v>
      </c>
      <c r="R870">
        <v>485</v>
      </c>
      <c r="S870">
        <v>0</v>
      </c>
    </row>
    <row r="871" spans="11:19" x14ac:dyDescent="0.3">
      <c r="K871" s="16">
        <f t="shared" si="13"/>
        <v>44052</v>
      </c>
      <c r="L871" s="17">
        <v>0.20833333333333334</v>
      </c>
      <c r="M871" s="14">
        <v>602</v>
      </c>
      <c r="N871" s="14">
        <v>157</v>
      </c>
      <c r="O871" s="14">
        <v>0</v>
      </c>
      <c r="P871" s="14">
        <v>759</v>
      </c>
      <c r="Q871">
        <v>6358</v>
      </c>
      <c r="R871">
        <v>472</v>
      </c>
      <c r="S871">
        <v>0</v>
      </c>
    </row>
    <row r="872" spans="11:19" x14ac:dyDescent="0.3">
      <c r="K872" s="16">
        <f t="shared" si="13"/>
        <v>44052</v>
      </c>
      <c r="L872" s="17">
        <v>0.25</v>
      </c>
      <c r="M872" s="14">
        <v>602</v>
      </c>
      <c r="N872" s="14">
        <v>26</v>
      </c>
      <c r="O872" s="14">
        <v>0</v>
      </c>
      <c r="P872" s="14">
        <v>628</v>
      </c>
      <c r="Q872">
        <v>6250</v>
      </c>
      <c r="R872">
        <v>457</v>
      </c>
      <c r="S872">
        <v>15</v>
      </c>
    </row>
    <row r="873" spans="11:19" x14ac:dyDescent="0.3">
      <c r="K873" s="16">
        <f t="shared" si="13"/>
        <v>44052</v>
      </c>
      <c r="L873" s="17">
        <v>0.29166666666666669</v>
      </c>
      <c r="M873" s="14">
        <v>602</v>
      </c>
      <c r="N873" s="14">
        <v>0</v>
      </c>
      <c r="O873" s="14">
        <v>-31</v>
      </c>
      <c r="P873" s="14">
        <v>571</v>
      </c>
      <c r="Q873">
        <v>6463</v>
      </c>
      <c r="R873">
        <v>529</v>
      </c>
      <c r="S873">
        <v>183</v>
      </c>
    </row>
    <row r="874" spans="11:19" x14ac:dyDescent="0.3">
      <c r="K874" s="16">
        <f t="shared" si="13"/>
        <v>44052</v>
      </c>
      <c r="L874" s="17">
        <v>0.33333333333333331</v>
      </c>
      <c r="M874" s="14">
        <v>602</v>
      </c>
      <c r="N874" s="14">
        <v>0</v>
      </c>
      <c r="O874" s="14">
        <v>-35</v>
      </c>
      <c r="P874" s="14">
        <v>567</v>
      </c>
      <c r="Q874">
        <v>6938</v>
      </c>
      <c r="R874">
        <v>562</v>
      </c>
      <c r="S874">
        <v>616</v>
      </c>
    </row>
    <row r="875" spans="11:19" x14ac:dyDescent="0.3">
      <c r="K875" s="16">
        <f t="shared" si="13"/>
        <v>44052</v>
      </c>
      <c r="L875" s="17">
        <v>0.375</v>
      </c>
      <c r="M875" s="14">
        <v>602</v>
      </c>
      <c r="N875" s="14">
        <v>0</v>
      </c>
      <c r="O875" s="14">
        <v>-18</v>
      </c>
      <c r="P875" s="14">
        <v>584</v>
      </c>
      <c r="Q875">
        <v>7595</v>
      </c>
      <c r="R875">
        <v>571</v>
      </c>
      <c r="S875">
        <v>1244</v>
      </c>
    </row>
    <row r="876" spans="11:19" x14ac:dyDescent="0.3">
      <c r="K876" s="16">
        <f t="shared" si="13"/>
        <v>44052</v>
      </c>
      <c r="L876" s="17">
        <v>0.41666666666666669</v>
      </c>
      <c r="M876" s="14">
        <v>602</v>
      </c>
      <c r="N876" s="14">
        <v>87</v>
      </c>
      <c r="O876" s="14">
        <v>0</v>
      </c>
      <c r="P876" s="14">
        <v>689</v>
      </c>
      <c r="Q876">
        <v>8114</v>
      </c>
      <c r="R876">
        <v>468</v>
      </c>
      <c r="S876">
        <v>1764</v>
      </c>
    </row>
    <row r="877" spans="11:19" x14ac:dyDescent="0.3">
      <c r="K877" s="16">
        <f t="shared" si="13"/>
        <v>44052</v>
      </c>
      <c r="L877" s="17">
        <v>0.45833333333333331</v>
      </c>
      <c r="M877" s="14">
        <v>602</v>
      </c>
      <c r="N877" s="14">
        <v>0</v>
      </c>
      <c r="O877" s="14">
        <v>-184</v>
      </c>
      <c r="P877" s="14">
        <v>418</v>
      </c>
      <c r="Q877">
        <v>8461</v>
      </c>
      <c r="R877">
        <v>642</v>
      </c>
      <c r="S877">
        <v>2212</v>
      </c>
    </row>
    <row r="878" spans="11:19" x14ac:dyDescent="0.3">
      <c r="K878" s="16">
        <f t="shared" si="13"/>
        <v>44052</v>
      </c>
      <c r="L878" s="17">
        <v>0.5</v>
      </c>
      <c r="M878" s="14">
        <v>602</v>
      </c>
      <c r="N878" s="14">
        <v>0</v>
      </c>
      <c r="O878" s="14">
        <v>-24</v>
      </c>
      <c r="P878" s="14">
        <v>578</v>
      </c>
      <c r="Q878">
        <v>8863</v>
      </c>
      <c r="R878">
        <v>669</v>
      </c>
      <c r="S878">
        <v>2429</v>
      </c>
    </row>
    <row r="879" spans="11:19" x14ac:dyDescent="0.3">
      <c r="K879" s="16">
        <f t="shared" si="13"/>
        <v>44052</v>
      </c>
      <c r="L879" s="17">
        <v>0.54166666666666663</v>
      </c>
      <c r="M879" s="14">
        <v>602</v>
      </c>
      <c r="N879" s="14">
        <v>0</v>
      </c>
      <c r="O879" s="14">
        <v>-496</v>
      </c>
      <c r="P879" s="14">
        <v>106</v>
      </c>
      <c r="Q879">
        <v>8656</v>
      </c>
      <c r="R879">
        <v>790</v>
      </c>
      <c r="S879">
        <v>2576</v>
      </c>
    </row>
    <row r="880" spans="11:19" x14ac:dyDescent="0.3">
      <c r="K880" s="16">
        <f t="shared" si="13"/>
        <v>44052</v>
      </c>
      <c r="L880" s="17">
        <v>0.58333333333333337</v>
      </c>
      <c r="M880" s="14">
        <v>602</v>
      </c>
      <c r="N880" s="14">
        <v>0</v>
      </c>
      <c r="O880" s="14">
        <v>-402</v>
      </c>
      <c r="P880" s="14">
        <v>200</v>
      </c>
      <c r="Q880">
        <v>8636</v>
      </c>
      <c r="R880">
        <v>705</v>
      </c>
      <c r="S880">
        <v>2548</v>
      </c>
    </row>
    <row r="881" spans="11:19" x14ac:dyDescent="0.3">
      <c r="K881" s="16">
        <f t="shared" si="13"/>
        <v>44052</v>
      </c>
      <c r="L881" s="17">
        <v>0.625</v>
      </c>
      <c r="M881" s="14">
        <v>602</v>
      </c>
      <c r="N881" s="14">
        <v>0</v>
      </c>
      <c r="O881" s="14">
        <v>-445</v>
      </c>
      <c r="P881" s="14">
        <v>157</v>
      </c>
      <c r="Q881">
        <v>8497</v>
      </c>
      <c r="R881">
        <v>854</v>
      </c>
      <c r="S881">
        <v>2386</v>
      </c>
    </row>
    <row r="882" spans="11:19" x14ac:dyDescent="0.3">
      <c r="K882" s="16">
        <f t="shared" si="13"/>
        <v>44052</v>
      </c>
      <c r="L882" s="17">
        <v>0.66666666666666663</v>
      </c>
      <c r="M882" s="14">
        <v>602</v>
      </c>
      <c r="N882" s="14">
        <v>0</v>
      </c>
      <c r="O882" s="14">
        <v>-459</v>
      </c>
      <c r="P882" s="14">
        <v>143</v>
      </c>
      <c r="Q882">
        <v>8367</v>
      </c>
      <c r="R882">
        <v>1003</v>
      </c>
      <c r="S882">
        <v>2131</v>
      </c>
    </row>
    <row r="883" spans="11:19" x14ac:dyDescent="0.3">
      <c r="K883" s="16">
        <f t="shared" si="13"/>
        <v>44052</v>
      </c>
      <c r="L883" s="17">
        <v>0.70833333333333337</v>
      </c>
      <c r="M883" s="14">
        <v>602</v>
      </c>
      <c r="N883" s="14">
        <v>0</v>
      </c>
      <c r="O883" s="14">
        <v>-379</v>
      </c>
      <c r="P883" s="14">
        <v>223</v>
      </c>
      <c r="Q883">
        <v>8293</v>
      </c>
      <c r="R883">
        <v>1275</v>
      </c>
      <c r="S883">
        <v>1713</v>
      </c>
    </row>
    <row r="884" spans="11:19" x14ac:dyDescent="0.3">
      <c r="K884" s="16">
        <f t="shared" si="13"/>
        <v>44052</v>
      </c>
      <c r="L884" s="17">
        <v>0.75</v>
      </c>
      <c r="M884" s="14">
        <v>602</v>
      </c>
      <c r="N884" s="14">
        <v>0</v>
      </c>
      <c r="O884" s="14">
        <v>-212</v>
      </c>
      <c r="P884" s="14">
        <v>390</v>
      </c>
      <c r="Q884">
        <v>8167</v>
      </c>
      <c r="R884">
        <v>1575</v>
      </c>
      <c r="S884">
        <v>1127</v>
      </c>
    </row>
    <row r="885" spans="11:19" x14ac:dyDescent="0.3">
      <c r="K885" s="16">
        <f t="shared" si="13"/>
        <v>44052</v>
      </c>
      <c r="L885" s="17">
        <v>0.79166666666666663</v>
      </c>
      <c r="M885" s="14">
        <v>602</v>
      </c>
      <c r="N885" s="14">
        <v>171</v>
      </c>
      <c r="O885" s="14">
        <v>0</v>
      </c>
      <c r="P885" s="14">
        <v>773</v>
      </c>
      <c r="Q885">
        <v>8146</v>
      </c>
      <c r="R885">
        <v>1755</v>
      </c>
      <c r="S885">
        <v>552</v>
      </c>
    </row>
    <row r="886" spans="11:19" x14ac:dyDescent="0.3">
      <c r="K886" s="16">
        <f t="shared" si="13"/>
        <v>44052</v>
      </c>
      <c r="L886" s="17">
        <v>0.83333333333333337</v>
      </c>
      <c r="M886" s="14">
        <v>602</v>
      </c>
      <c r="N886" s="14">
        <v>0</v>
      </c>
      <c r="O886" s="14">
        <v>0</v>
      </c>
      <c r="P886" s="14">
        <v>602</v>
      </c>
      <c r="Q886">
        <v>8012</v>
      </c>
      <c r="R886">
        <v>1925</v>
      </c>
      <c r="S886">
        <v>157</v>
      </c>
    </row>
    <row r="887" spans="11:19" x14ac:dyDescent="0.3">
      <c r="K887" s="16">
        <f t="shared" si="13"/>
        <v>44052</v>
      </c>
      <c r="L887" s="17">
        <v>0.875</v>
      </c>
      <c r="M887" s="14">
        <v>602</v>
      </c>
      <c r="N887" s="14">
        <v>0</v>
      </c>
      <c r="O887" s="14">
        <v>350</v>
      </c>
      <c r="P887" s="14">
        <v>952</v>
      </c>
      <c r="Q887">
        <v>8202</v>
      </c>
      <c r="R887">
        <v>2015</v>
      </c>
      <c r="S887">
        <v>17</v>
      </c>
    </row>
    <row r="888" spans="11:19" x14ac:dyDescent="0.3">
      <c r="K888" s="16">
        <f t="shared" si="13"/>
        <v>44052</v>
      </c>
      <c r="L888" s="17">
        <v>0.91666666666666663</v>
      </c>
      <c r="M888" s="14">
        <v>602</v>
      </c>
      <c r="N888" s="14">
        <v>0</v>
      </c>
      <c r="O888" s="14">
        <v>0</v>
      </c>
      <c r="P888" s="14">
        <v>602</v>
      </c>
      <c r="Q888">
        <v>8751</v>
      </c>
      <c r="R888">
        <v>2269</v>
      </c>
      <c r="S888">
        <v>0</v>
      </c>
    </row>
    <row r="889" spans="11:19" x14ac:dyDescent="0.3">
      <c r="K889" s="16">
        <f t="shared" si="13"/>
        <v>44052</v>
      </c>
      <c r="L889" s="17">
        <v>0.95833333333333337</v>
      </c>
      <c r="M889" s="14">
        <v>602</v>
      </c>
      <c r="N889" s="14">
        <v>0</v>
      </c>
      <c r="O889" s="14">
        <v>0</v>
      </c>
      <c r="P889" s="14">
        <v>602</v>
      </c>
      <c r="Q889">
        <v>8538</v>
      </c>
      <c r="R889">
        <v>2026</v>
      </c>
      <c r="S889">
        <v>0</v>
      </c>
    </row>
    <row r="890" spans="11:19" x14ac:dyDescent="0.3">
      <c r="K890" s="16">
        <f t="shared" si="13"/>
        <v>44053</v>
      </c>
      <c r="L890" s="17">
        <v>0</v>
      </c>
      <c r="M890" s="14">
        <v>602</v>
      </c>
      <c r="N890" s="14">
        <v>0</v>
      </c>
      <c r="O890" s="14">
        <v>-106</v>
      </c>
      <c r="P890" s="14">
        <v>496</v>
      </c>
      <c r="Q890">
        <v>7569</v>
      </c>
      <c r="R890">
        <v>1871</v>
      </c>
      <c r="S890">
        <v>0</v>
      </c>
    </row>
    <row r="891" spans="11:19" x14ac:dyDescent="0.3">
      <c r="K891" s="16">
        <f t="shared" si="13"/>
        <v>44053</v>
      </c>
      <c r="L891" s="17">
        <v>4.1666666666666664E-2</v>
      </c>
      <c r="M891" s="14">
        <v>602</v>
      </c>
      <c r="N891" s="14">
        <v>0</v>
      </c>
      <c r="O891" s="14">
        <v>0</v>
      </c>
      <c r="P891" s="14">
        <v>602</v>
      </c>
      <c r="Q891">
        <v>7207</v>
      </c>
      <c r="R891">
        <v>1384</v>
      </c>
      <c r="S891">
        <v>0</v>
      </c>
    </row>
    <row r="892" spans="11:19" x14ac:dyDescent="0.3">
      <c r="K892" s="16">
        <f t="shared" si="13"/>
        <v>44053</v>
      </c>
      <c r="L892" s="17">
        <v>8.3333333333333329E-2</v>
      </c>
      <c r="M892" s="14">
        <v>602</v>
      </c>
      <c r="N892" s="14">
        <v>0</v>
      </c>
      <c r="O892" s="14">
        <v>-12</v>
      </c>
      <c r="P892" s="14">
        <v>590</v>
      </c>
      <c r="Q892">
        <v>6911</v>
      </c>
      <c r="R892">
        <v>1203</v>
      </c>
      <c r="S892">
        <v>0</v>
      </c>
    </row>
    <row r="893" spans="11:19" x14ac:dyDescent="0.3">
      <c r="K893" s="16">
        <f t="shared" si="13"/>
        <v>44053</v>
      </c>
      <c r="L893" s="17">
        <v>0.125</v>
      </c>
      <c r="M893" s="14">
        <v>602</v>
      </c>
      <c r="N893" s="14">
        <v>0</v>
      </c>
      <c r="O893" s="14">
        <v>-68</v>
      </c>
      <c r="P893" s="14">
        <v>534</v>
      </c>
      <c r="Q893">
        <v>6608</v>
      </c>
      <c r="R893">
        <v>954</v>
      </c>
      <c r="S893">
        <v>0</v>
      </c>
    </row>
    <row r="894" spans="11:19" x14ac:dyDescent="0.3">
      <c r="K894" s="16">
        <f t="shared" si="13"/>
        <v>44053</v>
      </c>
      <c r="L894" s="17">
        <v>0.16666666666666666</v>
      </c>
      <c r="M894" s="14">
        <v>602</v>
      </c>
      <c r="N894" s="14">
        <v>0</v>
      </c>
      <c r="O894" s="14">
        <v>0</v>
      </c>
      <c r="P894" s="14">
        <v>602</v>
      </c>
      <c r="Q894">
        <v>6599</v>
      </c>
      <c r="R894">
        <v>808</v>
      </c>
      <c r="S894">
        <v>0</v>
      </c>
    </row>
    <row r="895" spans="11:19" x14ac:dyDescent="0.3">
      <c r="K895" s="16">
        <f t="shared" si="13"/>
        <v>44053</v>
      </c>
      <c r="L895" s="17">
        <v>0.20833333333333334</v>
      </c>
      <c r="M895" s="14">
        <v>602</v>
      </c>
      <c r="N895" s="14">
        <v>287</v>
      </c>
      <c r="O895" s="14">
        <v>0</v>
      </c>
      <c r="P895" s="14">
        <v>889</v>
      </c>
      <c r="Q895">
        <v>6837</v>
      </c>
      <c r="R895">
        <v>812</v>
      </c>
      <c r="S895">
        <v>0</v>
      </c>
    </row>
    <row r="896" spans="11:19" x14ac:dyDescent="0.3">
      <c r="K896" s="16">
        <f t="shared" si="13"/>
        <v>44053</v>
      </c>
      <c r="L896" s="17">
        <v>0.25</v>
      </c>
      <c r="M896" s="14">
        <v>602</v>
      </c>
      <c r="N896" s="14">
        <v>411</v>
      </c>
      <c r="O896" s="14">
        <v>0</v>
      </c>
      <c r="P896" s="14">
        <v>1013</v>
      </c>
      <c r="Q896">
        <v>7206</v>
      </c>
      <c r="R896">
        <v>763</v>
      </c>
      <c r="S896">
        <v>13</v>
      </c>
    </row>
    <row r="897" spans="11:19" x14ac:dyDescent="0.3">
      <c r="K897" s="16">
        <f t="shared" si="13"/>
        <v>44053</v>
      </c>
      <c r="L897" s="17">
        <v>0.29166666666666669</v>
      </c>
      <c r="M897" s="14">
        <v>602</v>
      </c>
      <c r="N897" s="14">
        <v>0</v>
      </c>
      <c r="O897" s="14">
        <v>0</v>
      </c>
      <c r="P897" s="14">
        <v>602</v>
      </c>
      <c r="Q897">
        <v>7845</v>
      </c>
      <c r="R897">
        <v>915</v>
      </c>
      <c r="S897">
        <v>124</v>
      </c>
    </row>
    <row r="898" spans="11:19" x14ac:dyDescent="0.3">
      <c r="K898" s="16">
        <f t="shared" si="13"/>
        <v>44053</v>
      </c>
      <c r="L898" s="17">
        <v>0.33333333333333331</v>
      </c>
      <c r="M898" s="14">
        <v>602</v>
      </c>
      <c r="N898" s="14">
        <v>0</v>
      </c>
      <c r="O898" s="14">
        <v>0</v>
      </c>
      <c r="P898" s="14">
        <v>602</v>
      </c>
      <c r="Q898">
        <v>8515</v>
      </c>
      <c r="R898">
        <v>835</v>
      </c>
      <c r="S898">
        <v>494</v>
      </c>
    </row>
    <row r="899" spans="11:19" x14ac:dyDescent="0.3">
      <c r="K899" s="16">
        <f t="shared" si="13"/>
        <v>44053</v>
      </c>
      <c r="L899" s="17">
        <v>0.375</v>
      </c>
      <c r="M899" s="14">
        <v>602</v>
      </c>
      <c r="N899" s="14">
        <v>0</v>
      </c>
      <c r="O899" s="14">
        <v>0</v>
      </c>
      <c r="P899" s="14">
        <v>602</v>
      </c>
      <c r="Q899">
        <v>9149</v>
      </c>
      <c r="R899">
        <v>658</v>
      </c>
      <c r="S899">
        <v>981</v>
      </c>
    </row>
    <row r="900" spans="11:19" x14ac:dyDescent="0.3">
      <c r="K900" s="16">
        <f t="shared" si="13"/>
        <v>44053</v>
      </c>
      <c r="L900" s="17">
        <v>0.41666666666666669</v>
      </c>
      <c r="M900" s="14">
        <v>602</v>
      </c>
      <c r="N900" s="14">
        <v>0</v>
      </c>
      <c r="O900" s="14">
        <v>0</v>
      </c>
      <c r="P900" s="14">
        <v>602</v>
      </c>
      <c r="Q900">
        <v>9570</v>
      </c>
      <c r="R900">
        <v>608</v>
      </c>
      <c r="S900">
        <v>1397</v>
      </c>
    </row>
    <row r="901" spans="11:19" x14ac:dyDescent="0.3">
      <c r="K901" s="16">
        <f t="shared" si="13"/>
        <v>44053</v>
      </c>
      <c r="L901" s="17">
        <v>0.45833333333333331</v>
      </c>
      <c r="M901" s="14">
        <v>602</v>
      </c>
      <c r="N901" s="14">
        <v>1325</v>
      </c>
      <c r="O901" s="14">
        <v>0</v>
      </c>
      <c r="P901" s="14">
        <v>1927</v>
      </c>
      <c r="Q901">
        <v>9889</v>
      </c>
      <c r="R901">
        <v>583</v>
      </c>
      <c r="S901">
        <v>1696</v>
      </c>
    </row>
    <row r="902" spans="11:19" x14ac:dyDescent="0.3">
      <c r="K902" s="16">
        <f t="shared" si="13"/>
        <v>44053</v>
      </c>
      <c r="L902" s="17">
        <v>0.5</v>
      </c>
      <c r="M902" s="14">
        <v>602</v>
      </c>
      <c r="N902" s="14">
        <v>1325</v>
      </c>
      <c r="O902" s="14">
        <v>0</v>
      </c>
      <c r="P902" s="14">
        <v>1927</v>
      </c>
      <c r="Q902">
        <v>10155</v>
      </c>
      <c r="R902">
        <v>594</v>
      </c>
      <c r="S902">
        <v>1916</v>
      </c>
    </row>
    <row r="903" spans="11:19" x14ac:dyDescent="0.3">
      <c r="K903" s="16">
        <f t="shared" si="13"/>
        <v>44053</v>
      </c>
      <c r="L903" s="17">
        <v>0.54166666666666663</v>
      </c>
      <c r="M903" s="14">
        <v>602</v>
      </c>
      <c r="N903" s="14">
        <v>0</v>
      </c>
      <c r="O903" s="14">
        <v>0</v>
      </c>
      <c r="P903" s="14">
        <v>602</v>
      </c>
      <c r="Q903">
        <v>10069</v>
      </c>
      <c r="R903">
        <v>552</v>
      </c>
      <c r="S903">
        <v>2027</v>
      </c>
    </row>
    <row r="904" spans="11:19" x14ac:dyDescent="0.3">
      <c r="K904" s="16">
        <f t="shared" si="13"/>
        <v>44053</v>
      </c>
      <c r="L904" s="17">
        <v>0.58333333333333337</v>
      </c>
      <c r="M904" s="14">
        <v>602</v>
      </c>
      <c r="N904" s="14">
        <v>0</v>
      </c>
      <c r="O904" s="14">
        <v>0</v>
      </c>
      <c r="P904" s="14">
        <v>602</v>
      </c>
      <c r="Q904">
        <v>10167</v>
      </c>
      <c r="R904">
        <v>715</v>
      </c>
      <c r="S904">
        <v>2071</v>
      </c>
    </row>
    <row r="905" spans="11:19" x14ac:dyDescent="0.3">
      <c r="K905" s="16">
        <f t="shared" si="13"/>
        <v>44053</v>
      </c>
      <c r="L905" s="17">
        <v>0.625</v>
      </c>
      <c r="M905" s="14">
        <v>602</v>
      </c>
      <c r="N905" s="14">
        <v>1233</v>
      </c>
      <c r="O905" s="14">
        <v>0</v>
      </c>
      <c r="P905" s="14">
        <v>1835</v>
      </c>
      <c r="Q905">
        <v>9999</v>
      </c>
      <c r="R905">
        <v>777</v>
      </c>
      <c r="S905">
        <v>1952</v>
      </c>
    </row>
    <row r="906" spans="11:19" x14ac:dyDescent="0.3">
      <c r="K906" s="16">
        <f t="shared" si="13"/>
        <v>44053</v>
      </c>
      <c r="L906" s="17">
        <v>0.66666666666666663</v>
      </c>
      <c r="M906" s="14">
        <v>602</v>
      </c>
      <c r="N906" s="14">
        <v>0</v>
      </c>
      <c r="O906" s="14">
        <v>0</v>
      </c>
      <c r="P906" s="14">
        <v>602</v>
      </c>
      <c r="Q906">
        <v>9796</v>
      </c>
      <c r="R906">
        <v>816</v>
      </c>
      <c r="S906">
        <v>1772</v>
      </c>
    </row>
    <row r="907" spans="11:19" x14ac:dyDescent="0.3">
      <c r="K907" s="16">
        <f t="shared" si="13"/>
        <v>44053</v>
      </c>
      <c r="L907" s="17">
        <v>0.70833333333333337</v>
      </c>
      <c r="M907" s="14">
        <v>602</v>
      </c>
      <c r="N907" s="14">
        <v>0</v>
      </c>
      <c r="O907" s="14">
        <v>0</v>
      </c>
      <c r="P907" s="14">
        <v>602</v>
      </c>
      <c r="Q907">
        <v>9620</v>
      </c>
      <c r="R907">
        <v>858</v>
      </c>
      <c r="S907">
        <v>1416</v>
      </c>
    </row>
    <row r="908" spans="11:19" x14ac:dyDescent="0.3">
      <c r="K908" s="16">
        <f t="shared" si="13"/>
        <v>44053</v>
      </c>
      <c r="L908" s="17">
        <v>0.75</v>
      </c>
      <c r="M908" s="14">
        <v>602</v>
      </c>
      <c r="N908" s="14">
        <v>0</v>
      </c>
      <c r="O908" s="14">
        <v>150</v>
      </c>
      <c r="P908" s="14">
        <v>752</v>
      </c>
      <c r="Q908">
        <v>9436</v>
      </c>
      <c r="R908">
        <v>880</v>
      </c>
      <c r="S908">
        <v>926</v>
      </c>
    </row>
    <row r="909" spans="11:19" x14ac:dyDescent="0.3">
      <c r="K909" s="16">
        <f t="shared" si="13"/>
        <v>44053</v>
      </c>
      <c r="L909" s="17">
        <v>0.79166666666666663</v>
      </c>
      <c r="M909" s="14">
        <v>602</v>
      </c>
      <c r="N909" s="14">
        <v>1325</v>
      </c>
      <c r="O909" s="14">
        <v>0</v>
      </c>
      <c r="P909" s="14">
        <v>1927</v>
      </c>
      <c r="Q909">
        <v>9186</v>
      </c>
      <c r="R909">
        <v>1105</v>
      </c>
      <c r="S909">
        <v>441</v>
      </c>
    </row>
    <row r="910" spans="11:19" x14ac:dyDescent="0.3">
      <c r="K910" s="16">
        <f t="shared" si="13"/>
        <v>44053</v>
      </c>
      <c r="L910" s="17">
        <v>0.83333333333333337</v>
      </c>
      <c r="M910" s="14">
        <v>602</v>
      </c>
      <c r="N910" s="14">
        <v>1325</v>
      </c>
      <c r="O910" s="14">
        <v>0</v>
      </c>
      <c r="P910" s="14">
        <v>1927</v>
      </c>
      <c r="Q910">
        <v>8602</v>
      </c>
      <c r="R910">
        <v>1163</v>
      </c>
      <c r="S910">
        <v>112</v>
      </c>
    </row>
    <row r="911" spans="11:19" x14ac:dyDescent="0.3">
      <c r="K911" s="16">
        <f t="shared" si="13"/>
        <v>44053</v>
      </c>
      <c r="L911" s="17">
        <v>0.875</v>
      </c>
      <c r="M911" s="14">
        <v>602</v>
      </c>
      <c r="N911" s="14">
        <v>0</v>
      </c>
      <c r="O911" s="14">
        <v>0</v>
      </c>
      <c r="P911" s="14">
        <v>602</v>
      </c>
      <c r="Q911">
        <v>8491</v>
      </c>
      <c r="R911">
        <v>1158</v>
      </c>
      <c r="S911">
        <v>11</v>
      </c>
    </row>
    <row r="912" spans="11:19" x14ac:dyDescent="0.3">
      <c r="K912" s="16">
        <f t="shared" si="13"/>
        <v>44053</v>
      </c>
      <c r="L912" s="17">
        <v>0.91666666666666663</v>
      </c>
      <c r="M912" s="14">
        <v>602</v>
      </c>
      <c r="N912" s="14">
        <v>0</v>
      </c>
      <c r="O912" s="14">
        <v>0</v>
      </c>
      <c r="P912" s="14">
        <v>602</v>
      </c>
      <c r="Q912">
        <v>8872</v>
      </c>
      <c r="R912">
        <v>1118</v>
      </c>
      <c r="S912">
        <v>0</v>
      </c>
    </row>
    <row r="913" spans="11:19" x14ac:dyDescent="0.3">
      <c r="K913" s="16">
        <f t="shared" si="13"/>
        <v>44053</v>
      </c>
      <c r="L913" s="17">
        <v>0.95833333333333337</v>
      </c>
      <c r="M913" s="14">
        <v>602</v>
      </c>
      <c r="N913" s="14">
        <v>1325</v>
      </c>
      <c r="O913" s="14">
        <v>0</v>
      </c>
      <c r="P913" s="14">
        <v>1927</v>
      </c>
      <c r="Q913">
        <v>8647</v>
      </c>
      <c r="R913">
        <v>1008</v>
      </c>
      <c r="S913">
        <v>0</v>
      </c>
    </row>
    <row r="914" spans="11:19" x14ac:dyDescent="0.3">
      <c r="K914" s="16">
        <f t="shared" si="13"/>
        <v>44054</v>
      </c>
      <c r="L914" s="17">
        <v>0</v>
      </c>
      <c r="M914" s="14">
        <v>602</v>
      </c>
      <c r="N914" s="14">
        <v>802</v>
      </c>
      <c r="O914" s="14">
        <v>0</v>
      </c>
      <c r="P914" s="14">
        <v>1404</v>
      </c>
      <c r="Q914">
        <v>7750</v>
      </c>
      <c r="R914">
        <v>983</v>
      </c>
      <c r="S914">
        <v>0</v>
      </c>
    </row>
    <row r="915" spans="11:19" x14ac:dyDescent="0.3">
      <c r="K915" s="16">
        <f t="shared" si="13"/>
        <v>44054</v>
      </c>
      <c r="L915" s="17">
        <v>4.1666666666666664E-2</v>
      </c>
      <c r="M915" s="14">
        <v>602</v>
      </c>
      <c r="N915" s="14">
        <v>0</v>
      </c>
      <c r="O915" s="14">
        <v>0</v>
      </c>
      <c r="P915" s="14">
        <v>602</v>
      </c>
      <c r="Q915">
        <v>7376</v>
      </c>
      <c r="R915">
        <v>793</v>
      </c>
      <c r="S915">
        <v>0</v>
      </c>
    </row>
    <row r="916" spans="11:19" x14ac:dyDescent="0.3">
      <c r="K916" s="16">
        <f t="shared" si="13"/>
        <v>44054</v>
      </c>
      <c r="L916" s="17">
        <v>8.3333333333333329E-2</v>
      </c>
      <c r="M916" s="14">
        <v>602</v>
      </c>
      <c r="N916" s="14">
        <v>635</v>
      </c>
      <c r="O916" s="14">
        <v>0</v>
      </c>
      <c r="P916" s="14">
        <v>1237</v>
      </c>
      <c r="Q916">
        <v>7084</v>
      </c>
      <c r="R916">
        <v>728</v>
      </c>
      <c r="S916">
        <v>0</v>
      </c>
    </row>
    <row r="917" spans="11:19" x14ac:dyDescent="0.3">
      <c r="K917" s="16">
        <f t="shared" si="13"/>
        <v>44054</v>
      </c>
      <c r="L917" s="17">
        <v>0.125</v>
      </c>
      <c r="M917" s="14">
        <v>602</v>
      </c>
      <c r="N917" s="14">
        <v>0</v>
      </c>
      <c r="O917" s="14">
        <v>0</v>
      </c>
      <c r="P917" s="14">
        <v>602</v>
      </c>
      <c r="Q917">
        <v>6761</v>
      </c>
      <c r="R917">
        <v>660</v>
      </c>
      <c r="S917">
        <v>0</v>
      </c>
    </row>
    <row r="918" spans="11:19" x14ac:dyDescent="0.3">
      <c r="K918" s="16">
        <f t="shared" si="13"/>
        <v>44054</v>
      </c>
      <c r="L918" s="17">
        <v>0.16666666666666666</v>
      </c>
      <c r="M918" s="14">
        <v>602</v>
      </c>
      <c r="N918" s="14">
        <v>291</v>
      </c>
      <c r="O918" s="14">
        <v>0</v>
      </c>
      <c r="P918" s="14">
        <v>893</v>
      </c>
      <c r="Q918">
        <v>6712</v>
      </c>
      <c r="R918">
        <v>695</v>
      </c>
      <c r="S918">
        <v>0</v>
      </c>
    </row>
    <row r="919" spans="11:19" x14ac:dyDescent="0.3">
      <c r="K919" s="16">
        <f t="shared" si="13"/>
        <v>44054</v>
      </c>
      <c r="L919" s="17">
        <v>0.20833333333333334</v>
      </c>
      <c r="M919" s="14">
        <v>602</v>
      </c>
      <c r="N919" s="14">
        <v>0</v>
      </c>
      <c r="O919" s="14">
        <v>0</v>
      </c>
      <c r="P919" s="14">
        <v>602</v>
      </c>
      <c r="Q919">
        <v>6913</v>
      </c>
      <c r="R919">
        <v>818</v>
      </c>
      <c r="S919">
        <v>0</v>
      </c>
    </row>
    <row r="920" spans="11:19" x14ac:dyDescent="0.3">
      <c r="K920" s="16">
        <f t="shared" si="13"/>
        <v>44054</v>
      </c>
      <c r="L920" s="17">
        <v>0.25</v>
      </c>
      <c r="M920" s="14">
        <v>602</v>
      </c>
      <c r="N920" s="14">
        <v>638</v>
      </c>
      <c r="O920" s="14">
        <v>0</v>
      </c>
      <c r="P920" s="14">
        <v>1240</v>
      </c>
      <c r="Q920">
        <v>7257</v>
      </c>
      <c r="R920">
        <v>827</v>
      </c>
      <c r="S920">
        <v>11</v>
      </c>
    </row>
    <row r="921" spans="11:19" x14ac:dyDescent="0.3">
      <c r="K921" s="16">
        <f t="shared" si="13"/>
        <v>44054</v>
      </c>
      <c r="L921" s="17">
        <v>0.29166666666666669</v>
      </c>
      <c r="M921" s="14">
        <v>602</v>
      </c>
      <c r="N921" s="14">
        <v>0</v>
      </c>
      <c r="O921" s="14">
        <v>0</v>
      </c>
      <c r="P921" s="14">
        <v>602</v>
      </c>
      <c r="Q921">
        <v>7847</v>
      </c>
      <c r="R921">
        <v>681</v>
      </c>
      <c r="S921">
        <v>168</v>
      </c>
    </row>
    <row r="922" spans="11:19" x14ac:dyDescent="0.3">
      <c r="K922" s="16">
        <f t="shared" si="13"/>
        <v>44054</v>
      </c>
      <c r="L922" s="17">
        <v>0.33333333333333331</v>
      </c>
      <c r="M922" s="14">
        <v>602</v>
      </c>
      <c r="N922" s="14">
        <v>1250</v>
      </c>
      <c r="O922" s="14">
        <v>0</v>
      </c>
      <c r="P922" s="14">
        <v>1852</v>
      </c>
      <c r="Q922">
        <v>8466</v>
      </c>
      <c r="R922">
        <v>652</v>
      </c>
      <c r="S922">
        <v>593</v>
      </c>
    </row>
    <row r="923" spans="11:19" x14ac:dyDescent="0.3">
      <c r="K923" s="16">
        <f t="shared" ref="K923:K986" si="14">K899+1</f>
        <v>44054</v>
      </c>
      <c r="L923" s="17">
        <v>0.375</v>
      </c>
      <c r="M923" s="14">
        <v>602</v>
      </c>
      <c r="N923" s="14">
        <v>0</v>
      </c>
      <c r="O923" s="14">
        <v>0</v>
      </c>
      <c r="P923" s="14">
        <v>602</v>
      </c>
      <c r="Q923">
        <v>9028</v>
      </c>
      <c r="R923">
        <v>733</v>
      </c>
      <c r="S923">
        <v>1213</v>
      </c>
    </row>
    <row r="924" spans="11:19" x14ac:dyDescent="0.3">
      <c r="K924" s="16">
        <f t="shared" si="14"/>
        <v>44054</v>
      </c>
      <c r="L924" s="17">
        <v>0.41666666666666669</v>
      </c>
      <c r="M924" s="14">
        <v>602</v>
      </c>
      <c r="N924" s="14">
        <v>0</v>
      </c>
      <c r="O924" s="14">
        <v>0</v>
      </c>
      <c r="P924" s="14">
        <v>602</v>
      </c>
      <c r="Q924">
        <v>9411</v>
      </c>
      <c r="R924">
        <v>564</v>
      </c>
      <c r="S924">
        <v>1774</v>
      </c>
    </row>
    <row r="925" spans="11:19" x14ac:dyDescent="0.3">
      <c r="K925" s="16">
        <f t="shared" si="14"/>
        <v>44054</v>
      </c>
      <c r="L925" s="17">
        <v>0.45833333333333331</v>
      </c>
      <c r="M925" s="14">
        <v>602</v>
      </c>
      <c r="N925" s="14">
        <v>0</v>
      </c>
      <c r="O925" s="14">
        <v>0</v>
      </c>
      <c r="P925" s="14">
        <v>602</v>
      </c>
      <c r="Q925">
        <v>9703</v>
      </c>
      <c r="R925">
        <v>477</v>
      </c>
      <c r="S925">
        <v>2174</v>
      </c>
    </row>
    <row r="926" spans="11:19" x14ac:dyDescent="0.3">
      <c r="K926" s="16">
        <f t="shared" si="14"/>
        <v>44054</v>
      </c>
      <c r="L926" s="17">
        <v>0.5</v>
      </c>
      <c r="M926" s="14">
        <v>602</v>
      </c>
      <c r="N926" s="14">
        <v>0</v>
      </c>
      <c r="O926" s="14">
        <v>0</v>
      </c>
      <c r="P926" s="14">
        <v>602</v>
      </c>
      <c r="Q926">
        <v>9928</v>
      </c>
      <c r="R926">
        <v>562</v>
      </c>
      <c r="S926">
        <v>2399</v>
      </c>
    </row>
    <row r="927" spans="11:19" x14ac:dyDescent="0.3">
      <c r="K927" s="16">
        <f t="shared" si="14"/>
        <v>44054</v>
      </c>
      <c r="L927" s="17">
        <v>0.54166666666666663</v>
      </c>
      <c r="M927" s="14">
        <v>602</v>
      </c>
      <c r="N927" s="14">
        <v>0</v>
      </c>
      <c r="O927" s="14">
        <v>0</v>
      </c>
      <c r="P927" s="14">
        <v>602</v>
      </c>
      <c r="Q927">
        <v>9827</v>
      </c>
      <c r="R927">
        <v>550</v>
      </c>
      <c r="S927">
        <v>2533</v>
      </c>
    </row>
    <row r="928" spans="11:19" x14ac:dyDescent="0.3">
      <c r="K928" s="16">
        <f t="shared" si="14"/>
        <v>44054</v>
      </c>
      <c r="L928" s="17">
        <v>0.58333333333333337</v>
      </c>
      <c r="M928" s="14">
        <v>602</v>
      </c>
      <c r="N928" s="14">
        <v>0</v>
      </c>
      <c r="O928" s="14">
        <v>0</v>
      </c>
      <c r="P928" s="14">
        <v>602</v>
      </c>
      <c r="Q928">
        <v>9931</v>
      </c>
      <c r="R928">
        <v>555</v>
      </c>
      <c r="S928">
        <v>2497</v>
      </c>
    </row>
    <row r="929" spans="11:19" x14ac:dyDescent="0.3">
      <c r="K929" s="16">
        <f t="shared" si="14"/>
        <v>44054</v>
      </c>
      <c r="L929" s="17">
        <v>0.625</v>
      </c>
      <c r="M929" s="14">
        <v>602</v>
      </c>
      <c r="N929" s="14">
        <v>0</v>
      </c>
      <c r="O929" s="14">
        <v>0</v>
      </c>
      <c r="P929" s="14">
        <v>602</v>
      </c>
      <c r="Q929">
        <v>9801</v>
      </c>
      <c r="R929">
        <v>626</v>
      </c>
      <c r="S929">
        <v>2330</v>
      </c>
    </row>
    <row r="930" spans="11:19" x14ac:dyDescent="0.3">
      <c r="K930" s="16">
        <f t="shared" si="14"/>
        <v>44054</v>
      </c>
      <c r="L930" s="17">
        <v>0.66666666666666663</v>
      </c>
      <c r="M930" s="14">
        <v>602</v>
      </c>
      <c r="N930" s="14">
        <v>0</v>
      </c>
      <c r="O930" s="14">
        <v>0</v>
      </c>
      <c r="P930" s="14">
        <v>602</v>
      </c>
      <c r="Q930">
        <v>9645</v>
      </c>
      <c r="R930">
        <v>650</v>
      </c>
      <c r="S930">
        <v>2085</v>
      </c>
    </row>
    <row r="931" spans="11:19" x14ac:dyDescent="0.3">
      <c r="K931" s="16">
        <f t="shared" si="14"/>
        <v>44054</v>
      </c>
      <c r="L931" s="17">
        <v>0.70833333333333337</v>
      </c>
      <c r="M931" s="14">
        <v>602</v>
      </c>
      <c r="N931" s="14">
        <v>1195</v>
      </c>
      <c r="O931" s="14">
        <v>0</v>
      </c>
      <c r="P931" s="14">
        <v>1797</v>
      </c>
      <c r="Q931">
        <v>9522</v>
      </c>
      <c r="R931">
        <v>611</v>
      </c>
      <c r="S931">
        <v>1685</v>
      </c>
    </row>
    <row r="932" spans="11:19" x14ac:dyDescent="0.3">
      <c r="K932" s="16">
        <f t="shared" si="14"/>
        <v>44054</v>
      </c>
      <c r="L932" s="17">
        <v>0.75</v>
      </c>
      <c r="M932" s="14">
        <v>602</v>
      </c>
      <c r="N932" s="14">
        <v>0</v>
      </c>
      <c r="O932" s="14">
        <v>0</v>
      </c>
      <c r="P932" s="14">
        <v>602</v>
      </c>
      <c r="Q932">
        <v>9378</v>
      </c>
      <c r="R932">
        <v>652</v>
      </c>
      <c r="S932">
        <v>1122</v>
      </c>
    </row>
    <row r="933" spans="11:19" x14ac:dyDescent="0.3">
      <c r="K933" s="16">
        <f t="shared" si="14"/>
        <v>44054</v>
      </c>
      <c r="L933" s="17">
        <v>0.79166666666666663</v>
      </c>
      <c r="M933" s="14">
        <v>602</v>
      </c>
      <c r="N933" s="14">
        <v>1365</v>
      </c>
      <c r="O933" s="14">
        <v>0</v>
      </c>
      <c r="P933" s="14">
        <v>1967</v>
      </c>
      <c r="Q933">
        <v>9131</v>
      </c>
      <c r="R933">
        <v>644</v>
      </c>
      <c r="S933">
        <v>539</v>
      </c>
    </row>
    <row r="934" spans="11:19" x14ac:dyDescent="0.3">
      <c r="K934" s="16">
        <f t="shared" si="14"/>
        <v>44054</v>
      </c>
      <c r="L934" s="17">
        <v>0.83333333333333337</v>
      </c>
      <c r="M934" s="14">
        <v>602</v>
      </c>
      <c r="N934" s="14">
        <v>1365</v>
      </c>
      <c r="O934" s="14">
        <v>0</v>
      </c>
      <c r="P934" s="14">
        <v>1967</v>
      </c>
      <c r="Q934">
        <v>8577</v>
      </c>
      <c r="R934">
        <v>666</v>
      </c>
      <c r="S934">
        <v>143</v>
      </c>
    </row>
    <row r="935" spans="11:19" x14ac:dyDescent="0.3">
      <c r="K935" s="16">
        <f t="shared" si="14"/>
        <v>44054</v>
      </c>
      <c r="L935" s="17">
        <v>0.875</v>
      </c>
      <c r="M935" s="14">
        <v>602</v>
      </c>
      <c r="N935" s="14">
        <v>1365</v>
      </c>
      <c r="O935" s="14">
        <v>0</v>
      </c>
      <c r="P935" s="14">
        <v>1967</v>
      </c>
      <c r="Q935">
        <v>8492</v>
      </c>
      <c r="R935">
        <v>599</v>
      </c>
      <c r="S935">
        <v>15</v>
      </c>
    </row>
    <row r="936" spans="11:19" x14ac:dyDescent="0.3">
      <c r="K936" s="16">
        <f t="shared" si="14"/>
        <v>44054</v>
      </c>
      <c r="L936" s="17">
        <v>0.91666666666666663</v>
      </c>
      <c r="M936" s="14">
        <v>602</v>
      </c>
      <c r="N936" s="14">
        <v>0</v>
      </c>
      <c r="O936" s="14">
        <v>0</v>
      </c>
      <c r="P936" s="14">
        <v>602</v>
      </c>
      <c r="Q936">
        <v>8864</v>
      </c>
      <c r="R936">
        <v>588</v>
      </c>
      <c r="S936">
        <v>0</v>
      </c>
    </row>
    <row r="937" spans="11:19" x14ac:dyDescent="0.3">
      <c r="K937" s="16">
        <f t="shared" si="14"/>
        <v>44054</v>
      </c>
      <c r="L937" s="17">
        <v>0.95833333333333337</v>
      </c>
      <c r="M937" s="14">
        <v>602</v>
      </c>
      <c r="N937" s="14">
        <v>0</v>
      </c>
      <c r="O937" s="14">
        <v>0</v>
      </c>
      <c r="P937" s="14">
        <v>602</v>
      </c>
      <c r="Q937">
        <v>8651</v>
      </c>
      <c r="R937">
        <v>463</v>
      </c>
      <c r="S937">
        <v>0</v>
      </c>
    </row>
    <row r="938" spans="11:19" x14ac:dyDescent="0.3">
      <c r="K938" s="16">
        <f t="shared" si="14"/>
        <v>44055</v>
      </c>
      <c r="L938" s="17">
        <v>0</v>
      </c>
      <c r="M938" s="14">
        <v>602</v>
      </c>
      <c r="N938" s="14">
        <v>0</v>
      </c>
      <c r="O938" s="14">
        <v>0</v>
      </c>
      <c r="P938" s="14">
        <v>602</v>
      </c>
      <c r="Q938">
        <v>7750</v>
      </c>
      <c r="R938">
        <v>438</v>
      </c>
      <c r="S938">
        <v>0</v>
      </c>
    </row>
    <row r="939" spans="11:19" x14ac:dyDescent="0.3">
      <c r="K939" s="16">
        <f t="shared" si="14"/>
        <v>44055</v>
      </c>
      <c r="L939" s="17">
        <v>4.1666666666666664E-2</v>
      </c>
      <c r="M939" s="14">
        <v>602</v>
      </c>
      <c r="N939" s="14">
        <v>0</v>
      </c>
      <c r="O939" s="14">
        <v>0</v>
      </c>
      <c r="P939" s="14">
        <v>602</v>
      </c>
      <c r="Q939">
        <v>7373</v>
      </c>
      <c r="R939">
        <v>311</v>
      </c>
      <c r="S939">
        <v>0</v>
      </c>
    </row>
    <row r="940" spans="11:19" x14ac:dyDescent="0.3">
      <c r="K940" s="16">
        <f t="shared" si="14"/>
        <v>44055</v>
      </c>
      <c r="L940" s="17">
        <v>8.3333333333333329E-2</v>
      </c>
      <c r="M940" s="14">
        <v>602</v>
      </c>
      <c r="N940" s="14">
        <v>802</v>
      </c>
      <c r="O940" s="14">
        <v>0</v>
      </c>
      <c r="P940" s="14">
        <v>1404</v>
      </c>
      <c r="Q940">
        <v>7077</v>
      </c>
      <c r="R940">
        <v>233</v>
      </c>
      <c r="S940">
        <v>0</v>
      </c>
    </row>
    <row r="941" spans="11:19" x14ac:dyDescent="0.3">
      <c r="K941" s="16">
        <f t="shared" si="14"/>
        <v>44055</v>
      </c>
      <c r="L941" s="17">
        <v>0.125</v>
      </c>
      <c r="M941" s="14">
        <v>602</v>
      </c>
      <c r="N941" s="14">
        <v>0</v>
      </c>
      <c r="O941" s="14">
        <v>0</v>
      </c>
      <c r="P941" s="14">
        <v>602</v>
      </c>
      <c r="Q941">
        <v>6750</v>
      </c>
      <c r="R941">
        <v>339</v>
      </c>
      <c r="S941">
        <v>0</v>
      </c>
    </row>
    <row r="942" spans="11:19" x14ac:dyDescent="0.3">
      <c r="K942" s="16">
        <f t="shared" si="14"/>
        <v>44055</v>
      </c>
      <c r="L942" s="17">
        <v>0.16666666666666666</v>
      </c>
      <c r="M942" s="14">
        <v>602</v>
      </c>
      <c r="N942" s="14">
        <v>0</v>
      </c>
      <c r="O942" s="14">
        <v>0</v>
      </c>
      <c r="P942" s="14">
        <v>602</v>
      </c>
      <c r="Q942">
        <v>6695</v>
      </c>
      <c r="R942">
        <v>375</v>
      </c>
      <c r="S942">
        <v>0</v>
      </c>
    </row>
    <row r="943" spans="11:19" x14ac:dyDescent="0.3">
      <c r="K943" s="16">
        <f t="shared" si="14"/>
        <v>44055</v>
      </c>
      <c r="L943" s="17">
        <v>0.20833333333333334</v>
      </c>
      <c r="M943" s="14">
        <v>602</v>
      </c>
      <c r="N943" s="14">
        <v>0</v>
      </c>
      <c r="O943" s="14">
        <v>0</v>
      </c>
      <c r="P943" s="14">
        <v>602</v>
      </c>
      <c r="Q943">
        <v>6893</v>
      </c>
      <c r="R943">
        <v>341</v>
      </c>
      <c r="S943">
        <v>0</v>
      </c>
    </row>
    <row r="944" spans="11:19" x14ac:dyDescent="0.3">
      <c r="K944" s="16">
        <f t="shared" si="14"/>
        <v>44055</v>
      </c>
      <c r="L944" s="17">
        <v>0.25</v>
      </c>
      <c r="M944" s="14">
        <v>602</v>
      </c>
      <c r="N944" s="14">
        <v>955</v>
      </c>
      <c r="O944" s="14">
        <v>0</v>
      </c>
      <c r="P944" s="14">
        <v>1557</v>
      </c>
      <c r="Q944">
        <v>7234</v>
      </c>
      <c r="R944">
        <v>327</v>
      </c>
      <c r="S944">
        <v>10</v>
      </c>
    </row>
    <row r="945" spans="11:19" x14ac:dyDescent="0.3">
      <c r="K945" s="16">
        <f t="shared" si="14"/>
        <v>44055</v>
      </c>
      <c r="L945" s="17">
        <v>0.29166666666666669</v>
      </c>
      <c r="M945" s="14">
        <v>602</v>
      </c>
      <c r="N945" s="14">
        <v>1433</v>
      </c>
      <c r="O945" s="14">
        <v>0</v>
      </c>
      <c r="P945" s="14">
        <v>2035</v>
      </c>
      <c r="Q945">
        <v>7815</v>
      </c>
      <c r="R945">
        <v>249</v>
      </c>
      <c r="S945">
        <v>167</v>
      </c>
    </row>
    <row r="946" spans="11:19" x14ac:dyDescent="0.3">
      <c r="K946" s="16">
        <f t="shared" si="14"/>
        <v>44055</v>
      </c>
      <c r="L946" s="17">
        <v>0.33333333333333331</v>
      </c>
      <c r="M946" s="14">
        <v>602</v>
      </c>
      <c r="N946" s="14">
        <v>1536</v>
      </c>
      <c r="O946" s="14">
        <v>0</v>
      </c>
      <c r="P946" s="14">
        <v>2138</v>
      </c>
      <c r="Q946">
        <v>8433</v>
      </c>
      <c r="R946">
        <v>222</v>
      </c>
      <c r="S946">
        <v>608</v>
      </c>
    </row>
    <row r="947" spans="11:19" x14ac:dyDescent="0.3">
      <c r="K947" s="16">
        <f t="shared" si="14"/>
        <v>44055</v>
      </c>
      <c r="L947" s="17">
        <v>0.375</v>
      </c>
      <c r="M947" s="14">
        <v>602</v>
      </c>
      <c r="N947" s="14">
        <v>0</v>
      </c>
      <c r="O947" s="14">
        <v>0</v>
      </c>
      <c r="P947" s="14">
        <v>602</v>
      </c>
      <c r="Q947">
        <v>8991</v>
      </c>
      <c r="R947">
        <v>196</v>
      </c>
      <c r="S947">
        <v>1269</v>
      </c>
    </row>
    <row r="948" spans="11:19" x14ac:dyDescent="0.3">
      <c r="K948" s="16">
        <f t="shared" si="14"/>
        <v>44055</v>
      </c>
      <c r="L948" s="17">
        <v>0.41666666666666669</v>
      </c>
      <c r="M948" s="14">
        <v>602</v>
      </c>
      <c r="N948" s="14">
        <v>0</v>
      </c>
      <c r="O948" s="14">
        <v>0</v>
      </c>
      <c r="P948" s="14">
        <v>602</v>
      </c>
      <c r="Q948">
        <v>9375</v>
      </c>
      <c r="R948">
        <v>192</v>
      </c>
      <c r="S948">
        <v>1867</v>
      </c>
    </row>
    <row r="949" spans="11:19" x14ac:dyDescent="0.3">
      <c r="K949" s="16">
        <f t="shared" si="14"/>
        <v>44055</v>
      </c>
      <c r="L949" s="17">
        <v>0.45833333333333331</v>
      </c>
      <c r="M949" s="14">
        <v>602</v>
      </c>
      <c r="N949" s="14">
        <v>1088</v>
      </c>
      <c r="O949" s="14">
        <v>0</v>
      </c>
      <c r="P949" s="14">
        <v>1690</v>
      </c>
      <c r="Q949">
        <v>9673</v>
      </c>
      <c r="R949">
        <v>205</v>
      </c>
      <c r="S949">
        <v>2333</v>
      </c>
    </row>
    <row r="950" spans="11:19" x14ac:dyDescent="0.3">
      <c r="K950" s="16">
        <f t="shared" si="14"/>
        <v>44055</v>
      </c>
      <c r="L950" s="17">
        <v>0.5</v>
      </c>
      <c r="M950" s="14">
        <v>602</v>
      </c>
      <c r="N950" s="14">
        <v>1089</v>
      </c>
      <c r="O950" s="14">
        <v>0</v>
      </c>
      <c r="P950" s="14">
        <v>1691</v>
      </c>
      <c r="Q950">
        <v>9908</v>
      </c>
      <c r="R950">
        <v>204</v>
      </c>
      <c r="S950">
        <v>2569</v>
      </c>
    </row>
    <row r="951" spans="11:19" x14ac:dyDescent="0.3">
      <c r="K951" s="16">
        <f t="shared" si="14"/>
        <v>44055</v>
      </c>
      <c r="L951" s="17">
        <v>0.54166666666666663</v>
      </c>
      <c r="M951" s="14">
        <v>602</v>
      </c>
      <c r="N951" s="14">
        <v>0</v>
      </c>
      <c r="O951" s="14">
        <v>0</v>
      </c>
      <c r="P951" s="14">
        <v>602</v>
      </c>
      <c r="Q951">
        <v>9818</v>
      </c>
      <c r="R951">
        <v>180</v>
      </c>
      <c r="S951">
        <v>2700</v>
      </c>
    </row>
    <row r="952" spans="11:19" x14ac:dyDescent="0.3">
      <c r="K952" s="16">
        <f t="shared" si="14"/>
        <v>44055</v>
      </c>
      <c r="L952" s="17">
        <v>0.58333333333333337</v>
      </c>
      <c r="M952" s="14">
        <v>602</v>
      </c>
      <c r="N952" s="14">
        <v>0</v>
      </c>
      <c r="O952" s="14">
        <v>0</v>
      </c>
      <c r="P952" s="14">
        <v>602</v>
      </c>
      <c r="Q952">
        <v>9936</v>
      </c>
      <c r="R952">
        <v>185</v>
      </c>
      <c r="S952">
        <v>2656</v>
      </c>
    </row>
    <row r="953" spans="11:19" x14ac:dyDescent="0.3">
      <c r="K953" s="16">
        <f t="shared" si="14"/>
        <v>44055</v>
      </c>
      <c r="L953" s="17">
        <v>0.625</v>
      </c>
      <c r="M953" s="14">
        <v>602</v>
      </c>
      <c r="N953" s="14">
        <v>0</v>
      </c>
      <c r="O953" s="14">
        <v>0</v>
      </c>
      <c r="P953" s="14">
        <v>602</v>
      </c>
      <c r="Q953">
        <v>9821</v>
      </c>
      <c r="R953">
        <v>315</v>
      </c>
      <c r="S953">
        <v>2485</v>
      </c>
    </row>
    <row r="954" spans="11:19" x14ac:dyDescent="0.3">
      <c r="K954" s="16">
        <f t="shared" si="14"/>
        <v>44055</v>
      </c>
      <c r="L954" s="17">
        <v>0.66666666666666663</v>
      </c>
      <c r="M954" s="14">
        <v>602</v>
      </c>
      <c r="N954" s="14">
        <v>1155</v>
      </c>
      <c r="O954" s="14">
        <v>0</v>
      </c>
      <c r="P954" s="14">
        <v>1757</v>
      </c>
      <c r="Q954">
        <v>9679</v>
      </c>
      <c r="R954">
        <v>388</v>
      </c>
      <c r="S954">
        <v>2180</v>
      </c>
    </row>
    <row r="955" spans="11:19" x14ac:dyDescent="0.3">
      <c r="K955" s="16">
        <f t="shared" si="14"/>
        <v>44055</v>
      </c>
      <c r="L955" s="17">
        <v>0.70833333333333337</v>
      </c>
      <c r="M955" s="14">
        <v>602</v>
      </c>
      <c r="N955" s="14">
        <v>0</v>
      </c>
      <c r="O955" s="14">
        <v>0</v>
      </c>
      <c r="P955" s="14">
        <v>602</v>
      </c>
      <c r="Q955">
        <v>9566</v>
      </c>
      <c r="R955">
        <v>452</v>
      </c>
      <c r="S955">
        <v>1759</v>
      </c>
    </row>
    <row r="956" spans="11:19" x14ac:dyDescent="0.3">
      <c r="K956" s="16">
        <f t="shared" si="14"/>
        <v>44055</v>
      </c>
      <c r="L956" s="17">
        <v>0.75</v>
      </c>
      <c r="M956" s="14">
        <v>602</v>
      </c>
      <c r="N956" s="14">
        <v>1536</v>
      </c>
      <c r="O956" s="14">
        <v>0</v>
      </c>
      <c r="P956" s="14">
        <v>2138</v>
      </c>
      <c r="Q956">
        <v>9421</v>
      </c>
      <c r="R956">
        <v>506</v>
      </c>
      <c r="S956">
        <v>1173</v>
      </c>
    </row>
    <row r="957" spans="11:19" x14ac:dyDescent="0.3">
      <c r="K957" s="16">
        <f t="shared" si="14"/>
        <v>44055</v>
      </c>
      <c r="L957" s="17">
        <v>0.79166666666666663</v>
      </c>
      <c r="M957" s="14">
        <v>602</v>
      </c>
      <c r="N957" s="14">
        <v>0</v>
      </c>
      <c r="O957" s="14">
        <v>0</v>
      </c>
      <c r="P957" s="14">
        <v>602</v>
      </c>
      <c r="Q957">
        <v>9171</v>
      </c>
      <c r="R957">
        <v>439</v>
      </c>
      <c r="S957">
        <v>569</v>
      </c>
    </row>
    <row r="958" spans="11:19" x14ac:dyDescent="0.3">
      <c r="K958" s="16">
        <f t="shared" si="14"/>
        <v>44055</v>
      </c>
      <c r="L958" s="17">
        <v>0.83333333333333337</v>
      </c>
      <c r="M958" s="14">
        <v>602</v>
      </c>
      <c r="N958" s="14">
        <v>673</v>
      </c>
      <c r="O958" s="14">
        <v>0</v>
      </c>
      <c r="P958" s="14">
        <v>1275</v>
      </c>
      <c r="Q958">
        <v>8617</v>
      </c>
      <c r="R958">
        <v>568</v>
      </c>
      <c r="S958">
        <v>169</v>
      </c>
    </row>
    <row r="959" spans="11:19" x14ac:dyDescent="0.3">
      <c r="K959" s="16">
        <f t="shared" si="14"/>
        <v>44055</v>
      </c>
      <c r="L959" s="17">
        <v>0.875</v>
      </c>
      <c r="M959" s="14">
        <v>602</v>
      </c>
      <c r="N959" s="14">
        <v>0</v>
      </c>
      <c r="O959" s="14">
        <v>0</v>
      </c>
      <c r="P959" s="14">
        <v>602</v>
      </c>
      <c r="Q959">
        <v>8534</v>
      </c>
      <c r="R959">
        <v>612</v>
      </c>
      <c r="S959">
        <v>21</v>
      </c>
    </row>
    <row r="960" spans="11:19" x14ac:dyDescent="0.3">
      <c r="K960" s="16">
        <f t="shared" si="14"/>
        <v>44055</v>
      </c>
      <c r="L960" s="17">
        <v>0.91666666666666663</v>
      </c>
      <c r="M960" s="14">
        <v>602</v>
      </c>
      <c r="N960" s="14">
        <v>0</v>
      </c>
      <c r="O960" s="14">
        <v>0</v>
      </c>
      <c r="P960" s="14">
        <v>602</v>
      </c>
      <c r="Q960">
        <v>8909</v>
      </c>
      <c r="R960">
        <v>668</v>
      </c>
      <c r="S960">
        <v>0</v>
      </c>
    </row>
    <row r="961" spans="11:19" x14ac:dyDescent="0.3">
      <c r="K961" s="16">
        <f t="shared" si="14"/>
        <v>44055</v>
      </c>
      <c r="L961" s="17">
        <v>0.95833333333333337</v>
      </c>
      <c r="M961" s="14">
        <v>602</v>
      </c>
      <c r="N961" s="14">
        <v>1536</v>
      </c>
      <c r="O961" s="14">
        <v>0</v>
      </c>
      <c r="P961" s="14">
        <v>2138</v>
      </c>
      <c r="Q961">
        <v>8686</v>
      </c>
      <c r="R961">
        <v>635</v>
      </c>
      <c r="S961">
        <v>0</v>
      </c>
    </row>
    <row r="962" spans="11:19" x14ac:dyDescent="0.3">
      <c r="K962" s="16">
        <f t="shared" si="14"/>
        <v>44056</v>
      </c>
      <c r="L962" s="17">
        <v>0</v>
      </c>
      <c r="M962" s="14">
        <v>602</v>
      </c>
      <c r="N962" s="14">
        <v>1311</v>
      </c>
      <c r="O962" s="14">
        <v>0</v>
      </c>
      <c r="P962" s="14">
        <v>1913</v>
      </c>
      <c r="Q962">
        <v>7777</v>
      </c>
      <c r="R962">
        <v>582</v>
      </c>
      <c r="S962">
        <v>0</v>
      </c>
    </row>
    <row r="963" spans="11:19" x14ac:dyDescent="0.3">
      <c r="K963" s="16">
        <f t="shared" si="14"/>
        <v>44056</v>
      </c>
      <c r="L963" s="17">
        <v>4.1666666666666664E-2</v>
      </c>
      <c r="M963" s="14">
        <v>602</v>
      </c>
      <c r="N963" s="14">
        <v>0</v>
      </c>
      <c r="O963" s="14">
        <v>0</v>
      </c>
      <c r="P963" s="14">
        <v>602</v>
      </c>
      <c r="Q963">
        <v>7399</v>
      </c>
      <c r="R963">
        <v>359</v>
      </c>
      <c r="S963">
        <v>0</v>
      </c>
    </row>
    <row r="964" spans="11:19" x14ac:dyDescent="0.3">
      <c r="K964" s="16">
        <f t="shared" si="14"/>
        <v>44056</v>
      </c>
      <c r="L964" s="17">
        <v>8.3333333333333329E-2</v>
      </c>
      <c r="M964" s="14">
        <v>602</v>
      </c>
      <c r="N964" s="14">
        <v>0</v>
      </c>
      <c r="O964" s="14">
        <v>0</v>
      </c>
      <c r="P964" s="14">
        <v>602</v>
      </c>
      <c r="Q964">
        <v>7101</v>
      </c>
      <c r="R964">
        <v>293</v>
      </c>
      <c r="S964">
        <v>0</v>
      </c>
    </row>
    <row r="965" spans="11:19" x14ac:dyDescent="0.3">
      <c r="K965" s="16">
        <f t="shared" si="14"/>
        <v>44056</v>
      </c>
      <c r="L965" s="17">
        <v>0.125</v>
      </c>
      <c r="M965" s="14">
        <v>602</v>
      </c>
      <c r="N965" s="14">
        <v>0</v>
      </c>
      <c r="O965" s="14">
        <v>0</v>
      </c>
      <c r="P965" s="14">
        <v>602</v>
      </c>
      <c r="Q965">
        <v>6774</v>
      </c>
      <c r="R965">
        <v>301</v>
      </c>
      <c r="S965">
        <v>0</v>
      </c>
    </row>
    <row r="966" spans="11:19" x14ac:dyDescent="0.3">
      <c r="K966" s="16">
        <f t="shared" si="14"/>
        <v>44056</v>
      </c>
      <c r="L966" s="17">
        <v>0.16666666666666666</v>
      </c>
      <c r="M966" s="14">
        <v>602</v>
      </c>
      <c r="N966" s="14">
        <v>0</v>
      </c>
      <c r="O966" s="14">
        <v>0</v>
      </c>
      <c r="P966" s="14">
        <v>602</v>
      </c>
      <c r="Q966">
        <v>6718</v>
      </c>
      <c r="R966">
        <v>317</v>
      </c>
      <c r="S966">
        <v>0</v>
      </c>
    </row>
    <row r="967" spans="11:19" x14ac:dyDescent="0.3">
      <c r="K967" s="16">
        <f t="shared" si="14"/>
        <v>44056</v>
      </c>
      <c r="L967" s="17">
        <v>0.20833333333333334</v>
      </c>
      <c r="M967" s="14">
        <v>602</v>
      </c>
      <c r="N967" s="14">
        <v>605</v>
      </c>
      <c r="O967" s="14">
        <v>0</v>
      </c>
      <c r="P967" s="14">
        <v>1207</v>
      </c>
      <c r="Q967">
        <v>6913</v>
      </c>
      <c r="R967">
        <v>329</v>
      </c>
      <c r="S967">
        <v>0</v>
      </c>
    </row>
    <row r="968" spans="11:19" x14ac:dyDescent="0.3">
      <c r="K968" s="16">
        <f t="shared" si="14"/>
        <v>44056</v>
      </c>
      <c r="L968" s="17">
        <v>0.25</v>
      </c>
      <c r="M968" s="14">
        <v>602</v>
      </c>
      <c r="N968" s="14">
        <v>0</v>
      </c>
      <c r="O968" s="14">
        <v>0</v>
      </c>
      <c r="P968" s="14">
        <v>602</v>
      </c>
      <c r="Q968">
        <v>7251</v>
      </c>
      <c r="R968">
        <v>339</v>
      </c>
      <c r="S968">
        <v>8</v>
      </c>
    </row>
    <row r="969" spans="11:19" x14ac:dyDescent="0.3">
      <c r="K969" s="16">
        <f t="shared" si="14"/>
        <v>44056</v>
      </c>
      <c r="L969" s="17">
        <v>0.29166666666666669</v>
      </c>
      <c r="M969" s="14">
        <v>602</v>
      </c>
      <c r="N969" s="14">
        <v>1214</v>
      </c>
      <c r="O969" s="14">
        <v>0</v>
      </c>
      <c r="P969" s="14">
        <v>1816</v>
      </c>
      <c r="Q969">
        <v>7834</v>
      </c>
      <c r="R969">
        <v>428</v>
      </c>
      <c r="S969">
        <v>147</v>
      </c>
    </row>
    <row r="970" spans="11:19" x14ac:dyDescent="0.3">
      <c r="K970" s="16">
        <f t="shared" si="14"/>
        <v>44056</v>
      </c>
      <c r="L970" s="17">
        <v>0.33333333333333331</v>
      </c>
      <c r="M970" s="14">
        <v>602</v>
      </c>
      <c r="N970" s="14">
        <v>0</v>
      </c>
      <c r="O970" s="14">
        <v>0</v>
      </c>
      <c r="P970" s="14">
        <v>602</v>
      </c>
      <c r="Q970">
        <v>8450</v>
      </c>
      <c r="R970">
        <v>378</v>
      </c>
      <c r="S970">
        <v>556</v>
      </c>
    </row>
    <row r="971" spans="11:19" x14ac:dyDescent="0.3">
      <c r="K971" s="16">
        <f t="shared" si="14"/>
        <v>44056</v>
      </c>
      <c r="L971" s="17">
        <v>0.375</v>
      </c>
      <c r="M971" s="14">
        <v>602</v>
      </c>
      <c r="N971" s="14">
        <v>1471</v>
      </c>
      <c r="O971" s="14">
        <v>0</v>
      </c>
      <c r="P971" s="14">
        <v>2073</v>
      </c>
      <c r="Q971">
        <v>9009</v>
      </c>
      <c r="R971">
        <v>389</v>
      </c>
      <c r="S971">
        <v>1156</v>
      </c>
    </row>
    <row r="972" spans="11:19" x14ac:dyDescent="0.3">
      <c r="K972" s="16">
        <f t="shared" si="14"/>
        <v>44056</v>
      </c>
      <c r="L972" s="17">
        <v>0.41666666666666669</v>
      </c>
      <c r="M972" s="14">
        <v>602</v>
      </c>
      <c r="N972" s="14">
        <v>1339</v>
      </c>
      <c r="O972" s="14">
        <v>0</v>
      </c>
      <c r="P972" s="14">
        <v>1941</v>
      </c>
      <c r="Q972">
        <v>9392</v>
      </c>
      <c r="R972">
        <v>335</v>
      </c>
      <c r="S972">
        <v>1752</v>
      </c>
    </row>
    <row r="973" spans="11:19" x14ac:dyDescent="0.3">
      <c r="K973" s="16">
        <f t="shared" si="14"/>
        <v>44056</v>
      </c>
      <c r="L973" s="17">
        <v>0.45833333333333331</v>
      </c>
      <c r="M973" s="14">
        <v>602</v>
      </c>
      <c r="N973" s="14">
        <v>1159</v>
      </c>
      <c r="O973" s="14">
        <v>0</v>
      </c>
      <c r="P973" s="14">
        <v>1761</v>
      </c>
      <c r="Q973">
        <v>9688</v>
      </c>
      <c r="R973">
        <v>352</v>
      </c>
      <c r="S973">
        <v>2211</v>
      </c>
    </row>
    <row r="974" spans="11:19" x14ac:dyDescent="0.3">
      <c r="K974" s="16">
        <f t="shared" si="14"/>
        <v>44056</v>
      </c>
      <c r="L974" s="17">
        <v>0.5</v>
      </c>
      <c r="M974" s="14">
        <v>602</v>
      </c>
      <c r="N974" s="14">
        <v>0</v>
      </c>
      <c r="O974" s="14">
        <v>0</v>
      </c>
      <c r="P974" s="14">
        <v>602</v>
      </c>
      <c r="Q974">
        <v>9919</v>
      </c>
      <c r="R974">
        <v>469</v>
      </c>
      <c r="S974">
        <v>2446</v>
      </c>
    </row>
    <row r="975" spans="11:19" x14ac:dyDescent="0.3">
      <c r="K975" s="16">
        <f t="shared" si="14"/>
        <v>44056</v>
      </c>
      <c r="L975" s="17">
        <v>0.54166666666666663</v>
      </c>
      <c r="M975" s="14">
        <v>602</v>
      </c>
      <c r="N975" s="14">
        <v>733</v>
      </c>
      <c r="O975" s="14">
        <v>0</v>
      </c>
      <c r="P975" s="14">
        <v>1335</v>
      </c>
      <c r="Q975">
        <v>9825</v>
      </c>
      <c r="R975">
        <v>494</v>
      </c>
      <c r="S975">
        <v>2639</v>
      </c>
    </row>
    <row r="976" spans="11:19" x14ac:dyDescent="0.3">
      <c r="K976" s="16">
        <f t="shared" si="14"/>
        <v>44056</v>
      </c>
      <c r="L976" s="17">
        <v>0.58333333333333337</v>
      </c>
      <c r="M976" s="14">
        <v>602</v>
      </c>
      <c r="N976" s="14">
        <v>0</v>
      </c>
      <c r="O976" s="14">
        <v>0</v>
      </c>
      <c r="P976" s="14">
        <v>602</v>
      </c>
      <c r="Q976">
        <v>9937</v>
      </c>
      <c r="R976">
        <v>555</v>
      </c>
      <c r="S976">
        <v>2627</v>
      </c>
    </row>
    <row r="977" spans="11:19" x14ac:dyDescent="0.3">
      <c r="K977" s="16">
        <f t="shared" si="14"/>
        <v>44056</v>
      </c>
      <c r="L977" s="17">
        <v>0.625</v>
      </c>
      <c r="M977" s="14">
        <v>602</v>
      </c>
      <c r="N977" s="14">
        <v>833</v>
      </c>
      <c r="O977" s="14">
        <v>0</v>
      </c>
      <c r="P977" s="14">
        <v>1435</v>
      </c>
      <c r="Q977">
        <v>9817</v>
      </c>
      <c r="R977">
        <v>453</v>
      </c>
      <c r="S977">
        <v>2492</v>
      </c>
    </row>
    <row r="978" spans="11:19" x14ac:dyDescent="0.3">
      <c r="K978" s="16">
        <f t="shared" si="14"/>
        <v>44056</v>
      </c>
      <c r="L978" s="17">
        <v>0.66666666666666663</v>
      </c>
      <c r="M978" s="14">
        <v>602</v>
      </c>
      <c r="N978" s="14">
        <v>0</v>
      </c>
      <c r="O978" s="14">
        <v>0</v>
      </c>
      <c r="P978" s="14">
        <v>602</v>
      </c>
      <c r="Q978">
        <v>9672</v>
      </c>
      <c r="R978">
        <v>505</v>
      </c>
      <c r="S978">
        <v>2187</v>
      </c>
    </row>
    <row r="979" spans="11:19" x14ac:dyDescent="0.3">
      <c r="K979" s="16">
        <f t="shared" si="14"/>
        <v>44056</v>
      </c>
      <c r="L979" s="17">
        <v>0.70833333333333337</v>
      </c>
      <c r="M979" s="14">
        <v>602</v>
      </c>
      <c r="N979" s="14">
        <v>1152</v>
      </c>
      <c r="O979" s="14">
        <v>0</v>
      </c>
      <c r="P979" s="14">
        <v>1754</v>
      </c>
      <c r="Q979">
        <v>9557</v>
      </c>
      <c r="R979">
        <v>591</v>
      </c>
      <c r="S979">
        <v>1784</v>
      </c>
    </row>
    <row r="980" spans="11:19" x14ac:dyDescent="0.3">
      <c r="K980" s="16">
        <f t="shared" si="14"/>
        <v>44056</v>
      </c>
      <c r="L980" s="17">
        <v>0.75</v>
      </c>
      <c r="M980" s="14">
        <v>602</v>
      </c>
      <c r="N980" s="14">
        <v>0</v>
      </c>
      <c r="O980" s="14">
        <v>0</v>
      </c>
      <c r="P980" s="14">
        <v>602</v>
      </c>
      <c r="Q980">
        <v>9414</v>
      </c>
      <c r="R980">
        <v>652</v>
      </c>
      <c r="S980">
        <v>1184</v>
      </c>
    </row>
    <row r="981" spans="11:19" x14ac:dyDescent="0.3">
      <c r="K981" s="16">
        <f t="shared" si="14"/>
        <v>44056</v>
      </c>
      <c r="L981" s="17">
        <v>0.79166666666666663</v>
      </c>
      <c r="M981" s="14">
        <v>602</v>
      </c>
      <c r="N981" s="14">
        <v>1471</v>
      </c>
      <c r="O981" s="14">
        <v>0</v>
      </c>
      <c r="P981" s="14">
        <v>2073</v>
      </c>
      <c r="Q981">
        <v>9167</v>
      </c>
      <c r="R981">
        <v>704</v>
      </c>
      <c r="S981">
        <v>576</v>
      </c>
    </row>
    <row r="982" spans="11:19" x14ac:dyDescent="0.3">
      <c r="K982" s="16">
        <f t="shared" si="14"/>
        <v>44056</v>
      </c>
      <c r="L982" s="17">
        <v>0.83333333333333337</v>
      </c>
      <c r="M982" s="14">
        <v>602</v>
      </c>
      <c r="N982" s="14">
        <v>0</v>
      </c>
      <c r="O982" s="14">
        <v>0</v>
      </c>
      <c r="P982" s="14">
        <v>602</v>
      </c>
      <c r="Q982">
        <v>8614</v>
      </c>
      <c r="R982">
        <v>729</v>
      </c>
      <c r="S982">
        <v>187</v>
      </c>
    </row>
    <row r="983" spans="11:19" x14ac:dyDescent="0.3">
      <c r="K983" s="16">
        <f t="shared" si="14"/>
        <v>44056</v>
      </c>
      <c r="L983" s="17">
        <v>0.875</v>
      </c>
      <c r="M983" s="14">
        <v>602</v>
      </c>
      <c r="N983" s="14">
        <v>1471</v>
      </c>
      <c r="O983" s="14">
        <v>0</v>
      </c>
      <c r="P983" s="14">
        <v>2073</v>
      </c>
      <c r="Q983">
        <v>8533</v>
      </c>
      <c r="R983">
        <v>767</v>
      </c>
      <c r="S983">
        <v>26</v>
      </c>
    </row>
    <row r="984" spans="11:19" x14ac:dyDescent="0.3">
      <c r="K984" s="16">
        <f t="shared" si="14"/>
        <v>44056</v>
      </c>
      <c r="L984" s="17">
        <v>0.91666666666666663</v>
      </c>
      <c r="M984" s="14">
        <v>602</v>
      </c>
      <c r="N984" s="14">
        <v>1471</v>
      </c>
      <c r="O984" s="14">
        <v>0</v>
      </c>
      <c r="P984" s="14">
        <v>2073</v>
      </c>
      <c r="Q984">
        <v>8909</v>
      </c>
      <c r="R984">
        <v>742</v>
      </c>
      <c r="S984">
        <v>0</v>
      </c>
    </row>
    <row r="985" spans="11:19" x14ac:dyDescent="0.3">
      <c r="K985" s="16">
        <f t="shared" si="14"/>
        <v>44056</v>
      </c>
      <c r="L985" s="17">
        <v>0.95833333333333337</v>
      </c>
      <c r="M985" s="14">
        <v>602</v>
      </c>
      <c r="N985" s="14">
        <v>1471</v>
      </c>
      <c r="O985" s="14">
        <v>0</v>
      </c>
      <c r="P985" s="14">
        <v>2073</v>
      </c>
      <c r="Q985">
        <v>8686</v>
      </c>
      <c r="R985">
        <v>583</v>
      </c>
      <c r="S985">
        <v>0</v>
      </c>
    </row>
    <row r="986" spans="11:19" x14ac:dyDescent="0.3">
      <c r="K986" s="16">
        <f t="shared" si="14"/>
        <v>44057</v>
      </c>
      <c r="L986" s="17">
        <v>0</v>
      </c>
      <c r="M986" s="14">
        <v>602</v>
      </c>
      <c r="N986" s="14">
        <v>1486</v>
      </c>
      <c r="O986" s="14">
        <v>0</v>
      </c>
      <c r="P986" s="14">
        <v>2088</v>
      </c>
      <c r="Q986">
        <v>7797</v>
      </c>
      <c r="R986">
        <v>506</v>
      </c>
      <c r="S986">
        <v>0</v>
      </c>
    </row>
    <row r="987" spans="11:19" x14ac:dyDescent="0.3">
      <c r="K987" s="16">
        <f t="shared" ref="K987:K1050" si="15">K963+1</f>
        <v>44057</v>
      </c>
      <c r="L987" s="17">
        <v>4.1666666666666664E-2</v>
      </c>
      <c r="M987" s="14">
        <v>602</v>
      </c>
      <c r="N987" s="14">
        <v>1264</v>
      </c>
      <c r="O987" s="14">
        <v>0</v>
      </c>
      <c r="P987" s="14">
        <v>1866</v>
      </c>
      <c r="Q987">
        <v>7417</v>
      </c>
      <c r="R987">
        <v>351</v>
      </c>
      <c r="S987">
        <v>0</v>
      </c>
    </row>
    <row r="988" spans="11:19" x14ac:dyDescent="0.3">
      <c r="K988" s="16">
        <f t="shared" si="15"/>
        <v>44057</v>
      </c>
      <c r="L988" s="17">
        <v>8.3333333333333329E-2</v>
      </c>
      <c r="M988" s="14">
        <v>602</v>
      </c>
      <c r="N988" s="14">
        <v>1058</v>
      </c>
      <c r="O988" s="14">
        <v>0</v>
      </c>
      <c r="P988" s="14">
        <v>1660</v>
      </c>
      <c r="Q988">
        <v>7119</v>
      </c>
      <c r="R988">
        <v>260</v>
      </c>
      <c r="S988">
        <v>0</v>
      </c>
    </row>
    <row r="989" spans="11:19" x14ac:dyDescent="0.3">
      <c r="K989" s="16">
        <f t="shared" si="15"/>
        <v>44057</v>
      </c>
      <c r="L989" s="17">
        <v>0.125</v>
      </c>
      <c r="M989" s="14">
        <v>602</v>
      </c>
      <c r="N989" s="14">
        <v>0</v>
      </c>
      <c r="O989" s="14">
        <v>0</v>
      </c>
      <c r="P989" s="14">
        <v>602</v>
      </c>
      <c r="Q989">
        <v>6779</v>
      </c>
      <c r="R989">
        <v>225</v>
      </c>
      <c r="S989">
        <v>0</v>
      </c>
    </row>
    <row r="990" spans="11:19" x14ac:dyDescent="0.3">
      <c r="K990" s="16">
        <f t="shared" si="15"/>
        <v>44057</v>
      </c>
      <c r="L990" s="17">
        <v>0.16666666666666666</v>
      </c>
      <c r="M990" s="14">
        <v>602</v>
      </c>
      <c r="N990" s="14">
        <v>0</v>
      </c>
      <c r="O990" s="14">
        <v>0</v>
      </c>
      <c r="P990" s="14">
        <v>602</v>
      </c>
      <c r="Q990">
        <v>6719</v>
      </c>
      <c r="R990">
        <v>221</v>
      </c>
      <c r="S990">
        <v>0</v>
      </c>
    </row>
    <row r="991" spans="11:19" x14ac:dyDescent="0.3">
      <c r="K991" s="16">
        <f t="shared" si="15"/>
        <v>44057</v>
      </c>
      <c r="L991" s="17">
        <v>0.20833333333333334</v>
      </c>
      <c r="M991" s="14">
        <v>602</v>
      </c>
      <c r="N991" s="14">
        <v>694</v>
      </c>
      <c r="O991" s="14">
        <v>0</v>
      </c>
      <c r="P991" s="14">
        <v>1296</v>
      </c>
      <c r="Q991">
        <v>6904</v>
      </c>
      <c r="R991">
        <v>230</v>
      </c>
      <c r="S991">
        <v>0</v>
      </c>
    </row>
    <row r="992" spans="11:19" x14ac:dyDescent="0.3">
      <c r="K992" s="16">
        <f t="shared" si="15"/>
        <v>44057</v>
      </c>
      <c r="L992" s="17">
        <v>0.25</v>
      </c>
      <c r="M992" s="14">
        <v>602</v>
      </c>
      <c r="N992" s="14">
        <v>950</v>
      </c>
      <c r="O992" s="14">
        <v>0</v>
      </c>
      <c r="P992" s="14">
        <v>1552</v>
      </c>
      <c r="Q992">
        <v>7233</v>
      </c>
      <c r="R992">
        <v>254</v>
      </c>
      <c r="S992">
        <v>8</v>
      </c>
    </row>
    <row r="993" spans="11:19" x14ac:dyDescent="0.3">
      <c r="K993" s="16">
        <f t="shared" si="15"/>
        <v>44057</v>
      </c>
      <c r="L993" s="17">
        <v>0.29166666666666669</v>
      </c>
      <c r="M993" s="14">
        <v>602</v>
      </c>
      <c r="N993" s="14">
        <v>1373</v>
      </c>
      <c r="O993" s="14">
        <v>0</v>
      </c>
      <c r="P993" s="14">
        <v>1975</v>
      </c>
      <c r="Q993">
        <v>7803</v>
      </c>
      <c r="R993">
        <v>228</v>
      </c>
      <c r="S993">
        <v>157</v>
      </c>
    </row>
    <row r="994" spans="11:19" x14ac:dyDescent="0.3">
      <c r="K994" s="16">
        <f t="shared" si="15"/>
        <v>44057</v>
      </c>
      <c r="L994" s="17">
        <v>0.33333333333333331</v>
      </c>
      <c r="M994" s="14">
        <v>602</v>
      </c>
      <c r="N994" s="14">
        <v>0</v>
      </c>
      <c r="O994" s="14">
        <v>0</v>
      </c>
      <c r="P994" s="14">
        <v>602</v>
      </c>
      <c r="Q994">
        <v>8427</v>
      </c>
      <c r="R994">
        <v>207</v>
      </c>
      <c r="S994">
        <v>582</v>
      </c>
    </row>
    <row r="995" spans="11:19" x14ac:dyDescent="0.3">
      <c r="K995" s="16">
        <f t="shared" si="15"/>
        <v>44057</v>
      </c>
      <c r="L995" s="17">
        <v>0.375</v>
      </c>
      <c r="M995" s="14">
        <v>602</v>
      </c>
      <c r="N995" s="14">
        <v>0</v>
      </c>
      <c r="O995" s="14">
        <v>0</v>
      </c>
      <c r="P995" s="14">
        <v>602</v>
      </c>
      <c r="Q995">
        <v>9019</v>
      </c>
      <c r="R995">
        <v>254</v>
      </c>
      <c r="S995">
        <v>1219</v>
      </c>
    </row>
    <row r="996" spans="11:19" x14ac:dyDescent="0.3">
      <c r="K996" s="16">
        <f t="shared" si="15"/>
        <v>44057</v>
      </c>
      <c r="L996" s="17">
        <v>0.41666666666666669</v>
      </c>
      <c r="M996" s="14">
        <v>602</v>
      </c>
      <c r="N996" s="14">
        <v>0</v>
      </c>
      <c r="O996" s="14">
        <v>0</v>
      </c>
      <c r="P996" s="14">
        <v>602</v>
      </c>
      <c r="Q996">
        <v>9415</v>
      </c>
      <c r="R996">
        <v>230</v>
      </c>
      <c r="S996">
        <v>1799</v>
      </c>
    </row>
    <row r="997" spans="11:19" x14ac:dyDescent="0.3">
      <c r="K997" s="16">
        <f t="shared" si="15"/>
        <v>44057</v>
      </c>
      <c r="L997" s="17">
        <v>0.45833333333333331</v>
      </c>
      <c r="M997" s="14">
        <v>602</v>
      </c>
      <c r="N997" s="14">
        <v>0</v>
      </c>
      <c r="O997" s="14">
        <v>0</v>
      </c>
      <c r="P997" s="14">
        <v>602</v>
      </c>
      <c r="Q997">
        <v>9701</v>
      </c>
      <c r="R997">
        <v>195</v>
      </c>
      <c r="S997">
        <v>2209</v>
      </c>
    </row>
    <row r="998" spans="11:19" x14ac:dyDescent="0.3">
      <c r="K998" s="16">
        <f t="shared" si="15"/>
        <v>44057</v>
      </c>
      <c r="L998" s="17">
        <v>0.5</v>
      </c>
      <c r="M998" s="14">
        <v>602</v>
      </c>
      <c r="N998" s="14">
        <v>0</v>
      </c>
      <c r="O998" s="14">
        <v>0</v>
      </c>
      <c r="P998" s="14">
        <v>602</v>
      </c>
      <c r="Q998">
        <v>9958</v>
      </c>
      <c r="R998">
        <v>195</v>
      </c>
      <c r="S998">
        <v>2390</v>
      </c>
    </row>
    <row r="999" spans="11:19" x14ac:dyDescent="0.3">
      <c r="K999" s="16">
        <f t="shared" si="15"/>
        <v>44057</v>
      </c>
      <c r="L999" s="17">
        <v>0.54166666666666663</v>
      </c>
      <c r="M999" s="14">
        <v>602</v>
      </c>
      <c r="N999" s="14">
        <v>0</v>
      </c>
      <c r="O999" s="14">
        <v>0</v>
      </c>
      <c r="P999" s="14">
        <v>602</v>
      </c>
      <c r="Q999">
        <v>9858</v>
      </c>
      <c r="R999">
        <v>197</v>
      </c>
      <c r="S999">
        <v>2501</v>
      </c>
    </row>
    <row r="1000" spans="11:19" x14ac:dyDescent="0.3">
      <c r="K1000" s="16">
        <f t="shared" si="15"/>
        <v>44057</v>
      </c>
      <c r="L1000" s="17">
        <v>0.58333333333333337</v>
      </c>
      <c r="M1000" s="14">
        <v>602</v>
      </c>
      <c r="N1000" s="14">
        <v>0</v>
      </c>
      <c r="O1000" s="14">
        <v>0</v>
      </c>
      <c r="P1000" s="14">
        <v>602</v>
      </c>
      <c r="Q1000">
        <v>9975</v>
      </c>
      <c r="R1000">
        <v>197</v>
      </c>
      <c r="S1000">
        <v>2463</v>
      </c>
    </row>
    <row r="1001" spans="11:19" x14ac:dyDescent="0.3">
      <c r="K1001" s="16">
        <f t="shared" si="15"/>
        <v>44057</v>
      </c>
      <c r="L1001" s="17">
        <v>0.625</v>
      </c>
      <c r="M1001" s="14">
        <v>602</v>
      </c>
      <c r="N1001" s="14">
        <v>1268</v>
      </c>
      <c r="O1001" s="14">
        <v>0</v>
      </c>
      <c r="P1001" s="14">
        <v>1870</v>
      </c>
      <c r="Q1001">
        <v>9841</v>
      </c>
      <c r="R1001">
        <v>206</v>
      </c>
      <c r="S1001">
        <v>2328</v>
      </c>
    </row>
    <row r="1002" spans="11:19" x14ac:dyDescent="0.3">
      <c r="K1002" s="16">
        <f t="shared" si="15"/>
        <v>44057</v>
      </c>
      <c r="L1002" s="17">
        <v>0.66666666666666663</v>
      </c>
      <c r="M1002" s="14">
        <v>602</v>
      </c>
      <c r="N1002" s="14">
        <v>1279</v>
      </c>
      <c r="O1002" s="14">
        <v>0</v>
      </c>
      <c r="P1002" s="14">
        <v>1881</v>
      </c>
      <c r="Q1002">
        <v>9697</v>
      </c>
      <c r="R1002">
        <v>263</v>
      </c>
      <c r="S1002">
        <v>2120</v>
      </c>
    </row>
    <row r="1003" spans="11:19" x14ac:dyDescent="0.3">
      <c r="K1003" s="16">
        <f t="shared" si="15"/>
        <v>44057</v>
      </c>
      <c r="L1003" s="17">
        <v>0.70833333333333337</v>
      </c>
      <c r="M1003" s="14">
        <v>602</v>
      </c>
      <c r="N1003" s="14">
        <v>0</v>
      </c>
      <c r="O1003" s="14">
        <v>0</v>
      </c>
      <c r="P1003" s="14">
        <v>602</v>
      </c>
      <c r="Q1003">
        <v>9599</v>
      </c>
      <c r="R1003">
        <v>313</v>
      </c>
      <c r="S1003">
        <v>1701</v>
      </c>
    </row>
    <row r="1004" spans="11:19" x14ac:dyDescent="0.3">
      <c r="K1004" s="16">
        <f t="shared" si="15"/>
        <v>44057</v>
      </c>
      <c r="L1004" s="17">
        <v>0.75</v>
      </c>
      <c r="M1004" s="14">
        <v>602</v>
      </c>
      <c r="N1004" s="14">
        <v>1614</v>
      </c>
      <c r="O1004" s="14">
        <v>0</v>
      </c>
      <c r="P1004" s="14">
        <v>2216</v>
      </c>
      <c r="Q1004">
        <v>9456</v>
      </c>
      <c r="R1004">
        <v>316</v>
      </c>
      <c r="S1004">
        <v>1142</v>
      </c>
    </row>
    <row r="1005" spans="11:19" x14ac:dyDescent="0.3">
      <c r="K1005" s="16">
        <f t="shared" si="15"/>
        <v>44057</v>
      </c>
      <c r="L1005" s="17">
        <v>0.79166666666666663</v>
      </c>
      <c r="M1005" s="14">
        <v>602</v>
      </c>
      <c r="N1005" s="14">
        <v>1614</v>
      </c>
      <c r="O1005" s="14">
        <v>0</v>
      </c>
      <c r="P1005" s="14">
        <v>2216</v>
      </c>
      <c r="Q1005">
        <v>9151</v>
      </c>
      <c r="R1005">
        <v>346</v>
      </c>
      <c r="S1005">
        <v>559</v>
      </c>
    </row>
    <row r="1006" spans="11:19" x14ac:dyDescent="0.3">
      <c r="K1006" s="16">
        <f t="shared" si="15"/>
        <v>44057</v>
      </c>
      <c r="L1006" s="17">
        <v>0.83333333333333337</v>
      </c>
      <c r="M1006" s="14">
        <v>602</v>
      </c>
      <c r="N1006" s="14">
        <v>1614</v>
      </c>
      <c r="O1006" s="14">
        <v>0</v>
      </c>
      <c r="P1006" s="14">
        <v>2216</v>
      </c>
      <c r="Q1006">
        <v>8606</v>
      </c>
      <c r="R1006">
        <v>454</v>
      </c>
      <c r="S1006">
        <v>182</v>
      </c>
    </row>
    <row r="1007" spans="11:19" x14ac:dyDescent="0.3">
      <c r="K1007" s="16">
        <f t="shared" si="15"/>
        <v>44057</v>
      </c>
      <c r="L1007" s="17">
        <v>0.875</v>
      </c>
      <c r="M1007" s="14">
        <v>602</v>
      </c>
      <c r="N1007" s="14">
        <v>1614</v>
      </c>
      <c r="O1007" s="14">
        <v>0</v>
      </c>
      <c r="P1007" s="14">
        <v>2216</v>
      </c>
      <c r="Q1007">
        <v>8584</v>
      </c>
      <c r="R1007">
        <v>729</v>
      </c>
      <c r="S1007">
        <v>28</v>
      </c>
    </row>
    <row r="1008" spans="11:19" x14ac:dyDescent="0.3">
      <c r="K1008" s="16">
        <f t="shared" si="15"/>
        <v>44057</v>
      </c>
      <c r="L1008" s="17">
        <v>0.91666666666666663</v>
      </c>
      <c r="M1008" s="14">
        <v>602</v>
      </c>
      <c r="N1008" s="14">
        <v>1614</v>
      </c>
      <c r="O1008" s="14">
        <v>0</v>
      </c>
      <c r="P1008" s="14">
        <v>2216</v>
      </c>
      <c r="Q1008">
        <v>8975</v>
      </c>
      <c r="R1008">
        <v>756</v>
      </c>
      <c r="S1008">
        <v>0</v>
      </c>
    </row>
    <row r="1009" spans="11:19" x14ac:dyDescent="0.3">
      <c r="K1009" s="16">
        <f t="shared" si="15"/>
        <v>44057</v>
      </c>
      <c r="L1009" s="17">
        <v>0.95833333333333337</v>
      </c>
      <c r="M1009" s="14">
        <v>602</v>
      </c>
      <c r="N1009" s="14">
        <v>1614</v>
      </c>
      <c r="O1009" s="14">
        <v>0</v>
      </c>
      <c r="P1009" s="14">
        <v>2216</v>
      </c>
      <c r="Q1009">
        <v>8744</v>
      </c>
      <c r="R1009">
        <v>699</v>
      </c>
      <c r="S1009">
        <v>0</v>
      </c>
    </row>
    <row r="1010" spans="11:19" x14ac:dyDescent="0.3">
      <c r="K1010" s="16">
        <f t="shared" si="15"/>
        <v>44058</v>
      </c>
      <c r="L1010" s="17">
        <v>0</v>
      </c>
      <c r="M1010" s="14">
        <v>602</v>
      </c>
      <c r="N1010" s="14">
        <v>0</v>
      </c>
      <c r="O1010" s="14">
        <v>0</v>
      </c>
      <c r="P1010" s="14">
        <v>602</v>
      </c>
      <c r="Q1010">
        <v>7842</v>
      </c>
      <c r="R1010">
        <v>699</v>
      </c>
      <c r="S1010">
        <v>0</v>
      </c>
    </row>
    <row r="1011" spans="11:19" x14ac:dyDescent="0.3">
      <c r="K1011" s="16">
        <f t="shared" si="15"/>
        <v>44058</v>
      </c>
      <c r="L1011" s="17">
        <v>4.1666666666666664E-2</v>
      </c>
      <c r="M1011" s="14">
        <v>602</v>
      </c>
      <c r="N1011" s="14">
        <v>0</v>
      </c>
      <c r="O1011" s="14">
        <v>0</v>
      </c>
      <c r="P1011" s="14">
        <v>602</v>
      </c>
      <c r="Q1011">
        <v>7399</v>
      </c>
      <c r="R1011">
        <v>670</v>
      </c>
      <c r="S1011">
        <v>0</v>
      </c>
    </row>
    <row r="1012" spans="11:19" x14ac:dyDescent="0.3">
      <c r="K1012" s="16">
        <f t="shared" si="15"/>
        <v>44058</v>
      </c>
      <c r="L1012" s="17">
        <v>8.3333333333333329E-2</v>
      </c>
      <c r="M1012" s="14">
        <v>602</v>
      </c>
      <c r="N1012" s="14">
        <v>0</v>
      </c>
      <c r="O1012" s="14">
        <v>211</v>
      </c>
      <c r="P1012" s="14">
        <v>813</v>
      </c>
      <c r="Q1012">
        <v>7059</v>
      </c>
      <c r="R1012">
        <v>612</v>
      </c>
      <c r="S1012">
        <v>0</v>
      </c>
    </row>
    <row r="1013" spans="11:19" x14ac:dyDescent="0.3">
      <c r="K1013" s="16">
        <f t="shared" si="15"/>
        <v>44058</v>
      </c>
      <c r="L1013" s="17">
        <v>0.125</v>
      </c>
      <c r="M1013" s="14">
        <v>602</v>
      </c>
      <c r="N1013" s="14">
        <v>294</v>
      </c>
      <c r="O1013" s="14">
        <v>0</v>
      </c>
      <c r="P1013" s="14">
        <v>896</v>
      </c>
      <c r="Q1013">
        <v>6702</v>
      </c>
      <c r="R1013">
        <v>605</v>
      </c>
      <c r="S1013">
        <v>0</v>
      </c>
    </row>
    <row r="1014" spans="11:19" x14ac:dyDescent="0.3">
      <c r="K1014" s="16">
        <f t="shared" si="15"/>
        <v>44058</v>
      </c>
      <c r="L1014" s="17">
        <v>0.16666666666666666</v>
      </c>
      <c r="M1014" s="14">
        <v>602</v>
      </c>
      <c r="N1014" s="14">
        <v>127</v>
      </c>
      <c r="O1014" s="14">
        <v>0</v>
      </c>
      <c r="P1014" s="14">
        <v>729</v>
      </c>
      <c r="Q1014">
        <v>6573</v>
      </c>
      <c r="R1014">
        <v>642</v>
      </c>
      <c r="S1014">
        <v>0</v>
      </c>
    </row>
    <row r="1015" spans="11:19" x14ac:dyDescent="0.3">
      <c r="K1015" s="16">
        <f t="shared" si="15"/>
        <v>44058</v>
      </c>
      <c r="L1015" s="17">
        <v>0.20833333333333334</v>
      </c>
      <c r="M1015" s="14">
        <v>602</v>
      </c>
      <c r="N1015" s="14">
        <v>213</v>
      </c>
      <c r="O1015" s="14">
        <v>0</v>
      </c>
      <c r="P1015" s="14">
        <v>815</v>
      </c>
      <c r="Q1015">
        <v>6597</v>
      </c>
      <c r="R1015">
        <v>574</v>
      </c>
      <c r="S1015">
        <v>0</v>
      </c>
    </row>
    <row r="1016" spans="11:19" x14ac:dyDescent="0.3">
      <c r="K1016" s="16">
        <f t="shared" si="15"/>
        <v>44058</v>
      </c>
      <c r="L1016" s="17">
        <v>0.25</v>
      </c>
      <c r="M1016" s="14">
        <v>602</v>
      </c>
      <c r="N1016" s="14">
        <v>286</v>
      </c>
      <c r="O1016" s="14">
        <v>0</v>
      </c>
      <c r="P1016" s="14">
        <v>888</v>
      </c>
      <c r="Q1016">
        <v>6624</v>
      </c>
      <c r="R1016">
        <v>498</v>
      </c>
      <c r="S1016">
        <v>6</v>
      </c>
    </row>
    <row r="1017" spans="11:19" x14ac:dyDescent="0.3">
      <c r="K1017" s="16">
        <f t="shared" si="15"/>
        <v>44058</v>
      </c>
      <c r="L1017" s="17">
        <v>0.29166666666666669</v>
      </c>
      <c r="M1017" s="14">
        <v>602</v>
      </c>
      <c r="N1017" s="14">
        <v>482</v>
      </c>
      <c r="O1017" s="14">
        <v>0</v>
      </c>
      <c r="P1017" s="14">
        <v>1084</v>
      </c>
      <c r="Q1017">
        <v>6938</v>
      </c>
      <c r="R1017">
        <v>477</v>
      </c>
      <c r="S1017">
        <v>115</v>
      </c>
    </row>
    <row r="1018" spans="11:19" x14ac:dyDescent="0.3">
      <c r="K1018" s="16">
        <f t="shared" si="15"/>
        <v>44058</v>
      </c>
      <c r="L1018" s="17">
        <v>0.33333333333333331</v>
      </c>
      <c r="M1018" s="14">
        <v>602</v>
      </c>
      <c r="N1018" s="14">
        <v>783</v>
      </c>
      <c r="O1018" s="14">
        <v>0</v>
      </c>
      <c r="P1018" s="14">
        <v>1385</v>
      </c>
      <c r="Q1018">
        <v>7536</v>
      </c>
      <c r="R1018">
        <v>430</v>
      </c>
      <c r="S1018">
        <v>446</v>
      </c>
    </row>
    <row r="1019" spans="11:19" x14ac:dyDescent="0.3">
      <c r="K1019" s="16">
        <f t="shared" si="15"/>
        <v>44058</v>
      </c>
      <c r="L1019" s="17">
        <v>0.375</v>
      </c>
      <c r="M1019" s="14">
        <v>602</v>
      </c>
      <c r="N1019" s="14">
        <v>936</v>
      </c>
      <c r="O1019" s="14">
        <v>0</v>
      </c>
      <c r="P1019" s="14">
        <v>1538</v>
      </c>
      <c r="Q1019">
        <v>8258</v>
      </c>
      <c r="R1019">
        <v>482</v>
      </c>
      <c r="S1019">
        <v>960</v>
      </c>
    </row>
    <row r="1020" spans="11:19" x14ac:dyDescent="0.3">
      <c r="K1020" s="16">
        <f t="shared" si="15"/>
        <v>44058</v>
      </c>
      <c r="L1020" s="17">
        <v>0.41666666666666669</v>
      </c>
      <c r="M1020" s="14">
        <v>602</v>
      </c>
      <c r="N1020" s="14">
        <v>901</v>
      </c>
      <c r="O1020" s="14">
        <v>0</v>
      </c>
      <c r="P1020" s="14">
        <v>1503</v>
      </c>
      <c r="Q1020">
        <v>8736</v>
      </c>
      <c r="R1020">
        <v>565</v>
      </c>
      <c r="S1020">
        <v>1392</v>
      </c>
    </row>
    <row r="1021" spans="11:19" x14ac:dyDescent="0.3">
      <c r="K1021" s="16">
        <f t="shared" si="15"/>
        <v>44058</v>
      </c>
      <c r="L1021" s="17">
        <v>0.45833333333333331</v>
      </c>
      <c r="M1021" s="14">
        <v>602</v>
      </c>
      <c r="N1021" s="14">
        <v>0</v>
      </c>
      <c r="O1021" s="14">
        <v>0</v>
      </c>
      <c r="P1021" s="14">
        <v>602</v>
      </c>
      <c r="Q1021">
        <v>9060</v>
      </c>
      <c r="R1021">
        <v>590</v>
      </c>
      <c r="S1021">
        <v>1738</v>
      </c>
    </row>
    <row r="1022" spans="11:19" x14ac:dyDescent="0.3">
      <c r="K1022" s="16">
        <f t="shared" si="15"/>
        <v>44058</v>
      </c>
      <c r="L1022" s="17">
        <v>0.5</v>
      </c>
      <c r="M1022" s="14">
        <v>602</v>
      </c>
      <c r="N1022" s="14">
        <v>0</v>
      </c>
      <c r="O1022" s="14">
        <v>0</v>
      </c>
      <c r="P1022" s="14">
        <v>602</v>
      </c>
      <c r="Q1022">
        <v>9425</v>
      </c>
      <c r="R1022">
        <v>677</v>
      </c>
      <c r="S1022">
        <v>1944</v>
      </c>
    </row>
    <row r="1023" spans="11:19" x14ac:dyDescent="0.3">
      <c r="K1023" s="16">
        <f t="shared" si="15"/>
        <v>44058</v>
      </c>
      <c r="L1023" s="17">
        <v>0.54166666666666663</v>
      </c>
      <c r="M1023" s="14">
        <v>602</v>
      </c>
      <c r="N1023" s="14">
        <v>0</v>
      </c>
      <c r="O1023" s="14">
        <v>0</v>
      </c>
      <c r="P1023" s="14">
        <v>602</v>
      </c>
      <c r="Q1023">
        <v>9274</v>
      </c>
      <c r="R1023">
        <v>1013</v>
      </c>
      <c r="S1023">
        <v>2107</v>
      </c>
    </row>
    <row r="1024" spans="11:19" x14ac:dyDescent="0.3">
      <c r="K1024" s="16">
        <f t="shared" si="15"/>
        <v>44058</v>
      </c>
      <c r="L1024" s="17">
        <v>0.58333333333333337</v>
      </c>
      <c r="M1024" s="14">
        <v>602</v>
      </c>
      <c r="N1024" s="14">
        <v>132</v>
      </c>
      <c r="O1024" s="14">
        <v>0</v>
      </c>
      <c r="P1024" s="14">
        <v>734</v>
      </c>
      <c r="Q1024">
        <v>9362</v>
      </c>
      <c r="R1024">
        <v>1254</v>
      </c>
      <c r="S1024">
        <v>2109</v>
      </c>
    </row>
    <row r="1025" spans="11:19" x14ac:dyDescent="0.3">
      <c r="K1025" s="16">
        <f t="shared" si="15"/>
        <v>44058</v>
      </c>
      <c r="L1025" s="17">
        <v>0.625</v>
      </c>
      <c r="M1025" s="14">
        <v>602</v>
      </c>
      <c r="N1025" s="14">
        <v>0</v>
      </c>
      <c r="O1025" s="14">
        <v>-419</v>
      </c>
      <c r="P1025" s="14">
        <v>183</v>
      </c>
      <c r="Q1025">
        <v>9225</v>
      </c>
      <c r="R1025">
        <v>1709</v>
      </c>
      <c r="S1025">
        <v>2071</v>
      </c>
    </row>
    <row r="1026" spans="11:19" x14ac:dyDescent="0.3">
      <c r="K1026" s="16">
        <f t="shared" si="15"/>
        <v>44058</v>
      </c>
      <c r="L1026" s="17">
        <v>0.66666666666666663</v>
      </c>
      <c r="M1026" s="14">
        <v>602</v>
      </c>
      <c r="N1026" s="14">
        <v>0</v>
      </c>
      <c r="O1026" s="14">
        <v>-615</v>
      </c>
      <c r="P1026" s="14">
        <v>-13</v>
      </c>
      <c r="Q1026">
        <v>9068</v>
      </c>
      <c r="R1026">
        <v>2117</v>
      </c>
      <c r="S1026">
        <v>1872</v>
      </c>
    </row>
    <row r="1027" spans="11:19" x14ac:dyDescent="0.3">
      <c r="K1027" s="16">
        <f t="shared" si="15"/>
        <v>44058</v>
      </c>
      <c r="L1027" s="17">
        <v>0.70833333333333337</v>
      </c>
      <c r="M1027" s="14">
        <v>602</v>
      </c>
      <c r="N1027" s="14">
        <v>0</v>
      </c>
      <c r="O1027" s="14">
        <v>-377</v>
      </c>
      <c r="P1027" s="14">
        <v>225</v>
      </c>
      <c r="Q1027">
        <v>8987</v>
      </c>
      <c r="R1027">
        <v>2172</v>
      </c>
      <c r="S1027">
        <v>1506</v>
      </c>
    </row>
    <row r="1028" spans="11:19" x14ac:dyDescent="0.3">
      <c r="K1028" s="16">
        <f t="shared" si="15"/>
        <v>44058</v>
      </c>
      <c r="L1028" s="17">
        <v>0.75</v>
      </c>
      <c r="M1028" s="14">
        <v>602</v>
      </c>
      <c r="N1028" s="14">
        <v>0</v>
      </c>
      <c r="O1028" s="14">
        <v>-41</v>
      </c>
      <c r="P1028" s="14">
        <v>561</v>
      </c>
      <c r="Q1028">
        <v>8738</v>
      </c>
      <c r="R1028">
        <v>2095</v>
      </c>
      <c r="S1028">
        <v>1005</v>
      </c>
    </row>
    <row r="1029" spans="11:19" x14ac:dyDescent="0.3">
      <c r="K1029" s="16">
        <f t="shared" si="15"/>
        <v>44058</v>
      </c>
      <c r="L1029" s="17">
        <v>0.79166666666666663</v>
      </c>
      <c r="M1029" s="14">
        <v>602</v>
      </c>
      <c r="N1029" s="14">
        <v>371</v>
      </c>
      <c r="O1029" s="14">
        <v>0</v>
      </c>
      <c r="P1029" s="14">
        <v>973</v>
      </c>
      <c r="Q1029">
        <v>8416</v>
      </c>
      <c r="R1029">
        <v>1866</v>
      </c>
      <c r="S1029">
        <v>509</v>
      </c>
    </row>
    <row r="1030" spans="11:19" x14ac:dyDescent="0.3">
      <c r="K1030" s="16">
        <f t="shared" si="15"/>
        <v>44058</v>
      </c>
      <c r="L1030" s="17">
        <v>0.83333333333333337</v>
      </c>
      <c r="M1030" s="14">
        <v>602</v>
      </c>
      <c r="N1030" s="14">
        <v>768</v>
      </c>
      <c r="O1030" s="14">
        <v>0</v>
      </c>
      <c r="P1030" s="14">
        <v>1370</v>
      </c>
      <c r="Q1030">
        <v>8029</v>
      </c>
      <c r="R1030">
        <v>1428</v>
      </c>
      <c r="S1030">
        <v>171</v>
      </c>
    </row>
    <row r="1031" spans="11:19" x14ac:dyDescent="0.3">
      <c r="K1031" s="16">
        <f t="shared" si="15"/>
        <v>44058</v>
      </c>
      <c r="L1031" s="17">
        <v>0.875</v>
      </c>
      <c r="M1031" s="14">
        <v>602</v>
      </c>
      <c r="N1031" s="14">
        <v>977</v>
      </c>
      <c r="O1031" s="14">
        <v>0</v>
      </c>
      <c r="P1031" s="14">
        <v>1579</v>
      </c>
      <c r="Q1031">
        <v>8212</v>
      </c>
      <c r="R1031">
        <v>1278</v>
      </c>
      <c r="S1031">
        <v>16</v>
      </c>
    </row>
    <row r="1032" spans="11:19" x14ac:dyDescent="0.3">
      <c r="K1032" s="16">
        <f t="shared" si="15"/>
        <v>44058</v>
      </c>
      <c r="L1032" s="17">
        <v>0.91666666666666663</v>
      </c>
      <c r="M1032" s="14">
        <v>602</v>
      </c>
      <c r="N1032" s="14">
        <v>977</v>
      </c>
      <c r="O1032" s="14">
        <v>0</v>
      </c>
      <c r="P1032" s="14">
        <v>1579</v>
      </c>
      <c r="Q1032">
        <v>8693</v>
      </c>
      <c r="R1032">
        <v>1118</v>
      </c>
      <c r="S1032">
        <v>0</v>
      </c>
    </row>
    <row r="1033" spans="11:19" x14ac:dyDescent="0.3">
      <c r="K1033" s="16">
        <f t="shared" si="15"/>
        <v>44058</v>
      </c>
      <c r="L1033" s="17">
        <v>0.95833333333333337</v>
      </c>
      <c r="M1033" s="14">
        <v>602</v>
      </c>
      <c r="N1033" s="14">
        <v>977</v>
      </c>
      <c r="O1033" s="14">
        <v>951</v>
      </c>
      <c r="P1033" s="14">
        <v>2530</v>
      </c>
      <c r="Q1033">
        <v>8495</v>
      </c>
      <c r="R1033">
        <v>762</v>
      </c>
      <c r="S1033">
        <v>0</v>
      </c>
    </row>
    <row r="1034" spans="11:19" x14ac:dyDescent="0.3">
      <c r="K1034" s="16">
        <f t="shared" si="15"/>
        <v>44059</v>
      </c>
      <c r="L1034" s="17">
        <v>0</v>
      </c>
      <c r="M1034" s="14">
        <v>602</v>
      </c>
      <c r="N1034" s="14">
        <v>810</v>
      </c>
      <c r="O1034" s="14">
        <v>324</v>
      </c>
      <c r="P1034" s="14">
        <v>1736</v>
      </c>
      <c r="Q1034">
        <v>7627</v>
      </c>
      <c r="R1034">
        <v>693</v>
      </c>
      <c r="S1034">
        <v>0</v>
      </c>
    </row>
    <row r="1035" spans="11:19" x14ac:dyDescent="0.3">
      <c r="K1035" s="16">
        <f t="shared" si="15"/>
        <v>44059</v>
      </c>
      <c r="L1035" s="17">
        <v>4.1666666666666664E-2</v>
      </c>
      <c r="M1035" s="14">
        <v>602</v>
      </c>
      <c r="N1035" s="14">
        <v>810</v>
      </c>
      <c r="O1035" s="14">
        <v>0</v>
      </c>
      <c r="P1035" s="14">
        <v>1412</v>
      </c>
      <c r="Q1035">
        <v>7208</v>
      </c>
      <c r="R1035">
        <v>433</v>
      </c>
      <c r="S1035">
        <v>0</v>
      </c>
    </row>
    <row r="1036" spans="11:19" x14ac:dyDescent="0.3">
      <c r="K1036" s="16">
        <f t="shared" si="15"/>
        <v>44059</v>
      </c>
      <c r="L1036" s="17">
        <v>8.3333333333333329E-2</v>
      </c>
      <c r="M1036" s="14">
        <v>602</v>
      </c>
      <c r="N1036" s="14">
        <v>773</v>
      </c>
      <c r="O1036" s="14">
        <v>0</v>
      </c>
      <c r="P1036" s="14">
        <v>1375</v>
      </c>
      <c r="Q1036">
        <v>6871</v>
      </c>
      <c r="R1036">
        <v>379</v>
      </c>
      <c r="S1036">
        <v>0</v>
      </c>
    </row>
    <row r="1037" spans="11:19" x14ac:dyDescent="0.3">
      <c r="K1037" s="16">
        <f t="shared" si="15"/>
        <v>44059</v>
      </c>
      <c r="L1037" s="17">
        <v>0.125</v>
      </c>
      <c r="M1037" s="14">
        <v>602</v>
      </c>
      <c r="N1037" s="14">
        <v>0</v>
      </c>
      <c r="O1037" s="14">
        <v>0</v>
      </c>
      <c r="P1037" s="14">
        <v>602</v>
      </c>
      <c r="Q1037">
        <v>6500</v>
      </c>
      <c r="R1037">
        <v>313</v>
      </c>
      <c r="S1037">
        <v>0</v>
      </c>
    </row>
    <row r="1038" spans="11:19" x14ac:dyDescent="0.3">
      <c r="K1038" s="16">
        <f t="shared" si="15"/>
        <v>44059</v>
      </c>
      <c r="L1038" s="17">
        <v>0.16666666666666666</v>
      </c>
      <c r="M1038" s="14">
        <v>602</v>
      </c>
      <c r="N1038" s="14">
        <v>263</v>
      </c>
      <c r="O1038" s="14">
        <v>0</v>
      </c>
      <c r="P1038" s="14">
        <v>865</v>
      </c>
      <c r="Q1038">
        <v>6339</v>
      </c>
      <c r="R1038">
        <v>352</v>
      </c>
      <c r="S1038">
        <v>0</v>
      </c>
    </row>
    <row r="1039" spans="11:19" x14ac:dyDescent="0.3">
      <c r="K1039" s="16">
        <f t="shared" si="15"/>
        <v>44059</v>
      </c>
      <c r="L1039" s="17">
        <v>0.20833333333333334</v>
      </c>
      <c r="M1039" s="14">
        <v>602</v>
      </c>
      <c r="N1039" s="14">
        <v>147</v>
      </c>
      <c r="O1039" s="14">
        <v>0</v>
      </c>
      <c r="P1039" s="14">
        <v>749</v>
      </c>
      <c r="Q1039">
        <v>6271</v>
      </c>
      <c r="R1039">
        <v>394</v>
      </c>
      <c r="S1039">
        <v>0</v>
      </c>
    </row>
    <row r="1040" spans="11:19" x14ac:dyDescent="0.3">
      <c r="K1040" s="16">
        <f t="shared" si="15"/>
        <v>44059</v>
      </c>
      <c r="L1040" s="17">
        <v>0.25</v>
      </c>
      <c r="M1040" s="14">
        <v>602</v>
      </c>
      <c r="N1040" s="14">
        <v>0</v>
      </c>
      <c r="O1040" s="14">
        <v>-61</v>
      </c>
      <c r="P1040" s="14">
        <v>541</v>
      </c>
      <c r="Q1040">
        <v>6171</v>
      </c>
      <c r="R1040">
        <v>477</v>
      </c>
      <c r="S1040">
        <v>1</v>
      </c>
    </row>
    <row r="1041" spans="11:19" x14ac:dyDescent="0.3">
      <c r="K1041" s="16">
        <f t="shared" si="15"/>
        <v>44059</v>
      </c>
      <c r="L1041" s="17">
        <v>0.29166666666666669</v>
      </c>
      <c r="M1041" s="14">
        <v>602</v>
      </c>
      <c r="N1041" s="14">
        <v>0</v>
      </c>
      <c r="O1041" s="14">
        <v>112</v>
      </c>
      <c r="P1041" s="14">
        <v>714</v>
      </c>
      <c r="Q1041">
        <v>6349</v>
      </c>
      <c r="R1041">
        <v>419</v>
      </c>
      <c r="S1041">
        <v>115</v>
      </c>
    </row>
    <row r="1042" spans="11:19" x14ac:dyDescent="0.3">
      <c r="K1042" s="16">
        <f t="shared" si="15"/>
        <v>44059</v>
      </c>
      <c r="L1042" s="17">
        <v>0.33333333333333331</v>
      </c>
      <c r="M1042" s="14">
        <v>602</v>
      </c>
      <c r="N1042" s="14">
        <v>241</v>
      </c>
      <c r="O1042" s="14">
        <v>0</v>
      </c>
      <c r="P1042" s="14">
        <v>843</v>
      </c>
      <c r="Q1042">
        <v>6823</v>
      </c>
      <c r="R1042">
        <v>362</v>
      </c>
      <c r="S1042">
        <v>503</v>
      </c>
    </row>
    <row r="1043" spans="11:19" x14ac:dyDescent="0.3">
      <c r="K1043" s="16">
        <f t="shared" si="15"/>
        <v>44059</v>
      </c>
      <c r="L1043" s="17">
        <v>0.375</v>
      </c>
      <c r="M1043" s="14">
        <v>602</v>
      </c>
      <c r="N1043" s="14">
        <v>0</v>
      </c>
      <c r="O1043" s="14">
        <v>80</v>
      </c>
      <c r="P1043" s="14">
        <v>682</v>
      </c>
      <c r="Q1043">
        <v>7456</v>
      </c>
      <c r="R1043">
        <v>499</v>
      </c>
      <c r="S1043">
        <v>1157</v>
      </c>
    </row>
    <row r="1044" spans="11:19" x14ac:dyDescent="0.3">
      <c r="K1044" s="16">
        <f t="shared" si="15"/>
        <v>44059</v>
      </c>
      <c r="L1044" s="17">
        <v>0.41666666666666669</v>
      </c>
      <c r="M1044" s="14">
        <v>602</v>
      </c>
      <c r="N1044" s="14">
        <v>0</v>
      </c>
      <c r="O1044" s="14">
        <v>-12</v>
      </c>
      <c r="P1044" s="14">
        <v>590</v>
      </c>
      <c r="Q1044">
        <v>7978</v>
      </c>
      <c r="R1044">
        <v>497</v>
      </c>
      <c r="S1044">
        <v>1775</v>
      </c>
    </row>
    <row r="1045" spans="11:19" x14ac:dyDescent="0.3">
      <c r="K1045" s="16">
        <f t="shared" si="15"/>
        <v>44059</v>
      </c>
      <c r="L1045" s="17">
        <v>0.45833333333333331</v>
      </c>
      <c r="M1045" s="14">
        <v>602</v>
      </c>
      <c r="N1045" s="14">
        <v>0</v>
      </c>
      <c r="O1045" s="14">
        <v>-176</v>
      </c>
      <c r="P1045" s="14">
        <v>426</v>
      </c>
      <c r="Q1045">
        <v>8352</v>
      </c>
      <c r="R1045">
        <v>616</v>
      </c>
      <c r="S1045">
        <v>2199</v>
      </c>
    </row>
    <row r="1046" spans="11:19" x14ac:dyDescent="0.3">
      <c r="K1046" s="16">
        <f t="shared" si="15"/>
        <v>44059</v>
      </c>
      <c r="L1046" s="17">
        <v>0.5</v>
      </c>
      <c r="M1046" s="14">
        <v>602</v>
      </c>
      <c r="N1046" s="14">
        <v>0</v>
      </c>
      <c r="O1046" s="14">
        <v>-260</v>
      </c>
      <c r="P1046" s="14">
        <v>342</v>
      </c>
      <c r="Q1046">
        <v>8790</v>
      </c>
      <c r="R1046">
        <v>854</v>
      </c>
      <c r="S1046">
        <v>2485</v>
      </c>
    </row>
    <row r="1047" spans="11:19" x14ac:dyDescent="0.3">
      <c r="K1047" s="16">
        <f t="shared" si="15"/>
        <v>44059</v>
      </c>
      <c r="L1047" s="17">
        <v>0.54166666666666663</v>
      </c>
      <c r="M1047" s="14">
        <v>602</v>
      </c>
      <c r="N1047" s="14">
        <v>0</v>
      </c>
      <c r="O1047" s="14">
        <v>-705</v>
      </c>
      <c r="P1047" s="14">
        <v>-103</v>
      </c>
      <c r="Q1047">
        <v>8576</v>
      </c>
      <c r="R1047">
        <v>936</v>
      </c>
      <c r="S1047">
        <v>2637</v>
      </c>
    </row>
    <row r="1048" spans="11:19" x14ac:dyDescent="0.3">
      <c r="K1048" s="16">
        <f t="shared" si="15"/>
        <v>44059</v>
      </c>
      <c r="L1048" s="17">
        <v>0.58333333333333337</v>
      </c>
      <c r="M1048" s="14">
        <v>602</v>
      </c>
      <c r="N1048" s="14">
        <v>0</v>
      </c>
      <c r="O1048" s="14">
        <v>-696</v>
      </c>
      <c r="P1048" s="14">
        <v>-94</v>
      </c>
      <c r="Q1048">
        <v>8587</v>
      </c>
      <c r="R1048">
        <v>967</v>
      </c>
      <c r="S1048">
        <v>2609</v>
      </c>
    </row>
    <row r="1049" spans="11:19" x14ac:dyDescent="0.3">
      <c r="K1049" s="16">
        <f t="shared" si="15"/>
        <v>44059</v>
      </c>
      <c r="L1049" s="17">
        <v>0.625</v>
      </c>
      <c r="M1049" s="14">
        <v>602</v>
      </c>
      <c r="N1049" s="14">
        <v>0</v>
      </c>
      <c r="O1049" s="14">
        <v>-671</v>
      </c>
      <c r="P1049" s="14">
        <v>-69</v>
      </c>
      <c r="Q1049">
        <v>8486</v>
      </c>
      <c r="R1049">
        <v>1001</v>
      </c>
      <c r="S1049">
        <v>2452</v>
      </c>
    </row>
    <row r="1050" spans="11:19" x14ac:dyDescent="0.3">
      <c r="K1050" s="16">
        <f t="shared" si="15"/>
        <v>44059</v>
      </c>
      <c r="L1050" s="17">
        <v>0.66666666666666663</v>
      </c>
      <c r="M1050" s="14">
        <v>602</v>
      </c>
      <c r="N1050" s="14">
        <v>0</v>
      </c>
      <c r="O1050" s="14">
        <v>-559</v>
      </c>
      <c r="P1050" s="14">
        <v>43</v>
      </c>
      <c r="Q1050">
        <v>8384</v>
      </c>
      <c r="R1050">
        <v>1126</v>
      </c>
      <c r="S1050">
        <v>2123</v>
      </c>
    </row>
    <row r="1051" spans="11:19" x14ac:dyDescent="0.3">
      <c r="K1051" s="16">
        <f t="shared" ref="K1051:K1114" si="16">K1027+1</f>
        <v>44059</v>
      </c>
      <c r="L1051" s="17">
        <v>0.70833333333333337</v>
      </c>
      <c r="M1051" s="14">
        <v>602</v>
      </c>
      <c r="N1051" s="14">
        <v>0</v>
      </c>
      <c r="O1051" s="14">
        <v>-258</v>
      </c>
      <c r="P1051" s="14">
        <v>344</v>
      </c>
      <c r="Q1051">
        <v>8361</v>
      </c>
      <c r="R1051">
        <v>1230</v>
      </c>
      <c r="S1051">
        <v>1703</v>
      </c>
    </row>
    <row r="1052" spans="11:19" x14ac:dyDescent="0.3">
      <c r="K1052" s="16">
        <f t="shared" si="16"/>
        <v>44059</v>
      </c>
      <c r="L1052" s="17">
        <v>0.75</v>
      </c>
      <c r="M1052" s="14">
        <v>602</v>
      </c>
      <c r="N1052" s="14">
        <v>211</v>
      </c>
      <c r="O1052" s="14">
        <v>0</v>
      </c>
      <c r="P1052" s="14">
        <v>813</v>
      </c>
      <c r="Q1052">
        <v>8199</v>
      </c>
      <c r="R1052">
        <v>1219</v>
      </c>
      <c r="S1052">
        <v>1090</v>
      </c>
    </row>
    <row r="1053" spans="11:19" x14ac:dyDescent="0.3">
      <c r="K1053" s="16">
        <f t="shared" si="16"/>
        <v>44059</v>
      </c>
      <c r="L1053" s="17">
        <v>0.79166666666666663</v>
      </c>
      <c r="M1053" s="14">
        <v>602</v>
      </c>
      <c r="N1053" s="14">
        <v>0</v>
      </c>
      <c r="O1053" s="14">
        <v>833</v>
      </c>
      <c r="P1053" s="14">
        <v>1435</v>
      </c>
      <c r="Q1053">
        <v>8134</v>
      </c>
      <c r="R1053">
        <v>1114</v>
      </c>
      <c r="S1053">
        <v>518</v>
      </c>
    </row>
    <row r="1054" spans="11:19" x14ac:dyDescent="0.3">
      <c r="K1054" s="16">
        <f t="shared" si="16"/>
        <v>44059</v>
      </c>
      <c r="L1054" s="17">
        <v>0.83333333333333337</v>
      </c>
      <c r="M1054" s="14">
        <v>602</v>
      </c>
      <c r="N1054" s="14">
        <v>810</v>
      </c>
      <c r="O1054" s="14">
        <v>252</v>
      </c>
      <c r="P1054" s="14">
        <v>1664</v>
      </c>
      <c r="Q1054">
        <v>8002</v>
      </c>
      <c r="R1054">
        <v>1098</v>
      </c>
      <c r="S1054">
        <v>180</v>
      </c>
    </row>
    <row r="1055" spans="11:19" x14ac:dyDescent="0.3">
      <c r="K1055" s="16">
        <f t="shared" si="16"/>
        <v>44059</v>
      </c>
      <c r="L1055" s="17">
        <v>0.875</v>
      </c>
      <c r="M1055" s="14">
        <v>602</v>
      </c>
      <c r="N1055" s="14">
        <v>810</v>
      </c>
      <c r="O1055" s="14">
        <v>531</v>
      </c>
      <c r="P1055" s="14">
        <v>1943</v>
      </c>
      <c r="Q1055">
        <v>8229</v>
      </c>
      <c r="R1055">
        <v>1200</v>
      </c>
      <c r="S1055">
        <v>27</v>
      </c>
    </row>
    <row r="1056" spans="11:19" x14ac:dyDescent="0.3">
      <c r="K1056" s="16">
        <f t="shared" si="16"/>
        <v>44059</v>
      </c>
      <c r="L1056" s="17">
        <v>0.91666666666666663</v>
      </c>
      <c r="M1056" s="14">
        <v>602</v>
      </c>
      <c r="N1056" s="14">
        <v>0</v>
      </c>
      <c r="O1056" s="14">
        <v>591</v>
      </c>
      <c r="P1056" s="14">
        <v>1193</v>
      </c>
      <c r="Q1056">
        <v>8693</v>
      </c>
      <c r="R1056">
        <v>1086</v>
      </c>
      <c r="S1056">
        <v>0</v>
      </c>
    </row>
    <row r="1057" spans="11:19" x14ac:dyDescent="0.3">
      <c r="K1057" s="16">
        <f t="shared" si="16"/>
        <v>44059</v>
      </c>
      <c r="L1057" s="17">
        <v>0.95833333333333337</v>
      </c>
      <c r="M1057" s="14">
        <v>602</v>
      </c>
      <c r="N1057" s="14">
        <v>810</v>
      </c>
      <c r="O1057" s="14">
        <v>0</v>
      </c>
      <c r="P1057" s="14">
        <v>1412</v>
      </c>
      <c r="Q1057">
        <v>8444</v>
      </c>
      <c r="R1057">
        <v>1153</v>
      </c>
      <c r="S1057">
        <v>0</v>
      </c>
    </row>
    <row r="1058" spans="11:19" x14ac:dyDescent="0.3">
      <c r="K1058" s="16">
        <f t="shared" si="16"/>
        <v>44060</v>
      </c>
      <c r="L1058" s="17">
        <v>0</v>
      </c>
      <c r="M1058" s="14">
        <v>602</v>
      </c>
      <c r="N1058" s="14">
        <v>0</v>
      </c>
      <c r="O1058" s="14">
        <v>0</v>
      </c>
      <c r="P1058" s="14">
        <v>602</v>
      </c>
      <c r="Q1058">
        <v>7837</v>
      </c>
      <c r="R1058">
        <v>1135</v>
      </c>
      <c r="S1058">
        <v>0</v>
      </c>
    </row>
    <row r="1059" spans="11:19" x14ac:dyDescent="0.3">
      <c r="K1059" s="16">
        <f t="shared" si="16"/>
        <v>44060</v>
      </c>
      <c r="L1059" s="17">
        <v>4.1666666666666664E-2</v>
      </c>
      <c r="M1059" s="14">
        <v>602</v>
      </c>
      <c r="N1059" s="14">
        <v>429</v>
      </c>
      <c r="O1059" s="14">
        <v>0</v>
      </c>
      <c r="P1059" s="14">
        <v>1031</v>
      </c>
      <c r="Q1059">
        <v>7425</v>
      </c>
      <c r="R1059">
        <v>1032</v>
      </c>
      <c r="S1059">
        <v>0</v>
      </c>
    </row>
    <row r="1060" spans="11:19" x14ac:dyDescent="0.3">
      <c r="K1060" s="16">
        <f t="shared" si="16"/>
        <v>44060</v>
      </c>
      <c r="L1060" s="17">
        <v>8.3333333333333329E-2</v>
      </c>
      <c r="M1060" s="14">
        <v>602</v>
      </c>
      <c r="N1060" s="14">
        <v>236</v>
      </c>
      <c r="O1060" s="14">
        <v>0</v>
      </c>
      <c r="P1060" s="14">
        <v>838</v>
      </c>
      <c r="Q1060">
        <v>7123</v>
      </c>
      <c r="R1060">
        <v>924</v>
      </c>
      <c r="S1060">
        <v>0</v>
      </c>
    </row>
    <row r="1061" spans="11:19" x14ac:dyDescent="0.3">
      <c r="K1061" s="16">
        <f t="shared" si="16"/>
        <v>44060</v>
      </c>
      <c r="L1061" s="17">
        <v>0.125</v>
      </c>
      <c r="M1061" s="14">
        <v>602</v>
      </c>
      <c r="N1061" s="14">
        <v>0</v>
      </c>
      <c r="O1061" s="14">
        <v>0</v>
      </c>
      <c r="P1061" s="14">
        <v>602</v>
      </c>
      <c r="Q1061">
        <v>6802</v>
      </c>
      <c r="R1061">
        <v>850</v>
      </c>
      <c r="S1061">
        <v>0</v>
      </c>
    </row>
    <row r="1062" spans="11:19" x14ac:dyDescent="0.3">
      <c r="K1062" s="16">
        <f t="shared" si="16"/>
        <v>44060</v>
      </c>
      <c r="L1062" s="17">
        <v>0.16666666666666666</v>
      </c>
      <c r="M1062" s="14">
        <v>602</v>
      </c>
      <c r="N1062" s="14">
        <v>0</v>
      </c>
      <c r="O1062" s="14">
        <v>0</v>
      </c>
      <c r="P1062" s="14">
        <v>602</v>
      </c>
      <c r="Q1062">
        <v>6730</v>
      </c>
      <c r="R1062">
        <v>851</v>
      </c>
      <c r="S1062">
        <v>0</v>
      </c>
    </row>
    <row r="1063" spans="11:19" x14ac:dyDescent="0.3">
      <c r="K1063" s="16">
        <f t="shared" si="16"/>
        <v>44060</v>
      </c>
      <c r="L1063" s="17">
        <v>0.20833333333333334</v>
      </c>
      <c r="M1063" s="14">
        <v>602</v>
      </c>
      <c r="N1063" s="14">
        <v>0</v>
      </c>
      <c r="O1063" s="14">
        <v>0</v>
      </c>
      <c r="P1063" s="14">
        <v>602</v>
      </c>
      <c r="Q1063">
        <v>6840</v>
      </c>
      <c r="R1063">
        <v>778</v>
      </c>
      <c r="S1063">
        <v>0</v>
      </c>
    </row>
    <row r="1064" spans="11:19" x14ac:dyDescent="0.3">
      <c r="K1064" s="16">
        <f t="shared" si="16"/>
        <v>44060</v>
      </c>
      <c r="L1064" s="17">
        <v>0.25</v>
      </c>
      <c r="M1064" s="14">
        <v>602</v>
      </c>
      <c r="N1064" s="14">
        <v>522</v>
      </c>
      <c r="O1064" s="14">
        <v>0</v>
      </c>
      <c r="P1064" s="14">
        <v>1124</v>
      </c>
      <c r="Q1064">
        <v>7044</v>
      </c>
      <c r="R1064">
        <v>735</v>
      </c>
      <c r="S1064">
        <v>4</v>
      </c>
    </row>
    <row r="1065" spans="11:19" x14ac:dyDescent="0.3">
      <c r="K1065" s="16">
        <f t="shared" si="16"/>
        <v>44060</v>
      </c>
      <c r="L1065" s="17">
        <v>0.29166666666666669</v>
      </c>
      <c r="M1065" s="14">
        <v>602</v>
      </c>
      <c r="N1065" s="14">
        <v>737</v>
      </c>
      <c r="O1065" s="14">
        <v>0</v>
      </c>
      <c r="P1065" s="14">
        <v>1339</v>
      </c>
      <c r="Q1065">
        <v>7468</v>
      </c>
      <c r="R1065">
        <v>806</v>
      </c>
      <c r="S1065">
        <v>117</v>
      </c>
    </row>
    <row r="1066" spans="11:19" x14ac:dyDescent="0.3">
      <c r="K1066" s="16">
        <f t="shared" si="16"/>
        <v>44060</v>
      </c>
      <c r="L1066" s="17">
        <v>0.33333333333333331</v>
      </c>
      <c r="M1066" s="14">
        <v>602</v>
      </c>
      <c r="N1066" s="14">
        <v>769</v>
      </c>
      <c r="O1066" s="14">
        <v>0</v>
      </c>
      <c r="P1066" s="14">
        <v>1371</v>
      </c>
      <c r="Q1066">
        <v>8085</v>
      </c>
      <c r="R1066">
        <v>940</v>
      </c>
      <c r="S1066">
        <v>482</v>
      </c>
    </row>
    <row r="1067" spans="11:19" x14ac:dyDescent="0.3">
      <c r="K1067" s="16">
        <f t="shared" si="16"/>
        <v>44060</v>
      </c>
      <c r="L1067" s="17">
        <v>0.375</v>
      </c>
      <c r="M1067" s="14">
        <v>602</v>
      </c>
      <c r="N1067" s="14">
        <v>0</v>
      </c>
      <c r="O1067" s="14">
        <v>0</v>
      </c>
      <c r="P1067" s="14">
        <v>602</v>
      </c>
      <c r="Q1067">
        <v>8783</v>
      </c>
      <c r="R1067">
        <v>1008</v>
      </c>
      <c r="S1067">
        <v>1043</v>
      </c>
    </row>
    <row r="1068" spans="11:19" x14ac:dyDescent="0.3">
      <c r="K1068" s="16">
        <f t="shared" si="16"/>
        <v>44060</v>
      </c>
      <c r="L1068" s="17">
        <v>0.41666666666666669</v>
      </c>
      <c r="M1068" s="14">
        <v>602</v>
      </c>
      <c r="N1068" s="14">
        <v>646</v>
      </c>
      <c r="O1068" s="14">
        <v>0</v>
      </c>
      <c r="P1068" s="14">
        <v>1248</v>
      </c>
      <c r="Q1068">
        <v>9246</v>
      </c>
      <c r="R1068">
        <v>1133</v>
      </c>
      <c r="S1068">
        <v>1577</v>
      </c>
    </row>
    <row r="1069" spans="11:19" x14ac:dyDescent="0.3">
      <c r="K1069" s="16">
        <f t="shared" si="16"/>
        <v>44060</v>
      </c>
      <c r="L1069" s="17">
        <v>0.45833333333333331</v>
      </c>
      <c r="M1069" s="14">
        <v>602</v>
      </c>
      <c r="N1069" s="14">
        <v>707</v>
      </c>
      <c r="O1069" s="14">
        <v>0</v>
      </c>
      <c r="P1069" s="14">
        <v>1309</v>
      </c>
      <c r="Q1069">
        <v>9562</v>
      </c>
      <c r="R1069">
        <v>1014</v>
      </c>
      <c r="S1069">
        <v>1951</v>
      </c>
    </row>
    <row r="1070" spans="11:19" x14ac:dyDescent="0.3">
      <c r="K1070" s="16">
        <f t="shared" si="16"/>
        <v>44060</v>
      </c>
      <c r="L1070" s="17">
        <v>0.5</v>
      </c>
      <c r="M1070" s="14">
        <v>602</v>
      </c>
      <c r="N1070" s="14">
        <v>869</v>
      </c>
      <c r="O1070" s="14">
        <v>0</v>
      </c>
      <c r="P1070" s="14">
        <v>1471</v>
      </c>
      <c r="Q1070">
        <v>9878</v>
      </c>
      <c r="R1070">
        <v>920</v>
      </c>
      <c r="S1070">
        <v>2201</v>
      </c>
    </row>
    <row r="1071" spans="11:19" x14ac:dyDescent="0.3">
      <c r="K1071" s="16">
        <f t="shared" si="16"/>
        <v>44060</v>
      </c>
      <c r="L1071" s="17">
        <v>0.54166666666666663</v>
      </c>
      <c r="M1071" s="14">
        <v>602</v>
      </c>
      <c r="N1071" s="14">
        <v>866</v>
      </c>
      <c r="O1071" s="14">
        <v>0</v>
      </c>
      <c r="P1071" s="14">
        <v>1468</v>
      </c>
      <c r="Q1071">
        <v>9759</v>
      </c>
      <c r="R1071">
        <v>752</v>
      </c>
      <c r="S1071">
        <v>2338</v>
      </c>
    </row>
    <row r="1072" spans="11:19" x14ac:dyDescent="0.3">
      <c r="K1072" s="16">
        <f t="shared" si="16"/>
        <v>44060</v>
      </c>
      <c r="L1072" s="17">
        <v>0.58333333333333337</v>
      </c>
      <c r="M1072" s="14">
        <v>602</v>
      </c>
      <c r="N1072" s="14">
        <v>1055</v>
      </c>
      <c r="O1072" s="14">
        <v>0</v>
      </c>
      <c r="P1072" s="14">
        <v>1657</v>
      </c>
      <c r="Q1072">
        <v>9861</v>
      </c>
      <c r="R1072">
        <v>605</v>
      </c>
      <c r="S1072">
        <v>2342</v>
      </c>
    </row>
    <row r="1073" spans="11:19" x14ac:dyDescent="0.3">
      <c r="K1073" s="16">
        <f t="shared" si="16"/>
        <v>44060</v>
      </c>
      <c r="L1073" s="17">
        <v>0.625</v>
      </c>
      <c r="M1073" s="14">
        <v>602</v>
      </c>
      <c r="N1073" s="14">
        <v>1038</v>
      </c>
      <c r="O1073" s="14">
        <v>0</v>
      </c>
      <c r="P1073" s="14">
        <v>1640</v>
      </c>
      <c r="Q1073">
        <v>9708</v>
      </c>
      <c r="R1073">
        <v>663</v>
      </c>
      <c r="S1073">
        <v>2204</v>
      </c>
    </row>
    <row r="1074" spans="11:19" x14ac:dyDescent="0.3">
      <c r="K1074" s="16">
        <f t="shared" si="16"/>
        <v>44060</v>
      </c>
      <c r="L1074" s="17">
        <v>0.66666666666666663</v>
      </c>
      <c r="M1074" s="14">
        <v>602</v>
      </c>
      <c r="N1074" s="14">
        <v>792</v>
      </c>
      <c r="O1074" s="14">
        <v>0</v>
      </c>
      <c r="P1074" s="14">
        <v>1394</v>
      </c>
      <c r="Q1074">
        <v>9537</v>
      </c>
      <c r="R1074">
        <v>978</v>
      </c>
      <c r="S1074">
        <v>1968</v>
      </c>
    </row>
    <row r="1075" spans="11:19" x14ac:dyDescent="0.3">
      <c r="K1075" s="16">
        <f t="shared" si="16"/>
        <v>44060</v>
      </c>
      <c r="L1075" s="17">
        <v>0.70833333333333337</v>
      </c>
      <c r="M1075" s="14">
        <v>602</v>
      </c>
      <c r="N1075" s="14">
        <v>867</v>
      </c>
      <c r="O1075" s="14">
        <v>0</v>
      </c>
      <c r="P1075" s="14">
        <v>1469</v>
      </c>
      <c r="Q1075">
        <v>9406</v>
      </c>
      <c r="R1075">
        <v>1191</v>
      </c>
      <c r="S1075">
        <v>1554</v>
      </c>
    </row>
    <row r="1076" spans="11:19" x14ac:dyDescent="0.3">
      <c r="K1076" s="16">
        <f t="shared" si="16"/>
        <v>44060</v>
      </c>
      <c r="L1076" s="17">
        <v>0.75</v>
      </c>
      <c r="M1076" s="14">
        <v>602</v>
      </c>
      <c r="N1076" s="14">
        <v>775</v>
      </c>
      <c r="O1076" s="14">
        <v>0</v>
      </c>
      <c r="P1076" s="14">
        <v>1377</v>
      </c>
      <c r="Q1076">
        <v>9109</v>
      </c>
      <c r="R1076">
        <v>1472</v>
      </c>
      <c r="S1076">
        <v>993</v>
      </c>
    </row>
    <row r="1077" spans="11:19" x14ac:dyDescent="0.3">
      <c r="K1077" s="16">
        <f t="shared" si="16"/>
        <v>44060</v>
      </c>
      <c r="L1077" s="17">
        <v>0.79166666666666663</v>
      </c>
      <c r="M1077" s="14">
        <v>602</v>
      </c>
      <c r="N1077" s="14">
        <v>717</v>
      </c>
      <c r="O1077" s="14">
        <v>0</v>
      </c>
      <c r="P1077" s="14">
        <v>1319</v>
      </c>
      <c r="Q1077">
        <v>8771</v>
      </c>
      <c r="R1077">
        <v>1739</v>
      </c>
      <c r="S1077">
        <v>462</v>
      </c>
    </row>
    <row r="1078" spans="11:19" x14ac:dyDescent="0.3">
      <c r="K1078" s="16">
        <f t="shared" si="16"/>
        <v>44060</v>
      </c>
      <c r="L1078" s="17">
        <v>0.83333333333333337</v>
      </c>
      <c r="M1078" s="14">
        <v>602</v>
      </c>
      <c r="N1078" s="14">
        <v>0</v>
      </c>
      <c r="O1078" s="14">
        <v>0</v>
      </c>
      <c r="P1078" s="14">
        <v>602</v>
      </c>
      <c r="Q1078">
        <v>8358</v>
      </c>
      <c r="R1078">
        <v>1858</v>
      </c>
      <c r="S1078">
        <v>151</v>
      </c>
    </row>
    <row r="1079" spans="11:19" x14ac:dyDescent="0.3">
      <c r="K1079" s="16">
        <f t="shared" si="16"/>
        <v>44060</v>
      </c>
      <c r="L1079" s="17">
        <v>0.875</v>
      </c>
      <c r="M1079" s="14">
        <v>602</v>
      </c>
      <c r="N1079" s="14">
        <v>534</v>
      </c>
      <c r="O1079" s="14">
        <v>0</v>
      </c>
      <c r="P1079" s="14">
        <v>1136</v>
      </c>
      <c r="Q1079">
        <v>8517</v>
      </c>
      <c r="R1079">
        <v>2136</v>
      </c>
      <c r="S1079">
        <v>20</v>
      </c>
    </row>
    <row r="1080" spans="11:19" x14ac:dyDescent="0.3">
      <c r="K1080" s="16">
        <f t="shared" si="16"/>
        <v>44060</v>
      </c>
      <c r="L1080" s="17">
        <v>0.91666666666666663</v>
      </c>
      <c r="M1080" s="14">
        <v>602</v>
      </c>
      <c r="N1080" s="14">
        <v>1055</v>
      </c>
      <c r="O1080" s="14">
        <v>0</v>
      </c>
      <c r="P1080" s="14">
        <v>1657</v>
      </c>
      <c r="Q1080">
        <v>8869</v>
      </c>
      <c r="R1080">
        <v>1911</v>
      </c>
      <c r="S1080">
        <v>0</v>
      </c>
    </row>
    <row r="1081" spans="11:19" x14ac:dyDescent="0.3">
      <c r="K1081" s="16">
        <f t="shared" si="16"/>
        <v>44060</v>
      </c>
      <c r="L1081" s="17">
        <v>0.95833333333333337</v>
      </c>
      <c r="M1081" s="14">
        <v>602</v>
      </c>
      <c r="N1081" s="14">
        <v>1055</v>
      </c>
      <c r="O1081" s="14">
        <v>0</v>
      </c>
      <c r="P1081" s="14">
        <v>1657</v>
      </c>
      <c r="Q1081">
        <v>8636</v>
      </c>
      <c r="R1081">
        <v>1770</v>
      </c>
      <c r="S1081">
        <v>0</v>
      </c>
    </row>
    <row r="1082" spans="11:19" x14ac:dyDescent="0.3">
      <c r="K1082" s="16">
        <f t="shared" si="16"/>
        <v>44061</v>
      </c>
      <c r="L1082" s="17">
        <v>0</v>
      </c>
      <c r="M1082" s="14">
        <v>602</v>
      </c>
      <c r="N1082" s="14">
        <v>0</v>
      </c>
      <c r="O1082" s="14">
        <v>170</v>
      </c>
      <c r="P1082" s="14">
        <v>772</v>
      </c>
      <c r="Q1082">
        <v>7666</v>
      </c>
      <c r="R1082">
        <v>1770</v>
      </c>
      <c r="S1082">
        <v>0</v>
      </c>
    </row>
    <row r="1083" spans="11:19" x14ac:dyDescent="0.3">
      <c r="K1083" s="16">
        <f t="shared" si="16"/>
        <v>44061</v>
      </c>
      <c r="L1083" s="17">
        <v>4.1666666666666664E-2</v>
      </c>
      <c r="M1083" s="14">
        <v>602</v>
      </c>
      <c r="N1083" s="14">
        <v>0</v>
      </c>
      <c r="O1083" s="14">
        <v>297</v>
      </c>
      <c r="P1083" s="14">
        <v>899</v>
      </c>
      <c r="Q1083">
        <v>7264</v>
      </c>
      <c r="R1083">
        <v>1243</v>
      </c>
      <c r="S1083">
        <v>0</v>
      </c>
    </row>
    <row r="1084" spans="11:19" x14ac:dyDescent="0.3">
      <c r="K1084" s="16">
        <f t="shared" si="16"/>
        <v>44061</v>
      </c>
      <c r="L1084" s="17">
        <v>8.3333333333333329E-2</v>
      </c>
      <c r="M1084" s="14">
        <v>602</v>
      </c>
      <c r="N1084" s="14">
        <v>0</v>
      </c>
      <c r="O1084" s="14">
        <v>212</v>
      </c>
      <c r="P1084" s="14">
        <v>814</v>
      </c>
      <c r="Q1084">
        <v>6927</v>
      </c>
      <c r="R1084">
        <v>992</v>
      </c>
      <c r="S1084">
        <v>0</v>
      </c>
    </row>
    <row r="1085" spans="11:19" x14ac:dyDescent="0.3">
      <c r="K1085" s="16">
        <f t="shared" si="16"/>
        <v>44061</v>
      </c>
      <c r="L1085" s="17">
        <v>0.125</v>
      </c>
      <c r="M1085" s="14">
        <v>602</v>
      </c>
      <c r="N1085" s="14">
        <v>0</v>
      </c>
      <c r="O1085" s="14">
        <v>-43</v>
      </c>
      <c r="P1085" s="14">
        <v>559</v>
      </c>
      <c r="Q1085">
        <v>6559</v>
      </c>
      <c r="R1085">
        <v>877</v>
      </c>
      <c r="S1085">
        <v>0</v>
      </c>
    </row>
    <row r="1086" spans="11:19" x14ac:dyDescent="0.3">
      <c r="K1086" s="16">
        <f t="shared" si="16"/>
        <v>44061</v>
      </c>
      <c r="L1086" s="17">
        <v>0.16666666666666666</v>
      </c>
      <c r="M1086" s="14">
        <v>602</v>
      </c>
      <c r="N1086" s="14">
        <v>70</v>
      </c>
      <c r="O1086" s="14">
        <v>0</v>
      </c>
      <c r="P1086" s="14">
        <v>672</v>
      </c>
      <c r="Q1086">
        <v>6405</v>
      </c>
      <c r="R1086">
        <v>688</v>
      </c>
      <c r="S1086">
        <v>0</v>
      </c>
    </row>
    <row r="1087" spans="11:19" x14ac:dyDescent="0.3">
      <c r="K1087" s="16">
        <f t="shared" si="16"/>
        <v>44061</v>
      </c>
      <c r="L1087" s="17">
        <v>0.20833333333333334</v>
      </c>
      <c r="M1087" s="14">
        <v>602</v>
      </c>
      <c r="N1087" s="14">
        <v>0</v>
      </c>
      <c r="O1087" s="14">
        <v>-33</v>
      </c>
      <c r="P1087" s="14">
        <v>569</v>
      </c>
      <c r="Q1087">
        <v>6352</v>
      </c>
      <c r="R1087">
        <v>724</v>
      </c>
      <c r="S1087">
        <v>0</v>
      </c>
    </row>
    <row r="1088" spans="11:19" x14ac:dyDescent="0.3">
      <c r="K1088" s="16">
        <f t="shared" si="16"/>
        <v>44061</v>
      </c>
      <c r="L1088" s="17">
        <v>0.25</v>
      </c>
      <c r="M1088" s="14">
        <v>602</v>
      </c>
      <c r="N1088" s="14">
        <v>0</v>
      </c>
      <c r="O1088" s="14">
        <v>-12</v>
      </c>
      <c r="P1088" s="14">
        <v>590</v>
      </c>
      <c r="Q1088">
        <v>6330</v>
      </c>
      <c r="R1088">
        <v>638</v>
      </c>
      <c r="S1088">
        <v>1</v>
      </c>
    </row>
    <row r="1089" spans="11:19" x14ac:dyDescent="0.3">
      <c r="K1089" s="16">
        <f t="shared" si="16"/>
        <v>44061</v>
      </c>
      <c r="L1089" s="17">
        <v>0.29166666666666669</v>
      </c>
      <c r="M1089" s="14">
        <v>602</v>
      </c>
      <c r="N1089" s="14">
        <v>0</v>
      </c>
      <c r="O1089" s="14">
        <v>53</v>
      </c>
      <c r="P1089" s="14">
        <v>655</v>
      </c>
      <c r="Q1089">
        <v>6511</v>
      </c>
      <c r="R1089">
        <v>622</v>
      </c>
      <c r="S1089">
        <v>109</v>
      </c>
    </row>
    <row r="1090" spans="11:19" x14ac:dyDescent="0.3">
      <c r="K1090" s="16">
        <f t="shared" si="16"/>
        <v>44061</v>
      </c>
      <c r="L1090" s="17">
        <v>0.33333333333333331</v>
      </c>
      <c r="M1090" s="14">
        <v>602</v>
      </c>
      <c r="N1090" s="14">
        <v>0</v>
      </c>
      <c r="O1090" s="14">
        <v>68</v>
      </c>
      <c r="P1090" s="14">
        <v>670</v>
      </c>
      <c r="Q1090">
        <v>6983</v>
      </c>
      <c r="R1090">
        <v>670</v>
      </c>
      <c r="S1090">
        <v>512</v>
      </c>
    </row>
    <row r="1091" spans="11:19" x14ac:dyDescent="0.3">
      <c r="K1091" s="16">
        <f t="shared" si="16"/>
        <v>44061</v>
      </c>
      <c r="L1091" s="17">
        <v>0.375</v>
      </c>
      <c r="M1091" s="14">
        <v>602</v>
      </c>
      <c r="N1091" s="14">
        <v>0</v>
      </c>
      <c r="O1091" s="14">
        <v>179</v>
      </c>
      <c r="P1091" s="14">
        <v>781</v>
      </c>
      <c r="Q1091">
        <v>7619</v>
      </c>
      <c r="R1091">
        <v>598</v>
      </c>
      <c r="S1091">
        <v>1111</v>
      </c>
    </row>
    <row r="1092" spans="11:19" x14ac:dyDescent="0.3">
      <c r="K1092" s="16">
        <f t="shared" si="16"/>
        <v>44061</v>
      </c>
      <c r="L1092" s="17">
        <v>0.41666666666666669</v>
      </c>
      <c r="M1092" s="14">
        <v>602</v>
      </c>
      <c r="N1092" s="14">
        <v>0</v>
      </c>
      <c r="O1092" s="14">
        <v>23</v>
      </c>
      <c r="P1092" s="14">
        <v>625</v>
      </c>
      <c r="Q1092">
        <v>8122</v>
      </c>
      <c r="R1092">
        <v>617</v>
      </c>
      <c r="S1092">
        <v>1753</v>
      </c>
    </row>
    <row r="1093" spans="11:19" x14ac:dyDescent="0.3">
      <c r="K1093" s="16">
        <f t="shared" si="16"/>
        <v>44061</v>
      </c>
      <c r="L1093" s="17">
        <v>0.45833333333333331</v>
      </c>
      <c r="M1093" s="14">
        <v>602</v>
      </c>
      <c r="N1093" s="14">
        <v>0</v>
      </c>
      <c r="O1093" s="14">
        <v>9</v>
      </c>
      <c r="P1093" s="14">
        <v>611</v>
      </c>
      <c r="Q1093">
        <v>8467</v>
      </c>
      <c r="R1093">
        <v>625</v>
      </c>
      <c r="S1093">
        <v>2104</v>
      </c>
    </row>
    <row r="1094" spans="11:19" x14ac:dyDescent="0.3">
      <c r="K1094" s="16">
        <f t="shared" si="16"/>
        <v>44061</v>
      </c>
      <c r="L1094" s="17">
        <v>0.5</v>
      </c>
      <c r="M1094" s="14">
        <v>602</v>
      </c>
      <c r="N1094" s="14">
        <v>0</v>
      </c>
      <c r="O1094" s="14">
        <v>203</v>
      </c>
      <c r="P1094" s="14">
        <v>805</v>
      </c>
      <c r="Q1094">
        <v>8882</v>
      </c>
      <c r="R1094">
        <v>662</v>
      </c>
      <c r="S1094">
        <v>2290</v>
      </c>
    </row>
    <row r="1095" spans="11:19" x14ac:dyDescent="0.3">
      <c r="K1095" s="16">
        <f t="shared" si="16"/>
        <v>44061</v>
      </c>
      <c r="L1095" s="17">
        <v>0.54166666666666663</v>
      </c>
      <c r="M1095" s="14">
        <v>602</v>
      </c>
      <c r="N1095" s="14">
        <v>0</v>
      </c>
      <c r="O1095" s="14">
        <v>-381</v>
      </c>
      <c r="P1095" s="14">
        <v>221</v>
      </c>
      <c r="Q1095">
        <v>8653</v>
      </c>
      <c r="R1095">
        <v>893</v>
      </c>
      <c r="S1095">
        <v>2419</v>
      </c>
    </row>
    <row r="1096" spans="11:19" x14ac:dyDescent="0.3">
      <c r="K1096" s="16">
        <f t="shared" si="16"/>
        <v>44061</v>
      </c>
      <c r="L1096" s="17">
        <v>0.58333333333333337</v>
      </c>
      <c r="M1096" s="14">
        <v>602</v>
      </c>
      <c r="N1096" s="14">
        <v>0</v>
      </c>
      <c r="O1096" s="14">
        <v>-630</v>
      </c>
      <c r="P1096" s="14">
        <v>-28</v>
      </c>
      <c r="Q1096">
        <v>8614</v>
      </c>
      <c r="R1096">
        <v>1118</v>
      </c>
      <c r="S1096">
        <v>2407</v>
      </c>
    </row>
    <row r="1097" spans="11:19" x14ac:dyDescent="0.3">
      <c r="K1097" s="16">
        <f t="shared" si="16"/>
        <v>44061</v>
      </c>
      <c r="L1097" s="17">
        <v>0.625</v>
      </c>
      <c r="M1097" s="14">
        <v>602</v>
      </c>
      <c r="N1097" s="14">
        <v>0</v>
      </c>
      <c r="O1097" s="14">
        <v>-778</v>
      </c>
      <c r="P1097" s="14">
        <v>-176</v>
      </c>
      <c r="Q1097">
        <v>8464</v>
      </c>
      <c r="R1097">
        <v>1284</v>
      </c>
      <c r="S1097">
        <v>2236</v>
      </c>
    </row>
    <row r="1098" spans="11:19" x14ac:dyDescent="0.3">
      <c r="K1098" s="16">
        <f t="shared" si="16"/>
        <v>44061</v>
      </c>
      <c r="L1098" s="17">
        <v>0.66666666666666663</v>
      </c>
      <c r="M1098" s="14">
        <v>602</v>
      </c>
      <c r="N1098" s="14">
        <v>0</v>
      </c>
      <c r="O1098" s="14">
        <v>-946</v>
      </c>
      <c r="P1098" s="14">
        <v>-344</v>
      </c>
      <c r="Q1098">
        <v>8326</v>
      </c>
      <c r="R1098">
        <v>1586</v>
      </c>
      <c r="S1098">
        <v>1968</v>
      </c>
    </row>
    <row r="1099" spans="11:19" x14ac:dyDescent="0.3">
      <c r="K1099" s="16">
        <f t="shared" si="16"/>
        <v>44061</v>
      </c>
      <c r="L1099" s="17">
        <v>0.70833333333333337</v>
      </c>
      <c r="M1099" s="14">
        <v>602</v>
      </c>
      <c r="N1099" s="14">
        <v>0</v>
      </c>
      <c r="O1099" s="14">
        <v>-823</v>
      </c>
      <c r="P1099" s="14">
        <v>-221</v>
      </c>
      <c r="Q1099">
        <v>8267</v>
      </c>
      <c r="R1099">
        <v>1805</v>
      </c>
      <c r="S1099">
        <v>1572</v>
      </c>
    </row>
    <row r="1100" spans="11:19" x14ac:dyDescent="0.3">
      <c r="K1100" s="16">
        <f t="shared" si="16"/>
        <v>44061</v>
      </c>
      <c r="L1100" s="17">
        <v>0.75</v>
      </c>
      <c r="M1100" s="14">
        <v>602</v>
      </c>
      <c r="N1100" s="14">
        <v>0</v>
      </c>
      <c r="O1100" s="14">
        <v>-445</v>
      </c>
      <c r="P1100" s="14">
        <v>157</v>
      </c>
      <c r="Q1100">
        <v>8133</v>
      </c>
      <c r="R1100">
        <v>1903</v>
      </c>
      <c r="S1100">
        <v>967</v>
      </c>
    </row>
    <row r="1101" spans="11:19" x14ac:dyDescent="0.3">
      <c r="K1101" s="16">
        <f t="shared" si="16"/>
        <v>44061</v>
      </c>
      <c r="L1101" s="17">
        <v>0.79166666666666663</v>
      </c>
      <c r="M1101" s="14">
        <v>602</v>
      </c>
      <c r="N1101" s="14">
        <v>0</v>
      </c>
      <c r="O1101" s="14">
        <v>-56</v>
      </c>
      <c r="P1101" s="14">
        <v>546</v>
      </c>
      <c r="Q1101">
        <v>8051</v>
      </c>
      <c r="R1101">
        <v>1970</v>
      </c>
      <c r="S1101">
        <v>445</v>
      </c>
    </row>
    <row r="1102" spans="11:19" x14ac:dyDescent="0.3">
      <c r="K1102" s="16">
        <f t="shared" si="16"/>
        <v>44061</v>
      </c>
      <c r="L1102" s="17">
        <v>0.83333333333333337</v>
      </c>
      <c r="M1102" s="14">
        <v>602</v>
      </c>
      <c r="N1102" s="14">
        <v>0</v>
      </c>
      <c r="O1102" s="14">
        <v>147</v>
      </c>
      <c r="P1102" s="14">
        <v>749</v>
      </c>
      <c r="Q1102">
        <v>7915</v>
      </c>
      <c r="R1102">
        <v>1942</v>
      </c>
      <c r="S1102">
        <v>146</v>
      </c>
    </row>
    <row r="1103" spans="11:19" x14ac:dyDescent="0.3">
      <c r="K1103" s="16">
        <f t="shared" si="16"/>
        <v>44061</v>
      </c>
      <c r="L1103" s="17">
        <v>0.875</v>
      </c>
      <c r="M1103" s="14">
        <v>602</v>
      </c>
      <c r="N1103" s="14">
        <v>25</v>
      </c>
      <c r="O1103" s="14">
        <v>387</v>
      </c>
      <c r="P1103" s="14">
        <v>1014</v>
      </c>
      <c r="Q1103">
        <v>8142</v>
      </c>
      <c r="R1103">
        <v>2047</v>
      </c>
      <c r="S1103">
        <v>17</v>
      </c>
    </row>
    <row r="1104" spans="11:19" x14ac:dyDescent="0.3">
      <c r="K1104" s="16">
        <f t="shared" si="16"/>
        <v>44061</v>
      </c>
      <c r="L1104" s="17">
        <v>0.91666666666666663</v>
      </c>
      <c r="M1104" s="14">
        <v>602</v>
      </c>
      <c r="N1104" s="14">
        <v>0</v>
      </c>
      <c r="O1104" s="14">
        <v>830</v>
      </c>
      <c r="P1104" s="14">
        <v>1432</v>
      </c>
      <c r="Q1104">
        <v>8496</v>
      </c>
      <c r="R1104">
        <v>2006</v>
      </c>
      <c r="S1104">
        <v>0</v>
      </c>
    </row>
    <row r="1105" spans="11:19" x14ac:dyDescent="0.3">
      <c r="K1105" s="16">
        <f t="shared" si="16"/>
        <v>44061</v>
      </c>
      <c r="L1105" s="17">
        <v>0.95833333333333337</v>
      </c>
      <c r="M1105" s="14">
        <v>602</v>
      </c>
      <c r="N1105" s="14">
        <v>0</v>
      </c>
      <c r="O1105" s="14">
        <v>746</v>
      </c>
      <c r="P1105" s="14">
        <v>1348</v>
      </c>
      <c r="Q1105">
        <v>8326</v>
      </c>
      <c r="R1105">
        <v>1929</v>
      </c>
      <c r="S1105">
        <v>0</v>
      </c>
    </row>
    <row r="1106" spans="11:19" x14ac:dyDescent="0.3">
      <c r="K1106" s="16">
        <f t="shared" si="16"/>
        <v>44062</v>
      </c>
      <c r="L1106" s="17">
        <v>0</v>
      </c>
      <c r="M1106" s="14">
        <v>602</v>
      </c>
      <c r="N1106" s="14">
        <v>0</v>
      </c>
      <c r="O1106" s="14">
        <v>-315</v>
      </c>
      <c r="P1106" s="14">
        <v>287</v>
      </c>
      <c r="Q1106">
        <v>7308</v>
      </c>
      <c r="R1106">
        <v>1981</v>
      </c>
      <c r="S1106">
        <v>0</v>
      </c>
    </row>
    <row r="1107" spans="11:19" x14ac:dyDescent="0.3">
      <c r="K1107" s="16">
        <f t="shared" si="16"/>
        <v>44062</v>
      </c>
      <c r="L1107" s="17">
        <v>4.1666666666666664E-2</v>
      </c>
      <c r="M1107" s="14">
        <v>602</v>
      </c>
      <c r="N1107" s="14">
        <v>0</v>
      </c>
      <c r="O1107" s="14">
        <v>-269</v>
      </c>
      <c r="P1107" s="14">
        <v>333</v>
      </c>
      <c r="Q1107">
        <v>6947</v>
      </c>
      <c r="R1107">
        <v>1576</v>
      </c>
      <c r="S1107">
        <v>0</v>
      </c>
    </row>
    <row r="1108" spans="11:19" x14ac:dyDescent="0.3">
      <c r="K1108" s="16">
        <f t="shared" si="16"/>
        <v>44062</v>
      </c>
      <c r="L1108" s="17">
        <v>8.3333333333333329E-2</v>
      </c>
      <c r="M1108" s="14">
        <v>602</v>
      </c>
      <c r="N1108" s="14">
        <v>0</v>
      </c>
      <c r="O1108" s="14">
        <v>-322</v>
      </c>
      <c r="P1108" s="14">
        <v>280</v>
      </c>
      <c r="Q1108">
        <v>6667</v>
      </c>
      <c r="R1108">
        <v>1349</v>
      </c>
      <c r="S1108">
        <v>0</v>
      </c>
    </row>
    <row r="1109" spans="11:19" x14ac:dyDescent="0.3">
      <c r="K1109" s="16">
        <f t="shared" si="16"/>
        <v>44062</v>
      </c>
      <c r="L1109" s="17">
        <v>0.125</v>
      </c>
      <c r="M1109" s="14">
        <v>602</v>
      </c>
      <c r="N1109" s="14">
        <v>0</v>
      </c>
      <c r="O1109" s="14">
        <v>-446</v>
      </c>
      <c r="P1109" s="14">
        <v>156</v>
      </c>
      <c r="Q1109">
        <v>6373</v>
      </c>
      <c r="R1109">
        <v>1176</v>
      </c>
      <c r="S1109">
        <v>0</v>
      </c>
    </row>
    <row r="1110" spans="11:19" x14ac:dyDescent="0.3">
      <c r="K1110" s="16">
        <f t="shared" si="16"/>
        <v>44062</v>
      </c>
      <c r="L1110" s="17">
        <v>0.16666666666666666</v>
      </c>
      <c r="M1110" s="14">
        <v>602</v>
      </c>
      <c r="N1110" s="14">
        <v>0</v>
      </c>
      <c r="O1110" s="14">
        <v>-377</v>
      </c>
      <c r="P1110" s="14">
        <v>225</v>
      </c>
      <c r="Q1110">
        <v>6344</v>
      </c>
      <c r="R1110">
        <v>1076</v>
      </c>
      <c r="S1110">
        <v>0</v>
      </c>
    </row>
    <row r="1111" spans="11:19" x14ac:dyDescent="0.3">
      <c r="K1111" s="16">
        <f t="shared" si="16"/>
        <v>44062</v>
      </c>
      <c r="L1111" s="17">
        <v>0.20833333333333334</v>
      </c>
      <c r="M1111" s="14">
        <v>602</v>
      </c>
      <c r="N1111" s="14">
        <v>0</v>
      </c>
      <c r="O1111" s="14">
        <v>-205</v>
      </c>
      <c r="P1111" s="14">
        <v>397</v>
      </c>
      <c r="Q1111">
        <v>6562</v>
      </c>
      <c r="R1111">
        <v>1116</v>
      </c>
      <c r="S1111">
        <v>0</v>
      </c>
    </row>
    <row r="1112" spans="11:19" x14ac:dyDescent="0.3">
      <c r="K1112" s="16">
        <f t="shared" si="16"/>
        <v>44062</v>
      </c>
      <c r="L1112" s="17">
        <v>0.25</v>
      </c>
      <c r="M1112" s="14">
        <v>602</v>
      </c>
      <c r="N1112" s="14">
        <v>142</v>
      </c>
      <c r="O1112" s="14">
        <v>0</v>
      </c>
      <c r="P1112" s="14">
        <v>744</v>
      </c>
      <c r="Q1112">
        <v>6929</v>
      </c>
      <c r="R1112">
        <v>1110</v>
      </c>
      <c r="S1112">
        <v>2</v>
      </c>
    </row>
    <row r="1113" spans="11:19" x14ac:dyDescent="0.3">
      <c r="K1113" s="16">
        <f t="shared" si="16"/>
        <v>44062</v>
      </c>
      <c r="L1113" s="17">
        <v>0.29166666666666669</v>
      </c>
      <c r="M1113" s="14">
        <v>602</v>
      </c>
      <c r="N1113" s="14">
        <v>480</v>
      </c>
      <c r="O1113" s="14">
        <v>0</v>
      </c>
      <c r="P1113" s="14">
        <v>1082</v>
      </c>
      <c r="Q1113">
        <v>7494</v>
      </c>
      <c r="R1113">
        <v>1217</v>
      </c>
      <c r="S1113">
        <v>92</v>
      </c>
    </row>
    <row r="1114" spans="11:19" x14ac:dyDescent="0.3">
      <c r="K1114" s="16">
        <f t="shared" si="16"/>
        <v>44062</v>
      </c>
      <c r="L1114" s="17">
        <v>0.33333333333333331</v>
      </c>
      <c r="M1114" s="14">
        <v>602</v>
      </c>
      <c r="N1114" s="14">
        <v>653</v>
      </c>
      <c r="O1114" s="14">
        <v>0</v>
      </c>
      <c r="P1114" s="14">
        <v>1255</v>
      </c>
      <c r="Q1114">
        <v>8123</v>
      </c>
      <c r="R1114">
        <v>1253</v>
      </c>
      <c r="S1114">
        <v>498</v>
      </c>
    </row>
    <row r="1115" spans="11:19" x14ac:dyDescent="0.3">
      <c r="K1115" s="16">
        <f t="shared" ref="K1115:K1178" si="17">K1091+1</f>
        <v>44062</v>
      </c>
      <c r="L1115" s="17">
        <v>0.375</v>
      </c>
      <c r="M1115" s="14">
        <v>602</v>
      </c>
      <c r="N1115" s="14">
        <v>461</v>
      </c>
      <c r="O1115" s="14">
        <v>274</v>
      </c>
      <c r="P1115" s="14">
        <v>1337</v>
      </c>
      <c r="Q1115">
        <v>8704</v>
      </c>
      <c r="R1115">
        <v>1128</v>
      </c>
      <c r="S1115">
        <v>1119</v>
      </c>
    </row>
    <row r="1116" spans="11:19" x14ac:dyDescent="0.3">
      <c r="K1116" s="16">
        <f t="shared" si="17"/>
        <v>44062</v>
      </c>
      <c r="L1116" s="17">
        <v>0.41666666666666669</v>
      </c>
      <c r="M1116" s="14">
        <v>602</v>
      </c>
      <c r="N1116" s="14">
        <v>0</v>
      </c>
      <c r="O1116" s="14">
        <v>318</v>
      </c>
      <c r="P1116" s="14">
        <v>920</v>
      </c>
      <c r="Q1116">
        <v>9072</v>
      </c>
      <c r="R1116">
        <v>1324</v>
      </c>
      <c r="S1116">
        <v>1711</v>
      </c>
    </row>
    <row r="1117" spans="11:19" x14ac:dyDescent="0.3">
      <c r="K1117" s="16">
        <f t="shared" si="17"/>
        <v>44062</v>
      </c>
      <c r="L1117" s="17">
        <v>0.45833333333333331</v>
      </c>
      <c r="M1117" s="14">
        <v>602</v>
      </c>
      <c r="N1117" s="14">
        <v>65</v>
      </c>
      <c r="O1117" s="14">
        <v>0</v>
      </c>
      <c r="P1117" s="14">
        <v>667</v>
      </c>
      <c r="Q1117">
        <v>9364</v>
      </c>
      <c r="R1117">
        <v>1391</v>
      </c>
      <c r="S1117">
        <v>2193</v>
      </c>
    </row>
    <row r="1118" spans="11:19" x14ac:dyDescent="0.3">
      <c r="K1118" s="16">
        <f t="shared" si="17"/>
        <v>44062</v>
      </c>
      <c r="L1118" s="17">
        <v>0.5</v>
      </c>
      <c r="M1118" s="14">
        <v>602</v>
      </c>
      <c r="N1118" s="14">
        <v>11</v>
      </c>
      <c r="O1118" s="14">
        <v>0</v>
      </c>
      <c r="P1118" s="14">
        <v>613</v>
      </c>
      <c r="Q1118">
        <v>9614</v>
      </c>
      <c r="R1118">
        <v>1407</v>
      </c>
      <c r="S1118">
        <v>2483</v>
      </c>
    </row>
    <row r="1119" spans="11:19" x14ac:dyDescent="0.3">
      <c r="K1119" s="16">
        <f t="shared" si="17"/>
        <v>44062</v>
      </c>
      <c r="L1119" s="17">
        <v>0.54166666666666663</v>
      </c>
      <c r="M1119" s="14">
        <v>602</v>
      </c>
      <c r="N1119" s="14">
        <v>0</v>
      </c>
      <c r="O1119" s="14">
        <v>-391</v>
      </c>
      <c r="P1119" s="14">
        <v>211</v>
      </c>
      <c r="Q1119">
        <v>9494</v>
      </c>
      <c r="R1119">
        <v>1491</v>
      </c>
      <c r="S1119">
        <v>2685</v>
      </c>
    </row>
    <row r="1120" spans="11:19" x14ac:dyDescent="0.3">
      <c r="K1120" s="16">
        <f t="shared" si="17"/>
        <v>44062</v>
      </c>
      <c r="L1120" s="17">
        <v>0.58333333333333337</v>
      </c>
      <c r="M1120" s="14">
        <v>602</v>
      </c>
      <c r="N1120" s="14">
        <v>0</v>
      </c>
      <c r="O1120" s="14">
        <v>-356</v>
      </c>
      <c r="P1120" s="14">
        <v>246</v>
      </c>
      <c r="Q1120">
        <v>9527</v>
      </c>
      <c r="R1120">
        <v>1491</v>
      </c>
      <c r="S1120">
        <v>2684</v>
      </c>
    </row>
    <row r="1121" spans="11:19" x14ac:dyDescent="0.3">
      <c r="K1121" s="16">
        <f t="shared" si="17"/>
        <v>44062</v>
      </c>
      <c r="L1121" s="17">
        <v>0.625</v>
      </c>
      <c r="M1121" s="14">
        <v>602</v>
      </c>
      <c r="N1121" s="14">
        <v>0</v>
      </c>
      <c r="O1121" s="14">
        <v>-575</v>
      </c>
      <c r="P1121" s="14">
        <v>27</v>
      </c>
      <c r="Q1121">
        <v>9336</v>
      </c>
      <c r="R1121">
        <v>1689</v>
      </c>
      <c r="S1121">
        <v>2517</v>
      </c>
    </row>
    <row r="1122" spans="11:19" x14ac:dyDescent="0.3">
      <c r="K1122" s="16">
        <f t="shared" si="17"/>
        <v>44062</v>
      </c>
      <c r="L1122" s="17">
        <v>0.66666666666666663</v>
      </c>
      <c r="M1122" s="14">
        <v>602</v>
      </c>
      <c r="N1122" s="14">
        <v>0</v>
      </c>
      <c r="O1122" s="14">
        <v>-490</v>
      </c>
      <c r="P1122" s="14">
        <v>112</v>
      </c>
      <c r="Q1122">
        <v>9146</v>
      </c>
      <c r="R1122">
        <v>1734</v>
      </c>
      <c r="S1122">
        <v>2207</v>
      </c>
    </row>
    <row r="1123" spans="11:19" x14ac:dyDescent="0.3">
      <c r="K1123" s="16">
        <f t="shared" si="17"/>
        <v>44062</v>
      </c>
      <c r="L1123" s="17">
        <v>0.70833333333333337</v>
      </c>
      <c r="M1123" s="14">
        <v>602</v>
      </c>
      <c r="N1123" s="14">
        <v>0</v>
      </c>
      <c r="O1123" s="14">
        <v>-356</v>
      </c>
      <c r="P1123" s="14">
        <v>246</v>
      </c>
      <c r="Q1123">
        <v>9028</v>
      </c>
      <c r="R1123">
        <v>1941</v>
      </c>
      <c r="S1123">
        <v>1756</v>
      </c>
    </row>
    <row r="1124" spans="11:19" x14ac:dyDescent="0.3">
      <c r="K1124" s="16">
        <f t="shared" si="17"/>
        <v>44062</v>
      </c>
      <c r="L1124" s="17">
        <v>0.75</v>
      </c>
      <c r="M1124" s="14">
        <v>602</v>
      </c>
      <c r="N1124" s="14">
        <v>299</v>
      </c>
      <c r="O1124" s="14">
        <v>0</v>
      </c>
      <c r="P1124" s="14">
        <v>901</v>
      </c>
      <c r="Q1124">
        <v>8964</v>
      </c>
      <c r="R1124">
        <v>1886</v>
      </c>
      <c r="S1124">
        <v>1098</v>
      </c>
    </row>
    <row r="1125" spans="11:19" x14ac:dyDescent="0.3">
      <c r="K1125" s="16">
        <f t="shared" si="17"/>
        <v>44062</v>
      </c>
      <c r="L1125" s="17">
        <v>0.79166666666666663</v>
      </c>
      <c r="M1125" s="14">
        <v>602</v>
      </c>
      <c r="N1125" s="14">
        <v>702</v>
      </c>
      <c r="O1125" s="14">
        <v>128</v>
      </c>
      <c r="P1125" s="14">
        <v>1432</v>
      </c>
      <c r="Q1125">
        <v>8784</v>
      </c>
      <c r="R1125">
        <v>1820</v>
      </c>
      <c r="S1125">
        <v>463</v>
      </c>
    </row>
    <row r="1126" spans="11:19" x14ac:dyDescent="0.3">
      <c r="K1126" s="16">
        <f t="shared" si="17"/>
        <v>44062</v>
      </c>
      <c r="L1126" s="17">
        <v>0.83333333333333337</v>
      </c>
      <c r="M1126" s="14">
        <v>602</v>
      </c>
      <c r="N1126" s="14">
        <v>702</v>
      </c>
      <c r="O1126" s="14">
        <v>123</v>
      </c>
      <c r="P1126" s="14">
        <v>1427</v>
      </c>
      <c r="Q1126">
        <v>8248</v>
      </c>
      <c r="R1126">
        <v>1667</v>
      </c>
      <c r="S1126">
        <v>93</v>
      </c>
    </row>
    <row r="1127" spans="11:19" x14ac:dyDescent="0.3">
      <c r="K1127" s="16">
        <f t="shared" si="17"/>
        <v>44062</v>
      </c>
      <c r="L1127" s="17">
        <v>0.875</v>
      </c>
      <c r="M1127" s="14">
        <v>602</v>
      </c>
      <c r="N1127" s="14">
        <v>0</v>
      </c>
      <c r="O1127" s="14">
        <v>737</v>
      </c>
      <c r="P1127" s="14">
        <v>1339</v>
      </c>
      <c r="Q1127">
        <v>8199</v>
      </c>
      <c r="R1127">
        <v>1794</v>
      </c>
      <c r="S1127">
        <v>5</v>
      </c>
    </row>
    <row r="1128" spans="11:19" x14ac:dyDescent="0.3">
      <c r="K1128" s="16">
        <f t="shared" si="17"/>
        <v>44062</v>
      </c>
      <c r="L1128" s="17">
        <v>0.91666666666666663</v>
      </c>
      <c r="M1128" s="14">
        <v>602</v>
      </c>
      <c r="N1128" s="14">
        <v>0</v>
      </c>
      <c r="O1128" s="14">
        <v>819</v>
      </c>
      <c r="P1128" s="14">
        <v>1421</v>
      </c>
      <c r="Q1128">
        <v>8495</v>
      </c>
      <c r="R1128">
        <v>2018</v>
      </c>
      <c r="S1128">
        <v>0</v>
      </c>
    </row>
    <row r="1129" spans="11:19" x14ac:dyDescent="0.3">
      <c r="K1129" s="16">
        <f t="shared" si="17"/>
        <v>44062</v>
      </c>
      <c r="L1129" s="17">
        <v>0.95833333333333337</v>
      </c>
      <c r="M1129" s="14">
        <v>602</v>
      </c>
      <c r="N1129" s="14">
        <v>0</v>
      </c>
      <c r="O1129" s="14">
        <v>887</v>
      </c>
      <c r="P1129" s="14">
        <v>1489</v>
      </c>
      <c r="Q1129">
        <v>8307</v>
      </c>
      <c r="R1129">
        <v>1775</v>
      </c>
      <c r="S1129">
        <v>0</v>
      </c>
    </row>
    <row r="1130" spans="11:19" x14ac:dyDescent="0.3">
      <c r="K1130" s="16">
        <f t="shared" si="17"/>
        <v>44063</v>
      </c>
      <c r="L1130" s="17">
        <v>0</v>
      </c>
      <c r="M1130" s="14">
        <v>602</v>
      </c>
      <c r="N1130" s="14">
        <v>91</v>
      </c>
      <c r="O1130" s="14">
        <v>0</v>
      </c>
      <c r="P1130" s="14">
        <v>693</v>
      </c>
      <c r="Q1130">
        <v>7477</v>
      </c>
      <c r="R1130">
        <v>1739</v>
      </c>
      <c r="S1130">
        <v>0</v>
      </c>
    </row>
    <row r="1131" spans="11:19" x14ac:dyDescent="0.3">
      <c r="K1131" s="16">
        <f t="shared" si="17"/>
        <v>44063</v>
      </c>
      <c r="L1131" s="17">
        <v>4.1666666666666664E-2</v>
      </c>
      <c r="M1131" s="14">
        <v>602</v>
      </c>
      <c r="N1131" s="14">
        <v>0</v>
      </c>
      <c r="O1131" s="14">
        <v>0</v>
      </c>
      <c r="P1131" s="14">
        <v>602</v>
      </c>
      <c r="Q1131">
        <v>7101</v>
      </c>
      <c r="R1131">
        <v>1202</v>
      </c>
      <c r="S1131">
        <v>0</v>
      </c>
    </row>
    <row r="1132" spans="11:19" x14ac:dyDescent="0.3">
      <c r="K1132" s="16">
        <f t="shared" si="17"/>
        <v>44063</v>
      </c>
      <c r="L1132" s="17">
        <v>8.3333333333333329E-2</v>
      </c>
      <c r="M1132" s="14">
        <v>602</v>
      </c>
      <c r="N1132" s="14">
        <v>0</v>
      </c>
      <c r="O1132" s="14">
        <v>0</v>
      </c>
      <c r="P1132" s="14">
        <v>602</v>
      </c>
      <c r="Q1132">
        <v>6815</v>
      </c>
      <c r="R1132">
        <v>984</v>
      </c>
      <c r="S1132">
        <v>0</v>
      </c>
    </row>
    <row r="1133" spans="11:19" x14ac:dyDescent="0.3">
      <c r="K1133" s="16">
        <f t="shared" si="17"/>
        <v>44063</v>
      </c>
      <c r="L1133" s="17">
        <v>0.125</v>
      </c>
      <c r="M1133" s="14">
        <v>602</v>
      </c>
      <c r="N1133" s="14">
        <v>0</v>
      </c>
      <c r="O1133" s="14">
        <v>-42</v>
      </c>
      <c r="P1133" s="14">
        <v>560</v>
      </c>
      <c r="Q1133">
        <v>6472</v>
      </c>
      <c r="R1133">
        <v>789</v>
      </c>
      <c r="S1133">
        <v>0</v>
      </c>
    </row>
    <row r="1134" spans="11:19" x14ac:dyDescent="0.3">
      <c r="K1134" s="16">
        <f t="shared" si="17"/>
        <v>44063</v>
      </c>
      <c r="L1134" s="17">
        <v>0.16666666666666666</v>
      </c>
      <c r="M1134" s="14">
        <v>602</v>
      </c>
      <c r="N1134" s="14">
        <v>0</v>
      </c>
      <c r="O1134" s="14">
        <v>-218</v>
      </c>
      <c r="P1134" s="14">
        <v>384</v>
      </c>
      <c r="Q1134">
        <v>6397</v>
      </c>
      <c r="R1134">
        <v>887</v>
      </c>
      <c r="S1134">
        <v>0</v>
      </c>
    </row>
    <row r="1135" spans="11:19" x14ac:dyDescent="0.3">
      <c r="K1135" s="16">
        <f t="shared" si="17"/>
        <v>44063</v>
      </c>
      <c r="L1135" s="17">
        <v>0.20833333333333334</v>
      </c>
      <c r="M1135" s="14">
        <v>602</v>
      </c>
      <c r="N1135" s="14">
        <v>0</v>
      </c>
      <c r="O1135" s="14">
        <v>0</v>
      </c>
      <c r="P1135" s="14">
        <v>602</v>
      </c>
      <c r="Q1135">
        <v>6588</v>
      </c>
      <c r="R1135">
        <v>815</v>
      </c>
      <c r="S1135">
        <v>0</v>
      </c>
    </row>
    <row r="1136" spans="11:19" x14ac:dyDescent="0.3">
      <c r="K1136" s="16">
        <f t="shared" si="17"/>
        <v>44063</v>
      </c>
      <c r="L1136" s="17">
        <v>0.25</v>
      </c>
      <c r="M1136" s="14">
        <v>602</v>
      </c>
      <c r="N1136" s="14">
        <v>255</v>
      </c>
      <c r="O1136" s="14">
        <v>0</v>
      </c>
      <c r="P1136" s="14">
        <v>857</v>
      </c>
      <c r="Q1136">
        <v>6942</v>
      </c>
      <c r="R1136">
        <v>822</v>
      </c>
      <c r="S1136">
        <v>2</v>
      </c>
    </row>
    <row r="1137" spans="11:19" x14ac:dyDescent="0.3">
      <c r="K1137" s="16">
        <f t="shared" si="17"/>
        <v>44063</v>
      </c>
      <c r="L1137" s="17">
        <v>0.29166666666666669</v>
      </c>
      <c r="M1137" s="14">
        <v>602</v>
      </c>
      <c r="N1137" s="14">
        <v>533</v>
      </c>
      <c r="O1137" s="14">
        <v>0</v>
      </c>
      <c r="P1137" s="14">
        <v>1135</v>
      </c>
      <c r="Q1137">
        <v>7461</v>
      </c>
      <c r="R1137">
        <v>930</v>
      </c>
      <c r="S1137">
        <v>110</v>
      </c>
    </row>
    <row r="1138" spans="11:19" x14ac:dyDescent="0.3">
      <c r="K1138" s="16">
        <f t="shared" si="17"/>
        <v>44063</v>
      </c>
      <c r="L1138" s="17">
        <v>0.33333333333333331</v>
      </c>
      <c r="M1138" s="14">
        <v>602</v>
      </c>
      <c r="N1138" s="14">
        <v>0</v>
      </c>
      <c r="O1138" s="14">
        <v>19</v>
      </c>
      <c r="P1138" s="14">
        <v>621</v>
      </c>
      <c r="Q1138">
        <v>8093</v>
      </c>
      <c r="R1138">
        <v>975</v>
      </c>
      <c r="S1138">
        <v>466</v>
      </c>
    </row>
    <row r="1139" spans="11:19" x14ac:dyDescent="0.3">
      <c r="K1139" s="16">
        <f t="shared" si="17"/>
        <v>44063</v>
      </c>
      <c r="L1139" s="17">
        <v>0.375</v>
      </c>
      <c r="M1139" s="14">
        <v>602</v>
      </c>
      <c r="N1139" s="14">
        <v>0</v>
      </c>
      <c r="O1139" s="14">
        <v>559</v>
      </c>
      <c r="P1139" s="14">
        <v>1161</v>
      </c>
      <c r="Q1139">
        <v>8644</v>
      </c>
      <c r="R1139">
        <v>1087</v>
      </c>
      <c r="S1139">
        <v>1106</v>
      </c>
    </row>
    <row r="1140" spans="11:19" x14ac:dyDescent="0.3">
      <c r="K1140" s="16">
        <f t="shared" si="17"/>
        <v>44063</v>
      </c>
      <c r="L1140" s="17">
        <v>0.41666666666666669</v>
      </c>
      <c r="M1140" s="14">
        <v>602</v>
      </c>
      <c r="N1140" s="14">
        <v>0</v>
      </c>
      <c r="O1140" s="14">
        <v>0</v>
      </c>
      <c r="P1140" s="14">
        <v>602</v>
      </c>
      <c r="Q1140">
        <v>8981</v>
      </c>
      <c r="R1140">
        <v>1217</v>
      </c>
      <c r="S1140">
        <v>1679</v>
      </c>
    </row>
    <row r="1141" spans="11:19" x14ac:dyDescent="0.3">
      <c r="K1141" s="16">
        <f t="shared" si="17"/>
        <v>44063</v>
      </c>
      <c r="L1141" s="17">
        <v>0.45833333333333331</v>
      </c>
      <c r="M1141" s="14">
        <v>602</v>
      </c>
      <c r="N1141" s="14">
        <v>82</v>
      </c>
      <c r="O1141" s="14">
        <v>0</v>
      </c>
      <c r="P1141" s="14">
        <v>684</v>
      </c>
      <c r="Q1141">
        <v>9231</v>
      </c>
      <c r="R1141">
        <v>1297</v>
      </c>
      <c r="S1141">
        <v>2122</v>
      </c>
    </row>
    <row r="1142" spans="11:19" x14ac:dyDescent="0.3">
      <c r="K1142" s="16">
        <f t="shared" si="17"/>
        <v>44063</v>
      </c>
      <c r="L1142" s="17">
        <v>0.5</v>
      </c>
      <c r="M1142" s="14">
        <v>602</v>
      </c>
      <c r="N1142" s="14">
        <v>0</v>
      </c>
      <c r="O1142" s="14">
        <v>-49</v>
      </c>
      <c r="P1142" s="14">
        <v>553</v>
      </c>
      <c r="Q1142">
        <v>9447</v>
      </c>
      <c r="R1142">
        <v>1347</v>
      </c>
      <c r="S1142">
        <v>2421</v>
      </c>
    </row>
    <row r="1143" spans="11:19" x14ac:dyDescent="0.3">
      <c r="K1143" s="16">
        <f t="shared" si="17"/>
        <v>44063</v>
      </c>
      <c r="L1143" s="17">
        <v>0.54166666666666663</v>
      </c>
      <c r="M1143" s="14">
        <v>602</v>
      </c>
      <c r="N1143" s="14">
        <v>0</v>
      </c>
      <c r="O1143" s="14">
        <v>-389</v>
      </c>
      <c r="P1143" s="14">
        <v>213</v>
      </c>
      <c r="Q1143">
        <v>9293</v>
      </c>
      <c r="R1143">
        <v>1370</v>
      </c>
      <c r="S1143">
        <v>2589</v>
      </c>
    </row>
    <row r="1144" spans="11:19" x14ac:dyDescent="0.3">
      <c r="K1144" s="16">
        <f t="shared" si="17"/>
        <v>44063</v>
      </c>
      <c r="L1144" s="17">
        <v>0.58333333333333337</v>
      </c>
      <c r="M1144" s="14">
        <v>602</v>
      </c>
      <c r="N1144" s="14">
        <v>0</v>
      </c>
      <c r="O1144" s="14">
        <v>-357</v>
      </c>
      <c r="P1144" s="14">
        <v>245</v>
      </c>
      <c r="Q1144">
        <v>9314</v>
      </c>
      <c r="R1144">
        <v>1352</v>
      </c>
      <c r="S1144">
        <v>2600</v>
      </c>
    </row>
    <row r="1145" spans="11:19" x14ac:dyDescent="0.3">
      <c r="K1145" s="16">
        <f t="shared" si="17"/>
        <v>44063</v>
      </c>
      <c r="L1145" s="17">
        <v>0.625</v>
      </c>
      <c r="M1145" s="14">
        <v>602</v>
      </c>
      <c r="N1145" s="14">
        <v>0</v>
      </c>
      <c r="O1145" s="14">
        <v>-427</v>
      </c>
      <c r="P1145" s="14">
        <v>175</v>
      </c>
      <c r="Q1145">
        <v>9104</v>
      </c>
      <c r="R1145">
        <v>1358</v>
      </c>
      <c r="S1145">
        <v>2450</v>
      </c>
    </row>
    <row r="1146" spans="11:19" x14ac:dyDescent="0.3">
      <c r="K1146" s="16">
        <f t="shared" si="17"/>
        <v>44063</v>
      </c>
      <c r="L1146" s="17">
        <v>0.66666666666666663</v>
      </c>
      <c r="M1146" s="14">
        <v>602</v>
      </c>
      <c r="N1146" s="14">
        <v>0</v>
      </c>
      <c r="O1146" s="14">
        <v>-477</v>
      </c>
      <c r="P1146" s="14">
        <v>125</v>
      </c>
      <c r="Q1146">
        <v>8939</v>
      </c>
      <c r="R1146">
        <v>1465</v>
      </c>
      <c r="S1146">
        <v>2152</v>
      </c>
    </row>
    <row r="1147" spans="11:19" x14ac:dyDescent="0.3">
      <c r="K1147" s="16">
        <f t="shared" si="17"/>
        <v>44063</v>
      </c>
      <c r="L1147" s="17">
        <v>0.70833333333333337</v>
      </c>
      <c r="M1147" s="14">
        <v>602</v>
      </c>
      <c r="N1147" s="14">
        <v>0</v>
      </c>
      <c r="O1147" s="14">
        <v>-261</v>
      </c>
      <c r="P1147" s="14">
        <v>341</v>
      </c>
      <c r="Q1147">
        <v>8847</v>
      </c>
      <c r="R1147">
        <v>1596</v>
      </c>
      <c r="S1147">
        <v>1718</v>
      </c>
    </row>
    <row r="1148" spans="11:19" x14ac:dyDescent="0.3">
      <c r="K1148" s="16">
        <f t="shared" si="17"/>
        <v>44063</v>
      </c>
      <c r="L1148" s="17">
        <v>0.75</v>
      </c>
      <c r="M1148" s="14">
        <v>602</v>
      </c>
      <c r="N1148" s="14">
        <v>488</v>
      </c>
      <c r="O1148" s="14">
        <v>0</v>
      </c>
      <c r="P1148" s="14">
        <v>1090</v>
      </c>
      <c r="Q1148">
        <v>8845</v>
      </c>
      <c r="R1148">
        <v>1477</v>
      </c>
      <c r="S1148">
        <v>1091</v>
      </c>
    </row>
    <row r="1149" spans="11:19" x14ac:dyDescent="0.3">
      <c r="K1149" s="16">
        <f t="shared" si="17"/>
        <v>44063</v>
      </c>
      <c r="L1149" s="17">
        <v>0.79166666666666663</v>
      </c>
      <c r="M1149" s="14">
        <v>602</v>
      </c>
      <c r="N1149" s="14">
        <v>823</v>
      </c>
      <c r="O1149" s="14">
        <v>0</v>
      </c>
      <c r="P1149" s="14">
        <v>1425</v>
      </c>
      <c r="Q1149">
        <v>8659</v>
      </c>
      <c r="R1149">
        <v>1327</v>
      </c>
      <c r="S1149">
        <v>459</v>
      </c>
    </row>
    <row r="1150" spans="11:19" x14ac:dyDescent="0.3">
      <c r="K1150" s="16">
        <f t="shared" si="17"/>
        <v>44063</v>
      </c>
      <c r="L1150" s="17">
        <v>0.83333333333333337</v>
      </c>
      <c r="M1150" s="14">
        <v>602</v>
      </c>
      <c r="N1150" s="14">
        <v>823</v>
      </c>
      <c r="O1150" s="14">
        <v>0</v>
      </c>
      <c r="P1150" s="14">
        <v>1425</v>
      </c>
      <c r="Q1150">
        <v>8139</v>
      </c>
      <c r="R1150">
        <v>1298</v>
      </c>
      <c r="S1150">
        <v>93</v>
      </c>
    </row>
    <row r="1151" spans="11:19" x14ac:dyDescent="0.3">
      <c r="K1151" s="16">
        <f t="shared" si="17"/>
        <v>44063</v>
      </c>
      <c r="L1151" s="17">
        <v>0.875</v>
      </c>
      <c r="M1151" s="14">
        <v>602</v>
      </c>
      <c r="N1151" s="14">
        <v>823</v>
      </c>
      <c r="O1151" s="14">
        <v>0</v>
      </c>
      <c r="P1151" s="14">
        <v>1425</v>
      </c>
      <c r="Q1151">
        <v>8106</v>
      </c>
      <c r="R1151">
        <v>1198</v>
      </c>
      <c r="S1151">
        <v>6</v>
      </c>
    </row>
    <row r="1152" spans="11:19" x14ac:dyDescent="0.3">
      <c r="K1152" s="16">
        <f t="shared" si="17"/>
        <v>44063</v>
      </c>
      <c r="L1152" s="17">
        <v>0.91666666666666663</v>
      </c>
      <c r="M1152" s="14">
        <v>602</v>
      </c>
      <c r="N1152" s="14">
        <v>823</v>
      </c>
      <c r="O1152" s="14">
        <v>0</v>
      </c>
      <c r="P1152" s="14">
        <v>1425</v>
      </c>
      <c r="Q1152">
        <v>8364</v>
      </c>
      <c r="R1152">
        <v>1122</v>
      </c>
      <c r="S1152">
        <v>0</v>
      </c>
    </row>
    <row r="1153" spans="11:19" x14ac:dyDescent="0.3">
      <c r="K1153" s="16">
        <f t="shared" si="17"/>
        <v>44063</v>
      </c>
      <c r="L1153" s="17">
        <v>0.95833333333333337</v>
      </c>
      <c r="M1153" s="14">
        <v>602</v>
      </c>
      <c r="N1153" s="14">
        <v>0</v>
      </c>
      <c r="O1153" s="14">
        <v>1200</v>
      </c>
      <c r="P1153" s="14">
        <v>1802</v>
      </c>
      <c r="Q1153">
        <v>8227</v>
      </c>
      <c r="R1153">
        <v>927</v>
      </c>
      <c r="S1153">
        <v>0</v>
      </c>
    </row>
    <row r="1154" spans="11:19" x14ac:dyDescent="0.3">
      <c r="K1154" s="16">
        <f t="shared" si="17"/>
        <v>44064</v>
      </c>
      <c r="L1154" s="17">
        <v>0</v>
      </c>
      <c r="M1154" s="14">
        <v>602</v>
      </c>
      <c r="N1154" s="14">
        <v>809</v>
      </c>
      <c r="O1154" s="14">
        <v>0</v>
      </c>
      <c r="P1154" s="14">
        <v>1411</v>
      </c>
      <c r="Q1154">
        <v>7635</v>
      </c>
      <c r="R1154">
        <v>1018</v>
      </c>
      <c r="S1154">
        <v>0</v>
      </c>
    </row>
    <row r="1155" spans="11:19" x14ac:dyDescent="0.3">
      <c r="K1155" s="16">
        <f t="shared" si="17"/>
        <v>44064</v>
      </c>
      <c r="L1155" s="17">
        <v>4.1666666666666664E-2</v>
      </c>
      <c r="M1155" s="14">
        <v>602</v>
      </c>
      <c r="N1155" s="14">
        <v>467</v>
      </c>
      <c r="O1155" s="14">
        <v>0</v>
      </c>
      <c r="P1155" s="14">
        <v>1069</v>
      </c>
      <c r="Q1155">
        <v>7294</v>
      </c>
      <c r="R1155">
        <v>1023</v>
      </c>
      <c r="S1155">
        <v>0</v>
      </c>
    </row>
    <row r="1156" spans="11:19" x14ac:dyDescent="0.3">
      <c r="K1156" s="16">
        <f t="shared" si="17"/>
        <v>44064</v>
      </c>
      <c r="L1156" s="17">
        <v>8.3333333333333329E-2</v>
      </c>
      <c r="M1156" s="14">
        <v>602</v>
      </c>
      <c r="N1156" s="14">
        <v>0</v>
      </c>
      <c r="O1156" s="14">
        <v>0</v>
      </c>
      <c r="P1156" s="14">
        <v>602</v>
      </c>
      <c r="Q1156">
        <v>6942</v>
      </c>
      <c r="R1156">
        <v>891</v>
      </c>
      <c r="S1156">
        <v>0</v>
      </c>
    </row>
    <row r="1157" spans="11:19" x14ac:dyDescent="0.3">
      <c r="K1157" s="16">
        <f t="shared" si="17"/>
        <v>44064</v>
      </c>
      <c r="L1157" s="17">
        <v>0.125</v>
      </c>
      <c r="M1157" s="14">
        <v>602</v>
      </c>
      <c r="N1157" s="14">
        <v>0</v>
      </c>
      <c r="O1157" s="14">
        <v>0</v>
      </c>
      <c r="P1157" s="14">
        <v>602</v>
      </c>
      <c r="Q1157">
        <v>6622</v>
      </c>
      <c r="R1157">
        <v>707</v>
      </c>
      <c r="S1157">
        <v>0</v>
      </c>
    </row>
    <row r="1158" spans="11:19" x14ac:dyDescent="0.3">
      <c r="K1158" s="16">
        <f t="shared" si="17"/>
        <v>44064</v>
      </c>
      <c r="L1158" s="17">
        <v>0.16666666666666666</v>
      </c>
      <c r="M1158" s="14">
        <v>602</v>
      </c>
      <c r="N1158" s="14">
        <v>146</v>
      </c>
      <c r="O1158" s="14">
        <v>0</v>
      </c>
      <c r="P1158" s="14">
        <v>748</v>
      </c>
      <c r="Q1158">
        <v>6550</v>
      </c>
      <c r="R1158">
        <v>676</v>
      </c>
      <c r="S1158">
        <v>0</v>
      </c>
    </row>
    <row r="1159" spans="11:19" x14ac:dyDescent="0.3">
      <c r="K1159" s="16">
        <f t="shared" si="17"/>
        <v>44064</v>
      </c>
      <c r="L1159" s="17">
        <v>0.20833333333333334</v>
      </c>
      <c r="M1159" s="14">
        <v>602</v>
      </c>
      <c r="N1159" s="14">
        <v>437</v>
      </c>
      <c r="O1159" s="14">
        <v>0</v>
      </c>
      <c r="P1159" s="14">
        <v>1039</v>
      </c>
      <c r="Q1159">
        <v>6754</v>
      </c>
      <c r="R1159">
        <v>575</v>
      </c>
      <c r="S1159">
        <v>0</v>
      </c>
    </row>
    <row r="1160" spans="11:19" x14ac:dyDescent="0.3">
      <c r="K1160" s="16">
        <f t="shared" si="17"/>
        <v>44064</v>
      </c>
      <c r="L1160" s="17">
        <v>0.25</v>
      </c>
      <c r="M1160" s="14">
        <v>602</v>
      </c>
      <c r="N1160" s="14">
        <v>784</v>
      </c>
      <c r="O1160" s="14">
        <v>0</v>
      </c>
      <c r="P1160" s="14">
        <v>1386</v>
      </c>
      <c r="Q1160">
        <v>7088</v>
      </c>
      <c r="R1160">
        <v>516</v>
      </c>
      <c r="S1160">
        <v>4</v>
      </c>
    </row>
    <row r="1161" spans="11:19" x14ac:dyDescent="0.3">
      <c r="K1161" s="16">
        <f t="shared" si="17"/>
        <v>44064</v>
      </c>
      <c r="L1161" s="17">
        <v>0.29166666666666669</v>
      </c>
      <c r="M1161" s="14">
        <v>602</v>
      </c>
      <c r="N1161" s="14">
        <v>978</v>
      </c>
      <c r="O1161" s="14">
        <v>0</v>
      </c>
      <c r="P1161" s="14">
        <v>1580</v>
      </c>
      <c r="Q1161">
        <v>7478</v>
      </c>
      <c r="R1161">
        <v>490</v>
      </c>
      <c r="S1161">
        <v>121</v>
      </c>
    </row>
    <row r="1162" spans="11:19" x14ac:dyDescent="0.3">
      <c r="K1162" s="16">
        <f t="shared" si="17"/>
        <v>44064</v>
      </c>
      <c r="L1162" s="17">
        <v>0.33333333333333331</v>
      </c>
      <c r="M1162" s="14">
        <v>602</v>
      </c>
      <c r="N1162" s="14">
        <v>800</v>
      </c>
      <c r="O1162" s="14">
        <v>0</v>
      </c>
      <c r="P1162" s="14">
        <v>1402</v>
      </c>
      <c r="Q1162">
        <v>7929</v>
      </c>
      <c r="R1162">
        <v>534</v>
      </c>
      <c r="S1162">
        <v>530</v>
      </c>
    </row>
    <row r="1163" spans="11:19" x14ac:dyDescent="0.3">
      <c r="K1163" s="16">
        <f t="shared" si="17"/>
        <v>44064</v>
      </c>
      <c r="L1163" s="17">
        <v>0.375</v>
      </c>
      <c r="M1163" s="14">
        <v>602</v>
      </c>
      <c r="N1163" s="14">
        <v>661</v>
      </c>
      <c r="O1163" s="14">
        <v>0</v>
      </c>
      <c r="P1163" s="14">
        <v>1263</v>
      </c>
      <c r="Q1163">
        <v>8362</v>
      </c>
      <c r="R1163">
        <v>644</v>
      </c>
      <c r="S1163">
        <v>1164</v>
      </c>
    </row>
    <row r="1164" spans="11:19" x14ac:dyDescent="0.3">
      <c r="K1164" s="16">
        <f t="shared" si="17"/>
        <v>44064</v>
      </c>
      <c r="L1164" s="17">
        <v>0.41666666666666669</v>
      </c>
      <c r="M1164" s="14">
        <v>602</v>
      </c>
      <c r="N1164" s="14">
        <v>468</v>
      </c>
      <c r="O1164" s="14">
        <v>0</v>
      </c>
      <c r="P1164" s="14">
        <v>1070</v>
      </c>
      <c r="Q1164">
        <v>8663</v>
      </c>
      <c r="R1164">
        <v>500</v>
      </c>
      <c r="S1164">
        <v>1805</v>
      </c>
    </row>
    <row r="1165" spans="11:19" x14ac:dyDescent="0.3">
      <c r="K1165" s="16">
        <f t="shared" si="17"/>
        <v>44064</v>
      </c>
      <c r="L1165" s="17">
        <v>0.45833333333333331</v>
      </c>
      <c r="M1165" s="14">
        <v>602</v>
      </c>
      <c r="N1165" s="14">
        <v>364</v>
      </c>
      <c r="O1165" s="14">
        <v>0</v>
      </c>
      <c r="P1165" s="14">
        <v>966</v>
      </c>
      <c r="Q1165">
        <v>8986</v>
      </c>
      <c r="R1165">
        <v>488</v>
      </c>
      <c r="S1165">
        <v>2244</v>
      </c>
    </row>
    <row r="1166" spans="11:19" x14ac:dyDescent="0.3">
      <c r="K1166" s="16">
        <f t="shared" si="17"/>
        <v>44064</v>
      </c>
      <c r="L1166" s="17">
        <v>0.5</v>
      </c>
      <c r="M1166" s="14">
        <v>602</v>
      </c>
      <c r="N1166" s="14">
        <v>428</v>
      </c>
      <c r="O1166" s="14">
        <v>0</v>
      </c>
      <c r="P1166" s="14">
        <v>1030</v>
      </c>
      <c r="Q1166">
        <v>9342</v>
      </c>
      <c r="R1166">
        <v>457</v>
      </c>
      <c r="S1166">
        <v>2568</v>
      </c>
    </row>
    <row r="1167" spans="11:19" x14ac:dyDescent="0.3">
      <c r="K1167" s="16">
        <f t="shared" si="17"/>
        <v>44064</v>
      </c>
      <c r="L1167" s="17">
        <v>0.54166666666666663</v>
      </c>
      <c r="M1167" s="14">
        <v>602</v>
      </c>
      <c r="N1167" s="14">
        <v>0</v>
      </c>
      <c r="O1167" s="14">
        <v>0</v>
      </c>
      <c r="P1167" s="14">
        <v>602</v>
      </c>
      <c r="Q1167">
        <v>9192</v>
      </c>
      <c r="R1167">
        <v>397</v>
      </c>
      <c r="S1167">
        <v>2718</v>
      </c>
    </row>
    <row r="1168" spans="11:19" x14ac:dyDescent="0.3">
      <c r="K1168" s="16">
        <f t="shared" si="17"/>
        <v>44064</v>
      </c>
      <c r="L1168" s="17">
        <v>0.58333333333333337</v>
      </c>
      <c r="M1168" s="14">
        <v>602</v>
      </c>
      <c r="N1168" s="14">
        <v>168</v>
      </c>
      <c r="O1168" s="14">
        <v>0</v>
      </c>
      <c r="P1168" s="14">
        <v>770</v>
      </c>
      <c r="Q1168">
        <v>9209</v>
      </c>
      <c r="R1168">
        <v>471</v>
      </c>
      <c r="S1168">
        <v>2690</v>
      </c>
    </row>
    <row r="1169" spans="11:19" x14ac:dyDescent="0.3">
      <c r="K1169" s="16">
        <f t="shared" si="17"/>
        <v>44064</v>
      </c>
      <c r="L1169" s="17">
        <v>0.625</v>
      </c>
      <c r="M1169" s="14">
        <v>602</v>
      </c>
      <c r="N1169" s="14">
        <v>0</v>
      </c>
      <c r="O1169" s="14">
        <v>0</v>
      </c>
      <c r="P1169" s="14">
        <v>602</v>
      </c>
      <c r="Q1169">
        <v>9153</v>
      </c>
      <c r="R1169">
        <v>452</v>
      </c>
      <c r="S1169">
        <v>2529</v>
      </c>
    </row>
    <row r="1170" spans="11:19" x14ac:dyDescent="0.3">
      <c r="K1170" s="16">
        <f t="shared" si="17"/>
        <v>44064</v>
      </c>
      <c r="L1170" s="17">
        <v>0.66666666666666663</v>
      </c>
      <c r="M1170" s="14">
        <v>602</v>
      </c>
      <c r="N1170" s="14">
        <v>459</v>
      </c>
      <c r="O1170" s="14">
        <v>0</v>
      </c>
      <c r="P1170" s="14">
        <v>1061</v>
      </c>
      <c r="Q1170">
        <v>9043</v>
      </c>
      <c r="R1170">
        <v>526</v>
      </c>
      <c r="S1170">
        <v>2179</v>
      </c>
    </row>
    <row r="1171" spans="11:19" x14ac:dyDescent="0.3">
      <c r="K1171" s="16">
        <f t="shared" si="17"/>
        <v>44064</v>
      </c>
      <c r="L1171" s="17">
        <v>0.70833333333333337</v>
      </c>
      <c r="M1171" s="14">
        <v>602</v>
      </c>
      <c r="N1171" s="14">
        <v>697</v>
      </c>
      <c r="O1171" s="14">
        <v>0</v>
      </c>
      <c r="P1171" s="14">
        <v>1299</v>
      </c>
      <c r="Q1171">
        <v>8985</v>
      </c>
      <c r="R1171">
        <v>512</v>
      </c>
      <c r="S1171">
        <v>1742</v>
      </c>
    </row>
    <row r="1172" spans="11:19" x14ac:dyDescent="0.3">
      <c r="K1172" s="16">
        <f t="shared" si="17"/>
        <v>44064</v>
      </c>
      <c r="L1172" s="17">
        <v>0.75</v>
      </c>
      <c r="M1172" s="14">
        <v>602</v>
      </c>
      <c r="N1172" s="14">
        <v>0</v>
      </c>
      <c r="O1172" s="14">
        <v>0</v>
      </c>
      <c r="P1172" s="14">
        <v>602</v>
      </c>
      <c r="Q1172">
        <v>8961</v>
      </c>
      <c r="R1172">
        <v>554</v>
      </c>
      <c r="S1172">
        <v>1108</v>
      </c>
    </row>
    <row r="1173" spans="11:19" x14ac:dyDescent="0.3">
      <c r="K1173" s="16">
        <f t="shared" si="17"/>
        <v>44064</v>
      </c>
      <c r="L1173" s="17">
        <v>0.79166666666666663</v>
      </c>
      <c r="M1173" s="14">
        <v>602</v>
      </c>
      <c r="N1173" s="14">
        <v>1151</v>
      </c>
      <c r="O1173" s="14">
        <v>0</v>
      </c>
      <c r="P1173" s="14">
        <v>1753</v>
      </c>
      <c r="Q1173">
        <v>8889</v>
      </c>
      <c r="R1173">
        <v>638</v>
      </c>
      <c r="S1173">
        <v>472</v>
      </c>
    </row>
    <row r="1174" spans="11:19" x14ac:dyDescent="0.3">
      <c r="K1174" s="16">
        <f t="shared" si="17"/>
        <v>44064</v>
      </c>
      <c r="L1174" s="17">
        <v>0.83333333333333337</v>
      </c>
      <c r="M1174" s="14">
        <v>602</v>
      </c>
      <c r="N1174" s="14">
        <v>1151</v>
      </c>
      <c r="O1174" s="14">
        <v>0</v>
      </c>
      <c r="P1174" s="14">
        <v>1753</v>
      </c>
      <c r="Q1174">
        <v>8516</v>
      </c>
      <c r="R1174">
        <v>641</v>
      </c>
      <c r="S1174">
        <v>96</v>
      </c>
    </row>
    <row r="1175" spans="11:19" x14ac:dyDescent="0.3">
      <c r="K1175" s="16">
        <f t="shared" si="17"/>
        <v>44064</v>
      </c>
      <c r="L1175" s="17">
        <v>0.875</v>
      </c>
      <c r="M1175" s="14">
        <v>602</v>
      </c>
      <c r="N1175" s="14">
        <v>1151</v>
      </c>
      <c r="O1175" s="14">
        <v>0</v>
      </c>
      <c r="P1175" s="14">
        <v>1753</v>
      </c>
      <c r="Q1175">
        <v>8435</v>
      </c>
      <c r="R1175">
        <v>700</v>
      </c>
      <c r="S1175">
        <v>2</v>
      </c>
    </row>
    <row r="1176" spans="11:19" x14ac:dyDescent="0.3">
      <c r="K1176" s="16">
        <f t="shared" si="17"/>
        <v>44064</v>
      </c>
      <c r="L1176" s="17">
        <v>0.91666666666666663</v>
      </c>
      <c r="M1176" s="14">
        <v>602</v>
      </c>
      <c r="N1176" s="14">
        <v>1151</v>
      </c>
      <c r="O1176" s="14">
        <v>0</v>
      </c>
      <c r="P1176" s="14">
        <v>1753</v>
      </c>
      <c r="Q1176">
        <v>8742</v>
      </c>
      <c r="R1176">
        <v>626</v>
      </c>
      <c r="S1176">
        <v>0</v>
      </c>
    </row>
    <row r="1177" spans="11:19" x14ac:dyDescent="0.3">
      <c r="K1177" s="16">
        <f t="shared" si="17"/>
        <v>44064</v>
      </c>
      <c r="L1177" s="17">
        <v>0.95833333333333337</v>
      </c>
      <c r="M1177" s="14">
        <v>602</v>
      </c>
      <c r="N1177" s="14">
        <v>1151</v>
      </c>
      <c r="O1177" s="14">
        <v>0</v>
      </c>
      <c r="P1177" s="14">
        <v>1753</v>
      </c>
      <c r="Q1177">
        <v>8567</v>
      </c>
      <c r="R1177">
        <v>541</v>
      </c>
      <c r="S1177">
        <v>0</v>
      </c>
    </row>
    <row r="1178" spans="11:19" x14ac:dyDescent="0.3">
      <c r="K1178" s="16">
        <f t="shared" si="17"/>
        <v>44065</v>
      </c>
      <c r="L1178" s="17">
        <v>0</v>
      </c>
      <c r="M1178" s="14">
        <v>602</v>
      </c>
      <c r="N1178" s="14">
        <v>1173</v>
      </c>
      <c r="O1178" s="14">
        <v>0</v>
      </c>
      <c r="P1178" s="14">
        <v>1775</v>
      </c>
      <c r="Q1178">
        <v>7529</v>
      </c>
      <c r="R1178">
        <v>556</v>
      </c>
      <c r="S1178">
        <v>0</v>
      </c>
    </row>
    <row r="1179" spans="11:19" x14ac:dyDescent="0.3">
      <c r="K1179" s="16">
        <f t="shared" ref="K1179:K1242" si="18">K1155+1</f>
        <v>44065</v>
      </c>
      <c r="L1179" s="17">
        <v>4.1666666666666664E-2</v>
      </c>
      <c r="M1179" s="14">
        <v>602</v>
      </c>
      <c r="N1179" s="14">
        <v>0</v>
      </c>
      <c r="O1179" s="14">
        <v>0</v>
      </c>
      <c r="P1179" s="14">
        <v>602</v>
      </c>
      <c r="Q1179">
        <v>7122</v>
      </c>
      <c r="R1179">
        <v>492</v>
      </c>
      <c r="S1179">
        <v>0</v>
      </c>
    </row>
    <row r="1180" spans="11:19" x14ac:dyDescent="0.3">
      <c r="K1180" s="16">
        <f t="shared" si="18"/>
        <v>44065</v>
      </c>
      <c r="L1180" s="17">
        <v>8.3333333333333329E-2</v>
      </c>
      <c r="M1180" s="14">
        <v>602</v>
      </c>
      <c r="N1180" s="14">
        <v>617</v>
      </c>
      <c r="O1180" s="14">
        <v>0</v>
      </c>
      <c r="P1180" s="14">
        <v>1219</v>
      </c>
      <c r="Q1180">
        <v>6816</v>
      </c>
      <c r="R1180">
        <v>400</v>
      </c>
      <c r="S1180">
        <v>0</v>
      </c>
    </row>
    <row r="1181" spans="11:19" x14ac:dyDescent="0.3">
      <c r="K1181" s="16">
        <f t="shared" si="18"/>
        <v>44065</v>
      </c>
      <c r="L1181" s="17">
        <v>0.125</v>
      </c>
      <c r="M1181" s="14">
        <v>602</v>
      </c>
      <c r="N1181" s="14">
        <v>0</v>
      </c>
      <c r="O1181" s="14">
        <v>0</v>
      </c>
      <c r="P1181" s="14">
        <v>602</v>
      </c>
      <c r="Q1181">
        <v>6479</v>
      </c>
      <c r="R1181">
        <v>360</v>
      </c>
      <c r="S1181">
        <v>0</v>
      </c>
    </row>
    <row r="1182" spans="11:19" x14ac:dyDescent="0.3">
      <c r="K1182" s="16">
        <f t="shared" si="18"/>
        <v>44065</v>
      </c>
      <c r="L1182" s="17">
        <v>0.16666666666666666</v>
      </c>
      <c r="M1182" s="14">
        <v>602</v>
      </c>
      <c r="N1182" s="14">
        <v>272</v>
      </c>
      <c r="O1182" s="14">
        <v>0</v>
      </c>
      <c r="P1182" s="14">
        <v>874</v>
      </c>
      <c r="Q1182">
        <v>6387</v>
      </c>
      <c r="R1182">
        <v>311</v>
      </c>
      <c r="S1182">
        <v>0</v>
      </c>
    </row>
    <row r="1183" spans="11:19" x14ac:dyDescent="0.3">
      <c r="K1183" s="16">
        <f t="shared" si="18"/>
        <v>44065</v>
      </c>
      <c r="L1183" s="17">
        <v>0.20833333333333334</v>
      </c>
      <c r="M1183" s="14">
        <v>602</v>
      </c>
      <c r="N1183" s="14">
        <v>399</v>
      </c>
      <c r="O1183" s="14">
        <v>0</v>
      </c>
      <c r="P1183" s="14">
        <v>1001</v>
      </c>
      <c r="Q1183">
        <v>6506</v>
      </c>
      <c r="R1183">
        <v>298</v>
      </c>
      <c r="S1183">
        <v>0</v>
      </c>
    </row>
    <row r="1184" spans="11:19" x14ac:dyDescent="0.3">
      <c r="K1184" s="16">
        <f t="shared" si="18"/>
        <v>44065</v>
      </c>
      <c r="L1184" s="17">
        <v>0.25</v>
      </c>
      <c r="M1184" s="14">
        <v>602</v>
      </c>
      <c r="N1184" s="14">
        <v>586</v>
      </c>
      <c r="O1184" s="14">
        <v>0</v>
      </c>
      <c r="P1184" s="14">
        <v>1188</v>
      </c>
      <c r="Q1184">
        <v>6723</v>
      </c>
      <c r="R1184">
        <v>300</v>
      </c>
      <c r="S1184">
        <v>3</v>
      </c>
    </row>
    <row r="1185" spans="11:19" x14ac:dyDescent="0.3">
      <c r="K1185" s="16">
        <f t="shared" si="18"/>
        <v>44065</v>
      </c>
      <c r="L1185" s="17">
        <v>0.29166666666666669</v>
      </c>
      <c r="M1185" s="14">
        <v>602</v>
      </c>
      <c r="N1185" s="14">
        <v>0</v>
      </c>
      <c r="O1185" s="14">
        <v>0</v>
      </c>
      <c r="P1185" s="14">
        <v>602</v>
      </c>
      <c r="Q1185">
        <v>7081</v>
      </c>
      <c r="R1185">
        <v>330</v>
      </c>
      <c r="S1185">
        <v>96</v>
      </c>
    </row>
    <row r="1186" spans="11:19" x14ac:dyDescent="0.3">
      <c r="K1186" s="16">
        <f t="shared" si="18"/>
        <v>44065</v>
      </c>
      <c r="L1186" s="17">
        <v>0.33333333333333331</v>
      </c>
      <c r="M1186" s="14">
        <v>602</v>
      </c>
      <c r="N1186" s="14">
        <v>923</v>
      </c>
      <c r="O1186" s="14">
        <v>0</v>
      </c>
      <c r="P1186" s="14">
        <v>1525</v>
      </c>
      <c r="Q1186">
        <v>7682</v>
      </c>
      <c r="R1186">
        <v>421</v>
      </c>
      <c r="S1186">
        <v>462</v>
      </c>
    </row>
    <row r="1187" spans="11:19" x14ac:dyDescent="0.3">
      <c r="K1187" s="16">
        <f t="shared" si="18"/>
        <v>44065</v>
      </c>
      <c r="L1187" s="17">
        <v>0.375</v>
      </c>
      <c r="M1187" s="14">
        <v>602</v>
      </c>
      <c r="N1187" s="14">
        <v>958</v>
      </c>
      <c r="O1187" s="14">
        <v>0</v>
      </c>
      <c r="P1187" s="14">
        <v>1560</v>
      </c>
      <c r="Q1187">
        <v>8320</v>
      </c>
      <c r="R1187">
        <v>383</v>
      </c>
      <c r="S1187">
        <v>1100</v>
      </c>
    </row>
    <row r="1188" spans="11:19" x14ac:dyDescent="0.3">
      <c r="K1188" s="16">
        <f t="shared" si="18"/>
        <v>44065</v>
      </c>
      <c r="L1188" s="17">
        <v>0.41666666666666669</v>
      </c>
      <c r="M1188" s="14">
        <v>602</v>
      </c>
      <c r="N1188" s="14">
        <v>0</v>
      </c>
      <c r="O1188" s="14">
        <v>0</v>
      </c>
      <c r="P1188" s="14">
        <v>602</v>
      </c>
      <c r="Q1188">
        <v>8723</v>
      </c>
      <c r="R1188">
        <v>445</v>
      </c>
      <c r="S1188">
        <v>1692</v>
      </c>
    </row>
    <row r="1189" spans="11:19" x14ac:dyDescent="0.3">
      <c r="K1189" s="16">
        <f t="shared" si="18"/>
        <v>44065</v>
      </c>
      <c r="L1189" s="17">
        <v>0.45833333333333331</v>
      </c>
      <c r="M1189" s="14">
        <v>602</v>
      </c>
      <c r="N1189" s="14">
        <v>0</v>
      </c>
      <c r="O1189" s="14">
        <v>0</v>
      </c>
      <c r="P1189" s="14">
        <v>602</v>
      </c>
      <c r="Q1189">
        <v>9024</v>
      </c>
      <c r="R1189">
        <v>316</v>
      </c>
      <c r="S1189">
        <v>2155</v>
      </c>
    </row>
    <row r="1190" spans="11:19" x14ac:dyDescent="0.3">
      <c r="K1190" s="16">
        <f t="shared" si="18"/>
        <v>44065</v>
      </c>
      <c r="L1190" s="17">
        <v>0.5</v>
      </c>
      <c r="M1190" s="14">
        <v>602</v>
      </c>
      <c r="N1190" s="14">
        <v>725</v>
      </c>
      <c r="O1190" s="14">
        <v>0</v>
      </c>
      <c r="P1190" s="14">
        <v>1327</v>
      </c>
      <c r="Q1190">
        <v>9344</v>
      </c>
      <c r="R1190">
        <v>329</v>
      </c>
      <c r="S1190">
        <v>2419</v>
      </c>
    </row>
    <row r="1191" spans="11:19" x14ac:dyDescent="0.3">
      <c r="K1191" s="16">
        <f t="shared" si="18"/>
        <v>44065</v>
      </c>
      <c r="L1191" s="17">
        <v>0.54166666666666663</v>
      </c>
      <c r="M1191" s="14">
        <v>602</v>
      </c>
      <c r="N1191" s="14">
        <v>0</v>
      </c>
      <c r="O1191" s="14">
        <v>0</v>
      </c>
      <c r="P1191" s="14">
        <v>602</v>
      </c>
      <c r="Q1191">
        <v>9221</v>
      </c>
      <c r="R1191">
        <v>317</v>
      </c>
      <c r="S1191">
        <v>2583</v>
      </c>
    </row>
    <row r="1192" spans="11:19" x14ac:dyDescent="0.3">
      <c r="K1192" s="16">
        <f t="shared" si="18"/>
        <v>44065</v>
      </c>
      <c r="L1192" s="17">
        <v>0.58333333333333337</v>
      </c>
      <c r="M1192" s="14">
        <v>602</v>
      </c>
      <c r="N1192" s="14">
        <v>0</v>
      </c>
      <c r="O1192" s="14">
        <v>0</v>
      </c>
      <c r="P1192" s="14">
        <v>602</v>
      </c>
      <c r="Q1192">
        <v>9283</v>
      </c>
      <c r="R1192">
        <v>312</v>
      </c>
      <c r="S1192">
        <v>2576</v>
      </c>
    </row>
    <row r="1193" spans="11:19" x14ac:dyDescent="0.3">
      <c r="K1193" s="16">
        <f t="shared" si="18"/>
        <v>44065</v>
      </c>
      <c r="L1193" s="17">
        <v>0.625</v>
      </c>
      <c r="M1193" s="14">
        <v>602</v>
      </c>
      <c r="N1193" s="14">
        <v>0</v>
      </c>
      <c r="O1193" s="14">
        <v>0</v>
      </c>
      <c r="P1193" s="14">
        <v>602</v>
      </c>
      <c r="Q1193">
        <v>9134</v>
      </c>
      <c r="R1193">
        <v>350</v>
      </c>
      <c r="S1193">
        <v>2417</v>
      </c>
    </row>
    <row r="1194" spans="11:19" x14ac:dyDescent="0.3">
      <c r="K1194" s="16">
        <f t="shared" si="18"/>
        <v>44065</v>
      </c>
      <c r="L1194" s="17">
        <v>0.66666666666666663</v>
      </c>
      <c r="M1194" s="14">
        <v>602</v>
      </c>
      <c r="N1194" s="14">
        <v>688</v>
      </c>
      <c r="O1194" s="14">
        <v>0</v>
      </c>
      <c r="P1194" s="14">
        <v>1290</v>
      </c>
      <c r="Q1194">
        <v>9001</v>
      </c>
      <c r="R1194">
        <v>375</v>
      </c>
      <c r="S1194">
        <v>2085</v>
      </c>
    </row>
    <row r="1195" spans="11:19" x14ac:dyDescent="0.3">
      <c r="K1195" s="16">
        <f t="shared" si="18"/>
        <v>44065</v>
      </c>
      <c r="L1195" s="17">
        <v>0.70833333333333337</v>
      </c>
      <c r="M1195" s="14">
        <v>602</v>
      </c>
      <c r="N1195" s="14">
        <v>0</v>
      </c>
      <c r="O1195" s="14">
        <v>0</v>
      </c>
      <c r="P1195" s="14">
        <v>602</v>
      </c>
      <c r="Q1195">
        <v>8934</v>
      </c>
      <c r="R1195">
        <v>439</v>
      </c>
      <c r="S1195">
        <v>1648</v>
      </c>
    </row>
    <row r="1196" spans="11:19" x14ac:dyDescent="0.3">
      <c r="K1196" s="16">
        <f t="shared" si="18"/>
        <v>44065</v>
      </c>
      <c r="L1196" s="17">
        <v>0.75</v>
      </c>
      <c r="M1196" s="14">
        <v>602</v>
      </c>
      <c r="N1196" s="14">
        <v>1247</v>
      </c>
      <c r="O1196" s="14">
        <v>0</v>
      </c>
      <c r="P1196" s="14">
        <v>1849</v>
      </c>
      <c r="Q1196">
        <v>8759</v>
      </c>
      <c r="R1196">
        <v>497</v>
      </c>
      <c r="S1196">
        <v>1031</v>
      </c>
    </row>
    <row r="1197" spans="11:19" x14ac:dyDescent="0.3">
      <c r="K1197" s="16">
        <f t="shared" si="18"/>
        <v>44065</v>
      </c>
      <c r="L1197" s="17">
        <v>0.79166666666666663</v>
      </c>
      <c r="M1197" s="14">
        <v>602</v>
      </c>
      <c r="N1197" s="14">
        <v>1247</v>
      </c>
      <c r="O1197" s="14">
        <v>0</v>
      </c>
      <c r="P1197" s="14">
        <v>1849</v>
      </c>
      <c r="Q1197">
        <v>8505</v>
      </c>
      <c r="R1197">
        <v>518</v>
      </c>
      <c r="S1197">
        <v>414</v>
      </c>
    </row>
    <row r="1198" spans="11:19" x14ac:dyDescent="0.3">
      <c r="K1198" s="16">
        <f t="shared" si="18"/>
        <v>44065</v>
      </c>
      <c r="L1198" s="17">
        <v>0.83333333333333337</v>
      </c>
      <c r="M1198" s="14">
        <v>602</v>
      </c>
      <c r="N1198" s="14">
        <v>1247</v>
      </c>
      <c r="O1198" s="14">
        <v>0</v>
      </c>
      <c r="P1198" s="14">
        <v>1849</v>
      </c>
      <c r="Q1198">
        <v>8136</v>
      </c>
      <c r="R1198">
        <v>401</v>
      </c>
      <c r="S1198">
        <v>95</v>
      </c>
    </row>
    <row r="1199" spans="11:19" x14ac:dyDescent="0.3">
      <c r="K1199" s="16">
        <f t="shared" si="18"/>
        <v>44065</v>
      </c>
      <c r="L1199" s="17">
        <v>0.875</v>
      </c>
      <c r="M1199" s="14">
        <v>602</v>
      </c>
      <c r="N1199" s="14">
        <v>0</v>
      </c>
      <c r="O1199" s="14">
        <v>0</v>
      </c>
      <c r="P1199" s="14">
        <v>602</v>
      </c>
      <c r="Q1199">
        <v>8310</v>
      </c>
      <c r="R1199">
        <v>342</v>
      </c>
      <c r="S1199">
        <v>1</v>
      </c>
    </row>
    <row r="1200" spans="11:19" x14ac:dyDescent="0.3">
      <c r="K1200" s="16">
        <f t="shared" si="18"/>
        <v>44065</v>
      </c>
      <c r="L1200" s="17">
        <v>0.91666666666666663</v>
      </c>
      <c r="M1200" s="14">
        <v>602</v>
      </c>
      <c r="N1200" s="14">
        <v>1247</v>
      </c>
      <c r="O1200" s="14">
        <v>0</v>
      </c>
      <c r="P1200" s="14">
        <v>1849</v>
      </c>
      <c r="Q1200">
        <v>8664</v>
      </c>
      <c r="R1200">
        <v>310</v>
      </c>
      <c r="S1200">
        <v>0</v>
      </c>
    </row>
    <row r="1201" spans="11:19" x14ac:dyDescent="0.3">
      <c r="K1201" s="16">
        <f t="shared" si="18"/>
        <v>44065</v>
      </c>
      <c r="L1201" s="17">
        <v>0.95833333333333337</v>
      </c>
      <c r="M1201" s="14">
        <v>602</v>
      </c>
      <c r="N1201" s="14">
        <v>1247</v>
      </c>
      <c r="O1201" s="14">
        <v>0</v>
      </c>
      <c r="P1201" s="14">
        <v>1849</v>
      </c>
      <c r="Q1201">
        <v>8481</v>
      </c>
      <c r="R1201">
        <v>332</v>
      </c>
      <c r="S1201">
        <v>0</v>
      </c>
    </row>
    <row r="1202" spans="11:19" x14ac:dyDescent="0.3">
      <c r="K1202" s="16">
        <f t="shared" si="18"/>
        <v>44066</v>
      </c>
      <c r="L1202" s="17">
        <v>0</v>
      </c>
      <c r="M1202" s="14">
        <v>602</v>
      </c>
      <c r="N1202" s="14">
        <v>1117</v>
      </c>
      <c r="O1202" s="14">
        <v>0</v>
      </c>
      <c r="P1202" s="14">
        <v>1719</v>
      </c>
      <c r="Q1202">
        <v>7554</v>
      </c>
      <c r="R1202">
        <v>318</v>
      </c>
      <c r="S1202">
        <v>0</v>
      </c>
    </row>
    <row r="1203" spans="11:19" x14ac:dyDescent="0.3">
      <c r="K1203" s="16">
        <f t="shared" si="18"/>
        <v>44066</v>
      </c>
      <c r="L1203" s="17">
        <v>4.1666666666666664E-2</v>
      </c>
      <c r="M1203" s="14">
        <v>602</v>
      </c>
      <c r="N1203" s="14">
        <v>1117</v>
      </c>
      <c r="O1203" s="14">
        <v>0</v>
      </c>
      <c r="P1203" s="14">
        <v>1719</v>
      </c>
      <c r="Q1203">
        <v>7156</v>
      </c>
      <c r="R1203">
        <v>218</v>
      </c>
      <c r="S1203">
        <v>0</v>
      </c>
    </row>
    <row r="1204" spans="11:19" x14ac:dyDescent="0.3">
      <c r="K1204" s="16">
        <f t="shared" si="18"/>
        <v>44066</v>
      </c>
      <c r="L1204" s="17">
        <v>8.3333333333333329E-2</v>
      </c>
      <c r="M1204" s="14">
        <v>602</v>
      </c>
      <c r="N1204" s="14">
        <v>0</v>
      </c>
      <c r="O1204" s="14">
        <v>0</v>
      </c>
      <c r="P1204" s="14">
        <v>602</v>
      </c>
      <c r="Q1204">
        <v>6821</v>
      </c>
      <c r="R1204">
        <v>176</v>
      </c>
      <c r="S1204">
        <v>0</v>
      </c>
    </row>
    <row r="1205" spans="11:19" x14ac:dyDescent="0.3">
      <c r="K1205" s="16">
        <f t="shared" si="18"/>
        <v>44066</v>
      </c>
      <c r="L1205" s="17">
        <v>0.125</v>
      </c>
      <c r="M1205" s="14">
        <v>602</v>
      </c>
      <c r="N1205" s="14">
        <v>465</v>
      </c>
      <c r="O1205" s="14">
        <v>0</v>
      </c>
      <c r="P1205" s="14">
        <v>1067</v>
      </c>
      <c r="Q1205">
        <v>6450</v>
      </c>
      <c r="R1205">
        <v>183</v>
      </c>
      <c r="S1205">
        <v>0</v>
      </c>
    </row>
    <row r="1206" spans="11:19" x14ac:dyDescent="0.3">
      <c r="K1206" s="16">
        <f t="shared" si="18"/>
        <v>44066</v>
      </c>
      <c r="L1206" s="17">
        <v>0.16666666666666666</v>
      </c>
      <c r="M1206" s="14">
        <v>602</v>
      </c>
      <c r="N1206" s="14">
        <v>300</v>
      </c>
      <c r="O1206" s="14">
        <v>0</v>
      </c>
      <c r="P1206" s="14">
        <v>902</v>
      </c>
      <c r="Q1206">
        <v>6292</v>
      </c>
      <c r="R1206">
        <v>188</v>
      </c>
      <c r="S1206">
        <v>0</v>
      </c>
    </row>
    <row r="1207" spans="11:19" x14ac:dyDescent="0.3">
      <c r="K1207" s="16">
        <f t="shared" si="18"/>
        <v>44066</v>
      </c>
      <c r="L1207" s="17">
        <v>0.20833333333333334</v>
      </c>
      <c r="M1207" s="14">
        <v>602</v>
      </c>
      <c r="N1207" s="14">
        <v>0</v>
      </c>
      <c r="O1207" s="14">
        <v>0</v>
      </c>
      <c r="P1207" s="14">
        <v>602</v>
      </c>
      <c r="Q1207">
        <v>6245</v>
      </c>
      <c r="R1207">
        <v>167</v>
      </c>
      <c r="S1207">
        <v>0</v>
      </c>
    </row>
    <row r="1208" spans="11:19" x14ac:dyDescent="0.3">
      <c r="K1208" s="16">
        <f t="shared" si="18"/>
        <v>44066</v>
      </c>
      <c r="L1208" s="17">
        <v>0.25</v>
      </c>
      <c r="M1208" s="14">
        <v>602</v>
      </c>
      <c r="N1208" s="14">
        <v>304</v>
      </c>
      <c r="O1208" s="14">
        <v>0</v>
      </c>
      <c r="P1208" s="14">
        <v>906</v>
      </c>
      <c r="Q1208">
        <v>6230</v>
      </c>
      <c r="R1208">
        <v>171</v>
      </c>
      <c r="S1208">
        <v>2</v>
      </c>
    </row>
    <row r="1209" spans="11:19" x14ac:dyDescent="0.3">
      <c r="K1209" s="16">
        <f t="shared" si="18"/>
        <v>44066</v>
      </c>
      <c r="L1209" s="17">
        <v>0.29166666666666669</v>
      </c>
      <c r="M1209" s="14">
        <v>602</v>
      </c>
      <c r="N1209" s="14">
        <v>348</v>
      </c>
      <c r="O1209" s="14">
        <v>0</v>
      </c>
      <c r="P1209" s="14">
        <v>950</v>
      </c>
      <c r="Q1209">
        <v>6396</v>
      </c>
      <c r="R1209">
        <v>187</v>
      </c>
      <c r="S1209">
        <v>78</v>
      </c>
    </row>
    <row r="1210" spans="11:19" x14ac:dyDescent="0.3">
      <c r="K1210" s="16">
        <f t="shared" si="18"/>
        <v>44066</v>
      </c>
      <c r="L1210" s="17">
        <v>0.33333333333333331</v>
      </c>
      <c r="M1210" s="14">
        <v>602</v>
      </c>
      <c r="N1210" s="14">
        <v>0</v>
      </c>
      <c r="O1210" s="14">
        <v>0</v>
      </c>
      <c r="P1210" s="14">
        <v>602</v>
      </c>
      <c r="Q1210">
        <v>6871</v>
      </c>
      <c r="R1210">
        <v>233</v>
      </c>
      <c r="S1210">
        <v>382</v>
      </c>
    </row>
    <row r="1211" spans="11:19" x14ac:dyDescent="0.3">
      <c r="K1211" s="16">
        <f t="shared" si="18"/>
        <v>44066</v>
      </c>
      <c r="L1211" s="17">
        <v>0.375</v>
      </c>
      <c r="M1211" s="14">
        <v>602</v>
      </c>
      <c r="N1211" s="14">
        <v>414</v>
      </c>
      <c r="O1211" s="14">
        <v>0</v>
      </c>
      <c r="P1211" s="14">
        <v>1016</v>
      </c>
      <c r="Q1211">
        <v>7502</v>
      </c>
      <c r="R1211">
        <v>242</v>
      </c>
      <c r="S1211">
        <v>1047</v>
      </c>
    </row>
    <row r="1212" spans="11:19" x14ac:dyDescent="0.3">
      <c r="K1212" s="16">
        <f t="shared" si="18"/>
        <v>44066</v>
      </c>
      <c r="L1212" s="17">
        <v>0.41666666666666669</v>
      </c>
      <c r="M1212" s="14">
        <v>602</v>
      </c>
      <c r="N1212" s="14">
        <v>0</v>
      </c>
      <c r="O1212" s="14">
        <v>0</v>
      </c>
      <c r="P1212" s="14">
        <v>602</v>
      </c>
      <c r="Q1212">
        <v>8006</v>
      </c>
      <c r="R1212">
        <v>196</v>
      </c>
      <c r="S1212">
        <v>1603</v>
      </c>
    </row>
    <row r="1213" spans="11:19" x14ac:dyDescent="0.3">
      <c r="K1213" s="16">
        <f t="shared" si="18"/>
        <v>44066</v>
      </c>
      <c r="L1213" s="17">
        <v>0.45833333333333331</v>
      </c>
      <c r="M1213" s="14">
        <v>602</v>
      </c>
      <c r="N1213" s="14">
        <v>286</v>
      </c>
      <c r="O1213" s="14">
        <v>0</v>
      </c>
      <c r="P1213" s="14">
        <v>888</v>
      </c>
      <c r="Q1213">
        <v>8372</v>
      </c>
      <c r="R1213">
        <v>254</v>
      </c>
      <c r="S1213">
        <v>2039</v>
      </c>
    </row>
    <row r="1214" spans="11:19" x14ac:dyDescent="0.3">
      <c r="K1214" s="16">
        <f t="shared" si="18"/>
        <v>44066</v>
      </c>
      <c r="L1214" s="17">
        <v>0.5</v>
      </c>
      <c r="M1214" s="14">
        <v>602</v>
      </c>
      <c r="N1214" s="14">
        <v>0</v>
      </c>
      <c r="O1214" s="14">
        <v>0</v>
      </c>
      <c r="P1214" s="14">
        <v>602</v>
      </c>
      <c r="Q1214">
        <v>8816</v>
      </c>
      <c r="R1214">
        <v>313</v>
      </c>
      <c r="S1214">
        <v>2315</v>
      </c>
    </row>
    <row r="1215" spans="11:19" x14ac:dyDescent="0.3">
      <c r="K1215" s="16">
        <f t="shared" si="18"/>
        <v>44066</v>
      </c>
      <c r="L1215" s="17">
        <v>0.54166666666666663</v>
      </c>
      <c r="M1215" s="14">
        <v>602</v>
      </c>
      <c r="N1215" s="14">
        <v>72</v>
      </c>
      <c r="O1215" s="14">
        <v>0</v>
      </c>
      <c r="P1215" s="14">
        <v>674</v>
      </c>
      <c r="Q1215">
        <v>8619</v>
      </c>
      <c r="R1215">
        <v>307</v>
      </c>
      <c r="S1215">
        <v>2452</v>
      </c>
    </row>
    <row r="1216" spans="11:19" x14ac:dyDescent="0.3">
      <c r="K1216" s="16">
        <f t="shared" si="18"/>
        <v>44066</v>
      </c>
      <c r="L1216" s="17">
        <v>0.58333333333333337</v>
      </c>
      <c r="M1216" s="14">
        <v>602</v>
      </c>
      <c r="N1216" s="14">
        <v>0</v>
      </c>
      <c r="O1216" s="14">
        <v>0</v>
      </c>
      <c r="P1216" s="14">
        <v>602</v>
      </c>
      <c r="Q1216">
        <v>8619</v>
      </c>
      <c r="R1216">
        <v>226</v>
      </c>
      <c r="S1216">
        <v>2441</v>
      </c>
    </row>
    <row r="1217" spans="11:19" x14ac:dyDescent="0.3">
      <c r="K1217" s="16">
        <f t="shared" si="18"/>
        <v>44066</v>
      </c>
      <c r="L1217" s="17">
        <v>0.625</v>
      </c>
      <c r="M1217" s="14">
        <v>602</v>
      </c>
      <c r="N1217" s="14">
        <v>261</v>
      </c>
      <c r="O1217" s="14">
        <v>0</v>
      </c>
      <c r="P1217" s="14">
        <v>863</v>
      </c>
      <c r="Q1217">
        <v>8514</v>
      </c>
      <c r="R1217">
        <v>213</v>
      </c>
      <c r="S1217">
        <v>2257</v>
      </c>
    </row>
    <row r="1218" spans="11:19" x14ac:dyDescent="0.3">
      <c r="K1218" s="16">
        <f t="shared" si="18"/>
        <v>44066</v>
      </c>
      <c r="L1218" s="17">
        <v>0.66666666666666663</v>
      </c>
      <c r="M1218" s="14">
        <v>602</v>
      </c>
      <c r="N1218" s="14">
        <v>0</v>
      </c>
      <c r="O1218" s="14">
        <v>0</v>
      </c>
      <c r="P1218" s="14">
        <v>602</v>
      </c>
      <c r="Q1218">
        <v>8421</v>
      </c>
      <c r="R1218">
        <v>260</v>
      </c>
      <c r="S1218">
        <v>1952</v>
      </c>
    </row>
    <row r="1219" spans="11:19" x14ac:dyDescent="0.3">
      <c r="K1219" s="16">
        <f t="shared" si="18"/>
        <v>44066</v>
      </c>
      <c r="L1219" s="17">
        <v>0.70833333333333337</v>
      </c>
      <c r="M1219" s="14">
        <v>602</v>
      </c>
      <c r="N1219" s="14">
        <v>646</v>
      </c>
      <c r="O1219" s="14">
        <v>0</v>
      </c>
      <c r="P1219" s="14">
        <v>1248</v>
      </c>
      <c r="Q1219">
        <v>8399</v>
      </c>
      <c r="R1219">
        <v>290</v>
      </c>
      <c r="S1219">
        <v>1538</v>
      </c>
    </row>
    <row r="1220" spans="11:19" x14ac:dyDescent="0.3">
      <c r="K1220" s="16">
        <f t="shared" si="18"/>
        <v>44066</v>
      </c>
      <c r="L1220" s="17">
        <v>0.75</v>
      </c>
      <c r="M1220" s="14">
        <v>602</v>
      </c>
      <c r="N1220" s="14">
        <v>0</v>
      </c>
      <c r="O1220" s="14">
        <v>0</v>
      </c>
      <c r="P1220" s="14">
        <v>602</v>
      </c>
      <c r="Q1220">
        <v>8272</v>
      </c>
      <c r="R1220">
        <v>341</v>
      </c>
      <c r="S1220">
        <v>951</v>
      </c>
    </row>
    <row r="1221" spans="11:19" x14ac:dyDescent="0.3">
      <c r="K1221" s="16">
        <f t="shared" si="18"/>
        <v>44066</v>
      </c>
      <c r="L1221" s="17">
        <v>0.79166666666666663</v>
      </c>
      <c r="M1221" s="14">
        <v>602</v>
      </c>
      <c r="N1221" s="14">
        <v>1117</v>
      </c>
      <c r="O1221" s="14">
        <v>0</v>
      </c>
      <c r="P1221" s="14">
        <v>1719</v>
      </c>
      <c r="Q1221">
        <v>8192</v>
      </c>
      <c r="R1221">
        <v>418</v>
      </c>
      <c r="S1221">
        <v>386</v>
      </c>
    </row>
    <row r="1222" spans="11:19" x14ac:dyDescent="0.3">
      <c r="K1222" s="16">
        <f t="shared" si="18"/>
        <v>44066</v>
      </c>
      <c r="L1222" s="17">
        <v>0.83333333333333337</v>
      </c>
      <c r="M1222" s="14">
        <v>602</v>
      </c>
      <c r="N1222" s="14">
        <v>1117</v>
      </c>
      <c r="O1222" s="14">
        <v>0</v>
      </c>
      <c r="P1222" s="14">
        <v>1719</v>
      </c>
      <c r="Q1222">
        <v>8061</v>
      </c>
      <c r="R1222">
        <v>485</v>
      </c>
      <c r="S1222">
        <v>98</v>
      </c>
    </row>
    <row r="1223" spans="11:19" x14ac:dyDescent="0.3">
      <c r="K1223" s="16">
        <f t="shared" si="18"/>
        <v>44066</v>
      </c>
      <c r="L1223" s="17">
        <v>0.875</v>
      </c>
      <c r="M1223" s="14">
        <v>602</v>
      </c>
      <c r="N1223" s="14">
        <v>1117</v>
      </c>
      <c r="O1223" s="14">
        <v>0</v>
      </c>
      <c r="P1223" s="14">
        <v>1719</v>
      </c>
      <c r="Q1223">
        <v>8304</v>
      </c>
      <c r="R1223">
        <v>447</v>
      </c>
      <c r="S1223">
        <v>0</v>
      </c>
    </row>
    <row r="1224" spans="11:19" x14ac:dyDescent="0.3">
      <c r="K1224" s="16">
        <f t="shared" si="18"/>
        <v>44066</v>
      </c>
      <c r="L1224" s="17">
        <v>0.91666666666666663</v>
      </c>
      <c r="M1224" s="14">
        <v>602</v>
      </c>
      <c r="N1224" s="14">
        <v>1117</v>
      </c>
      <c r="O1224" s="14">
        <v>0</v>
      </c>
      <c r="P1224" s="14">
        <v>1719</v>
      </c>
      <c r="Q1224">
        <v>8677</v>
      </c>
      <c r="R1224">
        <v>463</v>
      </c>
      <c r="S1224">
        <v>0</v>
      </c>
    </row>
    <row r="1225" spans="11:19" x14ac:dyDescent="0.3">
      <c r="K1225" s="16">
        <f t="shared" si="18"/>
        <v>44066</v>
      </c>
      <c r="L1225" s="17">
        <v>0.95833333333333337</v>
      </c>
      <c r="M1225" s="14">
        <v>602</v>
      </c>
      <c r="N1225" s="14">
        <v>1117</v>
      </c>
      <c r="O1225" s="14">
        <v>0</v>
      </c>
      <c r="P1225" s="14">
        <v>1719</v>
      </c>
      <c r="Q1225">
        <v>8477</v>
      </c>
      <c r="R1225">
        <v>416</v>
      </c>
      <c r="S1225">
        <v>0</v>
      </c>
    </row>
    <row r="1226" spans="11:19" x14ac:dyDescent="0.3">
      <c r="K1226" s="16">
        <f t="shared" si="18"/>
        <v>44067</v>
      </c>
      <c r="L1226" s="17">
        <v>0</v>
      </c>
      <c r="M1226" s="14">
        <v>602</v>
      </c>
      <c r="N1226" s="14">
        <v>0</v>
      </c>
      <c r="O1226" s="14">
        <v>0</v>
      </c>
      <c r="P1226" s="14">
        <v>602</v>
      </c>
      <c r="Q1226">
        <v>7507</v>
      </c>
      <c r="R1226">
        <v>364</v>
      </c>
      <c r="S1226">
        <v>0</v>
      </c>
    </row>
    <row r="1227" spans="11:19" x14ac:dyDescent="0.3">
      <c r="K1227" s="16">
        <f t="shared" si="18"/>
        <v>44067</v>
      </c>
      <c r="L1227" s="17">
        <v>4.1666666666666664E-2</v>
      </c>
      <c r="M1227" s="14">
        <v>602</v>
      </c>
      <c r="N1227" s="14">
        <v>914</v>
      </c>
      <c r="O1227" s="14">
        <v>0</v>
      </c>
      <c r="P1227" s="14">
        <v>1516</v>
      </c>
      <c r="Q1227">
        <v>7156</v>
      </c>
      <c r="R1227">
        <v>199</v>
      </c>
      <c r="S1227">
        <v>0</v>
      </c>
    </row>
    <row r="1228" spans="11:19" x14ac:dyDescent="0.3">
      <c r="K1228" s="16">
        <f t="shared" si="18"/>
        <v>44067</v>
      </c>
      <c r="L1228" s="17">
        <v>8.3333333333333329E-2</v>
      </c>
      <c r="M1228" s="14">
        <v>602</v>
      </c>
      <c r="N1228" s="14">
        <v>0</v>
      </c>
      <c r="O1228" s="14">
        <v>0</v>
      </c>
      <c r="P1228" s="14">
        <v>602</v>
      </c>
      <c r="Q1228">
        <v>6880</v>
      </c>
      <c r="R1228">
        <v>178</v>
      </c>
      <c r="S1228">
        <v>0</v>
      </c>
    </row>
    <row r="1229" spans="11:19" x14ac:dyDescent="0.3">
      <c r="K1229" s="16">
        <f t="shared" si="18"/>
        <v>44067</v>
      </c>
      <c r="L1229" s="17">
        <v>0.125</v>
      </c>
      <c r="M1229" s="14">
        <v>602</v>
      </c>
      <c r="N1229" s="14">
        <v>467</v>
      </c>
      <c r="O1229" s="14">
        <v>0</v>
      </c>
      <c r="P1229" s="14">
        <v>1069</v>
      </c>
      <c r="Q1229">
        <v>6577</v>
      </c>
      <c r="R1229">
        <v>226</v>
      </c>
      <c r="S1229">
        <v>0</v>
      </c>
    </row>
    <row r="1230" spans="11:19" x14ac:dyDescent="0.3">
      <c r="K1230" s="16">
        <f t="shared" si="18"/>
        <v>44067</v>
      </c>
      <c r="L1230" s="17">
        <v>0.16666666666666666</v>
      </c>
      <c r="M1230" s="14">
        <v>602</v>
      </c>
      <c r="N1230" s="14">
        <v>0</v>
      </c>
      <c r="O1230" s="14">
        <v>0</v>
      </c>
      <c r="P1230" s="14">
        <v>602</v>
      </c>
      <c r="Q1230">
        <v>6585</v>
      </c>
      <c r="R1230">
        <v>195</v>
      </c>
      <c r="S1230">
        <v>0</v>
      </c>
    </row>
    <row r="1231" spans="11:19" x14ac:dyDescent="0.3">
      <c r="K1231" s="16">
        <f t="shared" si="18"/>
        <v>44067</v>
      </c>
      <c r="L1231" s="17">
        <v>0.20833333333333334</v>
      </c>
      <c r="M1231" s="14">
        <v>602</v>
      </c>
      <c r="N1231" s="14">
        <v>0</v>
      </c>
      <c r="O1231" s="14">
        <v>0</v>
      </c>
      <c r="P1231" s="14">
        <v>602</v>
      </c>
      <c r="Q1231">
        <v>6836</v>
      </c>
      <c r="R1231">
        <v>210</v>
      </c>
      <c r="S1231">
        <v>0</v>
      </c>
    </row>
    <row r="1232" spans="11:19" x14ac:dyDescent="0.3">
      <c r="K1232" s="16">
        <f t="shared" si="18"/>
        <v>44067</v>
      </c>
      <c r="L1232" s="17">
        <v>0.25</v>
      </c>
      <c r="M1232" s="14">
        <v>602</v>
      </c>
      <c r="N1232" s="14">
        <v>0</v>
      </c>
      <c r="O1232" s="14">
        <v>0</v>
      </c>
      <c r="P1232" s="14">
        <v>602</v>
      </c>
      <c r="Q1232">
        <v>7303</v>
      </c>
      <c r="R1232">
        <v>194</v>
      </c>
      <c r="S1232">
        <v>1</v>
      </c>
    </row>
    <row r="1233" spans="11:19" x14ac:dyDescent="0.3">
      <c r="K1233" s="16">
        <f t="shared" si="18"/>
        <v>44067</v>
      </c>
      <c r="L1233" s="17">
        <v>0.29166666666666669</v>
      </c>
      <c r="M1233" s="14">
        <v>602</v>
      </c>
      <c r="N1233" s="14">
        <v>0</v>
      </c>
      <c r="O1233" s="14">
        <v>0</v>
      </c>
      <c r="P1233" s="14">
        <v>602</v>
      </c>
      <c r="Q1233">
        <v>7913</v>
      </c>
      <c r="R1233">
        <v>202</v>
      </c>
      <c r="S1233">
        <v>93</v>
      </c>
    </row>
    <row r="1234" spans="11:19" x14ac:dyDescent="0.3">
      <c r="K1234" s="16">
        <f t="shared" si="18"/>
        <v>44067</v>
      </c>
      <c r="L1234" s="17">
        <v>0.33333333333333331</v>
      </c>
      <c r="M1234" s="14">
        <v>602</v>
      </c>
      <c r="N1234" s="14">
        <v>288</v>
      </c>
      <c r="O1234" s="14">
        <v>0</v>
      </c>
      <c r="P1234" s="14">
        <v>890</v>
      </c>
      <c r="Q1234">
        <v>8590</v>
      </c>
      <c r="R1234">
        <v>252</v>
      </c>
      <c r="S1234">
        <v>465</v>
      </c>
    </row>
    <row r="1235" spans="11:19" x14ac:dyDescent="0.3">
      <c r="K1235" s="16">
        <f t="shared" si="18"/>
        <v>44067</v>
      </c>
      <c r="L1235" s="17">
        <v>0.375</v>
      </c>
      <c r="M1235" s="14">
        <v>602</v>
      </c>
      <c r="N1235" s="14">
        <v>1716</v>
      </c>
      <c r="O1235" s="14">
        <v>0</v>
      </c>
      <c r="P1235" s="14">
        <v>2318</v>
      </c>
      <c r="Q1235">
        <v>9240</v>
      </c>
      <c r="R1235">
        <v>236</v>
      </c>
      <c r="S1235">
        <v>1108</v>
      </c>
    </row>
    <row r="1236" spans="11:19" x14ac:dyDescent="0.3">
      <c r="K1236" s="16">
        <f t="shared" si="18"/>
        <v>44067</v>
      </c>
      <c r="L1236" s="17">
        <v>0.41666666666666669</v>
      </c>
      <c r="M1236" s="14">
        <v>602</v>
      </c>
      <c r="N1236" s="14">
        <v>1651</v>
      </c>
      <c r="O1236" s="14">
        <v>0</v>
      </c>
      <c r="P1236" s="14">
        <v>2253</v>
      </c>
      <c r="Q1236">
        <v>9680</v>
      </c>
      <c r="R1236">
        <v>222</v>
      </c>
      <c r="S1236">
        <v>1759</v>
      </c>
    </row>
    <row r="1237" spans="11:19" x14ac:dyDescent="0.3">
      <c r="K1237" s="16">
        <f t="shared" si="18"/>
        <v>44067</v>
      </c>
      <c r="L1237" s="17">
        <v>0.45833333333333331</v>
      </c>
      <c r="M1237" s="14">
        <v>602</v>
      </c>
      <c r="N1237" s="14">
        <v>1587</v>
      </c>
      <c r="O1237" s="14">
        <v>0</v>
      </c>
      <c r="P1237" s="14">
        <v>2189</v>
      </c>
      <c r="Q1237">
        <v>10028</v>
      </c>
      <c r="R1237">
        <v>242</v>
      </c>
      <c r="S1237">
        <v>2151</v>
      </c>
    </row>
    <row r="1238" spans="11:19" x14ac:dyDescent="0.3">
      <c r="K1238" s="16">
        <f t="shared" si="18"/>
        <v>44067</v>
      </c>
      <c r="L1238" s="17">
        <v>0.5</v>
      </c>
      <c r="M1238" s="14">
        <v>602</v>
      </c>
      <c r="N1238" s="14">
        <v>0</v>
      </c>
      <c r="O1238" s="14">
        <v>0</v>
      </c>
      <c r="P1238" s="14">
        <v>602</v>
      </c>
      <c r="Q1238">
        <v>10328</v>
      </c>
      <c r="R1238">
        <v>233</v>
      </c>
      <c r="S1238">
        <v>2427</v>
      </c>
    </row>
    <row r="1239" spans="11:19" x14ac:dyDescent="0.3">
      <c r="K1239" s="16">
        <f t="shared" si="18"/>
        <v>44067</v>
      </c>
      <c r="L1239" s="17">
        <v>0.54166666666666663</v>
      </c>
      <c r="M1239" s="14">
        <v>602</v>
      </c>
      <c r="N1239" s="14">
        <v>1434</v>
      </c>
      <c r="O1239" s="14">
        <v>0</v>
      </c>
      <c r="P1239" s="14">
        <v>2036</v>
      </c>
      <c r="Q1239">
        <v>10296</v>
      </c>
      <c r="R1239">
        <v>275</v>
      </c>
      <c r="S1239">
        <v>2546</v>
      </c>
    </row>
    <row r="1240" spans="11:19" x14ac:dyDescent="0.3">
      <c r="K1240" s="16">
        <f t="shared" si="18"/>
        <v>44067</v>
      </c>
      <c r="L1240" s="17">
        <v>0.58333333333333337</v>
      </c>
      <c r="M1240" s="14">
        <v>602</v>
      </c>
      <c r="N1240" s="14">
        <v>1584</v>
      </c>
      <c r="O1240" s="14">
        <v>0</v>
      </c>
      <c r="P1240" s="14">
        <v>2186</v>
      </c>
      <c r="Q1240">
        <v>10461</v>
      </c>
      <c r="R1240">
        <v>355</v>
      </c>
      <c r="S1240">
        <v>2484</v>
      </c>
    </row>
    <row r="1241" spans="11:19" x14ac:dyDescent="0.3">
      <c r="K1241" s="16">
        <f t="shared" si="18"/>
        <v>44067</v>
      </c>
      <c r="L1241" s="17">
        <v>0.625</v>
      </c>
      <c r="M1241" s="14">
        <v>602</v>
      </c>
      <c r="N1241" s="14">
        <v>1570</v>
      </c>
      <c r="O1241" s="14">
        <v>0</v>
      </c>
      <c r="P1241" s="14">
        <v>2172</v>
      </c>
      <c r="Q1241">
        <v>10343</v>
      </c>
      <c r="R1241">
        <v>430</v>
      </c>
      <c r="S1241">
        <v>2302</v>
      </c>
    </row>
    <row r="1242" spans="11:19" x14ac:dyDescent="0.3">
      <c r="K1242" s="16">
        <f t="shared" si="18"/>
        <v>44067</v>
      </c>
      <c r="L1242" s="17">
        <v>0.66666666666666663</v>
      </c>
      <c r="M1242" s="14">
        <v>602</v>
      </c>
      <c r="N1242" s="14">
        <v>1647</v>
      </c>
      <c r="O1242" s="14">
        <v>0</v>
      </c>
      <c r="P1242" s="14">
        <v>2249</v>
      </c>
      <c r="Q1242">
        <v>10189</v>
      </c>
      <c r="R1242">
        <v>534</v>
      </c>
      <c r="S1242">
        <v>1971</v>
      </c>
    </row>
    <row r="1243" spans="11:19" x14ac:dyDescent="0.3">
      <c r="K1243" s="16">
        <f t="shared" ref="K1243:K1306" si="19">K1219+1</f>
        <v>44067</v>
      </c>
      <c r="L1243" s="17">
        <v>0.70833333333333337</v>
      </c>
      <c r="M1243" s="14">
        <v>602</v>
      </c>
      <c r="N1243" s="14">
        <v>0</v>
      </c>
      <c r="O1243" s="14">
        <v>0</v>
      </c>
      <c r="P1243" s="14">
        <v>602</v>
      </c>
      <c r="Q1243">
        <v>10052</v>
      </c>
      <c r="R1243">
        <v>655</v>
      </c>
      <c r="S1243">
        <v>1513</v>
      </c>
    </row>
    <row r="1244" spans="11:19" x14ac:dyDescent="0.3">
      <c r="K1244" s="16">
        <f t="shared" si="19"/>
        <v>44067</v>
      </c>
      <c r="L1244" s="17">
        <v>0.75</v>
      </c>
      <c r="M1244" s="14">
        <v>602</v>
      </c>
      <c r="N1244" s="14">
        <v>0</v>
      </c>
      <c r="O1244" s="14">
        <v>0</v>
      </c>
      <c r="P1244" s="14">
        <v>602</v>
      </c>
      <c r="Q1244">
        <v>9851</v>
      </c>
      <c r="R1244">
        <v>710</v>
      </c>
      <c r="S1244">
        <v>919</v>
      </c>
    </row>
    <row r="1245" spans="11:19" x14ac:dyDescent="0.3">
      <c r="K1245" s="16">
        <f t="shared" si="19"/>
        <v>44067</v>
      </c>
      <c r="L1245" s="17">
        <v>0.79166666666666663</v>
      </c>
      <c r="M1245" s="14">
        <v>602</v>
      </c>
      <c r="N1245" s="14">
        <v>1716</v>
      </c>
      <c r="O1245" s="14">
        <v>0</v>
      </c>
      <c r="P1245" s="14">
        <v>2318</v>
      </c>
      <c r="Q1245">
        <v>9599</v>
      </c>
      <c r="R1245">
        <v>776</v>
      </c>
      <c r="S1245">
        <v>375</v>
      </c>
    </row>
    <row r="1246" spans="11:19" x14ac:dyDescent="0.3">
      <c r="K1246" s="16">
        <f t="shared" si="19"/>
        <v>44067</v>
      </c>
      <c r="L1246" s="17">
        <v>0.83333333333333337</v>
      </c>
      <c r="M1246" s="14">
        <v>602</v>
      </c>
      <c r="N1246" s="14">
        <v>0</v>
      </c>
      <c r="O1246" s="14">
        <v>0</v>
      </c>
      <c r="P1246" s="14">
        <v>602</v>
      </c>
      <c r="Q1246">
        <v>9086</v>
      </c>
      <c r="R1246">
        <v>930</v>
      </c>
      <c r="S1246">
        <v>95</v>
      </c>
    </row>
    <row r="1247" spans="11:19" x14ac:dyDescent="0.3">
      <c r="K1247" s="16">
        <f t="shared" si="19"/>
        <v>44067</v>
      </c>
      <c r="L1247" s="17">
        <v>0.875</v>
      </c>
      <c r="M1247" s="14">
        <v>602</v>
      </c>
      <c r="N1247" s="14">
        <v>0</v>
      </c>
      <c r="O1247" s="14">
        <v>0</v>
      </c>
      <c r="P1247" s="14">
        <v>602</v>
      </c>
      <c r="Q1247">
        <v>9035</v>
      </c>
      <c r="R1247">
        <v>1092</v>
      </c>
      <c r="S1247">
        <v>1</v>
      </c>
    </row>
    <row r="1248" spans="11:19" x14ac:dyDescent="0.3">
      <c r="K1248" s="16">
        <f t="shared" si="19"/>
        <v>44067</v>
      </c>
      <c r="L1248" s="17">
        <v>0.91666666666666663</v>
      </c>
      <c r="M1248" s="14">
        <v>602</v>
      </c>
      <c r="N1248" s="14">
        <v>1716</v>
      </c>
      <c r="O1248" s="14">
        <v>0</v>
      </c>
      <c r="P1248" s="14">
        <v>2318</v>
      </c>
      <c r="Q1248">
        <v>9285</v>
      </c>
      <c r="R1248">
        <v>1064</v>
      </c>
      <c r="S1248">
        <v>0</v>
      </c>
    </row>
    <row r="1249" spans="11:19" x14ac:dyDescent="0.3">
      <c r="K1249" s="16">
        <f t="shared" si="19"/>
        <v>44067</v>
      </c>
      <c r="L1249" s="17">
        <v>0.95833333333333337</v>
      </c>
      <c r="M1249" s="14">
        <v>602</v>
      </c>
      <c r="N1249" s="14">
        <v>0</v>
      </c>
      <c r="O1249" s="14">
        <v>0</v>
      </c>
      <c r="P1249" s="14">
        <v>602</v>
      </c>
      <c r="Q1249">
        <v>9004</v>
      </c>
      <c r="R1249">
        <v>975</v>
      </c>
      <c r="S1249">
        <v>0</v>
      </c>
    </row>
    <row r="1250" spans="11:19" x14ac:dyDescent="0.3">
      <c r="K1250" s="16">
        <f t="shared" si="19"/>
        <v>44068</v>
      </c>
      <c r="L1250" s="17">
        <v>0</v>
      </c>
      <c r="M1250" s="14">
        <v>602</v>
      </c>
      <c r="N1250" s="14">
        <v>1091</v>
      </c>
      <c r="O1250" s="14">
        <v>0</v>
      </c>
      <c r="P1250" s="14">
        <v>1693</v>
      </c>
      <c r="Q1250">
        <v>8136</v>
      </c>
      <c r="R1250">
        <v>998</v>
      </c>
      <c r="S1250">
        <v>0</v>
      </c>
    </row>
    <row r="1251" spans="11:19" x14ac:dyDescent="0.3">
      <c r="K1251" s="16">
        <f t="shared" si="19"/>
        <v>44068</v>
      </c>
      <c r="L1251" s="17">
        <v>4.1666666666666664E-2</v>
      </c>
      <c r="M1251" s="14">
        <v>602</v>
      </c>
      <c r="N1251" s="14">
        <v>0</v>
      </c>
      <c r="O1251" s="14">
        <v>0</v>
      </c>
      <c r="P1251" s="14">
        <v>602</v>
      </c>
      <c r="Q1251">
        <v>7764</v>
      </c>
      <c r="R1251">
        <v>603</v>
      </c>
      <c r="S1251">
        <v>0</v>
      </c>
    </row>
    <row r="1252" spans="11:19" x14ac:dyDescent="0.3">
      <c r="K1252" s="16">
        <f t="shared" si="19"/>
        <v>44068</v>
      </c>
      <c r="L1252" s="17">
        <v>8.3333333333333329E-2</v>
      </c>
      <c r="M1252" s="14">
        <v>602</v>
      </c>
      <c r="N1252" s="14">
        <v>0</v>
      </c>
      <c r="O1252" s="14">
        <v>0</v>
      </c>
      <c r="P1252" s="14">
        <v>602</v>
      </c>
      <c r="Q1252">
        <v>7474</v>
      </c>
      <c r="R1252">
        <v>479</v>
      </c>
      <c r="S1252">
        <v>0</v>
      </c>
    </row>
    <row r="1253" spans="11:19" x14ac:dyDescent="0.3">
      <c r="K1253" s="16">
        <f t="shared" si="19"/>
        <v>44068</v>
      </c>
      <c r="L1253" s="17">
        <v>0.125</v>
      </c>
      <c r="M1253" s="14">
        <v>602</v>
      </c>
      <c r="N1253" s="14">
        <v>674</v>
      </c>
      <c r="O1253" s="14">
        <v>0</v>
      </c>
      <c r="P1253" s="14">
        <v>1276</v>
      </c>
      <c r="Q1253">
        <v>7155</v>
      </c>
      <c r="R1253">
        <v>516</v>
      </c>
      <c r="S1253">
        <v>0</v>
      </c>
    </row>
    <row r="1254" spans="11:19" x14ac:dyDescent="0.3">
      <c r="K1254" s="16">
        <f t="shared" si="19"/>
        <v>44068</v>
      </c>
      <c r="L1254" s="17">
        <v>0.16666666666666666</v>
      </c>
      <c r="M1254" s="14">
        <v>602</v>
      </c>
      <c r="N1254" s="14">
        <v>0</v>
      </c>
      <c r="O1254" s="14">
        <v>0</v>
      </c>
      <c r="P1254" s="14">
        <v>602</v>
      </c>
      <c r="Q1254">
        <v>7104</v>
      </c>
      <c r="R1254">
        <v>555</v>
      </c>
      <c r="S1254">
        <v>0</v>
      </c>
    </row>
    <row r="1255" spans="11:19" x14ac:dyDescent="0.3">
      <c r="K1255" s="16">
        <f t="shared" si="19"/>
        <v>44068</v>
      </c>
      <c r="L1255" s="17">
        <v>0.20833333333333334</v>
      </c>
      <c r="M1255" s="14">
        <v>602</v>
      </c>
      <c r="N1255" s="14">
        <v>0</v>
      </c>
      <c r="O1255" s="14">
        <v>0</v>
      </c>
      <c r="P1255" s="14">
        <v>602</v>
      </c>
      <c r="Q1255">
        <v>7319</v>
      </c>
      <c r="R1255">
        <v>546</v>
      </c>
      <c r="S1255">
        <v>0</v>
      </c>
    </row>
    <row r="1256" spans="11:19" x14ac:dyDescent="0.3">
      <c r="K1256" s="16">
        <f t="shared" si="19"/>
        <v>44068</v>
      </c>
      <c r="L1256" s="17">
        <v>0.25</v>
      </c>
      <c r="M1256" s="14">
        <v>602</v>
      </c>
      <c r="N1256" s="14">
        <v>0</v>
      </c>
      <c r="O1256" s="14">
        <v>0</v>
      </c>
      <c r="P1256" s="14">
        <v>602</v>
      </c>
      <c r="Q1256">
        <v>7765</v>
      </c>
      <c r="R1256">
        <v>522</v>
      </c>
      <c r="S1256">
        <v>1</v>
      </c>
    </row>
    <row r="1257" spans="11:19" x14ac:dyDescent="0.3">
      <c r="K1257" s="16">
        <f t="shared" si="19"/>
        <v>44068</v>
      </c>
      <c r="L1257" s="17">
        <v>0.29166666666666669</v>
      </c>
      <c r="M1257" s="14">
        <v>602</v>
      </c>
      <c r="N1257" s="14">
        <v>0</v>
      </c>
      <c r="O1257" s="14">
        <v>0</v>
      </c>
      <c r="P1257" s="14">
        <v>602</v>
      </c>
      <c r="Q1257">
        <v>8363</v>
      </c>
      <c r="R1257">
        <v>486</v>
      </c>
      <c r="S1257">
        <v>55</v>
      </c>
    </row>
    <row r="1258" spans="11:19" x14ac:dyDescent="0.3">
      <c r="K1258" s="16">
        <f t="shared" si="19"/>
        <v>44068</v>
      </c>
      <c r="L1258" s="17">
        <v>0.33333333333333331</v>
      </c>
      <c r="M1258" s="14">
        <v>602</v>
      </c>
      <c r="N1258" s="14">
        <v>0</v>
      </c>
      <c r="O1258" s="14">
        <v>0</v>
      </c>
      <c r="P1258" s="14">
        <v>602</v>
      </c>
      <c r="Q1258">
        <v>9017</v>
      </c>
      <c r="R1258">
        <v>477</v>
      </c>
      <c r="S1258">
        <v>385</v>
      </c>
    </row>
    <row r="1259" spans="11:19" x14ac:dyDescent="0.3">
      <c r="K1259" s="16">
        <f t="shared" si="19"/>
        <v>44068</v>
      </c>
      <c r="L1259" s="17">
        <v>0.375</v>
      </c>
      <c r="M1259" s="14">
        <v>602</v>
      </c>
      <c r="N1259" s="14">
        <v>1579</v>
      </c>
      <c r="O1259" s="14">
        <v>0</v>
      </c>
      <c r="P1259" s="14">
        <v>2181</v>
      </c>
      <c r="Q1259">
        <v>9649</v>
      </c>
      <c r="R1259">
        <v>482</v>
      </c>
      <c r="S1259">
        <v>1015</v>
      </c>
    </row>
    <row r="1260" spans="11:19" x14ac:dyDescent="0.3">
      <c r="K1260" s="16">
        <f t="shared" si="19"/>
        <v>44068</v>
      </c>
      <c r="L1260" s="17">
        <v>0.41666666666666669</v>
      </c>
      <c r="M1260" s="14">
        <v>602</v>
      </c>
      <c r="N1260" s="14">
        <v>1579</v>
      </c>
      <c r="O1260" s="14">
        <v>0</v>
      </c>
      <c r="P1260" s="14">
        <v>2181</v>
      </c>
      <c r="Q1260">
        <v>10079</v>
      </c>
      <c r="R1260">
        <v>513</v>
      </c>
      <c r="S1260">
        <v>1551</v>
      </c>
    </row>
    <row r="1261" spans="11:19" x14ac:dyDescent="0.3">
      <c r="K1261" s="16">
        <f t="shared" si="19"/>
        <v>44068</v>
      </c>
      <c r="L1261" s="17">
        <v>0.45833333333333331</v>
      </c>
      <c r="M1261" s="14">
        <v>602</v>
      </c>
      <c r="N1261" s="14">
        <v>1579</v>
      </c>
      <c r="O1261" s="14">
        <v>0</v>
      </c>
      <c r="P1261" s="14">
        <v>2181</v>
      </c>
      <c r="Q1261">
        <v>10404</v>
      </c>
      <c r="R1261">
        <v>570</v>
      </c>
      <c r="S1261">
        <v>1895</v>
      </c>
    </row>
    <row r="1262" spans="11:19" x14ac:dyDescent="0.3">
      <c r="K1262" s="16">
        <f t="shared" si="19"/>
        <v>44068</v>
      </c>
      <c r="L1262" s="17">
        <v>0.5</v>
      </c>
      <c r="M1262" s="14">
        <v>602</v>
      </c>
      <c r="N1262" s="14">
        <v>0</v>
      </c>
      <c r="O1262" s="14">
        <v>0</v>
      </c>
      <c r="P1262" s="14">
        <v>602</v>
      </c>
      <c r="Q1262">
        <v>10643</v>
      </c>
      <c r="R1262">
        <v>585</v>
      </c>
      <c r="S1262">
        <v>2159</v>
      </c>
    </row>
    <row r="1263" spans="11:19" x14ac:dyDescent="0.3">
      <c r="K1263" s="16">
        <f t="shared" si="19"/>
        <v>44068</v>
      </c>
      <c r="L1263" s="17">
        <v>0.54166666666666663</v>
      </c>
      <c r="M1263" s="14">
        <v>602</v>
      </c>
      <c r="N1263" s="14">
        <v>0</v>
      </c>
      <c r="O1263" s="14">
        <v>0</v>
      </c>
      <c r="P1263" s="14">
        <v>602</v>
      </c>
      <c r="Q1263">
        <v>10591</v>
      </c>
      <c r="R1263">
        <v>646</v>
      </c>
      <c r="S1263">
        <v>2302</v>
      </c>
    </row>
    <row r="1264" spans="11:19" x14ac:dyDescent="0.3">
      <c r="K1264" s="16">
        <f t="shared" si="19"/>
        <v>44068</v>
      </c>
      <c r="L1264" s="17">
        <v>0.58333333333333337</v>
      </c>
      <c r="M1264" s="14">
        <v>602</v>
      </c>
      <c r="N1264" s="14">
        <v>1579</v>
      </c>
      <c r="O1264" s="14">
        <v>0</v>
      </c>
      <c r="P1264" s="14">
        <v>2181</v>
      </c>
      <c r="Q1264">
        <v>10761</v>
      </c>
      <c r="R1264">
        <v>648</v>
      </c>
      <c r="S1264">
        <v>2267</v>
      </c>
    </row>
    <row r="1265" spans="11:19" x14ac:dyDescent="0.3">
      <c r="K1265" s="16">
        <f t="shared" si="19"/>
        <v>44068</v>
      </c>
      <c r="L1265" s="17">
        <v>0.625</v>
      </c>
      <c r="M1265" s="14">
        <v>602</v>
      </c>
      <c r="N1265" s="14">
        <v>1579</v>
      </c>
      <c r="O1265" s="14">
        <v>0</v>
      </c>
      <c r="P1265" s="14">
        <v>2181</v>
      </c>
      <c r="Q1265">
        <v>10637</v>
      </c>
      <c r="R1265">
        <v>833</v>
      </c>
      <c r="S1265">
        <v>2135</v>
      </c>
    </row>
    <row r="1266" spans="11:19" x14ac:dyDescent="0.3">
      <c r="K1266" s="16">
        <f t="shared" si="19"/>
        <v>44068</v>
      </c>
      <c r="L1266" s="17">
        <v>0.66666666666666663</v>
      </c>
      <c r="M1266" s="14">
        <v>602</v>
      </c>
      <c r="N1266" s="14">
        <v>0</v>
      </c>
      <c r="O1266" s="14">
        <v>0</v>
      </c>
      <c r="P1266" s="14">
        <v>602</v>
      </c>
      <c r="Q1266">
        <v>10471</v>
      </c>
      <c r="R1266">
        <v>1029</v>
      </c>
      <c r="S1266">
        <v>1807</v>
      </c>
    </row>
    <row r="1267" spans="11:19" x14ac:dyDescent="0.3">
      <c r="K1267" s="16">
        <f t="shared" si="19"/>
        <v>44068</v>
      </c>
      <c r="L1267" s="17">
        <v>0.70833333333333337</v>
      </c>
      <c r="M1267" s="14">
        <v>602</v>
      </c>
      <c r="N1267" s="14">
        <v>1561</v>
      </c>
      <c r="O1267" s="14">
        <v>0</v>
      </c>
      <c r="P1267" s="14">
        <v>2163</v>
      </c>
      <c r="Q1267">
        <v>10314</v>
      </c>
      <c r="R1267">
        <v>1336</v>
      </c>
      <c r="S1267">
        <v>1384</v>
      </c>
    </row>
    <row r="1268" spans="11:19" x14ac:dyDescent="0.3">
      <c r="K1268" s="16">
        <f t="shared" si="19"/>
        <v>44068</v>
      </c>
      <c r="L1268" s="17">
        <v>0.75</v>
      </c>
      <c r="M1268" s="14">
        <v>602</v>
      </c>
      <c r="N1268" s="14">
        <v>1579</v>
      </c>
      <c r="O1268" s="14">
        <v>0</v>
      </c>
      <c r="P1268" s="14">
        <v>2181</v>
      </c>
      <c r="Q1268">
        <v>10087</v>
      </c>
      <c r="R1268">
        <v>1629</v>
      </c>
      <c r="S1268">
        <v>809</v>
      </c>
    </row>
    <row r="1269" spans="11:19" x14ac:dyDescent="0.3">
      <c r="K1269" s="16">
        <f t="shared" si="19"/>
        <v>44068</v>
      </c>
      <c r="L1269" s="17">
        <v>0.79166666666666663</v>
      </c>
      <c r="M1269" s="14">
        <v>602</v>
      </c>
      <c r="N1269" s="14">
        <v>0</v>
      </c>
      <c r="O1269" s="14">
        <v>0</v>
      </c>
      <c r="P1269" s="14">
        <v>602</v>
      </c>
      <c r="Q1269">
        <v>9750</v>
      </c>
      <c r="R1269">
        <v>2051</v>
      </c>
      <c r="S1269">
        <v>334</v>
      </c>
    </row>
    <row r="1270" spans="11:19" x14ac:dyDescent="0.3">
      <c r="K1270" s="16">
        <f t="shared" si="19"/>
        <v>44068</v>
      </c>
      <c r="L1270" s="17">
        <v>0.83333333333333337</v>
      </c>
      <c r="M1270" s="14">
        <v>602</v>
      </c>
      <c r="N1270" s="14">
        <v>0</v>
      </c>
      <c r="O1270" s="14">
        <v>0</v>
      </c>
      <c r="P1270" s="14">
        <v>602</v>
      </c>
      <c r="Q1270">
        <v>9223</v>
      </c>
      <c r="R1270">
        <v>2261</v>
      </c>
      <c r="S1270">
        <v>66</v>
      </c>
    </row>
    <row r="1271" spans="11:19" x14ac:dyDescent="0.3">
      <c r="K1271" s="16">
        <f t="shared" si="19"/>
        <v>44068</v>
      </c>
      <c r="L1271" s="17">
        <v>0.875</v>
      </c>
      <c r="M1271" s="14">
        <v>602</v>
      </c>
      <c r="N1271" s="14">
        <v>0</v>
      </c>
      <c r="O1271" s="14">
        <v>0</v>
      </c>
      <c r="P1271" s="14">
        <v>602</v>
      </c>
      <c r="Q1271">
        <v>9192</v>
      </c>
      <c r="R1271">
        <v>2588</v>
      </c>
      <c r="S1271">
        <v>1</v>
      </c>
    </row>
    <row r="1272" spans="11:19" x14ac:dyDescent="0.3">
      <c r="K1272" s="16">
        <f t="shared" si="19"/>
        <v>44068</v>
      </c>
      <c r="L1272" s="17">
        <v>0.91666666666666663</v>
      </c>
      <c r="M1272" s="14">
        <v>602</v>
      </c>
      <c r="N1272" s="14">
        <v>0</v>
      </c>
      <c r="O1272" s="14">
        <v>0</v>
      </c>
      <c r="P1272" s="14">
        <v>602</v>
      </c>
      <c r="Q1272">
        <v>9390</v>
      </c>
      <c r="R1272">
        <v>2663</v>
      </c>
      <c r="S1272">
        <v>0</v>
      </c>
    </row>
    <row r="1273" spans="11:19" x14ac:dyDescent="0.3">
      <c r="K1273" s="16">
        <f t="shared" si="19"/>
        <v>44068</v>
      </c>
      <c r="L1273" s="17">
        <v>0.95833333333333337</v>
      </c>
      <c r="M1273" s="14">
        <v>602</v>
      </c>
      <c r="N1273" s="14">
        <v>707</v>
      </c>
      <c r="O1273" s="14">
        <v>0</v>
      </c>
      <c r="P1273" s="14">
        <v>1309</v>
      </c>
      <c r="Q1273">
        <v>9118</v>
      </c>
      <c r="R1273">
        <v>2760</v>
      </c>
      <c r="S1273">
        <v>0</v>
      </c>
    </row>
    <row r="1274" spans="11:19" x14ac:dyDescent="0.3">
      <c r="K1274" s="16">
        <f t="shared" si="19"/>
        <v>44069</v>
      </c>
      <c r="L1274" s="17">
        <v>0</v>
      </c>
      <c r="M1274" s="14">
        <v>602</v>
      </c>
      <c r="N1274" s="14">
        <v>0</v>
      </c>
      <c r="O1274" s="14">
        <v>-391</v>
      </c>
      <c r="P1274" s="14">
        <v>211</v>
      </c>
      <c r="Q1274">
        <v>8112</v>
      </c>
      <c r="R1274">
        <v>2856</v>
      </c>
      <c r="S1274">
        <v>0</v>
      </c>
    </row>
    <row r="1275" spans="11:19" x14ac:dyDescent="0.3">
      <c r="K1275" s="16">
        <f t="shared" si="19"/>
        <v>44069</v>
      </c>
      <c r="L1275" s="17">
        <v>4.1666666666666664E-2</v>
      </c>
      <c r="M1275" s="14">
        <v>602</v>
      </c>
      <c r="N1275" s="14">
        <v>0</v>
      </c>
      <c r="O1275" s="14">
        <v>-177</v>
      </c>
      <c r="P1275" s="14">
        <v>425</v>
      </c>
      <c r="Q1275">
        <v>7740</v>
      </c>
      <c r="R1275">
        <v>2273</v>
      </c>
      <c r="S1275">
        <v>0</v>
      </c>
    </row>
    <row r="1276" spans="11:19" x14ac:dyDescent="0.3">
      <c r="K1276" s="16">
        <f t="shared" si="19"/>
        <v>44069</v>
      </c>
      <c r="L1276" s="17">
        <v>8.3333333333333329E-2</v>
      </c>
      <c r="M1276" s="14">
        <v>602</v>
      </c>
      <c r="N1276" s="14">
        <v>0</v>
      </c>
      <c r="O1276" s="14">
        <v>-504</v>
      </c>
      <c r="P1276" s="14">
        <v>98</v>
      </c>
      <c r="Q1276">
        <v>7452</v>
      </c>
      <c r="R1276">
        <v>2313</v>
      </c>
      <c r="S1276">
        <v>0</v>
      </c>
    </row>
    <row r="1277" spans="11:19" x14ac:dyDescent="0.3">
      <c r="K1277" s="16">
        <f t="shared" si="19"/>
        <v>44069</v>
      </c>
      <c r="L1277" s="17">
        <v>0.125</v>
      </c>
      <c r="M1277" s="14">
        <v>602</v>
      </c>
      <c r="N1277" s="14">
        <v>0</v>
      </c>
      <c r="O1277" s="14">
        <v>-759</v>
      </c>
      <c r="P1277" s="14">
        <v>-157</v>
      </c>
      <c r="Q1277">
        <v>7134</v>
      </c>
      <c r="R1277">
        <v>2248</v>
      </c>
      <c r="S1277">
        <v>0</v>
      </c>
    </row>
    <row r="1278" spans="11:19" x14ac:dyDescent="0.3">
      <c r="K1278" s="16">
        <f t="shared" si="19"/>
        <v>44069</v>
      </c>
      <c r="L1278" s="17">
        <v>0.16666666666666666</v>
      </c>
      <c r="M1278" s="14">
        <v>602</v>
      </c>
      <c r="N1278" s="14">
        <v>0</v>
      </c>
      <c r="O1278" s="14">
        <v>-725</v>
      </c>
      <c r="P1278" s="14">
        <v>-123</v>
      </c>
      <c r="Q1278">
        <v>7084</v>
      </c>
      <c r="R1278">
        <v>2161</v>
      </c>
      <c r="S1278">
        <v>0</v>
      </c>
    </row>
    <row r="1279" spans="11:19" x14ac:dyDescent="0.3">
      <c r="K1279" s="16">
        <f t="shared" si="19"/>
        <v>44069</v>
      </c>
      <c r="L1279" s="17">
        <v>0.20833333333333334</v>
      </c>
      <c r="M1279" s="14">
        <v>602</v>
      </c>
      <c r="N1279" s="14">
        <v>0</v>
      </c>
      <c r="O1279" s="14">
        <v>-514</v>
      </c>
      <c r="P1279" s="14">
        <v>88</v>
      </c>
      <c r="Q1279">
        <v>7302</v>
      </c>
      <c r="R1279">
        <v>2154</v>
      </c>
      <c r="S1279">
        <v>0</v>
      </c>
    </row>
    <row r="1280" spans="11:19" x14ac:dyDescent="0.3">
      <c r="K1280" s="16">
        <f t="shared" si="19"/>
        <v>44069</v>
      </c>
      <c r="L1280" s="17">
        <v>0.25</v>
      </c>
      <c r="M1280" s="14">
        <v>602</v>
      </c>
      <c r="N1280" s="14">
        <v>0</v>
      </c>
      <c r="O1280" s="14">
        <v>-234</v>
      </c>
      <c r="P1280" s="14">
        <v>368</v>
      </c>
      <c r="Q1280">
        <v>7750</v>
      </c>
      <c r="R1280">
        <v>2280</v>
      </c>
      <c r="S1280">
        <v>0</v>
      </c>
    </row>
    <row r="1281" spans="11:19" x14ac:dyDescent="0.3">
      <c r="K1281" s="16">
        <f t="shared" si="19"/>
        <v>44069</v>
      </c>
      <c r="L1281" s="17">
        <v>0.29166666666666669</v>
      </c>
      <c r="M1281" s="14">
        <v>602</v>
      </c>
      <c r="N1281" s="14">
        <v>362</v>
      </c>
      <c r="O1281" s="14">
        <v>0</v>
      </c>
      <c r="P1281" s="14">
        <v>964</v>
      </c>
      <c r="Q1281">
        <v>8344</v>
      </c>
      <c r="R1281">
        <v>2208</v>
      </c>
      <c r="S1281">
        <v>45</v>
      </c>
    </row>
    <row r="1282" spans="11:19" x14ac:dyDescent="0.3">
      <c r="K1282" s="16">
        <f t="shared" si="19"/>
        <v>44069</v>
      </c>
      <c r="L1282" s="17">
        <v>0.33333333333333331</v>
      </c>
      <c r="M1282" s="14">
        <v>602</v>
      </c>
      <c r="N1282" s="14">
        <v>0</v>
      </c>
      <c r="O1282" s="14">
        <v>905</v>
      </c>
      <c r="P1282" s="14">
        <v>1507</v>
      </c>
      <c r="Q1282">
        <v>8991</v>
      </c>
      <c r="R1282">
        <v>2006</v>
      </c>
      <c r="S1282">
        <v>346</v>
      </c>
    </row>
    <row r="1283" spans="11:19" x14ac:dyDescent="0.3">
      <c r="K1283" s="16">
        <f t="shared" si="19"/>
        <v>44069</v>
      </c>
      <c r="L1283" s="17">
        <v>0.375</v>
      </c>
      <c r="M1283" s="14">
        <v>602</v>
      </c>
      <c r="N1283" s="14">
        <v>0</v>
      </c>
      <c r="O1283" s="14">
        <v>857</v>
      </c>
      <c r="P1283" s="14">
        <v>1459</v>
      </c>
      <c r="Q1283">
        <v>9604</v>
      </c>
      <c r="R1283">
        <v>1905</v>
      </c>
      <c r="S1283">
        <v>923</v>
      </c>
    </row>
    <row r="1284" spans="11:19" x14ac:dyDescent="0.3">
      <c r="K1284" s="16">
        <f t="shared" si="19"/>
        <v>44069</v>
      </c>
      <c r="L1284" s="17">
        <v>0.41666666666666669</v>
      </c>
      <c r="M1284" s="14">
        <v>602</v>
      </c>
      <c r="N1284" s="14">
        <v>648</v>
      </c>
      <c r="O1284" s="14">
        <v>0</v>
      </c>
      <c r="P1284" s="14">
        <v>1250</v>
      </c>
      <c r="Q1284">
        <v>10004</v>
      </c>
      <c r="R1284">
        <v>1965</v>
      </c>
      <c r="S1284">
        <v>1501</v>
      </c>
    </row>
    <row r="1285" spans="11:19" x14ac:dyDescent="0.3">
      <c r="K1285" s="16">
        <f t="shared" si="19"/>
        <v>44069</v>
      </c>
      <c r="L1285" s="17">
        <v>0.45833333333333331</v>
      </c>
      <c r="M1285" s="14">
        <v>602</v>
      </c>
      <c r="N1285" s="14">
        <v>0</v>
      </c>
      <c r="O1285" s="14">
        <v>0</v>
      </c>
      <c r="P1285" s="14">
        <v>602</v>
      </c>
      <c r="Q1285">
        <v>10291</v>
      </c>
      <c r="R1285">
        <v>1933</v>
      </c>
      <c r="S1285">
        <v>1935</v>
      </c>
    </row>
    <row r="1286" spans="11:19" x14ac:dyDescent="0.3">
      <c r="K1286" s="16">
        <f t="shared" si="19"/>
        <v>44069</v>
      </c>
      <c r="L1286" s="17">
        <v>0.5</v>
      </c>
      <c r="M1286" s="14">
        <v>602</v>
      </c>
      <c r="N1286" s="14">
        <v>0</v>
      </c>
      <c r="O1286" s="14">
        <v>0</v>
      </c>
      <c r="P1286" s="14">
        <v>602</v>
      </c>
      <c r="Q1286">
        <v>10487</v>
      </c>
      <c r="R1286">
        <v>1731</v>
      </c>
      <c r="S1286">
        <v>2197</v>
      </c>
    </row>
    <row r="1287" spans="11:19" x14ac:dyDescent="0.3">
      <c r="K1287" s="16">
        <f t="shared" si="19"/>
        <v>44069</v>
      </c>
      <c r="L1287" s="17">
        <v>0.54166666666666663</v>
      </c>
      <c r="M1287" s="14">
        <v>602</v>
      </c>
      <c r="N1287" s="14">
        <v>299</v>
      </c>
      <c r="O1287" s="14">
        <v>0</v>
      </c>
      <c r="P1287" s="14">
        <v>901</v>
      </c>
      <c r="Q1287">
        <v>10383</v>
      </c>
      <c r="R1287">
        <v>1879</v>
      </c>
      <c r="S1287">
        <v>2322</v>
      </c>
    </row>
    <row r="1288" spans="11:19" x14ac:dyDescent="0.3">
      <c r="K1288" s="16">
        <f t="shared" si="19"/>
        <v>44069</v>
      </c>
      <c r="L1288" s="17">
        <v>0.58333333333333337</v>
      </c>
      <c r="M1288" s="14">
        <v>602</v>
      </c>
      <c r="N1288" s="14">
        <v>583</v>
      </c>
      <c r="O1288" s="14">
        <v>0</v>
      </c>
      <c r="P1288" s="14">
        <v>1185</v>
      </c>
      <c r="Q1288">
        <v>10474</v>
      </c>
      <c r="R1288">
        <v>1887</v>
      </c>
      <c r="S1288">
        <v>2285</v>
      </c>
    </row>
    <row r="1289" spans="11:19" x14ac:dyDescent="0.3">
      <c r="K1289" s="16">
        <f t="shared" si="19"/>
        <v>44069</v>
      </c>
      <c r="L1289" s="17">
        <v>0.625</v>
      </c>
      <c r="M1289" s="14">
        <v>602</v>
      </c>
      <c r="N1289" s="14">
        <v>369</v>
      </c>
      <c r="O1289" s="14">
        <v>0</v>
      </c>
      <c r="P1289" s="14">
        <v>971</v>
      </c>
      <c r="Q1289">
        <v>10285</v>
      </c>
      <c r="R1289">
        <v>2063</v>
      </c>
      <c r="S1289">
        <v>2130</v>
      </c>
    </row>
    <row r="1290" spans="11:19" x14ac:dyDescent="0.3">
      <c r="K1290" s="16">
        <f t="shared" si="19"/>
        <v>44069</v>
      </c>
      <c r="L1290" s="17">
        <v>0.66666666666666663</v>
      </c>
      <c r="M1290" s="14">
        <v>602</v>
      </c>
      <c r="N1290" s="14">
        <v>406</v>
      </c>
      <c r="O1290" s="14">
        <v>0</v>
      </c>
      <c r="P1290" s="14">
        <v>1008</v>
      </c>
      <c r="Q1290">
        <v>10071</v>
      </c>
      <c r="R1290">
        <v>2127</v>
      </c>
      <c r="S1290">
        <v>1819</v>
      </c>
    </row>
    <row r="1291" spans="11:19" x14ac:dyDescent="0.3">
      <c r="K1291" s="16">
        <f t="shared" si="19"/>
        <v>44069</v>
      </c>
      <c r="L1291" s="17">
        <v>0.70833333333333337</v>
      </c>
      <c r="M1291" s="14">
        <v>602</v>
      </c>
      <c r="N1291" s="14">
        <v>427</v>
      </c>
      <c r="O1291" s="14">
        <v>0</v>
      </c>
      <c r="P1291" s="14">
        <v>1029</v>
      </c>
      <c r="Q1291">
        <v>9891</v>
      </c>
      <c r="R1291">
        <v>2397</v>
      </c>
      <c r="S1291">
        <v>1353</v>
      </c>
    </row>
    <row r="1292" spans="11:19" x14ac:dyDescent="0.3">
      <c r="K1292" s="16">
        <f t="shared" si="19"/>
        <v>44069</v>
      </c>
      <c r="L1292" s="17">
        <v>0.75</v>
      </c>
      <c r="M1292" s="14">
        <v>602</v>
      </c>
      <c r="N1292" s="14">
        <v>0</v>
      </c>
      <c r="O1292" s="14">
        <v>499</v>
      </c>
      <c r="P1292" s="14">
        <v>1101</v>
      </c>
      <c r="Q1292">
        <v>9716</v>
      </c>
      <c r="R1292">
        <v>2714</v>
      </c>
      <c r="S1292">
        <v>794</v>
      </c>
    </row>
    <row r="1293" spans="11:19" x14ac:dyDescent="0.3">
      <c r="K1293" s="16">
        <f t="shared" si="19"/>
        <v>44069</v>
      </c>
      <c r="L1293" s="17">
        <v>0.79166666666666663</v>
      </c>
      <c r="M1293" s="14">
        <v>602</v>
      </c>
      <c r="N1293" s="14">
        <v>0</v>
      </c>
      <c r="O1293" s="14">
        <v>0</v>
      </c>
      <c r="P1293" s="14">
        <v>602</v>
      </c>
      <c r="Q1293">
        <v>9416</v>
      </c>
      <c r="R1293">
        <v>2798</v>
      </c>
      <c r="S1293">
        <v>301</v>
      </c>
    </row>
    <row r="1294" spans="11:19" x14ac:dyDescent="0.3">
      <c r="K1294" s="16">
        <f t="shared" si="19"/>
        <v>44069</v>
      </c>
      <c r="L1294" s="17">
        <v>0.83333333333333337</v>
      </c>
      <c r="M1294" s="14">
        <v>602</v>
      </c>
      <c r="N1294" s="14">
        <v>0</v>
      </c>
      <c r="O1294" s="14">
        <v>234</v>
      </c>
      <c r="P1294" s="14">
        <v>836</v>
      </c>
      <c r="Q1294">
        <v>8902</v>
      </c>
      <c r="R1294">
        <v>2784</v>
      </c>
      <c r="S1294">
        <v>43</v>
      </c>
    </row>
    <row r="1295" spans="11:19" x14ac:dyDescent="0.3">
      <c r="K1295" s="16">
        <f t="shared" si="19"/>
        <v>44069</v>
      </c>
      <c r="L1295" s="17">
        <v>0.875</v>
      </c>
      <c r="M1295" s="14">
        <v>602</v>
      </c>
      <c r="N1295" s="14">
        <v>76</v>
      </c>
      <c r="O1295" s="14">
        <v>0</v>
      </c>
      <c r="P1295" s="14">
        <v>678</v>
      </c>
      <c r="Q1295">
        <v>8856</v>
      </c>
      <c r="R1295">
        <v>2953</v>
      </c>
      <c r="S1295">
        <v>0</v>
      </c>
    </row>
    <row r="1296" spans="11:19" x14ac:dyDescent="0.3">
      <c r="K1296" s="16">
        <f t="shared" si="19"/>
        <v>44069</v>
      </c>
      <c r="L1296" s="17">
        <v>0.91666666666666663</v>
      </c>
      <c r="M1296" s="14">
        <v>602</v>
      </c>
      <c r="N1296" s="14">
        <v>0</v>
      </c>
      <c r="O1296" s="14">
        <v>151</v>
      </c>
      <c r="P1296" s="14">
        <v>753</v>
      </c>
      <c r="Q1296">
        <v>9026</v>
      </c>
      <c r="R1296">
        <v>3055</v>
      </c>
      <c r="S1296">
        <v>0</v>
      </c>
    </row>
    <row r="1297" spans="11:19" x14ac:dyDescent="0.3">
      <c r="K1297" s="16">
        <f t="shared" si="19"/>
        <v>44069</v>
      </c>
      <c r="L1297" s="17">
        <v>0.95833333333333337</v>
      </c>
      <c r="M1297" s="14">
        <v>602</v>
      </c>
      <c r="N1297" s="14">
        <v>0</v>
      </c>
      <c r="O1297" s="14">
        <v>0</v>
      </c>
      <c r="P1297" s="14">
        <v>602</v>
      </c>
      <c r="Q1297">
        <v>8818</v>
      </c>
      <c r="R1297">
        <v>2875</v>
      </c>
      <c r="S1297">
        <v>0</v>
      </c>
    </row>
    <row r="1298" spans="11:19" x14ac:dyDescent="0.3">
      <c r="K1298" s="16">
        <f t="shared" si="19"/>
        <v>44070</v>
      </c>
      <c r="L1298" s="17">
        <v>0</v>
      </c>
      <c r="M1298" s="14">
        <v>602</v>
      </c>
      <c r="N1298" s="14">
        <v>0</v>
      </c>
      <c r="O1298" s="14">
        <v>-424</v>
      </c>
      <c r="P1298" s="14">
        <v>178</v>
      </c>
      <c r="Q1298">
        <v>7878</v>
      </c>
      <c r="R1298">
        <v>2654</v>
      </c>
      <c r="S1298">
        <v>0</v>
      </c>
    </row>
    <row r="1299" spans="11:19" x14ac:dyDescent="0.3">
      <c r="K1299" s="16">
        <f t="shared" si="19"/>
        <v>44070</v>
      </c>
      <c r="L1299" s="17">
        <v>4.1666666666666664E-2</v>
      </c>
      <c r="M1299" s="14">
        <v>602</v>
      </c>
      <c r="N1299" s="14">
        <v>0</v>
      </c>
      <c r="O1299" s="14">
        <v>-501</v>
      </c>
      <c r="P1299" s="14">
        <v>101</v>
      </c>
      <c r="Q1299">
        <v>7501</v>
      </c>
      <c r="R1299">
        <v>2358</v>
      </c>
      <c r="S1299">
        <v>0</v>
      </c>
    </row>
    <row r="1300" spans="11:19" x14ac:dyDescent="0.3">
      <c r="K1300" s="16">
        <f t="shared" si="19"/>
        <v>44070</v>
      </c>
      <c r="L1300" s="17">
        <v>8.3333333333333329E-2</v>
      </c>
      <c r="M1300" s="14">
        <v>602</v>
      </c>
      <c r="N1300" s="14">
        <v>0</v>
      </c>
      <c r="O1300" s="14">
        <v>-760</v>
      </c>
      <c r="P1300" s="14">
        <v>-158</v>
      </c>
      <c r="Q1300">
        <v>7204</v>
      </c>
      <c r="R1300">
        <v>2320</v>
      </c>
      <c r="S1300">
        <v>0</v>
      </c>
    </row>
    <row r="1301" spans="11:19" x14ac:dyDescent="0.3">
      <c r="K1301" s="16">
        <f t="shared" si="19"/>
        <v>44070</v>
      </c>
      <c r="L1301" s="17">
        <v>0.125</v>
      </c>
      <c r="M1301" s="14">
        <v>602</v>
      </c>
      <c r="N1301" s="14">
        <v>0</v>
      </c>
      <c r="O1301" s="14">
        <v>-995</v>
      </c>
      <c r="P1301" s="14">
        <v>-393</v>
      </c>
      <c r="Q1301">
        <v>6868</v>
      </c>
      <c r="R1301">
        <v>2217</v>
      </c>
      <c r="S1301">
        <v>0</v>
      </c>
    </row>
    <row r="1302" spans="11:19" x14ac:dyDescent="0.3">
      <c r="K1302" s="16">
        <f t="shared" si="19"/>
        <v>44070</v>
      </c>
      <c r="L1302" s="17">
        <v>0.16666666666666666</v>
      </c>
      <c r="M1302" s="14">
        <v>602</v>
      </c>
      <c r="N1302" s="14">
        <v>0</v>
      </c>
      <c r="O1302" s="14">
        <v>-1012</v>
      </c>
      <c r="P1302" s="14">
        <v>-410</v>
      </c>
      <c r="Q1302">
        <v>6798</v>
      </c>
      <c r="R1302">
        <v>2162</v>
      </c>
      <c r="S1302">
        <v>0</v>
      </c>
    </row>
    <row r="1303" spans="11:19" x14ac:dyDescent="0.3">
      <c r="K1303" s="16">
        <f t="shared" si="19"/>
        <v>44070</v>
      </c>
      <c r="L1303" s="17">
        <v>0.20833333333333334</v>
      </c>
      <c r="M1303" s="14">
        <v>602</v>
      </c>
      <c r="N1303" s="14">
        <v>0</v>
      </c>
      <c r="O1303" s="14">
        <v>-502</v>
      </c>
      <c r="P1303" s="14">
        <v>100</v>
      </c>
      <c r="Q1303">
        <v>7023</v>
      </c>
      <c r="R1303">
        <v>1863</v>
      </c>
      <c r="S1303">
        <v>0</v>
      </c>
    </row>
    <row r="1304" spans="11:19" x14ac:dyDescent="0.3">
      <c r="K1304" s="16">
        <f t="shared" si="19"/>
        <v>44070</v>
      </c>
      <c r="L1304" s="17">
        <v>0.25</v>
      </c>
      <c r="M1304" s="14">
        <v>602</v>
      </c>
      <c r="N1304" s="14">
        <v>0</v>
      </c>
      <c r="O1304" s="14">
        <v>-84</v>
      </c>
      <c r="P1304" s="14">
        <v>518</v>
      </c>
      <c r="Q1304">
        <v>7482</v>
      </c>
      <c r="R1304">
        <v>1862</v>
      </c>
      <c r="S1304">
        <v>0</v>
      </c>
    </row>
    <row r="1305" spans="11:19" x14ac:dyDescent="0.3">
      <c r="K1305" s="16">
        <f t="shared" si="19"/>
        <v>44070</v>
      </c>
      <c r="L1305" s="17">
        <v>0.29166666666666669</v>
      </c>
      <c r="M1305" s="14">
        <v>602</v>
      </c>
      <c r="N1305" s="14">
        <v>0</v>
      </c>
      <c r="O1305" s="14">
        <v>439</v>
      </c>
      <c r="P1305" s="14">
        <v>1041</v>
      </c>
      <c r="Q1305">
        <v>8020</v>
      </c>
      <c r="R1305">
        <v>1774</v>
      </c>
      <c r="S1305">
        <v>78</v>
      </c>
    </row>
    <row r="1306" spans="11:19" x14ac:dyDescent="0.3">
      <c r="K1306" s="16">
        <f t="shared" si="19"/>
        <v>44070</v>
      </c>
      <c r="L1306" s="17">
        <v>0.33333333333333331</v>
      </c>
      <c r="M1306" s="14">
        <v>602</v>
      </c>
      <c r="N1306" s="14">
        <v>0</v>
      </c>
      <c r="O1306" s="14">
        <v>764</v>
      </c>
      <c r="P1306" s="14">
        <v>1366</v>
      </c>
      <c r="Q1306">
        <v>8647</v>
      </c>
      <c r="R1306">
        <v>1709</v>
      </c>
      <c r="S1306">
        <v>439</v>
      </c>
    </row>
    <row r="1307" spans="11:19" x14ac:dyDescent="0.3">
      <c r="K1307" s="16">
        <f t="shared" ref="K1307:K1370" si="20">K1283+1</f>
        <v>44070</v>
      </c>
      <c r="L1307" s="17">
        <v>0.375</v>
      </c>
      <c r="M1307" s="14">
        <v>602</v>
      </c>
      <c r="N1307" s="14">
        <v>0</v>
      </c>
      <c r="O1307" s="14">
        <v>654</v>
      </c>
      <c r="P1307" s="14">
        <v>1256</v>
      </c>
      <c r="Q1307">
        <v>9194</v>
      </c>
      <c r="R1307">
        <v>1774</v>
      </c>
      <c r="S1307">
        <v>1033</v>
      </c>
    </row>
    <row r="1308" spans="11:19" x14ac:dyDescent="0.3">
      <c r="K1308" s="16">
        <f t="shared" si="20"/>
        <v>44070</v>
      </c>
      <c r="L1308" s="17">
        <v>0.41666666666666669</v>
      </c>
      <c r="M1308" s="14">
        <v>602</v>
      </c>
      <c r="N1308" s="14">
        <v>301</v>
      </c>
      <c r="O1308" s="14">
        <v>0</v>
      </c>
      <c r="P1308" s="14">
        <v>903</v>
      </c>
      <c r="Q1308">
        <v>9516</v>
      </c>
      <c r="R1308">
        <v>1893</v>
      </c>
      <c r="S1308">
        <v>1592</v>
      </c>
    </row>
    <row r="1309" spans="11:19" x14ac:dyDescent="0.3">
      <c r="K1309" s="16">
        <f t="shared" si="20"/>
        <v>44070</v>
      </c>
      <c r="L1309" s="17">
        <v>0.45833333333333331</v>
      </c>
      <c r="M1309" s="14">
        <v>602</v>
      </c>
      <c r="N1309" s="14">
        <v>52</v>
      </c>
      <c r="O1309" s="14">
        <v>0</v>
      </c>
      <c r="P1309" s="14">
        <v>654</v>
      </c>
      <c r="Q1309">
        <v>9756</v>
      </c>
      <c r="R1309">
        <v>2001</v>
      </c>
      <c r="S1309">
        <v>1973</v>
      </c>
    </row>
    <row r="1310" spans="11:19" x14ac:dyDescent="0.3">
      <c r="K1310" s="16">
        <f t="shared" si="20"/>
        <v>44070</v>
      </c>
      <c r="L1310" s="17">
        <v>0.5</v>
      </c>
      <c r="M1310" s="14">
        <v>602</v>
      </c>
      <c r="N1310" s="14">
        <v>103</v>
      </c>
      <c r="O1310" s="14">
        <v>0</v>
      </c>
      <c r="P1310" s="14">
        <v>705</v>
      </c>
      <c r="Q1310">
        <v>9920</v>
      </c>
      <c r="R1310">
        <v>1900</v>
      </c>
      <c r="S1310">
        <v>2188</v>
      </c>
    </row>
    <row r="1311" spans="11:19" x14ac:dyDescent="0.3">
      <c r="K1311" s="16">
        <f t="shared" si="20"/>
        <v>44070</v>
      </c>
      <c r="L1311" s="17">
        <v>0.54166666666666663</v>
      </c>
      <c r="M1311" s="14">
        <v>602</v>
      </c>
      <c r="N1311" s="14">
        <v>0</v>
      </c>
      <c r="O1311" s="14">
        <v>-20</v>
      </c>
      <c r="P1311" s="14">
        <v>582</v>
      </c>
      <c r="Q1311">
        <v>9771</v>
      </c>
      <c r="R1311">
        <v>1779</v>
      </c>
      <c r="S1311">
        <v>2288</v>
      </c>
    </row>
    <row r="1312" spans="11:19" x14ac:dyDescent="0.3">
      <c r="K1312" s="16">
        <f t="shared" si="20"/>
        <v>44070</v>
      </c>
      <c r="L1312" s="17">
        <v>0.58333333333333337</v>
      </c>
      <c r="M1312" s="14">
        <v>602</v>
      </c>
      <c r="N1312" s="14">
        <v>0</v>
      </c>
      <c r="O1312" s="14">
        <v>-166</v>
      </c>
      <c r="P1312" s="14">
        <v>436</v>
      </c>
      <c r="Q1312">
        <v>9767</v>
      </c>
      <c r="R1312">
        <v>1909</v>
      </c>
      <c r="S1312">
        <v>2304</v>
      </c>
    </row>
    <row r="1313" spans="11:19" x14ac:dyDescent="0.3">
      <c r="K1313" s="16">
        <f t="shared" si="20"/>
        <v>44070</v>
      </c>
      <c r="L1313" s="17">
        <v>0.625</v>
      </c>
      <c r="M1313" s="14">
        <v>602</v>
      </c>
      <c r="N1313" s="14">
        <v>0</v>
      </c>
      <c r="O1313" s="14">
        <v>-386</v>
      </c>
      <c r="P1313" s="14">
        <v>216</v>
      </c>
      <c r="Q1313">
        <v>9530</v>
      </c>
      <c r="R1313">
        <v>2009</v>
      </c>
      <c r="S1313">
        <v>2183</v>
      </c>
    </row>
    <row r="1314" spans="11:19" x14ac:dyDescent="0.3">
      <c r="K1314" s="16">
        <f t="shared" si="20"/>
        <v>44070</v>
      </c>
      <c r="L1314" s="17">
        <v>0.66666666666666663</v>
      </c>
      <c r="M1314" s="14">
        <v>602</v>
      </c>
      <c r="N1314" s="14">
        <v>0</v>
      </c>
      <c r="O1314" s="14">
        <v>-398</v>
      </c>
      <c r="P1314" s="14">
        <v>204</v>
      </c>
      <c r="Q1314">
        <v>9310</v>
      </c>
      <c r="R1314">
        <v>2097</v>
      </c>
      <c r="S1314">
        <v>1892</v>
      </c>
    </row>
    <row r="1315" spans="11:19" x14ac:dyDescent="0.3">
      <c r="K1315" s="16">
        <f t="shared" si="20"/>
        <v>44070</v>
      </c>
      <c r="L1315" s="17">
        <v>0.70833333333333337</v>
      </c>
      <c r="M1315" s="14">
        <v>602</v>
      </c>
      <c r="N1315" s="14">
        <v>0</v>
      </c>
      <c r="O1315" s="14">
        <v>-326</v>
      </c>
      <c r="P1315" s="14">
        <v>276</v>
      </c>
      <c r="Q1315">
        <v>9166</v>
      </c>
      <c r="R1315">
        <v>2325</v>
      </c>
      <c r="S1315">
        <v>1453</v>
      </c>
    </row>
    <row r="1316" spans="11:19" x14ac:dyDescent="0.3">
      <c r="K1316" s="16">
        <f t="shared" si="20"/>
        <v>44070</v>
      </c>
      <c r="L1316" s="17">
        <v>0.75</v>
      </c>
      <c r="M1316" s="14">
        <v>602</v>
      </c>
      <c r="N1316" s="14">
        <v>0</v>
      </c>
      <c r="O1316" s="14">
        <v>321</v>
      </c>
      <c r="P1316" s="14">
        <v>923</v>
      </c>
      <c r="Q1316">
        <v>9133</v>
      </c>
      <c r="R1316">
        <v>2257</v>
      </c>
      <c r="S1316">
        <v>846</v>
      </c>
    </row>
    <row r="1317" spans="11:19" x14ac:dyDescent="0.3">
      <c r="K1317" s="16">
        <f t="shared" si="20"/>
        <v>44070</v>
      </c>
      <c r="L1317" s="17">
        <v>0.79166666666666663</v>
      </c>
      <c r="M1317" s="14">
        <v>602</v>
      </c>
      <c r="N1317" s="14">
        <v>705</v>
      </c>
      <c r="O1317" s="14">
        <v>213</v>
      </c>
      <c r="P1317" s="14">
        <v>1520</v>
      </c>
      <c r="Q1317">
        <v>8933</v>
      </c>
      <c r="R1317">
        <v>2022</v>
      </c>
      <c r="S1317">
        <v>299</v>
      </c>
    </row>
    <row r="1318" spans="11:19" x14ac:dyDescent="0.3">
      <c r="K1318" s="16">
        <f t="shared" si="20"/>
        <v>44070</v>
      </c>
      <c r="L1318" s="17">
        <v>0.83333333333333337</v>
      </c>
      <c r="M1318" s="14">
        <v>602</v>
      </c>
      <c r="N1318" s="14">
        <v>70</v>
      </c>
      <c r="O1318" s="14">
        <v>765</v>
      </c>
      <c r="P1318" s="14">
        <v>1437</v>
      </c>
      <c r="Q1318">
        <v>8468</v>
      </c>
      <c r="R1318">
        <v>1752</v>
      </c>
      <c r="S1318">
        <v>38</v>
      </c>
    </row>
    <row r="1319" spans="11:19" x14ac:dyDescent="0.3">
      <c r="K1319" s="16">
        <f t="shared" si="20"/>
        <v>44070</v>
      </c>
      <c r="L1319" s="17">
        <v>0.875</v>
      </c>
      <c r="M1319" s="14">
        <v>602</v>
      </c>
      <c r="N1319" s="14">
        <v>705</v>
      </c>
      <c r="O1319" s="14">
        <v>274</v>
      </c>
      <c r="P1319" s="14">
        <v>1581</v>
      </c>
      <c r="Q1319">
        <v>8424</v>
      </c>
      <c r="R1319">
        <v>1617</v>
      </c>
      <c r="S1319">
        <v>0</v>
      </c>
    </row>
    <row r="1320" spans="11:19" x14ac:dyDescent="0.3">
      <c r="K1320" s="16">
        <f t="shared" si="20"/>
        <v>44070</v>
      </c>
      <c r="L1320" s="17">
        <v>0.91666666666666663</v>
      </c>
      <c r="M1320" s="14">
        <v>602</v>
      </c>
      <c r="N1320" s="14">
        <v>705</v>
      </c>
      <c r="O1320" s="14">
        <v>483</v>
      </c>
      <c r="P1320" s="14">
        <v>1790</v>
      </c>
      <c r="Q1320">
        <v>8573</v>
      </c>
      <c r="R1320">
        <v>1565</v>
      </c>
      <c r="S1320">
        <v>0</v>
      </c>
    </row>
    <row r="1321" spans="11:19" x14ac:dyDescent="0.3">
      <c r="K1321" s="16">
        <f t="shared" si="20"/>
        <v>44070</v>
      </c>
      <c r="L1321" s="17">
        <v>0.95833333333333337</v>
      </c>
      <c r="M1321" s="14">
        <v>602</v>
      </c>
      <c r="N1321" s="14">
        <v>705</v>
      </c>
      <c r="O1321" s="14">
        <v>552</v>
      </c>
      <c r="P1321" s="14">
        <v>1859</v>
      </c>
      <c r="Q1321">
        <v>8458</v>
      </c>
      <c r="R1321">
        <v>1389</v>
      </c>
      <c r="S1321">
        <v>0</v>
      </c>
    </row>
    <row r="1322" spans="11:19" x14ac:dyDescent="0.3">
      <c r="K1322" s="16">
        <f t="shared" si="20"/>
        <v>44071</v>
      </c>
      <c r="L1322" s="17">
        <v>0</v>
      </c>
      <c r="M1322" s="14">
        <v>602</v>
      </c>
      <c r="N1322" s="14">
        <v>0</v>
      </c>
      <c r="O1322" s="14">
        <v>588</v>
      </c>
      <c r="P1322" s="14">
        <v>1190</v>
      </c>
      <c r="Q1322">
        <v>7742</v>
      </c>
      <c r="R1322">
        <v>1345</v>
      </c>
      <c r="S1322">
        <v>0</v>
      </c>
    </row>
    <row r="1323" spans="11:19" x14ac:dyDescent="0.3">
      <c r="K1323" s="16">
        <f t="shared" si="20"/>
        <v>44071</v>
      </c>
      <c r="L1323" s="17">
        <v>4.1666666666666664E-2</v>
      </c>
      <c r="M1323" s="14">
        <v>602</v>
      </c>
      <c r="N1323" s="14">
        <v>423</v>
      </c>
      <c r="O1323" s="14">
        <v>0</v>
      </c>
      <c r="P1323" s="14">
        <v>1025</v>
      </c>
      <c r="Q1323">
        <v>7332</v>
      </c>
      <c r="R1323">
        <v>1183</v>
      </c>
      <c r="S1323">
        <v>0</v>
      </c>
    </row>
    <row r="1324" spans="11:19" x14ac:dyDescent="0.3">
      <c r="K1324" s="16">
        <f t="shared" si="20"/>
        <v>44071</v>
      </c>
      <c r="L1324" s="17">
        <v>8.3333333333333329E-2</v>
      </c>
      <c r="M1324" s="14">
        <v>602</v>
      </c>
      <c r="N1324" s="14">
        <v>0</v>
      </c>
      <c r="O1324" s="14">
        <v>0</v>
      </c>
      <c r="P1324" s="14">
        <v>602</v>
      </c>
      <c r="Q1324">
        <v>7032</v>
      </c>
      <c r="R1324">
        <v>990</v>
      </c>
      <c r="S1324">
        <v>0</v>
      </c>
    </row>
    <row r="1325" spans="11:19" x14ac:dyDescent="0.3">
      <c r="K1325" s="16">
        <f t="shared" si="20"/>
        <v>44071</v>
      </c>
      <c r="L1325" s="17">
        <v>0.125</v>
      </c>
      <c r="M1325" s="14">
        <v>602</v>
      </c>
      <c r="N1325" s="14">
        <v>0</v>
      </c>
      <c r="O1325" s="14">
        <v>0</v>
      </c>
      <c r="P1325" s="14">
        <v>602</v>
      </c>
      <c r="Q1325">
        <v>6682</v>
      </c>
      <c r="R1325">
        <v>900</v>
      </c>
      <c r="S1325">
        <v>0</v>
      </c>
    </row>
    <row r="1326" spans="11:19" x14ac:dyDescent="0.3">
      <c r="K1326" s="16">
        <f t="shared" si="20"/>
        <v>44071</v>
      </c>
      <c r="L1326" s="17">
        <v>0.16666666666666666</v>
      </c>
      <c r="M1326" s="14">
        <v>602</v>
      </c>
      <c r="N1326" s="14">
        <v>47</v>
      </c>
      <c r="O1326" s="14">
        <v>0</v>
      </c>
      <c r="P1326" s="14">
        <v>649</v>
      </c>
      <c r="Q1326">
        <v>6581</v>
      </c>
      <c r="R1326">
        <v>804</v>
      </c>
      <c r="S1326">
        <v>0</v>
      </c>
    </row>
    <row r="1327" spans="11:19" x14ac:dyDescent="0.3">
      <c r="K1327" s="16">
        <f t="shared" si="20"/>
        <v>44071</v>
      </c>
      <c r="L1327" s="17">
        <v>0.20833333333333334</v>
      </c>
      <c r="M1327" s="14">
        <v>602</v>
      </c>
      <c r="N1327" s="14">
        <v>0</v>
      </c>
      <c r="O1327" s="14">
        <v>0</v>
      </c>
      <c r="P1327" s="14">
        <v>602</v>
      </c>
      <c r="Q1327">
        <v>6817</v>
      </c>
      <c r="R1327">
        <v>816</v>
      </c>
      <c r="S1327">
        <v>0</v>
      </c>
    </row>
    <row r="1328" spans="11:19" x14ac:dyDescent="0.3">
      <c r="K1328" s="16">
        <f t="shared" si="20"/>
        <v>44071</v>
      </c>
      <c r="L1328" s="17">
        <v>0.25</v>
      </c>
      <c r="M1328" s="14">
        <v>602</v>
      </c>
      <c r="N1328" s="14">
        <v>565</v>
      </c>
      <c r="O1328" s="14">
        <v>0</v>
      </c>
      <c r="P1328" s="14">
        <v>1167</v>
      </c>
      <c r="Q1328">
        <v>7306</v>
      </c>
      <c r="R1328">
        <v>792</v>
      </c>
      <c r="S1328">
        <v>2</v>
      </c>
    </row>
    <row r="1329" spans="11:19" x14ac:dyDescent="0.3">
      <c r="K1329" s="16">
        <f t="shared" si="20"/>
        <v>44071</v>
      </c>
      <c r="L1329" s="17">
        <v>0.29166666666666669</v>
      </c>
      <c r="M1329" s="14">
        <v>602</v>
      </c>
      <c r="N1329" s="14">
        <v>949</v>
      </c>
      <c r="O1329" s="14">
        <v>72</v>
      </c>
      <c r="P1329" s="14">
        <v>1623</v>
      </c>
      <c r="Q1329">
        <v>7771</v>
      </c>
      <c r="R1329">
        <v>706</v>
      </c>
      <c r="S1329">
        <v>72</v>
      </c>
    </row>
    <row r="1330" spans="11:19" x14ac:dyDescent="0.3">
      <c r="K1330" s="16">
        <f t="shared" si="20"/>
        <v>44071</v>
      </c>
      <c r="L1330" s="17">
        <v>0.33333333333333331</v>
      </c>
      <c r="M1330" s="14">
        <v>602</v>
      </c>
      <c r="N1330" s="14">
        <v>949</v>
      </c>
      <c r="O1330" s="14">
        <v>281</v>
      </c>
      <c r="P1330" s="14">
        <v>1832</v>
      </c>
      <c r="Q1330">
        <v>8398</v>
      </c>
      <c r="R1330">
        <v>750</v>
      </c>
      <c r="S1330">
        <v>438</v>
      </c>
    </row>
    <row r="1331" spans="11:19" x14ac:dyDescent="0.3">
      <c r="K1331" s="16">
        <f t="shared" si="20"/>
        <v>44071</v>
      </c>
      <c r="L1331" s="17">
        <v>0.375</v>
      </c>
      <c r="M1331" s="14">
        <v>602</v>
      </c>
      <c r="N1331" s="14">
        <v>0</v>
      </c>
      <c r="O1331" s="14">
        <v>0</v>
      </c>
      <c r="P1331" s="14">
        <v>602</v>
      </c>
      <c r="Q1331">
        <v>8907</v>
      </c>
      <c r="R1331">
        <v>789</v>
      </c>
      <c r="S1331">
        <v>1058</v>
      </c>
    </row>
    <row r="1332" spans="11:19" x14ac:dyDescent="0.3">
      <c r="K1332" s="16">
        <f t="shared" si="20"/>
        <v>44071</v>
      </c>
      <c r="L1332" s="17">
        <v>0.41666666666666669</v>
      </c>
      <c r="M1332" s="14">
        <v>602</v>
      </c>
      <c r="N1332" s="14">
        <v>0</v>
      </c>
      <c r="O1332" s="14">
        <v>0</v>
      </c>
      <c r="P1332" s="14">
        <v>602</v>
      </c>
      <c r="Q1332">
        <v>9191</v>
      </c>
      <c r="R1332">
        <v>1027</v>
      </c>
      <c r="S1332">
        <v>1567</v>
      </c>
    </row>
    <row r="1333" spans="11:19" x14ac:dyDescent="0.3">
      <c r="K1333" s="16">
        <f t="shared" si="20"/>
        <v>44071</v>
      </c>
      <c r="L1333" s="17">
        <v>0.45833333333333331</v>
      </c>
      <c r="M1333" s="14">
        <v>602</v>
      </c>
      <c r="N1333" s="14">
        <v>0</v>
      </c>
      <c r="O1333" s="14">
        <v>0</v>
      </c>
      <c r="P1333" s="14">
        <v>602</v>
      </c>
      <c r="Q1333">
        <v>9396</v>
      </c>
      <c r="R1333">
        <v>1105</v>
      </c>
      <c r="S1333">
        <v>1929</v>
      </c>
    </row>
    <row r="1334" spans="11:19" x14ac:dyDescent="0.3">
      <c r="K1334" s="16">
        <f t="shared" si="20"/>
        <v>44071</v>
      </c>
      <c r="L1334" s="17">
        <v>0.5</v>
      </c>
      <c r="M1334" s="14">
        <v>602</v>
      </c>
      <c r="N1334" s="14">
        <v>0</v>
      </c>
      <c r="O1334" s="14">
        <v>0</v>
      </c>
      <c r="P1334" s="14">
        <v>602</v>
      </c>
      <c r="Q1334">
        <v>9570</v>
      </c>
      <c r="R1334">
        <v>1159</v>
      </c>
      <c r="S1334">
        <v>2240</v>
      </c>
    </row>
    <row r="1335" spans="11:19" x14ac:dyDescent="0.3">
      <c r="K1335" s="16">
        <f t="shared" si="20"/>
        <v>44071</v>
      </c>
      <c r="L1335" s="17">
        <v>0.54166666666666663</v>
      </c>
      <c r="M1335" s="14">
        <v>602</v>
      </c>
      <c r="N1335" s="14">
        <v>0</v>
      </c>
      <c r="O1335" s="14">
        <v>-186</v>
      </c>
      <c r="P1335" s="14">
        <v>416</v>
      </c>
      <c r="Q1335">
        <v>9369</v>
      </c>
      <c r="R1335">
        <v>1316</v>
      </c>
      <c r="S1335">
        <v>2353</v>
      </c>
    </row>
    <row r="1336" spans="11:19" x14ac:dyDescent="0.3">
      <c r="K1336" s="16">
        <f t="shared" si="20"/>
        <v>44071</v>
      </c>
      <c r="L1336" s="17">
        <v>0.58333333333333337</v>
      </c>
      <c r="M1336" s="14">
        <v>602</v>
      </c>
      <c r="N1336" s="14">
        <v>0</v>
      </c>
      <c r="O1336" s="14">
        <v>-129</v>
      </c>
      <c r="P1336" s="14">
        <v>473</v>
      </c>
      <c r="Q1336">
        <v>9304</v>
      </c>
      <c r="R1336">
        <v>1256</v>
      </c>
      <c r="S1336">
        <v>2294</v>
      </c>
    </row>
    <row r="1337" spans="11:19" x14ac:dyDescent="0.3">
      <c r="K1337" s="16">
        <f t="shared" si="20"/>
        <v>44071</v>
      </c>
      <c r="L1337" s="17">
        <v>0.625</v>
      </c>
      <c r="M1337" s="14">
        <v>602</v>
      </c>
      <c r="N1337" s="14">
        <v>0</v>
      </c>
      <c r="O1337" s="14">
        <v>-335</v>
      </c>
      <c r="P1337" s="14">
        <v>267</v>
      </c>
      <c r="Q1337">
        <v>9035</v>
      </c>
      <c r="R1337">
        <v>1340</v>
      </c>
      <c r="S1337">
        <v>2144</v>
      </c>
    </row>
    <row r="1338" spans="11:19" x14ac:dyDescent="0.3">
      <c r="K1338" s="16">
        <f t="shared" si="20"/>
        <v>44071</v>
      </c>
      <c r="L1338" s="17">
        <v>0.66666666666666663</v>
      </c>
      <c r="M1338" s="14">
        <v>602</v>
      </c>
      <c r="N1338" s="14">
        <v>0</v>
      </c>
      <c r="O1338" s="14">
        <v>-250</v>
      </c>
      <c r="P1338" s="14">
        <v>352</v>
      </c>
      <c r="Q1338">
        <v>8824</v>
      </c>
      <c r="R1338">
        <v>1491</v>
      </c>
      <c r="S1338">
        <v>1861</v>
      </c>
    </row>
    <row r="1339" spans="11:19" x14ac:dyDescent="0.3">
      <c r="K1339" s="16">
        <f t="shared" si="20"/>
        <v>44071</v>
      </c>
      <c r="L1339" s="17">
        <v>0.70833333333333337</v>
      </c>
      <c r="M1339" s="14">
        <v>602</v>
      </c>
      <c r="N1339" s="14">
        <v>0</v>
      </c>
      <c r="O1339" s="14">
        <v>-274</v>
      </c>
      <c r="P1339" s="14">
        <v>328</v>
      </c>
      <c r="Q1339">
        <v>8725</v>
      </c>
      <c r="R1339">
        <v>1849</v>
      </c>
      <c r="S1339">
        <v>1433</v>
      </c>
    </row>
    <row r="1340" spans="11:19" x14ac:dyDescent="0.3">
      <c r="K1340" s="16">
        <f t="shared" si="20"/>
        <v>44071</v>
      </c>
      <c r="L1340" s="17">
        <v>0.75</v>
      </c>
      <c r="M1340" s="14">
        <v>602</v>
      </c>
      <c r="N1340" s="14">
        <v>406</v>
      </c>
      <c r="O1340" s="14">
        <v>0</v>
      </c>
      <c r="P1340" s="14">
        <v>1008</v>
      </c>
      <c r="Q1340">
        <v>8784</v>
      </c>
      <c r="R1340">
        <v>1887</v>
      </c>
      <c r="S1340">
        <v>779</v>
      </c>
    </row>
    <row r="1341" spans="11:19" x14ac:dyDescent="0.3">
      <c r="K1341" s="16">
        <f t="shared" si="20"/>
        <v>44071</v>
      </c>
      <c r="L1341" s="17">
        <v>0.79166666666666663</v>
      </c>
      <c r="M1341" s="14">
        <v>602</v>
      </c>
      <c r="N1341" s="14">
        <v>510</v>
      </c>
      <c r="O1341" s="14">
        <v>0</v>
      </c>
      <c r="P1341" s="14">
        <v>1112</v>
      </c>
      <c r="Q1341">
        <v>8600</v>
      </c>
      <c r="R1341">
        <v>1794</v>
      </c>
      <c r="S1341">
        <v>279</v>
      </c>
    </row>
    <row r="1342" spans="11:19" x14ac:dyDescent="0.3">
      <c r="K1342" s="16">
        <f t="shared" si="20"/>
        <v>44071</v>
      </c>
      <c r="L1342" s="17">
        <v>0.83333333333333337</v>
      </c>
      <c r="M1342" s="14">
        <v>602</v>
      </c>
      <c r="N1342" s="14">
        <v>0</v>
      </c>
      <c r="O1342" s="14">
        <v>0</v>
      </c>
      <c r="P1342" s="14">
        <v>602</v>
      </c>
      <c r="Q1342">
        <v>8217</v>
      </c>
      <c r="R1342">
        <v>1364</v>
      </c>
      <c r="S1342">
        <v>15</v>
      </c>
    </row>
    <row r="1343" spans="11:19" x14ac:dyDescent="0.3">
      <c r="K1343" s="16">
        <f t="shared" si="20"/>
        <v>44071</v>
      </c>
      <c r="L1343" s="17">
        <v>0.875</v>
      </c>
      <c r="M1343" s="14">
        <v>602</v>
      </c>
      <c r="N1343" s="14">
        <v>0</v>
      </c>
      <c r="O1343" s="14">
        <v>0</v>
      </c>
      <c r="P1343" s="14">
        <v>602</v>
      </c>
      <c r="Q1343">
        <v>8209</v>
      </c>
      <c r="R1343">
        <v>1237</v>
      </c>
      <c r="S1343">
        <v>0</v>
      </c>
    </row>
    <row r="1344" spans="11:19" x14ac:dyDescent="0.3">
      <c r="K1344" s="16">
        <f t="shared" si="20"/>
        <v>44071</v>
      </c>
      <c r="L1344" s="17">
        <v>0.91666666666666663</v>
      </c>
      <c r="M1344" s="14">
        <v>602</v>
      </c>
      <c r="N1344" s="14">
        <v>949</v>
      </c>
      <c r="O1344" s="14">
        <v>0</v>
      </c>
      <c r="P1344" s="14">
        <v>1551</v>
      </c>
      <c r="Q1344">
        <v>8376</v>
      </c>
      <c r="R1344">
        <v>1163</v>
      </c>
      <c r="S1344">
        <v>0</v>
      </c>
    </row>
    <row r="1345" spans="11:19" x14ac:dyDescent="0.3">
      <c r="K1345" s="16">
        <f t="shared" si="20"/>
        <v>44071</v>
      </c>
      <c r="L1345" s="17">
        <v>0.95833333333333337</v>
      </c>
      <c r="M1345" s="14">
        <v>602</v>
      </c>
      <c r="N1345" s="14">
        <v>0</v>
      </c>
      <c r="O1345" s="14">
        <v>0</v>
      </c>
      <c r="P1345" s="14">
        <v>602</v>
      </c>
      <c r="Q1345">
        <v>8337</v>
      </c>
      <c r="R1345">
        <v>912</v>
      </c>
      <c r="S1345">
        <v>0</v>
      </c>
    </row>
    <row r="1346" spans="11:19" x14ac:dyDescent="0.3">
      <c r="K1346" s="16">
        <f t="shared" si="20"/>
        <v>44072</v>
      </c>
      <c r="L1346" s="17">
        <v>0</v>
      </c>
      <c r="M1346" s="14">
        <v>602</v>
      </c>
      <c r="N1346" s="14">
        <v>0</v>
      </c>
      <c r="O1346" s="14">
        <v>721</v>
      </c>
      <c r="P1346" s="14">
        <v>1323</v>
      </c>
      <c r="Q1346">
        <v>7637</v>
      </c>
      <c r="R1346">
        <v>897</v>
      </c>
      <c r="S1346">
        <v>0</v>
      </c>
    </row>
    <row r="1347" spans="11:19" x14ac:dyDescent="0.3">
      <c r="K1347" s="16">
        <f t="shared" si="20"/>
        <v>44072</v>
      </c>
      <c r="L1347" s="17">
        <v>4.1666666666666664E-2</v>
      </c>
      <c r="M1347" s="14">
        <v>602</v>
      </c>
      <c r="N1347" s="14">
        <v>838</v>
      </c>
      <c r="O1347" s="14">
        <v>0</v>
      </c>
      <c r="P1347" s="14">
        <v>1440</v>
      </c>
      <c r="Q1347">
        <v>7168</v>
      </c>
      <c r="R1347">
        <v>598</v>
      </c>
      <c r="S1347">
        <v>0</v>
      </c>
    </row>
    <row r="1348" spans="11:19" x14ac:dyDescent="0.3">
      <c r="K1348" s="16">
        <f t="shared" si="20"/>
        <v>44072</v>
      </c>
      <c r="L1348" s="17">
        <v>8.3333333333333329E-2</v>
      </c>
      <c r="M1348" s="14">
        <v>602</v>
      </c>
      <c r="N1348" s="14">
        <v>0</v>
      </c>
      <c r="O1348" s="14">
        <v>671</v>
      </c>
      <c r="P1348" s="14">
        <v>1273</v>
      </c>
      <c r="Q1348">
        <v>6823</v>
      </c>
      <c r="R1348">
        <v>428</v>
      </c>
      <c r="S1348">
        <v>0</v>
      </c>
    </row>
    <row r="1349" spans="11:19" x14ac:dyDescent="0.3">
      <c r="K1349" s="16">
        <f t="shared" si="20"/>
        <v>44072</v>
      </c>
      <c r="L1349" s="17">
        <v>0.125</v>
      </c>
      <c r="M1349" s="14">
        <v>602</v>
      </c>
      <c r="N1349" s="14">
        <v>0</v>
      </c>
      <c r="O1349" s="14">
        <v>0</v>
      </c>
      <c r="P1349" s="14">
        <v>602</v>
      </c>
      <c r="Q1349">
        <v>6395</v>
      </c>
      <c r="R1349">
        <v>418</v>
      </c>
      <c r="S1349">
        <v>0</v>
      </c>
    </row>
    <row r="1350" spans="11:19" x14ac:dyDescent="0.3">
      <c r="K1350" s="16">
        <f t="shared" si="20"/>
        <v>44072</v>
      </c>
      <c r="L1350" s="17">
        <v>0.16666666666666666</v>
      </c>
      <c r="M1350" s="14">
        <v>602</v>
      </c>
      <c r="N1350" s="14">
        <v>123</v>
      </c>
      <c r="O1350" s="14">
        <v>0</v>
      </c>
      <c r="P1350" s="14">
        <v>725</v>
      </c>
      <c r="Q1350">
        <v>6210</v>
      </c>
      <c r="R1350">
        <v>358</v>
      </c>
      <c r="S1350">
        <v>0</v>
      </c>
    </row>
    <row r="1351" spans="11:19" x14ac:dyDescent="0.3">
      <c r="K1351" s="16">
        <f t="shared" si="20"/>
        <v>44072</v>
      </c>
      <c r="L1351" s="17">
        <v>0.20833333333333334</v>
      </c>
      <c r="M1351" s="14">
        <v>602</v>
      </c>
      <c r="N1351" s="14">
        <v>86</v>
      </c>
      <c r="O1351" s="14">
        <v>0</v>
      </c>
      <c r="P1351" s="14">
        <v>688</v>
      </c>
      <c r="Q1351">
        <v>6249</v>
      </c>
      <c r="R1351">
        <v>428</v>
      </c>
      <c r="S1351">
        <v>0</v>
      </c>
    </row>
    <row r="1352" spans="11:19" x14ac:dyDescent="0.3">
      <c r="K1352" s="16">
        <f t="shared" si="20"/>
        <v>44072</v>
      </c>
      <c r="L1352" s="17">
        <v>0.25</v>
      </c>
      <c r="M1352" s="14">
        <v>602</v>
      </c>
      <c r="N1352" s="14">
        <v>0</v>
      </c>
      <c r="O1352" s="14">
        <v>203</v>
      </c>
      <c r="P1352" s="14">
        <v>805</v>
      </c>
      <c r="Q1352">
        <v>6399</v>
      </c>
      <c r="R1352">
        <v>436</v>
      </c>
      <c r="S1352">
        <v>0</v>
      </c>
    </row>
    <row r="1353" spans="11:19" x14ac:dyDescent="0.3">
      <c r="K1353" s="16">
        <f t="shared" si="20"/>
        <v>44072</v>
      </c>
      <c r="L1353" s="17">
        <v>0.29166666666666669</v>
      </c>
      <c r="M1353" s="14">
        <v>602</v>
      </c>
      <c r="N1353" s="14">
        <v>0</v>
      </c>
      <c r="O1353" s="14">
        <v>0</v>
      </c>
      <c r="P1353" s="14">
        <v>602</v>
      </c>
      <c r="Q1353">
        <v>6519</v>
      </c>
      <c r="R1353">
        <v>459</v>
      </c>
      <c r="S1353">
        <v>57</v>
      </c>
    </row>
    <row r="1354" spans="11:19" x14ac:dyDescent="0.3">
      <c r="K1354" s="16">
        <f t="shared" si="20"/>
        <v>44072</v>
      </c>
      <c r="L1354" s="17">
        <v>0.33333333333333331</v>
      </c>
      <c r="M1354" s="14">
        <v>602</v>
      </c>
      <c r="N1354" s="14">
        <v>0</v>
      </c>
      <c r="O1354" s="14">
        <v>0</v>
      </c>
      <c r="P1354" s="14">
        <v>602</v>
      </c>
      <c r="Q1354">
        <v>7053</v>
      </c>
      <c r="R1354">
        <v>465</v>
      </c>
      <c r="S1354">
        <v>389</v>
      </c>
    </row>
    <row r="1355" spans="11:19" x14ac:dyDescent="0.3">
      <c r="K1355" s="16">
        <f t="shared" si="20"/>
        <v>44072</v>
      </c>
      <c r="L1355" s="17">
        <v>0.375</v>
      </c>
      <c r="M1355" s="14">
        <v>602</v>
      </c>
      <c r="N1355" s="14">
        <v>306</v>
      </c>
      <c r="O1355" s="14">
        <v>0</v>
      </c>
      <c r="P1355" s="14">
        <v>908</v>
      </c>
      <c r="Q1355">
        <v>7651</v>
      </c>
      <c r="R1355">
        <v>500</v>
      </c>
      <c r="S1355">
        <v>1038</v>
      </c>
    </row>
    <row r="1356" spans="11:19" x14ac:dyDescent="0.3">
      <c r="K1356" s="16">
        <f t="shared" si="20"/>
        <v>44072</v>
      </c>
      <c r="L1356" s="17">
        <v>0.41666666666666669</v>
      </c>
      <c r="M1356" s="14">
        <v>602</v>
      </c>
      <c r="N1356" s="14">
        <v>0</v>
      </c>
      <c r="O1356" s="14">
        <v>-67</v>
      </c>
      <c r="P1356" s="14">
        <v>535</v>
      </c>
      <c r="Q1356">
        <v>7991</v>
      </c>
      <c r="R1356">
        <v>599</v>
      </c>
      <c r="S1356">
        <v>1654</v>
      </c>
    </row>
    <row r="1357" spans="11:19" x14ac:dyDescent="0.3">
      <c r="K1357" s="16">
        <f t="shared" si="20"/>
        <v>44072</v>
      </c>
      <c r="L1357" s="17">
        <v>0.45833333333333331</v>
      </c>
      <c r="M1357" s="14">
        <v>602</v>
      </c>
      <c r="N1357" s="14">
        <v>0</v>
      </c>
      <c r="O1357" s="14">
        <v>-212</v>
      </c>
      <c r="P1357" s="14">
        <v>390</v>
      </c>
      <c r="Q1357">
        <v>8226</v>
      </c>
      <c r="R1357">
        <v>618</v>
      </c>
      <c r="S1357">
        <v>2100</v>
      </c>
    </row>
    <row r="1358" spans="11:19" x14ac:dyDescent="0.3">
      <c r="K1358" s="16">
        <f t="shared" si="20"/>
        <v>44072</v>
      </c>
      <c r="L1358" s="17">
        <v>0.5</v>
      </c>
      <c r="M1358" s="14">
        <v>602</v>
      </c>
      <c r="N1358" s="14">
        <v>0</v>
      </c>
      <c r="O1358" s="14">
        <v>-132</v>
      </c>
      <c r="P1358" s="14">
        <v>470</v>
      </c>
      <c r="Q1358">
        <v>8566</v>
      </c>
      <c r="R1358">
        <v>570</v>
      </c>
      <c r="S1358">
        <v>2410</v>
      </c>
    </row>
    <row r="1359" spans="11:19" x14ac:dyDescent="0.3">
      <c r="K1359" s="16">
        <f t="shared" si="20"/>
        <v>44072</v>
      </c>
      <c r="L1359" s="17">
        <v>0.54166666666666663</v>
      </c>
      <c r="M1359" s="14">
        <v>602</v>
      </c>
      <c r="N1359" s="14">
        <v>0</v>
      </c>
      <c r="O1359" s="14">
        <v>-467</v>
      </c>
      <c r="P1359" s="14">
        <v>135</v>
      </c>
      <c r="Q1359">
        <v>8324</v>
      </c>
      <c r="R1359">
        <v>524</v>
      </c>
      <c r="S1359">
        <v>2553</v>
      </c>
    </row>
    <row r="1360" spans="11:19" x14ac:dyDescent="0.3">
      <c r="K1360" s="16">
        <f t="shared" si="20"/>
        <v>44072</v>
      </c>
      <c r="L1360" s="17">
        <v>0.58333333333333337</v>
      </c>
      <c r="M1360" s="14">
        <v>602</v>
      </c>
      <c r="N1360" s="14">
        <v>0</v>
      </c>
      <c r="O1360" s="14">
        <v>-593</v>
      </c>
      <c r="P1360" s="14">
        <v>9</v>
      </c>
      <c r="Q1360">
        <v>8208</v>
      </c>
      <c r="R1360">
        <v>546</v>
      </c>
      <c r="S1360">
        <v>2542</v>
      </c>
    </row>
    <row r="1361" spans="11:19" x14ac:dyDescent="0.3">
      <c r="K1361" s="16">
        <f t="shared" si="20"/>
        <v>44072</v>
      </c>
      <c r="L1361" s="17">
        <v>0.625</v>
      </c>
      <c r="M1361" s="14">
        <v>602</v>
      </c>
      <c r="N1361" s="14">
        <v>0</v>
      </c>
      <c r="O1361" s="14">
        <v>-692</v>
      </c>
      <c r="P1361" s="14">
        <v>-90</v>
      </c>
      <c r="Q1361">
        <v>7986</v>
      </c>
      <c r="R1361">
        <v>540</v>
      </c>
      <c r="S1361">
        <v>2428</v>
      </c>
    </row>
    <row r="1362" spans="11:19" x14ac:dyDescent="0.3">
      <c r="K1362" s="16">
        <f t="shared" si="20"/>
        <v>44072</v>
      </c>
      <c r="L1362" s="17">
        <v>0.66666666666666663</v>
      </c>
      <c r="M1362" s="14">
        <v>602</v>
      </c>
      <c r="N1362" s="14">
        <v>0</v>
      </c>
      <c r="O1362" s="14">
        <v>-771</v>
      </c>
      <c r="P1362" s="14">
        <v>-169</v>
      </c>
      <c r="Q1362">
        <v>7843</v>
      </c>
      <c r="R1362">
        <v>676</v>
      </c>
      <c r="S1362">
        <v>2078</v>
      </c>
    </row>
    <row r="1363" spans="11:19" x14ac:dyDescent="0.3">
      <c r="K1363" s="16">
        <f t="shared" si="20"/>
        <v>44072</v>
      </c>
      <c r="L1363" s="17">
        <v>0.70833333333333337</v>
      </c>
      <c r="M1363" s="14">
        <v>602</v>
      </c>
      <c r="N1363" s="14">
        <v>0</v>
      </c>
      <c r="O1363" s="14">
        <v>-219</v>
      </c>
      <c r="P1363" s="14">
        <v>383</v>
      </c>
      <c r="Q1363">
        <v>7835</v>
      </c>
      <c r="R1363">
        <v>625</v>
      </c>
      <c r="S1363">
        <v>1577</v>
      </c>
    </row>
    <row r="1364" spans="11:19" x14ac:dyDescent="0.3">
      <c r="K1364" s="16">
        <f t="shared" si="20"/>
        <v>44072</v>
      </c>
      <c r="L1364" s="17">
        <v>0.75</v>
      </c>
      <c r="M1364" s="14">
        <v>602</v>
      </c>
      <c r="N1364" s="14">
        <v>0</v>
      </c>
      <c r="O1364" s="14">
        <v>0</v>
      </c>
      <c r="P1364" s="14">
        <v>602</v>
      </c>
      <c r="Q1364">
        <v>7894</v>
      </c>
      <c r="R1364">
        <v>561</v>
      </c>
      <c r="S1364">
        <v>948</v>
      </c>
    </row>
    <row r="1365" spans="11:19" x14ac:dyDescent="0.3">
      <c r="K1365" s="16">
        <f t="shared" si="20"/>
        <v>44072</v>
      </c>
      <c r="L1365" s="17">
        <v>0.79166666666666663</v>
      </c>
      <c r="M1365" s="14">
        <v>602</v>
      </c>
      <c r="N1365" s="14">
        <v>0</v>
      </c>
      <c r="O1365" s="14">
        <v>930</v>
      </c>
      <c r="P1365" s="14">
        <v>1532</v>
      </c>
      <c r="Q1365">
        <v>7790</v>
      </c>
      <c r="R1365">
        <v>715</v>
      </c>
      <c r="S1365">
        <v>310</v>
      </c>
    </row>
    <row r="1366" spans="11:19" x14ac:dyDescent="0.3">
      <c r="K1366" s="16">
        <f t="shared" si="20"/>
        <v>44072</v>
      </c>
      <c r="L1366" s="17">
        <v>0.83333333333333337</v>
      </c>
      <c r="M1366" s="14">
        <v>602</v>
      </c>
      <c r="N1366" s="14">
        <v>0</v>
      </c>
      <c r="O1366" s="14">
        <v>0</v>
      </c>
      <c r="P1366" s="14">
        <v>602</v>
      </c>
      <c r="Q1366">
        <v>7597</v>
      </c>
      <c r="R1366">
        <v>788</v>
      </c>
      <c r="S1366">
        <v>32</v>
      </c>
    </row>
    <row r="1367" spans="11:19" x14ac:dyDescent="0.3">
      <c r="K1367" s="16">
        <f t="shared" si="20"/>
        <v>44072</v>
      </c>
      <c r="L1367" s="17">
        <v>0.875</v>
      </c>
      <c r="M1367" s="14">
        <v>602</v>
      </c>
      <c r="N1367" s="14">
        <v>838</v>
      </c>
      <c r="O1367" s="14">
        <v>0</v>
      </c>
      <c r="P1367" s="14">
        <v>1440</v>
      </c>
      <c r="Q1367">
        <v>7754</v>
      </c>
      <c r="R1367">
        <v>721</v>
      </c>
      <c r="S1367">
        <v>0</v>
      </c>
    </row>
    <row r="1368" spans="11:19" x14ac:dyDescent="0.3">
      <c r="K1368" s="16">
        <f t="shared" si="20"/>
        <v>44072</v>
      </c>
      <c r="L1368" s="17">
        <v>0.91666666666666663</v>
      </c>
      <c r="M1368" s="14">
        <v>602</v>
      </c>
      <c r="N1368" s="14">
        <v>838</v>
      </c>
      <c r="O1368" s="14">
        <v>0</v>
      </c>
      <c r="P1368" s="14">
        <v>1440</v>
      </c>
      <c r="Q1368">
        <v>8044</v>
      </c>
      <c r="R1368">
        <v>670</v>
      </c>
      <c r="S1368">
        <v>0</v>
      </c>
    </row>
    <row r="1369" spans="11:19" x14ac:dyDescent="0.3">
      <c r="K1369" s="16">
        <f t="shared" si="20"/>
        <v>44072</v>
      </c>
      <c r="L1369" s="17">
        <v>0.95833333333333337</v>
      </c>
      <c r="M1369" s="14">
        <v>602</v>
      </c>
      <c r="N1369" s="14">
        <v>838</v>
      </c>
      <c r="O1369" s="14">
        <v>0</v>
      </c>
      <c r="P1369" s="14">
        <v>1440</v>
      </c>
      <c r="Q1369">
        <v>8071</v>
      </c>
      <c r="R1369">
        <v>563</v>
      </c>
      <c r="S1369">
        <v>0</v>
      </c>
    </row>
    <row r="1370" spans="11:19" x14ac:dyDescent="0.3">
      <c r="K1370" s="16">
        <f t="shared" si="20"/>
        <v>44073</v>
      </c>
      <c r="L1370" s="17">
        <v>0</v>
      </c>
      <c r="M1370" s="14">
        <v>602</v>
      </c>
      <c r="N1370" s="14">
        <v>0</v>
      </c>
      <c r="O1370" s="14">
        <v>884</v>
      </c>
      <c r="P1370" s="14">
        <v>1486</v>
      </c>
      <c r="Q1370">
        <v>7349</v>
      </c>
      <c r="R1370">
        <v>580</v>
      </c>
      <c r="S1370">
        <v>0</v>
      </c>
    </row>
    <row r="1371" spans="11:19" x14ac:dyDescent="0.3">
      <c r="K1371" s="16">
        <f t="shared" ref="K1371:K1434" si="21">K1347+1</f>
        <v>44073</v>
      </c>
      <c r="L1371" s="17">
        <v>4.1666666666666664E-2</v>
      </c>
      <c r="M1371" s="14">
        <v>602</v>
      </c>
      <c r="N1371" s="14">
        <v>545</v>
      </c>
      <c r="O1371" s="14">
        <v>0</v>
      </c>
      <c r="P1371" s="14">
        <v>1147</v>
      </c>
      <c r="Q1371">
        <v>6920</v>
      </c>
      <c r="R1371">
        <v>492</v>
      </c>
      <c r="S1371">
        <v>0</v>
      </c>
    </row>
    <row r="1372" spans="11:19" x14ac:dyDescent="0.3">
      <c r="K1372" s="16">
        <f t="shared" si="21"/>
        <v>44073</v>
      </c>
      <c r="L1372" s="17">
        <v>8.3333333333333329E-2</v>
      </c>
      <c r="M1372" s="14">
        <v>602</v>
      </c>
      <c r="N1372" s="14">
        <v>0</v>
      </c>
      <c r="O1372" s="14">
        <v>498</v>
      </c>
      <c r="P1372" s="14">
        <v>1100</v>
      </c>
      <c r="Q1372">
        <v>6581</v>
      </c>
      <c r="R1372">
        <v>359</v>
      </c>
      <c r="S1372">
        <v>0</v>
      </c>
    </row>
    <row r="1373" spans="11:19" x14ac:dyDescent="0.3">
      <c r="K1373" s="16">
        <f t="shared" si="21"/>
        <v>44073</v>
      </c>
      <c r="L1373" s="17">
        <v>0.125</v>
      </c>
      <c r="M1373" s="14">
        <v>602</v>
      </c>
      <c r="N1373" s="14">
        <v>141</v>
      </c>
      <c r="O1373" s="14">
        <v>0</v>
      </c>
      <c r="P1373" s="14">
        <v>743</v>
      </c>
      <c r="Q1373">
        <v>6177</v>
      </c>
      <c r="R1373">
        <v>309</v>
      </c>
      <c r="S1373">
        <v>0</v>
      </c>
    </row>
    <row r="1374" spans="11:19" x14ac:dyDescent="0.3">
      <c r="K1374" s="16">
        <f t="shared" si="21"/>
        <v>44073</v>
      </c>
      <c r="L1374" s="17">
        <v>0.16666666666666666</v>
      </c>
      <c r="M1374" s="14">
        <v>602</v>
      </c>
      <c r="N1374" s="14">
        <v>0</v>
      </c>
      <c r="O1374" s="14">
        <v>-177</v>
      </c>
      <c r="P1374" s="14">
        <v>425</v>
      </c>
      <c r="Q1374">
        <v>5974</v>
      </c>
      <c r="R1374">
        <v>422</v>
      </c>
      <c r="S1374">
        <v>0</v>
      </c>
    </row>
    <row r="1375" spans="11:19" x14ac:dyDescent="0.3">
      <c r="K1375" s="16">
        <f t="shared" si="21"/>
        <v>44073</v>
      </c>
      <c r="L1375" s="17">
        <v>0.20833333333333334</v>
      </c>
      <c r="M1375" s="14">
        <v>602</v>
      </c>
      <c r="N1375" s="14">
        <v>0</v>
      </c>
      <c r="O1375" s="14">
        <v>-191</v>
      </c>
      <c r="P1375" s="14">
        <v>411</v>
      </c>
      <c r="Q1375">
        <v>5925</v>
      </c>
      <c r="R1375">
        <v>381</v>
      </c>
      <c r="S1375">
        <v>0</v>
      </c>
    </row>
    <row r="1376" spans="11:19" x14ac:dyDescent="0.3">
      <c r="K1376" s="16">
        <f t="shared" si="21"/>
        <v>44073</v>
      </c>
      <c r="L1376" s="17">
        <v>0.25</v>
      </c>
      <c r="M1376" s="14">
        <v>602</v>
      </c>
      <c r="N1376" s="14">
        <v>0</v>
      </c>
      <c r="O1376" s="14">
        <v>-162</v>
      </c>
      <c r="P1376" s="14">
        <v>440</v>
      </c>
      <c r="Q1376">
        <v>5928</v>
      </c>
      <c r="R1376">
        <v>331</v>
      </c>
      <c r="S1376">
        <v>0</v>
      </c>
    </row>
    <row r="1377" spans="11:19" x14ac:dyDescent="0.3">
      <c r="K1377" s="16">
        <f t="shared" si="21"/>
        <v>44073</v>
      </c>
      <c r="L1377" s="17">
        <v>0.29166666666666669</v>
      </c>
      <c r="M1377" s="14">
        <v>602</v>
      </c>
      <c r="N1377" s="14">
        <v>0</v>
      </c>
      <c r="O1377" s="14">
        <v>-128</v>
      </c>
      <c r="P1377" s="14">
        <v>474</v>
      </c>
      <c r="Q1377">
        <v>5954</v>
      </c>
      <c r="R1377">
        <v>311</v>
      </c>
      <c r="S1377">
        <v>61</v>
      </c>
    </row>
    <row r="1378" spans="11:19" x14ac:dyDescent="0.3">
      <c r="K1378" s="16">
        <f t="shared" si="21"/>
        <v>44073</v>
      </c>
      <c r="L1378" s="17">
        <v>0.33333333333333331</v>
      </c>
      <c r="M1378" s="14">
        <v>602</v>
      </c>
      <c r="N1378" s="14">
        <v>0</v>
      </c>
      <c r="O1378" s="14">
        <v>-159</v>
      </c>
      <c r="P1378" s="14">
        <v>443</v>
      </c>
      <c r="Q1378">
        <v>6415</v>
      </c>
      <c r="R1378">
        <v>410</v>
      </c>
      <c r="S1378">
        <v>440</v>
      </c>
    </row>
    <row r="1379" spans="11:19" x14ac:dyDescent="0.3">
      <c r="K1379" s="16">
        <f t="shared" si="21"/>
        <v>44073</v>
      </c>
      <c r="L1379" s="17">
        <v>0.375</v>
      </c>
      <c r="M1379" s="14">
        <v>602</v>
      </c>
      <c r="N1379" s="14">
        <v>0</v>
      </c>
      <c r="O1379" s="14">
        <v>-224</v>
      </c>
      <c r="P1379" s="14">
        <v>378</v>
      </c>
      <c r="Q1379">
        <v>6985</v>
      </c>
      <c r="R1379">
        <v>407</v>
      </c>
      <c r="S1379">
        <v>1075</v>
      </c>
    </row>
    <row r="1380" spans="11:19" x14ac:dyDescent="0.3">
      <c r="K1380" s="16">
        <f t="shared" si="21"/>
        <v>44073</v>
      </c>
      <c r="L1380" s="17">
        <v>0.41666666666666669</v>
      </c>
      <c r="M1380" s="14">
        <v>602</v>
      </c>
      <c r="N1380" s="14">
        <v>0</v>
      </c>
      <c r="O1380" s="14">
        <v>-433</v>
      </c>
      <c r="P1380" s="14">
        <v>169</v>
      </c>
      <c r="Q1380">
        <v>7443</v>
      </c>
      <c r="R1380">
        <v>428</v>
      </c>
      <c r="S1380">
        <v>1724</v>
      </c>
    </row>
    <row r="1381" spans="11:19" x14ac:dyDescent="0.3">
      <c r="K1381" s="16">
        <f t="shared" si="21"/>
        <v>44073</v>
      </c>
      <c r="L1381" s="17">
        <v>0.45833333333333331</v>
      </c>
      <c r="M1381" s="14">
        <v>602</v>
      </c>
      <c r="N1381" s="14">
        <v>0</v>
      </c>
      <c r="O1381" s="14">
        <v>-515</v>
      </c>
      <c r="P1381" s="14">
        <v>87</v>
      </c>
      <c r="Q1381">
        <v>7799</v>
      </c>
      <c r="R1381">
        <v>425</v>
      </c>
      <c r="S1381">
        <v>2169</v>
      </c>
    </row>
    <row r="1382" spans="11:19" x14ac:dyDescent="0.3">
      <c r="K1382" s="16">
        <f t="shared" si="21"/>
        <v>44073</v>
      </c>
      <c r="L1382" s="17">
        <v>0.5</v>
      </c>
      <c r="M1382" s="14">
        <v>602</v>
      </c>
      <c r="N1382" s="14">
        <v>0</v>
      </c>
      <c r="O1382" s="14">
        <v>-434</v>
      </c>
      <c r="P1382" s="14">
        <v>168</v>
      </c>
      <c r="Q1382">
        <v>8218</v>
      </c>
      <c r="R1382">
        <v>435</v>
      </c>
      <c r="S1382">
        <v>2499</v>
      </c>
    </row>
    <row r="1383" spans="11:19" x14ac:dyDescent="0.3">
      <c r="K1383" s="16">
        <f t="shared" si="21"/>
        <v>44073</v>
      </c>
      <c r="L1383" s="17">
        <v>0.54166666666666663</v>
      </c>
      <c r="M1383" s="14">
        <v>602</v>
      </c>
      <c r="N1383" s="14">
        <v>0</v>
      </c>
      <c r="O1383" s="14">
        <v>-885</v>
      </c>
      <c r="P1383" s="14">
        <v>-283</v>
      </c>
      <c r="Q1383">
        <v>7923</v>
      </c>
      <c r="R1383">
        <v>485</v>
      </c>
      <c r="S1383">
        <v>2609</v>
      </c>
    </row>
    <row r="1384" spans="11:19" x14ac:dyDescent="0.3">
      <c r="K1384" s="16">
        <f t="shared" si="21"/>
        <v>44073</v>
      </c>
      <c r="L1384" s="17">
        <v>0.58333333333333337</v>
      </c>
      <c r="M1384" s="14">
        <v>602</v>
      </c>
      <c r="N1384" s="14">
        <v>0</v>
      </c>
      <c r="O1384" s="14">
        <v>-1052</v>
      </c>
      <c r="P1384" s="14">
        <v>-450</v>
      </c>
      <c r="Q1384">
        <v>7770</v>
      </c>
      <c r="R1384">
        <v>539</v>
      </c>
      <c r="S1384">
        <v>2570</v>
      </c>
    </row>
    <row r="1385" spans="11:19" x14ac:dyDescent="0.3">
      <c r="K1385" s="16">
        <f t="shared" si="21"/>
        <v>44073</v>
      </c>
      <c r="L1385" s="17">
        <v>0.625</v>
      </c>
      <c r="M1385" s="14">
        <v>602</v>
      </c>
      <c r="N1385" s="14">
        <v>0</v>
      </c>
      <c r="O1385" s="14">
        <v>-1200</v>
      </c>
      <c r="P1385" s="14">
        <v>-598</v>
      </c>
      <c r="Q1385">
        <v>7588</v>
      </c>
      <c r="R1385">
        <v>663</v>
      </c>
      <c r="S1385">
        <v>2432</v>
      </c>
    </row>
    <row r="1386" spans="11:19" x14ac:dyDescent="0.3">
      <c r="K1386" s="16">
        <f t="shared" si="21"/>
        <v>44073</v>
      </c>
      <c r="L1386" s="17">
        <v>0.66666666666666663</v>
      </c>
      <c r="M1386" s="14">
        <v>602</v>
      </c>
      <c r="N1386" s="14">
        <v>0</v>
      </c>
      <c r="O1386" s="14">
        <v>-1089</v>
      </c>
      <c r="P1386" s="14">
        <v>-487</v>
      </c>
      <c r="Q1386">
        <v>7484</v>
      </c>
      <c r="R1386">
        <v>798</v>
      </c>
      <c r="S1386">
        <v>2075</v>
      </c>
    </row>
    <row r="1387" spans="11:19" x14ac:dyDescent="0.3">
      <c r="K1387" s="16">
        <f t="shared" si="21"/>
        <v>44073</v>
      </c>
      <c r="L1387" s="17">
        <v>0.70833333333333337</v>
      </c>
      <c r="M1387" s="14">
        <v>602</v>
      </c>
      <c r="N1387" s="14">
        <v>0</v>
      </c>
      <c r="O1387" s="14">
        <v>-706</v>
      </c>
      <c r="P1387" s="14">
        <v>-104</v>
      </c>
      <c r="Q1387">
        <v>7553</v>
      </c>
      <c r="R1387">
        <v>834</v>
      </c>
      <c r="S1387">
        <v>1573</v>
      </c>
    </row>
    <row r="1388" spans="11:19" x14ac:dyDescent="0.3">
      <c r="K1388" s="16">
        <f t="shared" si="21"/>
        <v>44073</v>
      </c>
      <c r="L1388" s="17">
        <v>0.75</v>
      </c>
      <c r="M1388" s="14">
        <v>602</v>
      </c>
      <c r="N1388" s="14">
        <v>0</v>
      </c>
      <c r="O1388" s="14">
        <v>95</v>
      </c>
      <c r="P1388" s="14">
        <v>697</v>
      </c>
      <c r="Q1388">
        <v>7660</v>
      </c>
      <c r="R1388">
        <v>769</v>
      </c>
      <c r="S1388">
        <v>951</v>
      </c>
    </row>
    <row r="1389" spans="11:19" x14ac:dyDescent="0.3">
      <c r="K1389" s="16">
        <f t="shared" si="21"/>
        <v>44073</v>
      </c>
      <c r="L1389" s="17">
        <v>0.79166666666666663</v>
      </c>
      <c r="M1389" s="14">
        <v>602</v>
      </c>
      <c r="N1389" s="14">
        <v>0</v>
      </c>
      <c r="O1389" s="14">
        <v>732</v>
      </c>
      <c r="P1389" s="14">
        <v>1334</v>
      </c>
      <c r="Q1389">
        <v>7792</v>
      </c>
      <c r="R1389">
        <v>675</v>
      </c>
      <c r="S1389">
        <v>318</v>
      </c>
    </row>
    <row r="1390" spans="11:19" x14ac:dyDescent="0.3">
      <c r="K1390" s="16">
        <f t="shared" si="21"/>
        <v>44073</v>
      </c>
      <c r="L1390" s="17">
        <v>0.83333333333333337</v>
      </c>
      <c r="M1390" s="14">
        <v>602</v>
      </c>
      <c r="N1390" s="14">
        <v>722</v>
      </c>
      <c r="O1390" s="14">
        <v>541</v>
      </c>
      <c r="P1390" s="14">
        <v>1865</v>
      </c>
      <c r="Q1390">
        <v>7861</v>
      </c>
      <c r="R1390">
        <v>733</v>
      </c>
      <c r="S1390">
        <v>37</v>
      </c>
    </row>
    <row r="1391" spans="11:19" x14ac:dyDescent="0.3">
      <c r="K1391" s="16">
        <f t="shared" si="21"/>
        <v>44073</v>
      </c>
      <c r="L1391" s="17">
        <v>0.875</v>
      </c>
      <c r="M1391" s="14">
        <v>602</v>
      </c>
      <c r="N1391" s="14">
        <v>0</v>
      </c>
      <c r="O1391" s="14">
        <v>1200</v>
      </c>
      <c r="P1391" s="14">
        <v>1802</v>
      </c>
      <c r="Q1391">
        <v>8024</v>
      </c>
      <c r="R1391">
        <v>631</v>
      </c>
      <c r="S1391">
        <v>0</v>
      </c>
    </row>
    <row r="1392" spans="11:19" x14ac:dyDescent="0.3">
      <c r="K1392" s="16">
        <f t="shared" si="21"/>
        <v>44073</v>
      </c>
      <c r="L1392" s="17">
        <v>0.91666666666666663</v>
      </c>
      <c r="M1392" s="14">
        <v>602</v>
      </c>
      <c r="N1392" s="14">
        <v>0</v>
      </c>
      <c r="O1392" s="14">
        <v>1200</v>
      </c>
      <c r="P1392" s="14">
        <v>1802</v>
      </c>
      <c r="Q1392">
        <v>8293</v>
      </c>
      <c r="R1392">
        <v>674</v>
      </c>
      <c r="S1392">
        <v>0</v>
      </c>
    </row>
    <row r="1393" spans="11:19" x14ac:dyDescent="0.3">
      <c r="K1393" s="16">
        <f t="shared" si="21"/>
        <v>44073</v>
      </c>
      <c r="L1393" s="17">
        <v>0.95833333333333337</v>
      </c>
      <c r="M1393" s="14">
        <v>602</v>
      </c>
      <c r="N1393" s="14">
        <v>722</v>
      </c>
      <c r="O1393" s="14">
        <v>738</v>
      </c>
      <c r="P1393" s="14">
        <v>2062</v>
      </c>
      <c r="Q1393">
        <v>8202</v>
      </c>
      <c r="R1393">
        <v>932</v>
      </c>
      <c r="S1393">
        <v>0</v>
      </c>
    </row>
    <row r="1394" spans="11:19" x14ac:dyDescent="0.3">
      <c r="K1394" s="16">
        <f t="shared" si="21"/>
        <v>44074</v>
      </c>
      <c r="L1394" s="17">
        <v>0</v>
      </c>
      <c r="M1394" s="14">
        <v>602</v>
      </c>
      <c r="N1394" s="14">
        <v>0</v>
      </c>
      <c r="O1394" s="14">
        <v>0</v>
      </c>
      <c r="P1394" s="14">
        <v>602</v>
      </c>
      <c r="Q1394">
        <v>7356</v>
      </c>
      <c r="R1394">
        <v>950</v>
      </c>
      <c r="S1394">
        <v>0</v>
      </c>
    </row>
    <row r="1395" spans="11:19" x14ac:dyDescent="0.3">
      <c r="K1395" s="16">
        <f t="shared" si="21"/>
        <v>44074</v>
      </c>
      <c r="L1395" s="17">
        <v>4.1666666666666664E-2</v>
      </c>
      <c r="M1395" s="14">
        <v>602</v>
      </c>
      <c r="N1395" s="14">
        <v>478</v>
      </c>
      <c r="O1395" s="14">
        <v>0</v>
      </c>
      <c r="P1395" s="14">
        <v>1080</v>
      </c>
      <c r="Q1395">
        <v>7002</v>
      </c>
      <c r="R1395">
        <v>715</v>
      </c>
      <c r="S1395">
        <v>0</v>
      </c>
    </row>
    <row r="1396" spans="11:19" x14ac:dyDescent="0.3">
      <c r="K1396" s="16">
        <f t="shared" si="21"/>
        <v>44074</v>
      </c>
      <c r="L1396" s="17">
        <v>8.3333333333333329E-2</v>
      </c>
      <c r="M1396" s="14">
        <v>602</v>
      </c>
      <c r="N1396" s="14">
        <v>0</v>
      </c>
      <c r="O1396" s="14">
        <v>0</v>
      </c>
      <c r="P1396" s="14">
        <v>602</v>
      </c>
      <c r="Q1396">
        <v>6717</v>
      </c>
      <c r="R1396">
        <v>583</v>
      </c>
      <c r="S1396">
        <v>0</v>
      </c>
    </row>
    <row r="1397" spans="11:19" x14ac:dyDescent="0.3">
      <c r="K1397" s="16">
        <f t="shared" si="21"/>
        <v>44074</v>
      </c>
      <c r="L1397" s="17">
        <v>0.125</v>
      </c>
      <c r="M1397" s="14">
        <v>602</v>
      </c>
      <c r="N1397" s="14">
        <v>0</v>
      </c>
      <c r="O1397" s="14">
        <v>-66</v>
      </c>
      <c r="P1397" s="14">
        <v>536</v>
      </c>
      <c r="Q1397">
        <v>6424</v>
      </c>
      <c r="R1397">
        <v>519</v>
      </c>
      <c r="S1397">
        <v>0</v>
      </c>
    </row>
    <row r="1398" spans="11:19" x14ac:dyDescent="0.3">
      <c r="K1398" s="16">
        <f t="shared" si="21"/>
        <v>44074</v>
      </c>
      <c r="L1398" s="17">
        <v>0.16666666666666666</v>
      </c>
      <c r="M1398" s="14">
        <v>602</v>
      </c>
      <c r="N1398" s="14">
        <v>0</v>
      </c>
      <c r="O1398" s="14">
        <v>-12</v>
      </c>
      <c r="P1398" s="14">
        <v>590</v>
      </c>
      <c r="Q1398">
        <v>6428</v>
      </c>
      <c r="R1398">
        <v>467</v>
      </c>
      <c r="S1398">
        <v>0</v>
      </c>
    </row>
    <row r="1399" spans="11:19" x14ac:dyDescent="0.3">
      <c r="K1399" s="16">
        <f t="shared" si="21"/>
        <v>44074</v>
      </c>
      <c r="L1399" s="17">
        <v>0.20833333333333334</v>
      </c>
      <c r="M1399" s="14">
        <v>602</v>
      </c>
      <c r="N1399" s="14">
        <v>0</v>
      </c>
      <c r="O1399" s="14">
        <v>0</v>
      </c>
      <c r="P1399" s="14">
        <v>602</v>
      </c>
      <c r="Q1399">
        <v>6796</v>
      </c>
      <c r="R1399">
        <v>385</v>
      </c>
      <c r="S1399">
        <v>0</v>
      </c>
    </row>
    <row r="1400" spans="11:19" x14ac:dyDescent="0.3">
      <c r="K1400" s="16">
        <f t="shared" si="21"/>
        <v>44074</v>
      </c>
      <c r="L1400" s="17">
        <v>0.25</v>
      </c>
      <c r="M1400" s="14">
        <v>602</v>
      </c>
      <c r="N1400" s="14">
        <v>1121</v>
      </c>
      <c r="O1400" s="14">
        <v>0</v>
      </c>
      <c r="P1400" s="14">
        <v>1723</v>
      </c>
      <c r="Q1400">
        <v>7455</v>
      </c>
      <c r="R1400">
        <v>303</v>
      </c>
      <c r="S1400">
        <v>0</v>
      </c>
    </row>
    <row r="1401" spans="11:19" x14ac:dyDescent="0.3">
      <c r="K1401" s="16">
        <f t="shared" si="21"/>
        <v>44074</v>
      </c>
      <c r="L1401" s="17">
        <v>0.29166666666666669</v>
      </c>
      <c r="M1401" s="14">
        <v>602</v>
      </c>
      <c r="N1401" s="14">
        <v>0</v>
      </c>
      <c r="O1401" s="14">
        <v>0</v>
      </c>
      <c r="P1401" s="14">
        <v>602</v>
      </c>
      <c r="Q1401">
        <v>8072</v>
      </c>
      <c r="R1401">
        <v>270</v>
      </c>
      <c r="S1401">
        <v>55</v>
      </c>
    </row>
    <row r="1402" spans="11:19" x14ac:dyDescent="0.3">
      <c r="K1402" s="16">
        <f t="shared" si="21"/>
        <v>44074</v>
      </c>
      <c r="L1402" s="17">
        <v>0.33333333333333331</v>
      </c>
      <c r="M1402" s="14">
        <v>602</v>
      </c>
      <c r="N1402" s="14">
        <v>1683</v>
      </c>
      <c r="O1402" s="14">
        <v>0</v>
      </c>
      <c r="P1402" s="14">
        <v>2285</v>
      </c>
      <c r="Q1402">
        <v>8748</v>
      </c>
      <c r="R1402">
        <v>250</v>
      </c>
      <c r="S1402">
        <v>445</v>
      </c>
    </row>
    <row r="1403" spans="11:19" x14ac:dyDescent="0.3">
      <c r="K1403" s="16">
        <f t="shared" si="21"/>
        <v>44074</v>
      </c>
      <c r="L1403" s="17">
        <v>0.375</v>
      </c>
      <c r="M1403" s="14">
        <v>602</v>
      </c>
      <c r="N1403" s="14">
        <v>1683</v>
      </c>
      <c r="O1403" s="14">
        <v>0</v>
      </c>
      <c r="P1403" s="14">
        <v>2285</v>
      </c>
      <c r="Q1403">
        <v>9293</v>
      </c>
      <c r="R1403">
        <v>269</v>
      </c>
      <c r="S1403">
        <v>1080</v>
      </c>
    </row>
    <row r="1404" spans="11:19" x14ac:dyDescent="0.3">
      <c r="K1404" s="16">
        <f t="shared" si="21"/>
        <v>44074</v>
      </c>
      <c r="L1404" s="17">
        <v>0.41666666666666669</v>
      </c>
      <c r="M1404" s="14">
        <v>602</v>
      </c>
      <c r="N1404" s="14">
        <v>0</v>
      </c>
      <c r="O1404" s="14">
        <v>0</v>
      </c>
      <c r="P1404" s="14">
        <v>602</v>
      </c>
      <c r="Q1404">
        <v>9658</v>
      </c>
      <c r="R1404">
        <v>185</v>
      </c>
      <c r="S1404">
        <v>1746</v>
      </c>
    </row>
    <row r="1405" spans="11:19" x14ac:dyDescent="0.3">
      <c r="K1405" s="16">
        <f t="shared" si="21"/>
        <v>44074</v>
      </c>
      <c r="L1405" s="17">
        <v>0.45833333333333331</v>
      </c>
      <c r="M1405" s="14">
        <v>602</v>
      </c>
      <c r="N1405" s="14">
        <v>1502</v>
      </c>
      <c r="O1405" s="14">
        <v>0</v>
      </c>
      <c r="P1405" s="14">
        <v>2104</v>
      </c>
      <c r="Q1405">
        <v>9982</v>
      </c>
      <c r="R1405">
        <v>216</v>
      </c>
      <c r="S1405">
        <v>2206</v>
      </c>
    </row>
    <row r="1406" spans="11:19" x14ac:dyDescent="0.3">
      <c r="K1406" s="16">
        <f t="shared" si="21"/>
        <v>44074</v>
      </c>
      <c r="L1406" s="17">
        <v>0.5</v>
      </c>
      <c r="M1406" s="14">
        <v>602</v>
      </c>
      <c r="N1406" s="14">
        <v>1338</v>
      </c>
      <c r="O1406" s="14">
        <v>0</v>
      </c>
      <c r="P1406" s="14">
        <v>1940</v>
      </c>
      <c r="Q1406">
        <v>10207</v>
      </c>
      <c r="R1406">
        <v>292</v>
      </c>
      <c r="S1406">
        <v>2521</v>
      </c>
    </row>
    <row r="1407" spans="11:19" x14ac:dyDescent="0.3">
      <c r="K1407" s="16">
        <f t="shared" si="21"/>
        <v>44074</v>
      </c>
      <c r="L1407" s="17">
        <v>0.54166666666666663</v>
      </c>
      <c r="M1407" s="14">
        <v>602</v>
      </c>
      <c r="N1407" s="14">
        <v>0</v>
      </c>
      <c r="O1407" s="14">
        <v>0</v>
      </c>
      <c r="P1407" s="14">
        <v>602</v>
      </c>
      <c r="Q1407">
        <v>10156</v>
      </c>
      <c r="R1407">
        <v>310</v>
      </c>
      <c r="S1407">
        <v>2626</v>
      </c>
    </row>
    <row r="1408" spans="11:19" x14ac:dyDescent="0.3">
      <c r="K1408" s="16">
        <f t="shared" si="21"/>
        <v>44074</v>
      </c>
      <c r="L1408" s="17">
        <v>0.58333333333333337</v>
      </c>
      <c r="M1408" s="14">
        <v>602</v>
      </c>
      <c r="N1408" s="14">
        <v>1272</v>
      </c>
      <c r="O1408" s="14">
        <v>0</v>
      </c>
      <c r="P1408" s="14">
        <v>1874</v>
      </c>
      <c r="Q1408">
        <v>10250</v>
      </c>
      <c r="R1408">
        <v>336</v>
      </c>
      <c r="S1408">
        <v>2595</v>
      </c>
    </row>
    <row r="1409" spans="11:19" x14ac:dyDescent="0.3">
      <c r="K1409" s="16">
        <f t="shared" si="21"/>
        <v>44074</v>
      </c>
      <c r="L1409" s="17">
        <v>0.625</v>
      </c>
      <c r="M1409" s="14">
        <v>602</v>
      </c>
      <c r="N1409" s="14">
        <v>1200</v>
      </c>
      <c r="O1409" s="14">
        <v>0</v>
      </c>
      <c r="P1409" s="14">
        <v>1802</v>
      </c>
      <c r="Q1409">
        <v>10128</v>
      </c>
      <c r="R1409">
        <v>416</v>
      </c>
      <c r="S1409">
        <v>2461</v>
      </c>
    </row>
    <row r="1410" spans="11:19" x14ac:dyDescent="0.3">
      <c r="K1410" s="16">
        <f t="shared" si="21"/>
        <v>44074</v>
      </c>
      <c r="L1410" s="17">
        <v>0.66666666666666663</v>
      </c>
      <c r="M1410" s="14">
        <v>602</v>
      </c>
      <c r="N1410" s="14">
        <v>0</v>
      </c>
      <c r="O1410" s="14">
        <v>0</v>
      </c>
      <c r="P1410" s="14">
        <v>602</v>
      </c>
      <c r="Q1410">
        <v>9990</v>
      </c>
      <c r="R1410">
        <v>495</v>
      </c>
      <c r="S1410">
        <v>2080</v>
      </c>
    </row>
    <row r="1411" spans="11:19" x14ac:dyDescent="0.3">
      <c r="K1411" s="16">
        <f t="shared" si="21"/>
        <v>44074</v>
      </c>
      <c r="L1411" s="17">
        <v>0.70833333333333337</v>
      </c>
      <c r="M1411" s="14">
        <v>602</v>
      </c>
      <c r="N1411" s="14">
        <v>0</v>
      </c>
      <c r="O1411" s="14">
        <v>0</v>
      </c>
      <c r="P1411" s="14">
        <v>602</v>
      </c>
      <c r="Q1411">
        <v>9882</v>
      </c>
      <c r="R1411">
        <v>533</v>
      </c>
      <c r="S1411">
        <v>1575</v>
      </c>
    </row>
    <row r="1412" spans="11:19" x14ac:dyDescent="0.3">
      <c r="K1412" s="16">
        <f t="shared" si="21"/>
        <v>44074</v>
      </c>
      <c r="L1412" s="17">
        <v>0.75</v>
      </c>
      <c r="M1412" s="14">
        <v>602</v>
      </c>
      <c r="N1412" s="14">
        <v>1683</v>
      </c>
      <c r="O1412" s="14">
        <v>0</v>
      </c>
      <c r="P1412" s="14">
        <v>2285</v>
      </c>
      <c r="Q1412">
        <v>9841</v>
      </c>
      <c r="R1412">
        <v>581</v>
      </c>
      <c r="S1412">
        <v>941</v>
      </c>
    </row>
    <row r="1413" spans="11:19" x14ac:dyDescent="0.3">
      <c r="K1413" s="16">
        <f t="shared" si="21"/>
        <v>44074</v>
      </c>
      <c r="L1413" s="17">
        <v>0.79166666666666663</v>
      </c>
      <c r="M1413" s="14">
        <v>602</v>
      </c>
      <c r="N1413" s="14">
        <v>1683</v>
      </c>
      <c r="O1413" s="14">
        <v>0</v>
      </c>
      <c r="P1413" s="14">
        <v>2285</v>
      </c>
      <c r="Q1413">
        <v>9731</v>
      </c>
      <c r="R1413">
        <v>508</v>
      </c>
      <c r="S1413">
        <v>312</v>
      </c>
    </row>
    <row r="1414" spans="11:19" x14ac:dyDescent="0.3">
      <c r="K1414" s="16">
        <f t="shared" si="21"/>
        <v>44074</v>
      </c>
      <c r="L1414" s="17">
        <v>0.83333333333333337</v>
      </c>
      <c r="M1414" s="14">
        <v>602</v>
      </c>
      <c r="N1414" s="14">
        <v>1683</v>
      </c>
      <c r="O1414" s="14">
        <v>0</v>
      </c>
      <c r="P1414" s="14">
        <v>2285</v>
      </c>
      <c r="Q1414">
        <v>9290</v>
      </c>
      <c r="R1414">
        <v>505</v>
      </c>
      <c r="S1414">
        <v>38</v>
      </c>
    </row>
    <row r="1415" spans="11:19" x14ac:dyDescent="0.3">
      <c r="K1415" s="16">
        <f t="shared" si="21"/>
        <v>44074</v>
      </c>
      <c r="L1415" s="17">
        <v>0.875</v>
      </c>
      <c r="M1415" s="14">
        <v>602</v>
      </c>
      <c r="N1415" s="14">
        <v>1683</v>
      </c>
      <c r="O1415" s="14">
        <v>0</v>
      </c>
      <c r="P1415" s="14">
        <v>2285</v>
      </c>
      <c r="Q1415">
        <v>9051</v>
      </c>
      <c r="R1415">
        <v>360</v>
      </c>
      <c r="S1415">
        <v>0</v>
      </c>
    </row>
    <row r="1416" spans="11:19" x14ac:dyDescent="0.3">
      <c r="K1416" s="16">
        <f t="shared" si="21"/>
        <v>44074</v>
      </c>
      <c r="L1416" s="17">
        <v>0.91666666666666663</v>
      </c>
      <c r="M1416" s="14">
        <v>602</v>
      </c>
      <c r="N1416" s="14">
        <v>1683</v>
      </c>
      <c r="O1416" s="14">
        <v>0</v>
      </c>
      <c r="P1416" s="14">
        <v>2285</v>
      </c>
      <c r="Q1416">
        <v>9211</v>
      </c>
      <c r="R1416">
        <v>265</v>
      </c>
      <c r="S1416">
        <v>0</v>
      </c>
    </row>
    <row r="1417" spans="11:19" x14ac:dyDescent="0.3">
      <c r="K1417" s="16">
        <f t="shared" si="21"/>
        <v>44074</v>
      </c>
      <c r="L1417" s="17">
        <v>0.95833333333333337</v>
      </c>
      <c r="M1417" s="14">
        <v>602</v>
      </c>
      <c r="N1417" s="14">
        <v>94</v>
      </c>
      <c r="O1417" s="14">
        <v>63</v>
      </c>
      <c r="P1417" s="14">
        <v>759</v>
      </c>
      <c r="Q1417">
        <v>9011</v>
      </c>
      <c r="R1417">
        <v>257</v>
      </c>
      <c r="S1417">
        <v>0</v>
      </c>
    </row>
    <row r="1418" spans="11:19" x14ac:dyDescent="0.3">
      <c r="K1418" s="16">
        <f t="shared" si="21"/>
        <v>44075</v>
      </c>
      <c r="L1418" s="17">
        <v>0</v>
      </c>
      <c r="M1418" s="14">
        <v>602</v>
      </c>
      <c r="N1418" s="14">
        <v>1911</v>
      </c>
      <c r="O1418" s="14">
        <v>0</v>
      </c>
      <c r="P1418" s="14">
        <v>2513</v>
      </c>
      <c r="Q1418">
        <v>8213</v>
      </c>
      <c r="R1418">
        <v>248</v>
      </c>
      <c r="S1418">
        <v>0</v>
      </c>
    </row>
    <row r="1419" spans="11:19" x14ac:dyDescent="0.3">
      <c r="K1419" s="16">
        <f t="shared" si="21"/>
        <v>44075</v>
      </c>
      <c r="L1419" s="17">
        <v>4.1666666666666664E-2</v>
      </c>
      <c r="M1419" s="14">
        <v>602</v>
      </c>
      <c r="N1419" s="14">
        <v>1535</v>
      </c>
      <c r="O1419" s="14">
        <v>0</v>
      </c>
      <c r="P1419" s="14">
        <v>2137</v>
      </c>
      <c r="Q1419">
        <v>7820</v>
      </c>
      <c r="R1419">
        <v>234</v>
      </c>
      <c r="S1419">
        <v>0</v>
      </c>
    </row>
    <row r="1420" spans="11:19" x14ac:dyDescent="0.3">
      <c r="K1420" s="16">
        <f t="shared" si="21"/>
        <v>44075</v>
      </c>
      <c r="L1420" s="17">
        <v>8.3333333333333329E-2</v>
      </c>
      <c r="M1420" s="14">
        <v>602</v>
      </c>
      <c r="N1420" s="14">
        <v>0</v>
      </c>
      <c r="O1420" s="14">
        <v>0</v>
      </c>
      <c r="P1420" s="14">
        <v>602</v>
      </c>
      <c r="Q1420">
        <v>7521</v>
      </c>
      <c r="R1420">
        <v>252</v>
      </c>
      <c r="S1420">
        <v>0</v>
      </c>
    </row>
    <row r="1421" spans="11:19" x14ac:dyDescent="0.3">
      <c r="K1421" s="16">
        <f t="shared" si="21"/>
        <v>44075</v>
      </c>
      <c r="L1421" s="17">
        <v>0.125</v>
      </c>
      <c r="M1421" s="14">
        <v>602</v>
      </c>
      <c r="N1421" s="14">
        <v>887</v>
      </c>
      <c r="O1421" s="14">
        <v>0</v>
      </c>
      <c r="P1421" s="14">
        <v>1489</v>
      </c>
      <c r="Q1421">
        <v>7183</v>
      </c>
      <c r="R1421">
        <v>244</v>
      </c>
      <c r="S1421">
        <v>0</v>
      </c>
    </row>
    <row r="1422" spans="11:19" x14ac:dyDescent="0.3">
      <c r="K1422" s="16">
        <f t="shared" si="21"/>
        <v>44075</v>
      </c>
      <c r="L1422" s="17">
        <v>0.16666666666666666</v>
      </c>
      <c r="M1422" s="14">
        <v>602</v>
      </c>
      <c r="N1422" s="14">
        <v>0</v>
      </c>
      <c r="O1422" s="14">
        <v>0</v>
      </c>
      <c r="P1422" s="14">
        <v>602</v>
      </c>
      <c r="Q1422">
        <v>7119</v>
      </c>
      <c r="R1422">
        <v>243</v>
      </c>
      <c r="S1422">
        <v>0</v>
      </c>
    </row>
    <row r="1423" spans="11:19" x14ac:dyDescent="0.3">
      <c r="K1423" s="16">
        <f t="shared" si="21"/>
        <v>44075</v>
      </c>
      <c r="L1423" s="17">
        <v>0.20833333333333334</v>
      </c>
      <c r="M1423" s="14">
        <v>602</v>
      </c>
      <c r="N1423" s="14">
        <v>0</v>
      </c>
      <c r="O1423" s="14">
        <v>0</v>
      </c>
      <c r="P1423" s="14">
        <v>602</v>
      </c>
      <c r="Q1423">
        <v>7399</v>
      </c>
      <c r="R1423">
        <v>268</v>
      </c>
      <c r="S1423">
        <v>0</v>
      </c>
    </row>
    <row r="1424" spans="11:19" x14ac:dyDescent="0.3">
      <c r="K1424" s="16">
        <f t="shared" si="21"/>
        <v>44075</v>
      </c>
      <c r="L1424" s="17">
        <v>0.25</v>
      </c>
      <c r="M1424" s="14">
        <v>602</v>
      </c>
      <c r="N1424" s="14">
        <v>0</v>
      </c>
      <c r="O1424" s="14">
        <v>0</v>
      </c>
      <c r="P1424" s="14">
        <v>602</v>
      </c>
      <c r="Q1424">
        <v>8018</v>
      </c>
      <c r="R1424">
        <v>297</v>
      </c>
      <c r="S1424">
        <v>0</v>
      </c>
    </row>
    <row r="1425" spans="11:19" x14ac:dyDescent="0.3">
      <c r="K1425" s="16">
        <f t="shared" si="21"/>
        <v>44075</v>
      </c>
      <c r="L1425" s="17">
        <v>0.29166666666666669</v>
      </c>
      <c r="M1425" s="14">
        <v>602</v>
      </c>
      <c r="N1425" s="14">
        <v>0</v>
      </c>
      <c r="O1425" s="14">
        <v>0</v>
      </c>
      <c r="P1425" s="14">
        <v>602</v>
      </c>
      <c r="Q1425">
        <v>8647</v>
      </c>
      <c r="R1425">
        <v>328</v>
      </c>
      <c r="S1425">
        <v>49</v>
      </c>
    </row>
    <row r="1426" spans="11:19" x14ac:dyDescent="0.3">
      <c r="K1426" s="16">
        <f t="shared" si="21"/>
        <v>44075</v>
      </c>
      <c r="L1426" s="17">
        <v>0.33333333333333331</v>
      </c>
      <c r="M1426" s="14">
        <v>602</v>
      </c>
      <c r="N1426" s="14">
        <v>0</v>
      </c>
      <c r="O1426" s="14">
        <v>0</v>
      </c>
      <c r="P1426" s="14">
        <v>602</v>
      </c>
      <c r="Q1426">
        <v>9281</v>
      </c>
      <c r="R1426">
        <v>311</v>
      </c>
      <c r="S1426">
        <v>430</v>
      </c>
    </row>
    <row r="1427" spans="11:19" x14ac:dyDescent="0.3">
      <c r="K1427" s="16">
        <f t="shared" si="21"/>
        <v>44075</v>
      </c>
      <c r="L1427" s="17">
        <v>0.375</v>
      </c>
      <c r="M1427" s="14">
        <v>602</v>
      </c>
      <c r="N1427" s="14">
        <v>0</v>
      </c>
      <c r="O1427" s="14">
        <v>0</v>
      </c>
      <c r="P1427" s="14">
        <v>602</v>
      </c>
      <c r="Q1427">
        <v>9806</v>
      </c>
      <c r="R1427">
        <v>345</v>
      </c>
      <c r="S1427">
        <v>1066</v>
      </c>
    </row>
    <row r="1428" spans="11:19" x14ac:dyDescent="0.3">
      <c r="K1428" s="16">
        <f t="shared" si="21"/>
        <v>44075</v>
      </c>
      <c r="L1428" s="17">
        <v>0.41666666666666669</v>
      </c>
      <c r="M1428" s="14">
        <v>602</v>
      </c>
      <c r="N1428" s="14">
        <v>1968</v>
      </c>
      <c r="O1428" s="14">
        <v>0</v>
      </c>
      <c r="P1428" s="14">
        <v>2570</v>
      </c>
      <c r="Q1428">
        <v>10164</v>
      </c>
      <c r="R1428">
        <v>351</v>
      </c>
      <c r="S1428">
        <v>1705</v>
      </c>
    </row>
    <row r="1429" spans="11:19" x14ac:dyDescent="0.3">
      <c r="K1429" s="16">
        <f t="shared" si="21"/>
        <v>44075</v>
      </c>
      <c r="L1429" s="17">
        <v>0.45833333333333331</v>
      </c>
      <c r="M1429" s="14">
        <v>602</v>
      </c>
      <c r="N1429" s="14">
        <v>0</v>
      </c>
      <c r="O1429" s="14">
        <v>0</v>
      </c>
      <c r="P1429" s="14">
        <v>602</v>
      </c>
      <c r="Q1429">
        <v>10472</v>
      </c>
      <c r="R1429">
        <v>411</v>
      </c>
      <c r="S1429">
        <v>2165</v>
      </c>
    </row>
    <row r="1430" spans="11:19" x14ac:dyDescent="0.3">
      <c r="K1430" s="16">
        <f t="shared" si="21"/>
        <v>44075</v>
      </c>
      <c r="L1430" s="17">
        <v>0.5</v>
      </c>
      <c r="M1430" s="14">
        <v>602</v>
      </c>
      <c r="N1430" s="14">
        <v>1656</v>
      </c>
      <c r="O1430" s="14">
        <v>0</v>
      </c>
      <c r="P1430" s="14">
        <v>2258</v>
      </c>
      <c r="Q1430">
        <v>10659</v>
      </c>
      <c r="R1430">
        <v>393</v>
      </c>
      <c r="S1430">
        <v>2471</v>
      </c>
    </row>
    <row r="1431" spans="11:19" x14ac:dyDescent="0.3">
      <c r="K1431" s="16">
        <f t="shared" si="21"/>
        <v>44075</v>
      </c>
      <c r="L1431" s="17">
        <v>0.54166666666666663</v>
      </c>
      <c r="M1431" s="14">
        <v>602</v>
      </c>
      <c r="N1431" s="14">
        <v>0</v>
      </c>
      <c r="O1431" s="14">
        <v>0</v>
      </c>
      <c r="P1431" s="14">
        <v>602</v>
      </c>
      <c r="Q1431">
        <v>10614</v>
      </c>
      <c r="R1431">
        <v>414</v>
      </c>
      <c r="S1431">
        <v>2588</v>
      </c>
    </row>
    <row r="1432" spans="11:19" x14ac:dyDescent="0.3">
      <c r="K1432" s="16">
        <f t="shared" si="21"/>
        <v>44075</v>
      </c>
      <c r="L1432" s="17">
        <v>0.58333333333333337</v>
      </c>
      <c r="M1432" s="14">
        <v>602</v>
      </c>
      <c r="N1432" s="14">
        <v>830</v>
      </c>
      <c r="O1432" s="14">
        <v>0</v>
      </c>
      <c r="P1432" s="14">
        <v>1432</v>
      </c>
      <c r="Q1432">
        <v>10741</v>
      </c>
      <c r="R1432">
        <v>478</v>
      </c>
      <c r="S1432">
        <v>2505</v>
      </c>
    </row>
    <row r="1433" spans="11:19" x14ac:dyDescent="0.3">
      <c r="K1433" s="16">
        <f t="shared" si="21"/>
        <v>44075</v>
      </c>
      <c r="L1433" s="17">
        <v>0.625</v>
      </c>
      <c r="M1433" s="14">
        <v>602</v>
      </c>
      <c r="N1433" s="14">
        <v>0</v>
      </c>
      <c r="O1433" s="14">
        <v>0</v>
      </c>
      <c r="P1433" s="14">
        <v>602</v>
      </c>
      <c r="Q1433">
        <v>10609</v>
      </c>
      <c r="R1433">
        <v>496</v>
      </c>
      <c r="S1433">
        <v>2303</v>
      </c>
    </row>
    <row r="1434" spans="11:19" x14ac:dyDescent="0.3">
      <c r="K1434" s="16">
        <f t="shared" si="21"/>
        <v>44075</v>
      </c>
      <c r="L1434" s="17">
        <v>0.66666666666666663</v>
      </c>
      <c r="M1434" s="14">
        <v>602</v>
      </c>
      <c r="N1434" s="14">
        <v>0</v>
      </c>
      <c r="O1434" s="14">
        <v>0</v>
      </c>
      <c r="P1434" s="14">
        <v>602</v>
      </c>
      <c r="Q1434">
        <v>10459</v>
      </c>
      <c r="R1434">
        <v>569</v>
      </c>
      <c r="S1434">
        <v>1896</v>
      </c>
    </row>
    <row r="1435" spans="11:19" x14ac:dyDescent="0.3">
      <c r="K1435" s="16">
        <f t="shared" ref="K1435:K1498" si="22">K1411+1</f>
        <v>44075</v>
      </c>
      <c r="L1435" s="17">
        <v>0.70833333333333337</v>
      </c>
      <c r="M1435" s="14">
        <v>602</v>
      </c>
      <c r="N1435" s="14">
        <v>0</v>
      </c>
      <c r="O1435" s="14">
        <v>0</v>
      </c>
      <c r="P1435" s="14">
        <v>602</v>
      </c>
      <c r="Q1435">
        <v>10304</v>
      </c>
      <c r="R1435">
        <v>548</v>
      </c>
      <c r="S1435">
        <v>1355</v>
      </c>
    </row>
    <row r="1436" spans="11:19" x14ac:dyDescent="0.3">
      <c r="K1436" s="16">
        <f t="shared" si="22"/>
        <v>44075</v>
      </c>
      <c r="L1436" s="17">
        <v>0.75</v>
      </c>
      <c r="M1436" s="14">
        <v>602</v>
      </c>
      <c r="N1436" s="14">
        <v>2074</v>
      </c>
      <c r="O1436" s="14">
        <v>0</v>
      </c>
      <c r="P1436" s="14">
        <v>2676</v>
      </c>
      <c r="Q1436">
        <v>10193</v>
      </c>
      <c r="R1436">
        <v>693</v>
      </c>
      <c r="S1436">
        <v>749</v>
      </c>
    </row>
    <row r="1437" spans="11:19" x14ac:dyDescent="0.3">
      <c r="K1437" s="16">
        <f t="shared" si="22"/>
        <v>44075</v>
      </c>
      <c r="L1437" s="17">
        <v>0.79166666666666663</v>
      </c>
      <c r="M1437" s="14">
        <v>602</v>
      </c>
      <c r="N1437" s="14">
        <v>2074</v>
      </c>
      <c r="O1437" s="14">
        <v>0</v>
      </c>
      <c r="P1437" s="14">
        <v>2676</v>
      </c>
      <c r="Q1437">
        <v>9962</v>
      </c>
      <c r="R1437">
        <v>677</v>
      </c>
      <c r="S1437">
        <v>247</v>
      </c>
    </row>
    <row r="1438" spans="11:19" x14ac:dyDescent="0.3">
      <c r="K1438" s="16">
        <f t="shared" si="22"/>
        <v>44075</v>
      </c>
      <c r="L1438" s="17">
        <v>0.83333333333333337</v>
      </c>
      <c r="M1438" s="14">
        <v>602</v>
      </c>
      <c r="N1438" s="14">
        <v>68</v>
      </c>
      <c r="O1438" s="14">
        <v>0</v>
      </c>
      <c r="P1438" s="14">
        <v>670</v>
      </c>
      <c r="Q1438">
        <v>9528</v>
      </c>
      <c r="R1438">
        <v>799</v>
      </c>
      <c r="S1438">
        <v>32</v>
      </c>
    </row>
    <row r="1439" spans="11:19" x14ac:dyDescent="0.3">
      <c r="K1439" s="16">
        <f t="shared" si="22"/>
        <v>44075</v>
      </c>
      <c r="L1439" s="17">
        <v>0.875</v>
      </c>
      <c r="M1439" s="14">
        <v>602</v>
      </c>
      <c r="N1439" s="14">
        <v>0</v>
      </c>
      <c r="O1439" s="14">
        <v>0</v>
      </c>
      <c r="P1439" s="14">
        <v>602</v>
      </c>
      <c r="Q1439">
        <v>9311</v>
      </c>
      <c r="R1439">
        <v>999</v>
      </c>
      <c r="S1439">
        <v>0</v>
      </c>
    </row>
    <row r="1440" spans="11:19" x14ac:dyDescent="0.3">
      <c r="K1440" s="16">
        <f t="shared" si="22"/>
        <v>44075</v>
      </c>
      <c r="L1440" s="17">
        <v>0.91666666666666663</v>
      </c>
      <c r="M1440" s="14">
        <v>602</v>
      </c>
      <c r="N1440" s="14">
        <v>2074</v>
      </c>
      <c r="O1440" s="14">
        <v>0</v>
      </c>
      <c r="P1440" s="14">
        <v>2676</v>
      </c>
      <c r="Q1440">
        <v>9441</v>
      </c>
      <c r="R1440">
        <v>1017</v>
      </c>
      <c r="S1440">
        <v>0</v>
      </c>
    </row>
    <row r="1441" spans="11:19" x14ac:dyDescent="0.3">
      <c r="K1441" s="16">
        <f t="shared" si="22"/>
        <v>44075</v>
      </c>
      <c r="L1441" s="17">
        <v>0.95833333333333337</v>
      </c>
      <c r="M1441" s="14">
        <v>602</v>
      </c>
      <c r="N1441" s="14">
        <v>0</v>
      </c>
      <c r="O1441" s="14">
        <v>0</v>
      </c>
      <c r="P1441" s="14">
        <v>602</v>
      </c>
      <c r="Q1441">
        <v>9230</v>
      </c>
      <c r="R1441">
        <v>873</v>
      </c>
      <c r="S1441">
        <v>0</v>
      </c>
    </row>
    <row r="1442" spans="11:19" x14ac:dyDescent="0.3">
      <c r="K1442" s="16">
        <f t="shared" si="22"/>
        <v>44076</v>
      </c>
      <c r="L1442" s="17">
        <v>0</v>
      </c>
      <c r="M1442" s="14">
        <v>602</v>
      </c>
      <c r="N1442" s="14">
        <v>0</v>
      </c>
      <c r="O1442" s="14">
        <v>0</v>
      </c>
      <c r="P1442" s="14">
        <v>602</v>
      </c>
      <c r="Q1442">
        <v>8276</v>
      </c>
      <c r="R1442">
        <v>904</v>
      </c>
      <c r="S1442">
        <v>0</v>
      </c>
    </row>
    <row r="1443" spans="11:19" x14ac:dyDescent="0.3">
      <c r="K1443" s="16">
        <f t="shared" si="22"/>
        <v>44076</v>
      </c>
      <c r="L1443" s="17">
        <v>4.1666666666666664E-2</v>
      </c>
      <c r="M1443" s="14">
        <v>602</v>
      </c>
      <c r="N1443" s="14">
        <v>0</v>
      </c>
      <c r="O1443" s="14">
        <v>0</v>
      </c>
      <c r="P1443" s="14">
        <v>602</v>
      </c>
      <c r="Q1443">
        <v>7890</v>
      </c>
      <c r="R1443">
        <v>522</v>
      </c>
      <c r="S1443">
        <v>0</v>
      </c>
    </row>
    <row r="1444" spans="11:19" x14ac:dyDescent="0.3">
      <c r="K1444" s="16">
        <f t="shared" si="22"/>
        <v>44076</v>
      </c>
      <c r="L1444" s="17">
        <v>8.3333333333333329E-2</v>
      </c>
      <c r="M1444" s="14">
        <v>602</v>
      </c>
      <c r="N1444" s="14">
        <v>0</v>
      </c>
      <c r="O1444" s="14">
        <v>0</v>
      </c>
      <c r="P1444" s="14">
        <v>602</v>
      </c>
      <c r="Q1444">
        <v>7598</v>
      </c>
      <c r="R1444">
        <v>525</v>
      </c>
      <c r="S1444">
        <v>0</v>
      </c>
    </row>
    <row r="1445" spans="11:19" x14ac:dyDescent="0.3">
      <c r="K1445" s="16">
        <f t="shared" si="22"/>
        <v>44076</v>
      </c>
      <c r="L1445" s="17">
        <v>0.125</v>
      </c>
      <c r="M1445" s="14">
        <v>602</v>
      </c>
      <c r="N1445" s="14">
        <v>914</v>
      </c>
      <c r="O1445" s="14">
        <v>0</v>
      </c>
      <c r="P1445" s="14">
        <v>1516</v>
      </c>
      <c r="Q1445">
        <v>7271</v>
      </c>
      <c r="R1445">
        <v>464</v>
      </c>
      <c r="S1445">
        <v>0</v>
      </c>
    </row>
    <row r="1446" spans="11:19" x14ac:dyDescent="0.3">
      <c r="K1446" s="16">
        <f t="shared" si="22"/>
        <v>44076</v>
      </c>
      <c r="L1446" s="17">
        <v>0.16666666666666666</v>
      </c>
      <c r="M1446" s="14">
        <v>602</v>
      </c>
      <c r="N1446" s="14">
        <v>856</v>
      </c>
      <c r="O1446" s="14">
        <v>0</v>
      </c>
      <c r="P1446" s="14">
        <v>1458</v>
      </c>
      <c r="Q1446">
        <v>7218</v>
      </c>
      <c r="R1446">
        <v>467</v>
      </c>
      <c r="S1446">
        <v>0</v>
      </c>
    </row>
    <row r="1447" spans="11:19" x14ac:dyDescent="0.3">
      <c r="K1447" s="16">
        <f t="shared" si="22"/>
        <v>44076</v>
      </c>
      <c r="L1447" s="17">
        <v>0.20833333333333334</v>
      </c>
      <c r="M1447" s="14">
        <v>602</v>
      </c>
      <c r="N1447" s="14">
        <v>958</v>
      </c>
      <c r="O1447" s="14">
        <v>0</v>
      </c>
      <c r="P1447" s="14">
        <v>1560</v>
      </c>
      <c r="Q1447">
        <v>7500</v>
      </c>
      <c r="R1447">
        <v>472</v>
      </c>
      <c r="S1447">
        <v>0</v>
      </c>
    </row>
    <row r="1448" spans="11:19" x14ac:dyDescent="0.3">
      <c r="K1448" s="16">
        <f t="shared" si="22"/>
        <v>44076</v>
      </c>
      <c r="L1448" s="17">
        <v>0.25</v>
      </c>
      <c r="M1448" s="14">
        <v>602</v>
      </c>
      <c r="N1448" s="14">
        <v>1497</v>
      </c>
      <c r="O1448" s="14">
        <v>0</v>
      </c>
      <c r="P1448" s="14">
        <v>2099</v>
      </c>
      <c r="Q1448">
        <v>8119</v>
      </c>
      <c r="R1448">
        <v>508</v>
      </c>
      <c r="S1448">
        <v>0</v>
      </c>
    </row>
    <row r="1449" spans="11:19" x14ac:dyDescent="0.3">
      <c r="K1449" s="16">
        <f t="shared" si="22"/>
        <v>44076</v>
      </c>
      <c r="L1449" s="17">
        <v>0.29166666666666669</v>
      </c>
      <c r="M1449" s="14">
        <v>602</v>
      </c>
      <c r="N1449" s="14">
        <v>0</v>
      </c>
      <c r="O1449" s="14">
        <v>0</v>
      </c>
      <c r="P1449" s="14">
        <v>602</v>
      </c>
      <c r="Q1449">
        <v>8770</v>
      </c>
      <c r="R1449">
        <v>500</v>
      </c>
      <c r="S1449">
        <v>23</v>
      </c>
    </row>
    <row r="1450" spans="11:19" x14ac:dyDescent="0.3">
      <c r="K1450" s="16">
        <f t="shared" si="22"/>
        <v>44076</v>
      </c>
      <c r="L1450" s="17">
        <v>0.33333333333333331</v>
      </c>
      <c r="M1450" s="14">
        <v>602</v>
      </c>
      <c r="N1450" s="14">
        <v>1963</v>
      </c>
      <c r="O1450" s="14">
        <v>0</v>
      </c>
      <c r="P1450" s="14">
        <v>2565</v>
      </c>
      <c r="Q1450">
        <v>9409</v>
      </c>
      <c r="R1450">
        <v>521</v>
      </c>
      <c r="S1450">
        <v>295</v>
      </c>
    </row>
    <row r="1451" spans="11:19" x14ac:dyDescent="0.3">
      <c r="K1451" s="16">
        <f t="shared" si="22"/>
        <v>44076</v>
      </c>
      <c r="L1451" s="17">
        <v>0.375</v>
      </c>
      <c r="M1451" s="14">
        <v>602</v>
      </c>
      <c r="N1451" s="14">
        <v>0</v>
      </c>
      <c r="O1451" s="14">
        <v>0</v>
      </c>
      <c r="P1451" s="14">
        <v>602</v>
      </c>
      <c r="Q1451">
        <v>9952</v>
      </c>
      <c r="R1451">
        <v>451</v>
      </c>
      <c r="S1451">
        <v>862</v>
      </c>
    </row>
    <row r="1452" spans="11:19" x14ac:dyDescent="0.3">
      <c r="K1452" s="16">
        <f t="shared" si="22"/>
        <v>44076</v>
      </c>
      <c r="L1452" s="17">
        <v>0.41666666666666669</v>
      </c>
      <c r="M1452" s="14">
        <v>602</v>
      </c>
      <c r="N1452" s="14">
        <v>1963</v>
      </c>
      <c r="O1452" s="14">
        <v>0</v>
      </c>
      <c r="P1452" s="14">
        <v>2565</v>
      </c>
      <c r="Q1452">
        <v>10327</v>
      </c>
      <c r="R1452">
        <v>327</v>
      </c>
      <c r="S1452">
        <v>1389</v>
      </c>
    </row>
    <row r="1453" spans="11:19" x14ac:dyDescent="0.3">
      <c r="K1453" s="16">
        <f t="shared" si="22"/>
        <v>44076</v>
      </c>
      <c r="L1453" s="17">
        <v>0.45833333333333331</v>
      </c>
      <c r="M1453" s="14">
        <v>602</v>
      </c>
      <c r="N1453" s="14">
        <v>0</v>
      </c>
      <c r="O1453" s="14">
        <v>0</v>
      </c>
      <c r="P1453" s="14">
        <v>602</v>
      </c>
      <c r="Q1453">
        <v>10636</v>
      </c>
      <c r="R1453">
        <v>447</v>
      </c>
      <c r="S1453">
        <v>1779</v>
      </c>
    </row>
    <row r="1454" spans="11:19" x14ac:dyDescent="0.3">
      <c r="K1454" s="16">
        <f t="shared" si="22"/>
        <v>44076</v>
      </c>
      <c r="L1454" s="17">
        <v>0.5</v>
      </c>
      <c r="M1454" s="14">
        <v>602</v>
      </c>
      <c r="N1454" s="14">
        <v>0</v>
      </c>
      <c r="O1454" s="14">
        <v>0</v>
      </c>
      <c r="P1454" s="14">
        <v>602</v>
      </c>
      <c r="Q1454">
        <v>10814</v>
      </c>
      <c r="R1454">
        <v>406</v>
      </c>
      <c r="S1454">
        <v>2042</v>
      </c>
    </row>
    <row r="1455" spans="11:19" x14ac:dyDescent="0.3">
      <c r="K1455" s="16">
        <f t="shared" si="22"/>
        <v>44076</v>
      </c>
      <c r="L1455" s="17">
        <v>0.54166666666666663</v>
      </c>
      <c r="M1455" s="14">
        <v>602</v>
      </c>
      <c r="N1455" s="14">
        <v>0</v>
      </c>
      <c r="O1455" s="14">
        <v>0</v>
      </c>
      <c r="P1455" s="14">
        <v>602</v>
      </c>
      <c r="Q1455">
        <v>10762</v>
      </c>
      <c r="R1455">
        <v>439</v>
      </c>
      <c r="S1455">
        <v>2171</v>
      </c>
    </row>
    <row r="1456" spans="11:19" x14ac:dyDescent="0.3">
      <c r="K1456" s="16">
        <f t="shared" si="22"/>
        <v>44076</v>
      </c>
      <c r="L1456" s="17">
        <v>0.58333333333333337</v>
      </c>
      <c r="M1456" s="14">
        <v>602</v>
      </c>
      <c r="N1456" s="14">
        <v>0</v>
      </c>
      <c r="O1456" s="14">
        <v>0</v>
      </c>
      <c r="P1456" s="14">
        <v>602</v>
      </c>
      <c r="Q1456">
        <v>10891</v>
      </c>
      <c r="R1456">
        <v>514</v>
      </c>
      <c r="S1456">
        <v>2162</v>
      </c>
    </row>
    <row r="1457" spans="11:19" x14ac:dyDescent="0.3">
      <c r="K1457" s="16">
        <f t="shared" si="22"/>
        <v>44076</v>
      </c>
      <c r="L1457" s="17">
        <v>0.625</v>
      </c>
      <c r="M1457" s="14">
        <v>602</v>
      </c>
      <c r="N1457" s="14">
        <v>0</v>
      </c>
      <c r="O1457" s="14">
        <v>0</v>
      </c>
      <c r="P1457" s="14">
        <v>602</v>
      </c>
      <c r="Q1457">
        <v>10750</v>
      </c>
      <c r="R1457">
        <v>630</v>
      </c>
      <c r="S1457">
        <v>2061</v>
      </c>
    </row>
    <row r="1458" spans="11:19" x14ac:dyDescent="0.3">
      <c r="K1458" s="16">
        <f t="shared" si="22"/>
        <v>44076</v>
      </c>
      <c r="L1458" s="17">
        <v>0.66666666666666663</v>
      </c>
      <c r="M1458" s="14">
        <v>602</v>
      </c>
      <c r="N1458" s="14">
        <v>0</v>
      </c>
      <c r="O1458" s="14">
        <v>0</v>
      </c>
      <c r="P1458" s="14">
        <v>602</v>
      </c>
      <c r="Q1458">
        <v>10586</v>
      </c>
      <c r="R1458">
        <v>840</v>
      </c>
      <c r="S1458">
        <v>1787</v>
      </c>
    </row>
    <row r="1459" spans="11:19" x14ac:dyDescent="0.3">
      <c r="K1459" s="16">
        <f t="shared" si="22"/>
        <v>44076</v>
      </c>
      <c r="L1459" s="17">
        <v>0.70833333333333337</v>
      </c>
      <c r="M1459" s="14">
        <v>602</v>
      </c>
      <c r="N1459" s="14">
        <v>1963</v>
      </c>
      <c r="O1459" s="14">
        <v>0</v>
      </c>
      <c r="P1459" s="14">
        <v>2565</v>
      </c>
      <c r="Q1459">
        <v>10414</v>
      </c>
      <c r="R1459">
        <v>963</v>
      </c>
      <c r="S1459">
        <v>1329</v>
      </c>
    </row>
    <row r="1460" spans="11:19" x14ac:dyDescent="0.3">
      <c r="K1460" s="16">
        <f t="shared" si="22"/>
        <v>44076</v>
      </c>
      <c r="L1460" s="17">
        <v>0.75</v>
      </c>
      <c r="M1460" s="14">
        <v>602</v>
      </c>
      <c r="N1460" s="14">
        <v>1963</v>
      </c>
      <c r="O1460" s="14">
        <v>0</v>
      </c>
      <c r="P1460" s="14">
        <v>2565</v>
      </c>
      <c r="Q1460">
        <v>10276</v>
      </c>
      <c r="R1460">
        <v>1240</v>
      </c>
      <c r="S1460">
        <v>749</v>
      </c>
    </row>
    <row r="1461" spans="11:19" x14ac:dyDescent="0.3">
      <c r="K1461" s="16">
        <f t="shared" si="22"/>
        <v>44076</v>
      </c>
      <c r="L1461" s="17">
        <v>0.79166666666666663</v>
      </c>
      <c r="M1461" s="14">
        <v>602</v>
      </c>
      <c r="N1461" s="14">
        <v>0</v>
      </c>
      <c r="O1461" s="14">
        <v>0</v>
      </c>
      <c r="P1461" s="14">
        <v>602</v>
      </c>
      <c r="Q1461">
        <v>10028</v>
      </c>
      <c r="R1461">
        <v>1507</v>
      </c>
      <c r="S1461">
        <v>267</v>
      </c>
    </row>
    <row r="1462" spans="11:19" x14ac:dyDescent="0.3">
      <c r="K1462" s="16">
        <f t="shared" si="22"/>
        <v>44076</v>
      </c>
      <c r="L1462" s="17">
        <v>0.83333333333333337</v>
      </c>
      <c r="M1462" s="14">
        <v>602</v>
      </c>
      <c r="N1462" s="14">
        <v>1780</v>
      </c>
      <c r="O1462" s="14">
        <v>0</v>
      </c>
      <c r="P1462" s="14">
        <v>2382</v>
      </c>
      <c r="Q1462">
        <v>9587</v>
      </c>
      <c r="R1462">
        <v>1743</v>
      </c>
      <c r="S1462">
        <v>54</v>
      </c>
    </row>
    <row r="1463" spans="11:19" x14ac:dyDescent="0.3">
      <c r="K1463" s="16">
        <f t="shared" si="22"/>
        <v>44076</v>
      </c>
      <c r="L1463" s="17">
        <v>0.875</v>
      </c>
      <c r="M1463" s="14">
        <v>602</v>
      </c>
      <c r="N1463" s="14">
        <v>1411</v>
      </c>
      <c r="O1463" s="14">
        <v>0</v>
      </c>
      <c r="P1463" s="14">
        <v>2013</v>
      </c>
      <c r="Q1463">
        <v>9369</v>
      </c>
      <c r="R1463">
        <v>1962</v>
      </c>
      <c r="S1463">
        <v>0</v>
      </c>
    </row>
    <row r="1464" spans="11:19" x14ac:dyDescent="0.3">
      <c r="K1464" s="16">
        <f t="shared" si="22"/>
        <v>44076</v>
      </c>
      <c r="L1464" s="17">
        <v>0.91666666666666663</v>
      </c>
      <c r="M1464" s="14">
        <v>602</v>
      </c>
      <c r="N1464" s="14">
        <v>0</v>
      </c>
      <c r="O1464" s="14">
        <v>0</v>
      </c>
      <c r="P1464" s="14">
        <v>602</v>
      </c>
      <c r="Q1464">
        <v>9501</v>
      </c>
      <c r="R1464">
        <v>1832</v>
      </c>
      <c r="S1464">
        <v>0</v>
      </c>
    </row>
    <row r="1465" spans="11:19" x14ac:dyDescent="0.3">
      <c r="K1465" s="16">
        <f t="shared" si="22"/>
        <v>44076</v>
      </c>
      <c r="L1465" s="17">
        <v>0.95833333333333337</v>
      </c>
      <c r="M1465" s="14">
        <v>602</v>
      </c>
      <c r="N1465" s="14">
        <v>0</v>
      </c>
      <c r="O1465" s="14">
        <v>0</v>
      </c>
      <c r="P1465" s="14">
        <v>602</v>
      </c>
      <c r="Q1465">
        <v>9277</v>
      </c>
      <c r="R1465">
        <v>1541</v>
      </c>
      <c r="S1465">
        <v>0</v>
      </c>
    </row>
    <row r="1466" spans="11:19" x14ac:dyDescent="0.3">
      <c r="K1466" s="16">
        <f t="shared" si="22"/>
        <v>44077</v>
      </c>
      <c r="L1466" s="17">
        <v>0</v>
      </c>
      <c r="M1466" s="14">
        <v>602</v>
      </c>
      <c r="N1466" s="14">
        <v>0</v>
      </c>
      <c r="O1466" s="14">
        <v>0</v>
      </c>
      <c r="P1466" s="14">
        <v>602</v>
      </c>
      <c r="Q1466">
        <v>8310</v>
      </c>
      <c r="R1466">
        <v>1547</v>
      </c>
      <c r="S1466">
        <v>0</v>
      </c>
    </row>
    <row r="1467" spans="11:19" x14ac:dyDescent="0.3">
      <c r="K1467" s="16">
        <f t="shared" si="22"/>
        <v>44077</v>
      </c>
      <c r="L1467" s="17">
        <v>4.1666666666666664E-2</v>
      </c>
      <c r="M1467" s="14">
        <v>602</v>
      </c>
      <c r="N1467" s="14">
        <v>0</v>
      </c>
      <c r="O1467" s="14">
        <v>0</v>
      </c>
      <c r="P1467" s="14">
        <v>602</v>
      </c>
      <c r="Q1467">
        <v>7921</v>
      </c>
      <c r="R1467">
        <v>914</v>
      </c>
      <c r="S1467">
        <v>0</v>
      </c>
    </row>
    <row r="1468" spans="11:19" x14ac:dyDescent="0.3">
      <c r="K1468" s="16">
        <f t="shared" si="22"/>
        <v>44077</v>
      </c>
      <c r="L1468" s="17">
        <v>8.3333333333333329E-2</v>
      </c>
      <c r="M1468" s="14">
        <v>602</v>
      </c>
      <c r="N1468" s="14">
        <v>0</v>
      </c>
      <c r="O1468" s="14">
        <v>0</v>
      </c>
      <c r="P1468" s="14">
        <v>602</v>
      </c>
      <c r="Q1468">
        <v>7627</v>
      </c>
      <c r="R1468">
        <v>773</v>
      </c>
      <c r="S1468">
        <v>0</v>
      </c>
    </row>
    <row r="1469" spans="11:19" x14ac:dyDescent="0.3">
      <c r="K1469" s="16">
        <f t="shared" si="22"/>
        <v>44077</v>
      </c>
      <c r="L1469" s="17">
        <v>0.125</v>
      </c>
      <c r="M1469" s="14">
        <v>602</v>
      </c>
      <c r="N1469" s="14">
        <v>617</v>
      </c>
      <c r="O1469" s="14">
        <v>0</v>
      </c>
      <c r="P1469" s="14">
        <v>1219</v>
      </c>
      <c r="Q1469">
        <v>7300</v>
      </c>
      <c r="R1469">
        <v>791</v>
      </c>
      <c r="S1469">
        <v>0</v>
      </c>
    </row>
    <row r="1470" spans="11:19" x14ac:dyDescent="0.3">
      <c r="K1470" s="16">
        <f t="shared" si="22"/>
        <v>44077</v>
      </c>
      <c r="L1470" s="17">
        <v>0.16666666666666666</v>
      </c>
      <c r="M1470" s="14">
        <v>602</v>
      </c>
      <c r="N1470" s="14">
        <v>0</v>
      </c>
      <c r="O1470" s="14">
        <v>0</v>
      </c>
      <c r="P1470" s="14">
        <v>602</v>
      </c>
      <c r="Q1470">
        <v>7246</v>
      </c>
      <c r="R1470">
        <v>638</v>
      </c>
      <c r="S1470">
        <v>0</v>
      </c>
    </row>
    <row r="1471" spans="11:19" x14ac:dyDescent="0.3">
      <c r="K1471" s="16">
        <f t="shared" si="22"/>
        <v>44077</v>
      </c>
      <c r="L1471" s="17">
        <v>0.20833333333333334</v>
      </c>
      <c r="M1471" s="14">
        <v>602</v>
      </c>
      <c r="N1471" s="14">
        <v>0</v>
      </c>
      <c r="O1471" s="14">
        <v>0</v>
      </c>
      <c r="P1471" s="14">
        <v>602</v>
      </c>
      <c r="Q1471">
        <v>7524</v>
      </c>
      <c r="R1471">
        <v>552</v>
      </c>
      <c r="S1471">
        <v>0</v>
      </c>
    </row>
    <row r="1472" spans="11:19" x14ac:dyDescent="0.3">
      <c r="K1472" s="16">
        <f t="shared" si="22"/>
        <v>44077</v>
      </c>
      <c r="L1472" s="17">
        <v>0.25</v>
      </c>
      <c r="M1472" s="14">
        <v>602</v>
      </c>
      <c r="N1472" s="14">
        <v>0</v>
      </c>
      <c r="O1472" s="14">
        <v>0</v>
      </c>
      <c r="P1472" s="14">
        <v>602</v>
      </c>
      <c r="Q1472">
        <v>8139</v>
      </c>
      <c r="R1472">
        <v>503</v>
      </c>
      <c r="S1472">
        <v>0</v>
      </c>
    </row>
    <row r="1473" spans="11:19" x14ac:dyDescent="0.3">
      <c r="K1473" s="16">
        <f t="shared" si="22"/>
        <v>44077</v>
      </c>
      <c r="L1473" s="17">
        <v>0.29166666666666669</v>
      </c>
      <c r="M1473" s="14">
        <v>602</v>
      </c>
      <c r="N1473" s="14">
        <v>1607</v>
      </c>
      <c r="O1473" s="14">
        <v>0</v>
      </c>
      <c r="P1473" s="14">
        <v>2209</v>
      </c>
      <c r="Q1473">
        <v>8790</v>
      </c>
      <c r="R1473">
        <v>685</v>
      </c>
      <c r="S1473">
        <v>30</v>
      </c>
    </row>
    <row r="1474" spans="11:19" x14ac:dyDescent="0.3">
      <c r="K1474" s="16">
        <f t="shared" si="22"/>
        <v>44077</v>
      </c>
      <c r="L1474" s="17">
        <v>0.33333333333333331</v>
      </c>
      <c r="M1474" s="14">
        <v>602</v>
      </c>
      <c r="N1474" s="14">
        <v>1607</v>
      </c>
      <c r="O1474" s="14">
        <v>0</v>
      </c>
      <c r="P1474" s="14">
        <v>2209</v>
      </c>
      <c r="Q1474">
        <v>9427</v>
      </c>
      <c r="R1474">
        <v>643</v>
      </c>
      <c r="S1474">
        <v>355</v>
      </c>
    </row>
    <row r="1475" spans="11:19" x14ac:dyDescent="0.3">
      <c r="K1475" s="16">
        <f t="shared" si="22"/>
        <v>44077</v>
      </c>
      <c r="L1475" s="17">
        <v>0.375</v>
      </c>
      <c r="M1475" s="14">
        <v>602</v>
      </c>
      <c r="N1475" s="14">
        <v>1607</v>
      </c>
      <c r="O1475" s="14">
        <v>0</v>
      </c>
      <c r="P1475" s="14">
        <v>2209</v>
      </c>
      <c r="Q1475">
        <v>9968</v>
      </c>
      <c r="R1475">
        <v>600</v>
      </c>
      <c r="S1475">
        <v>959</v>
      </c>
    </row>
    <row r="1476" spans="11:19" x14ac:dyDescent="0.3">
      <c r="K1476" s="16">
        <f t="shared" si="22"/>
        <v>44077</v>
      </c>
      <c r="L1476" s="17">
        <v>0.41666666666666669</v>
      </c>
      <c r="M1476" s="14">
        <v>602</v>
      </c>
      <c r="N1476" s="14">
        <v>0</v>
      </c>
      <c r="O1476" s="14">
        <v>0</v>
      </c>
      <c r="P1476" s="14">
        <v>602</v>
      </c>
      <c r="Q1476">
        <v>10338</v>
      </c>
      <c r="R1476">
        <v>478</v>
      </c>
      <c r="S1476">
        <v>1615</v>
      </c>
    </row>
    <row r="1477" spans="11:19" x14ac:dyDescent="0.3">
      <c r="K1477" s="16">
        <f t="shared" si="22"/>
        <v>44077</v>
      </c>
      <c r="L1477" s="17">
        <v>0.45833333333333331</v>
      </c>
      <c r="M1477" s="14">
        <v>602</v>
      </c>
      <c r="N1477" s="14">
        <v>1607</v>
      </c>
      <c r="O1477" s="14">
        <v>0</v>
      </c>
      <c r="P1477" s="14">
        <v>2209</v>
      </c>
      <c r="Q1477">
        <v>10637</v>
      </c>
      <c r="R1477">
        <v>513</v>
      </c>
      <c r="S1477">
        <v>2103</v>
      </c>
    </row>
    <row r="1478" spans="11:19" x14ac:dyDescent="0.3">
      <c r="K1478" s="16">
        <f t="shared" si="22"/>
        <v>44077</v>
      </c>
      <c r="L1478" s="17">
        <v>0.5</v>
      </c>
      <c r="M1478" s="14">
        <v>602</v>
      </c>
      <c r="N1478" s="14">
        <v>1607</v>
      </c>
      <c r="O1478" s="14">
        <v>0</v>
      </c>
      <c r="P1478" s="14">
        <v>2209</v>
      </c>
      <c r="Q1478">
        <v>10805</v>
      </c>
      <c r="R1478">
        <v>680</v>
      </c>
      <c r="S1478">
        <v>2421</v>
      </c>
    </row>
    <row r="1479" spans="11:19" x14ac:dyDescent="0.3">
      <c r="K1479" s="16">
        <f t="shared" si="22"/>
        <v>44077</v>
      </c>
      <c r="L1479" s="17">
        <v>0.54166666666666663</v>
      </c>
      <c r="M1479" s="14">
        <v>602</v>
      </c>
      <c r="N1479" s="14">
        <v>1412</v>
      </c>
      <c r="O1479" s="14">
        <v>0</v>
      </c>
      <c r="P1479" s="14">
        <v>2014</v>
      </c>
      <c r="Q1479">
        <v>10741</v>
      </c>
      <c r="R1479">
        <v>763</v>
      </c>
      <c r="S1479">
        <v>2594</v>
      </c>
    </row>
    <row r="1480" spans="11:19" x14ac:dyDescent="0.3">
      <c r="K1480" s="16">
        <f t="shared" si="22"/>
        <v>44077</v>
      </c>
      <c r="L1480" s="17">
        <v>0.58333333333333337</v>
      </c>
      <c r="M1480" s="14">
        <v>602</v>
      </c>
      <c r="N1480" s="14">
        <v>1371</v>
      </c>
      <c r="O1480" s="14">
        <v>0</v>
      </c>
      <c r="P1480" s="14">
        <v>1973</v>
      </c>
      <c r="Q1480">
        <v>10853</v>
      </c>
      <c r="R1480">
        <v>960</v>
      </c>
      <c r="S1480">
        <v>2553</v>
      </c>
    </row>
    <row r="1481" spans="11:19" x14ac:dyDescent="0.3">
      <c r="K1481" s="16">
        <f t="shared" si="22"/>
        <v>44077</v>
      </c>
      <c r="L1481" s="17">
        <v>0.625</v>
      </c>
      <c r="M1481" s="14">
        <v>602</v>
      </c>
      <c r="N1481" s="14">
        <v>1291</v>
      </c>
      <c r="O1481" s="14">
        <v>0</v>
      </c>
      <c r="P1481" s="14">
        <v>1893</v>
      </c>
      <c r="Q1481">
        <v>10696</v>
      </c>
      <c r="R1481">
        <v>1049</v>
      </c>
      <c r="S1481">
        <v>2384</v>
      </c>
    </row>
    <row r="1482" spans="11:19" x14ac:dyDescent="0.3">
      <c r="K1482" s="16">
        <f t="shared" si="22"/>
        <v>44077</v>
      </c>
      <c r="L1482" s="17">
        <v>0.66666666666666663</v>
      </c>
      <c r="M1482" s="14">
        <v>602</v>
      </c>
      <c r="N1482" s="14">
        <v>0</v>
      </c>
      <c r="O1482" s="14">
        <v>0</v>
      </c>
      <c r="P1482" s="14">
        <v>602</v>
      </c>
      <c r="Q1482">
        <v>10519</v>
      </c>
      <c r="R1482">
        <v>1123</v>
      </c>
      <c r="S1482">
        <v>2045</v>
      </c>
    </row>
    <row r="1483" spans="11:19" x14ac:dyDescent="0.3">
      <c r="K1483" s="16">
        <f t="shared" si="22"/>
        <v>44077</v>
      </c>
      <c r="L1483" s="17">
        <v>0.70833333333333337</v>
      </c>
      <c r="M1483" s="14">
        <v>602</v>
      </c>
      <c r="N1483" s="14">
        <v>0</v>
      </c>
      <c r="O1483" s="14">
        <v>0</v>
      </c>
      <c r="P1483" s="14">
        <v>602</v>
      </c>
      <c r="Q1483">
        <v>10336</v>
      </c>
      <c r="R1483">
        <v>1335</v>
      </c>
      <c r="S1483">
        <v>1504</v>
      </c>
    </row>
    <row r="1484" spans="11:19" x14ac:dyDescent="0.3">
      <c r="K1484" s="16">
        <f t="shared" si="22"/>
        <v>44077</v>
      </c>
      <c r="L1484" s="17">
        <v>0.75</v>
      </c>
      <c r="M1484" s="14">
        <v>602</v>
      </c>
      <c r="N1484" s="14">
        <v>1480</v>
      </c>
      <c r="O1484" s="14">
        <v>0</v>
      </c>
      <c r="P1484" s="14">
        <v>2082</v>
      </c>
      <c r="Q1484">
        <v>10201</v>
      </c>
      <c r="R1484">
        <v>1818</v>
      </c>
      <c r="S1484">
        <v>865</v>
      </c>
    </row>
    <row r="1485" spans="11:19" x14ac:dyDescent="0.3">
      <c r="K1485" s="16">
        <f t="shared" si="22"/>
        <v>44077</v>
      </c>
      <c r="L1485" s="17">
        <v>0.79166666666666663</v>
      </c>
      <c r="M1485" s="14">
        <v>602</v>
      </c>
      <c r="N1485" s="14">
        <v>1607</v>
      </c>
      <c r="O1485" s="14">
        <v>0</v>
      </c>
      <c r="P1485" s="14">
        <v>2209</v>
      </c>
      <c r="Q1485">
        <v>9955</v>
      </c>
      <c r="R1485">
        <v>1914</v>
      </c>
      <c r="S1485">
        <v>277</v>
      </c>
    </row>
    <row r="1486" spans="11:19" x14ac:dyDescent="0.3">
      <c r="K1486" s="16">
        <f t="shared" si="22"/>
        <v>44077</v>
      </c>
      <c r="L1486" s="17">
        <v>0.83333333333333337</v>
      </c>
      <c r="M1486" s="14">
        <v>602</v>
      </c>
      <c r="N1486" s="14">
        <v>0</v>
      </c>
      <c r="O1486" s="14">
        <v>0</v>
      </c>
      <c r="P1486" s="14">
        <v>602</v>
      </c>
      <c r="Q1486">
        <v>9511</v>
      </c>
      <c r="R1486">
        <v>2319</v>
      </c>
      <c r="S1486">
        <v>61</v>
      </c>
    </row>
    <row r="1487" spans="11:19" x14ac:dyDescent="0.3">
      <c r="K1487" s="16">
        <f t="shared" si="22"/>
        <v>44077</v>
      </c>
      <c r="L1487" s="17">
        <v>0.875</v>
      </c>
      <c r="M1487" s="14">
        <v>602</v>
      </c>
      <c r="N1487" s="14">
        <v>0</v>
      </c>
      <c r="O1487" s="14">
        <v>0</v>
      </c>
      <c r="P1487" s="14">
        <v>602</v>
      </c>
      <c r="Q1487">
        <v>9284</v>
      </c>
      <c r="R1487">
        <v>2369</v>
      </c>
      <c r="S1487">
        <v>0</v>
      </c>
    </row>
    <row r="1488" spans="11:19" x14ac:dyDescent="0.3">
      <c r="K1488" s="16">
        <f t="shared" si="22"/>
        <v>44077</v>
      </c>
      <c r="L1488" s="17">
        <v>0.91666666666666663</v>
      </c>
      <c r="M1488" s="14">
        <v>602</v>
      </c>
      <c r="N1488" s="14">
        <v>1241</v>
      </c>
      <c r="O1488" s="14">
        <v>0</v>
      </c>
      <c r="P1488" s="14">
        <v>1843</v>
      </c>
      <c r="Q1488">
        <v>9403</v>
      </c>
      <c r="R1488">
        <v>2255</v>
      </c>
      <c r="S1488">
        <v>0</v>
      </c>
    </row>
    <row r="1489" spans="11:19" x14ac:dyDescent="0.3">
      <c r="K1489" s="16">
        <f t="shared" si="22"/>
        <v>44077</v>
      </c>
      <c r="L1489" s="17">
        <v>0.95833333333333337</v>
      </c>
      <c r="M1489" s="14">
        <v>602</v>
      </c>
      <c r="N1489" s="14">
        <v>0</v>
      </c>
      <c r="O1489" s="14">
        <v>0</v>
      </c>
      <c r="P1489" s="14">
        <v>602</v>
      </c>
      <c r="Q1489">
        <v>9192</v>
      </c>
      <c r="R1489">
        <v>2126</v>
      </c>
      <c r="S1489">
        <v>0</v>
      </c>
    </row>
    <row r="1490" spans="11:19" x14ac:dyDescent="0.3">
      <c r="K1490" s="16">
        <f t="shared" si="22"/>
        <v>44078</v>
      </c>
      <c r="L1490" s="17">
        <v>0</v>
      </c>
      <c r="M1490" s="14">
        <v>468</v>
      </c>
      <c r="N1490" s="14">
        <v>481</v>
      </c>
      <c r="O1490" s="14">
        <v>0</v>
      </c>
      <c r="P1490" s="14">
        <v>949</v>
      </c>
      <c r="Q1490">
        <v>8326</v>
      </c>
      <c r="R1490">
        <v>2086</v>
      </c>
      <c r="S1490">
        <v>0</v>
      </c>
    </row>
    <row r="1491" spans="11:19" x14ac:dyDescent="0.3">
      <c r="K1491" s="16">
        <f t="shared" si="22"/>
        <v>44078</v>
      </c>
      <c r="L1491" s="17">
        <v>4.1666666666666664E-2</v>
      </c>
      <c r="M1491" s="14">
        <v>468</v>
      </c>
      <c r="N1491" s="14">
        <v>449</v>
      </c>
      <c r="O1491" s="14">
        <v>0</v>
      </c>
      <c r="P1491" s="14">
        <v>917</v>
      </c>
      <c r="Q1491">
        <v>7930</v>
      </c>
      <c r="R1491">
        <v>1725</v>
      </c>
      <c r="S1491">
        <v>0</v>
      </c>
    </row>
    <row r="1492" spans="11:19" x14ac:dyDescent="0.3">
      <c r="K1492" s="16">
        <f t="shared" si="22"/>
        <v>44078</v>
      </c>
      <c r="L1492" s="17">
        <v>8.3333333333333329E-2</v>
      </c>
      <c r="M1492" s="14">
        <v>468</v>
      </c>
      <c r="N1492" s="14">
        <v>0</v>
      </c>
      <c r="O1492" s="14">
        <v>0</v>
      </c>
      <c r="P1492" s="14">
        <v>468</v>
      </c>
      <c r="Q1492">
        <v>7628</v>
      </c>
      <c r="R1492">
        <v>1543</v>
      </c>
      <c r="S1492">
        <v>0</v>
      </c>
    </row>
    <row r="1493" spans="11:19" x14ac:dyDescent="0.3">
      <c r="K1493" s="16">
        <f t="shared" si="22"/>
        <v>44078</v>
      </c>
      <c r="L1493" s="17">
        <v>0.125</v>
      </c>
      <c r="M1493" s="14">
        <v>468</v>
      </c>
      <c r="N1493" s="14">
        <v>0</v>
      </c>
      <c r="O1493" s="14">
        <v>0</v>
      </c>
      <c r="P1493" s="14">
        <v>468</v>
      </c>
      <c r="Q1493">
        <v>7290</v>
      </c>
      <c r="R1493">
        <v>1371</v>
      </c>
      <c r="S1493">
        <v>0</v>
      </c>
    </row>
    <row r="1494" spans="11:19" x14ac:dyDescent="0.3">
      <c r="K1494" s="16">
        <f t="shared" si="22"/>
        <v>44078</v>
      </c>
      <c r="L1494" s="17">
        <v>0.16666666666666666</v>
      </c>
      <c r="M1494" s="14">
        <v>468</v>
      </c>
      <c r="N1494" s="14">
        <v>0</v>
      </c>
      <c r="O1494" s="14">
        <v>0</v>
      </c>
      <c r="P1494" s="14">
        <v>468</v>
      </c>
      <c r="Q1494">
        <v>7225</v>
      </c>
      <c r="R1494">
        <v>1222</v>
      </c>
      <c r="S1494">
        <v>0</v>
      </c>
    </row>
    <row r="1495" spans="11:19" x14ac:dyDescent="0.3">
      <c r="K1495" s="16">
        <f t="shared" si="22"/>
        <v>44078</v>
      </c>
      <c r="L1495" s="17">
        <v>0.20833333333333334</v>
      </c>
      <c r="M1495" s="14">
        <v>468</v>
      </c>
      <c r="N1495" s="14">
        <v>608</v>
      </c>
      <c r="O1495" s="14">
        <v>0</v>
      </c>
      <c r="P1495" s="14">
        <v>1076</v>
      </c>
      <c r="Q1495">
        <v>7510</v>
      </c>
      <c r="R1495">
        <v>1128</v>
      </c>
      <c r="S1495">
        <v>0</v>
      </c>
    </row>
    <row r="1496" spans="11:19" x14ac:dyDescent="0.3">
      <c r="K1496" s="16">
        <f t="shared" si="22"/>
        <v>44078</v>
      </c>
      <c r="L1496" s="17">
        <v>0.25</v>
      </c>
      <c r="M1496" s="14">
        <v>468</v>
      </c>
      <c r="N1496" s="14">
        <v>0</v>
      </c>
      <c r="O1496" s="14">
        <v>0</v>
      </c>
      <c r="P1496" s="14">
        <v>468</v>
      </c>
      <c r="Q1496">
        <v>8143</v>
      </c>
      <c r="R1496">
        <v>1113</v>
      </c>
      <c r="S1496">
        <v>0</v>
      </c>
    </row>
    <row r="1497" spans="11:19" x14ac:dyDescent="0.3">
      <c r="K1497" s="16">
        <f t="shared" si="22"/>
        <v>44078</v>
      </c>
      <c r="L1497" s="17">
        <v>0.29166666666666669</v>
      </c>
      <c r="M1497" s="14">
        <v>468</v>
      </c>
      <c r="N1497" s="14">
        <v>0</v>
      </c>
      <c r="O1497" s="14">
        <v>0</v>
      </c>
      <c r="P1497" s="14">
        <v>468</v>
      </c>
      <c r="Q1497">
        <v>8785</v>
      </c>
      <c r="R1497">
        <v>1094</v>
      </c>
      <c r="S1497">
        <v>65</v>
      </c>
    </row>
    <row r="1498" spans="11:19" x14ac:dyDescent="0.3">
      <c r="K1498" s="16">
        <f t="shared" si="22"/>
        <v>44078</v>
      </c>
      <c r="L1498" s="17">
        <v>0.33333333333333331</v>
      </c>
      <c r="M1498" s="14">
        <v>468</v>
      </c>
      <c r="N1498" s="14">
        <v>1177</v>
      </c>
      <c r="O1498" s="14">
        <v>0</v>
      </c>
      <c r="P1498" s="14">
        <v>1645</v>
      </c>
      <c r="Q1498">
        <v>9372</v>
      </c>
      <c r="R1498">
        <v>1074</v>
      </c>
      <c r="S1498">
        <v>499</v>
      </c>
    </row>
    <row r="1499" spans="11:19" x14ac:dyDescent="0.3">
      <c r="K1499" s="16">
        <f t="shared" ref="K1499:K1562" si="23">K1475+1</f>
        <v>44078</v>
      </c>
      <c r="L1499" s="17">
        <v>0.375</v>
      </c>
      <c r="M1499" s="14">
        <v>468</v>
      </c>
      <c r="N1499" s="14">
        <v>0</v>
      </c>
      <c r="O1499" s="14">
        <v>0</v>
      </c>
      <c r="P1499" s="14">
        <v>468</v>
      </c>
      <c r="Q1499">
        <v>9889</v>
      </c>
      <c r="R1499">
        <v>1161</v>
      </c>
      <c r="S1499">
        <v>1145</v>
      </c>
    </row>
    <row r="1500" spans="11:19" x14ac:dyDescent="0.3">
      <c r="K1500" s="16">
        <f t="shared" si="23"/>
        <v>44078</v>
      </c>
      <c r="L1500" s="17">
        <v>0.41666666666666669</v>
      </c>
      <c r="M1500" s="14">
        <v>468</v>
      </c>
      <c r="N1500" s="14">
        <v>0</v>
      </c>
      <c r="O1500" s="14">
        <v>0</v>
      </c>
      <c r="P1500" s="14">
        <v>468</v>
      </c>
      <c r="Q1500">
        <v>10201</v>
      </c>
      <c r="R1500">
        <v>870</v>
      </c>
      <c r="S1500">
        <v>1822</v>
      </c>
    </row>
    <row r="1501" spans="11:19" x14ac:dyDescent="0.3">
      <c r="K1501" s="16">
        <f t="shared" si="23"/>
        <v>44078</v>
      </c>
      <c r="L1501" s="17">
        <v>0.45833333333333331</v>
      </c>
      <c r="M1501" s="14">
        <v>468</v>
      </c>
      <c r="N1501" s="14">
        <v>0</v>
      </c>
      <c r="O1501" s="14">
        <v>0</v>
      </c>
      <c r="P1501" s="14">
        <v>468</v>
      </c>
      <c r="Q1501">
        <v>10444</v>
      </c>
      <c r="R1501">
        <v>992</v>
      </c>
      <c r="S1501">
        <v>2294</v>
      </c>
    </row>
    <row r="1502" spans="11:19" x14ac:dyDescent="0.3">
      <c r="K1502" s="16">
        <f t="shared" si="23"/>
        <v>44078</v>
      </c>
      <c r="L1502" s="17">
        <v>0.5</v>
      </c>
      <c r="M1502" s="14">
        <v>468</v>
      </c>
      <c r="N1502" s="14">
        <v>0</v>
      </c>
      <c r="O1502" s="14">
        <v>0</v>
      </c>
      <c r="P1502" s="14">
        <v>468</v>
      </c>
      <c r="Q1502">
        <v>10591</v>
      </c>
      <c r="R1502">
        <v>1063</v>
      </c>
      <c r="S1502">
        <v>2596</v>
      </c>
    </row>
    <row r="1503" spans="11:19" x14ac:dyDescent="0.3">
      <c r="K1503" s="16">
        <f t="shared" si="23"/>
        <v>44078</v>
      </c>
      <c r="L1503" s="17">
        <v>0.54166666666666663</v>
      </c>
      <c r="M1503" s="14">
        <v>468</v>
      </c>
      <c r="N1503" s="14">
        <v>0</v>
      </c>
      <c r="O1503" s="14">
        <v>0</v>
      </c>
      <c r="P1503" s="14">
        <v>468</v>
      </c>
      <c r="Q1503">
        <v>10457</v>
      </c>
      <c r="R1503">
        <v>1052</v>
      </c>
      <c r="S1503">
        <v>2682</v>
      </c>
    </row>
    <row r="1504" spans="11:19" x14ac:dyDescent="0.3">
      <c r="K1504" s="16">
        <f t="shared" si="23"/>
        <v>44078</v>
      </c>
      <c r="L1504" s="17">
        <v>0.58333333333333337</v>
      </c>
      <c r="M1504" s="14">
        <v>468</v>
      </c>
      <c r="N1504" s="14">
        <v>0</v>
      </c>
      <c r="O1504" s="14">
        <v>0</v>
      </c>
      <c r="P1504" s="14">
        <v>468</v>
      </c>
      <c r="Q1504">
        <v>10479</v>
      </c>
      <c r="R1504">
        <v>981</v>
      </c>
      <c r="S1504">
        <v>2650</v>
      </c>
    </row>
    <row r="1505" spans="11:19" x14ac:dyDescent="0.3">
      <c r="K1505" s="16">
        <f t="shared" si="23"/>
        <v>44078</v>
      </c>
      <c r="L1505" s="17">
        <v>0.625</v>
      </c>
      <c r="M1505" s="14">
        <v>468</v>
      </c>
      <c r="N1505" s="14">
        <v>0</v>
      </c>
      <c r="O1505" s="14">
        <v>0</v>
      </c>
      <c r="P1505" s="14">
        <v>468</v>
      </c>
      <c r="Q1505">
        <v>10284</v>
      </c>
      <c r="R1505">
        <v>1202</v>
      </c>
      <c r="S1505">
        <v>2501</v>
      </c>
    </row>
    <row r="1506" spans="11:19" x14ac:dyDescent="0.3">
      <c r="K1506" s="16">
        <f t="shared" si="23"/>
        <v>44078</v>
      </c>
      <c r="L1506" s="17">
        <v>0.66666666666666663</v>
      </c>
      <c r="M1506" s="14">
        <v>468</v>
      </c>
      <c r="N1506" s="14">
        <v>0</v>
      </c>
      <c r="O1506" s="14">
        <v>0</v>
      </c>
      <c r="P1506" s="14">
        <v>468</v>
      </c>
      <c r="Q1506">
        <v>10065</v>
      </c>
      <c r="R1506">
        <v>1387</v>
      </c>
      <c r="S1506">
        <v>2164</v>
      </c>
    </row>
    <row r="1507" spans="11:19" x14ac:dyDescent="0.3">
      <c r="K1507" s="16">
        <f t="shared" si="23"/>
        <v>44078</v>
      </c>
      <c r="L1507" s="17">
        <v>0.70833333333333337</v>
      </c>
      <c r="M1507" s="14">
        <v>468</v>
      </c>
      <c r="N1507" s="14">
        <v>923</v>
      </c>
      <c r="O1507" s="14">
        <v>0</v>
      </c>
      <c r="P1507" s="14">
        <v>1391</v>
      </c>
      <c r="Q1507">
        <v>9912</v>
      </c>
      <c r="R1507">
        <v>1608</v>
      </c>
      <c r="S1507">
        <v>1632</v>
      </c>
    </row>
    <row r="1508" spans="11:19" x14ac:dyDescent="0.3">
      <c r="K1508" s="16">
        <f t="shared" si="23"/>
        <v>44078</v>
      </c>
      <c r="L1508" s="17">
        <v>0.75</v>
      </c>
      <c r="M1508" s="14">
        <v>468</v>
      </c>
      <c r="N1508" s="14">
        <v>1177</v>
      </c>
      <c r="O1508" s="14">
        <v>0</v>
      </c>
      <c r="P1508" s="14">
        <v>1645</v>
      </c>
      <c r="Q1508">
        <v>9805</v>
      </c>
      <c r="R1508">
        <v>1680</v>
      </c>
      <c r="S1508">
        <v>977</v>
      </c>
    </row>
    <row r="1509" spans="11:19" x14ac:dyDescent="0.3">
      <c r="K1509" s="16">
        <f t="shared" si="23"/>
        <v>44078</v>
      </c>
      <c r="L1509" s="17">
        <v>0.79166666666666663</v>
      </c>
      <c r="M1509" s="14">
        <v>468</v>
      </c>
      <c r="N1509" s="14">
        <v>1177</v>
      </c>
      <c r="O1509" s="14">
        <v>0</v>
      </c>
      <c r="P1509" s="14">
        <v>1645</v>
      </c>
      <c r="Q1509">
        <v>9525</v>
      </c>
      <c r="R1509">
        <v>1676</v>
      </c>
      <c r="S1509">
        <v>351</v>
      </c>
    </row>
    <row r="1510" spans="11:19" x14ac:dyDescent="0.3">
      <c r="K1510" s="16">
        <f t="shared" si="23"/>
        <v>44078</v>
      </c>
      <c r="L1510" s="17">
        <v>0.83333333333333337</v>
      </c>
      <c r="M1510" s="14">
        <v>468</v>
      </c>
      <c r="N1510" s="14">
        <v>0</v>
      </c>
      <c r="O1510" s="14">
        <v>0</v>
      </c>
      <c r="P1510" s="14">
        <v>468</v>
      </c>
      <c r="Q1510">
        <v>9164</v>
      </c>
      <c r="R1510">
        <v>1820</v>
      </c>
      <c r="S1510">
        <v>66</v>
      </c>
    </row>
    <row r="1511" spans="11:19" x14ac:dyDescent="0.3">
      <c r="K1511" s="16">
        <f t="shared" si="23"/>
        <v>44078</v>
      </c>
      <c r="L1511" s="17">
        <v>0.875</v>
      </c>
      <c r="M1511" s="14">
        <v>468</v>
      </c>
      <c r="N1511" s="14">
        <v>1177</v>
      </c>
      <c r="O1511" s="14">
        <v>0</v>
      </c>
      <c r="P1511" s="14">
        <v>1645</v>
      </c>
      <c r="Q1511">
        <v>8989</v>
      </c>
      <c r="R1511">
        <v>1874</v>
      </c>
      <c r="S1511">
        <v>0</v>
      </c>
    </row>
    <row r="1512" spans="11:19" x14ac:dyDescent="0.3">
      <c r="K1512" s="16">
        <f t="shared" si="23"/>
        <v>44078</v>
      </c>
      <c r="L1512" s="17">
        <v>0.91666666666666663</v>
      </c>
      <c r="M1512" s="14">
        <v>468</v>
      </c>
      <c r="N1512" s="14">
        <v>1177</v>
      </c>
      <c r="O1512" s="14">
        <v>0</v>
      </c>
      <c r="P1512" s="14">
        <v>1645</v>
      </c>
      <c r="Q1512">
        <v>9128</v>
      </c>
      <c r="R1512">
        <v>1815</v>
      </c>
      <c r="S1512">
        <v>0</v>
      </c>
    </row>
    <row r="1513" spans="11:19" x14ac:dyDescent="0.3">
      <c r="K1513" s="16">
        <f t="shared" si="23"/>
        <v>44078</v>
      </c>
      <c r="L1513" s="17">
        <v>0.95833333333333337</v>
      </c>
      <c r="M1513" s="14">
        <v>468</v>
      </c>
      <c r="N1513" s="14">
        <v>0</v>
      </c>
      <c r="O1513" s="14">
        <v>0</v>
      </c>
      <c r="P1513" s="14">
        <v>468</v>
      </c>
      <c r="Q1513">
        <v>8981</v>
      </c>
      <c r="R1513">
        <v>1786</v>
      </c>
      <c r="S1513">
        <v>0</v>
      </c>
    </row>
    <row r="1514" spans="11:19" x14ac:dyDescent="0.3">
      <c r="K1514" s="16">
        <f t="shared" si="23"/>
        <v>44079</v>
      </c>
      <c r="L1514" s="17">
        <v>0</v>
      </c>
      <c r="M1514" s="14">
        <v>468</v>
      </c>
      <c r="N1514" s="14">
        <v>0</v>
      </c>
      <c r="O1514" s="14">
        <v>404</v>
      </c>
      <c r="P1514" s="14">
        <v>872</v>
      </c>
      <c r="Q1514">
        <v>8123</v>
      </c>
      <c r="R1514">
        <v>1878</v>
      </c>
      <c r="S1514">
        <v>0</v>
      </c>
    </row>
    <row r="1515" spans="11:19" x14ac:dyDescent="0.3">
      <c r="K1515" s="16">
        <f t="shared" si="23"/>
        <v>44079</v>
      </c>
      <c r="L1515" s="17">
        <v>4.1666666666666664E-2</v>
      </c>
      <c r="M1515" s="14">
        <v>468</v>
      </c>
      <c r="N1515" s="14">
        <v>0</v>
      </c>
      <c r="O1515" s="14">
        <v>616</v>
      </c>
      <c r="P1515" s="14">
        <v>1084</v>
      </c>
      <c r="Q1515">
        <v>7663</v>
      </c>
      <c r="R1515">
        <v>1526</v>
      </c>
      <c r="S1515">
        <v>0</v>
      </c>
    </row>
    <row r="1516" spans="11:19" x14ac:dyDescent="0.3">
      <c r="K1516" s="16">
        <f t="shared" si="23"/>
        <v>44079</v>
      </c>
      <c r="L1516" s="17">
        <v>8.3333333333333329E-2</v>
      </c>
      <c r="M1516" s="14">
        <v>468</v>
      </c>
      <c r="N1516" s="14">
        <v>133</v>
      </c>
      <c r="O1516" s="14">
        <v>220</v>
      </c>
      <c r="P1516" s="14">
        <v>821</v>
      </c>
      <c r="Q1516">
        <v>7277</v>
      </c>
      <c r="R1516">
        <v>1403</v>
      </c>
      <c r="S1516">
        <v>0</v>
      </c>
    </row>
    <row r="1517" spans="11:19" x14ac:dyDescent="0.3">
      <c r="K1517" s="16">
        <f t="shared" si="23"/>
        <v>44079</v>
      </c>
      <c r="L1517" s="17">
        <v>0.125</v>
      </c>
      <c r="M1517" s="14">
        <v>468</v>
      </c>
      <c r="N1517" s="14">
        <v>0</v>
      </c>
      <c r="O1517" s="14">
        <v>-4</v>
      </c>
      <c r="P1517" s="14">
        <v>464</v>
      </c>
      <c r="Q1517">
        <v>6868</v>
      </c>
      <c r="R1517">
        <v>1350</v>
      </c>
      <c r="S1517">
        <v>0</v>
      </c>
    </row>
    <row r="1518" spans="11:19" x14ac:dyDescent="0.3">
      <c r="K1518" s="16">
        <f t="shared" si="23"/>
        <v>44079</v>
      </c>
      <c r="L1518" s="17">
        <v>0.16666666666666666</v>
      </c>
      <c r="M1518" s="14">
        <v>468</v>
      </c>
      <c r="N1518" s="14">
        <v>0</v>
      </c>
      <c r="O1518" s="14">
        <v>-219</v>
      </c>
      <c r="P1518" s="14">
        <v>249</v>
      </c>
      <c r="Q1518">
        <v>6678</v>
      </c>
      <c r="R1518">
        <v>1371</v>
      </c>
      <c r="S1518">
        <v>0</v>
      </c>
    </row>
    <row r="1519" spans="11:19" x14ac:dyDescent="0.3">
      <c r="K1519" s="16">
        <f t="shared" si="23"/>
        <v>44079</v>
      </c>
      <c r="L1519" s="17">
        <v>0.20833333333333334</v>
      </c>
      <c r="M1519" s="14">
        <v>468</v>
      </c>
      <c r="N1519" s="14">
        <v>0</v>
      </c>
      <c r="O1519" s="14">
        <v>-95</v>
      </c>
      <c r="P1519" s="14">
        <v>373</v>
      </c>
      <c r="Q1519">
        <v>6698</v>
      </c>
      <c r="R1519">
        <v>1256</v>
      </c>
      <c r="S1519">
        <v>0</v>
      </c>
    </row>
    <row r="1520" spans="11:19" x14ac:dyDescent="0.3">
      <c r="K1520" s="16">
        <f t="shared" si="23"/>
        <v>44079</v>
      </c>
      <c r="L1520" s="17">
        <v>0.25</v>
      </c>
      <c r="M1520" s="14">
        <v>468</v>
      </c>
      <c r="N1520" s="14">
        <v>0</v>
      </c>
      <c r="O1520" s="14">
        <v>23</v>
      </c>
      <c r="P1520" s="14">
        <v>491</v>
      </c>
      <c r="Q1520">
        <v>6867</v>
      </c>
      <c r="R1520">
        <v>1281</v>
      </c>
      <c r="S1520">
        <v>0</v>
      </c>
    </row>
    <row r="1521" spans="11:19" x14ac:dyDescent="0.3">
      <c r="K1521" s="16">
        <f t="shared" si="23"/>
        <v>44079</v>
      </c>
      <c r="L1521" s="17">
        <v>0.29166666666666669</v>
      </c>
      <c r="M1521" s="14">
        <v>468</v>
      </c>
      <c r="N1521" s="14">
        <v>0</v>
      </c>
      <c r="O1521" s="14">
        <v>172</v>
      </c>
      <c r="P1521" s="14">
        <v>640</v>
      </c>
      <c r="Q1521">
        <v>7041</v>
      </c>
      <c r="R1521">
        <v>1229</v>
      </c>
      <c r="S1521">
        <v>59</v>
      </c>
    </row>
    <row r="1522" spans="11:19" x14ac:dyDescent="0.3">
      <c r="K1522" s="16">
        <f t="shared" si="23"/>
        <v>44079</v>
      </c>
      <c r="L1522" s="17">
        <v>0.33333333333333331</v>
      </c>
      <c r="M1522" s="14">
        <v>468</v>
      </c>
      <c r="N1522" s="14">
        <v>0</v>
      </c>
      <c r="O1522" s="14">
        <v>245</v>
      </c>
      <c r="P1522" s="14">
        <v>713</v>
      </c>
      <c r="Q1522">
        <v>7586</v>
      </c>
      <c r="R1522">
        <v>1260</v>
      </c>
      <c r="S1522">
        <v>488</v>
      </c>
    </row>
    <row r="1523" spans="11:19" x14ac:dyDescent="0.3">
      <c r="K1523" s="16">
        <f t="shared" si="23"/>
        <v>44079</v>
      </c>
      <c r="L1523" s="17">
        <v>0.375</v>
      </c>
      <c r="M1523" s="14">
        <v>468</v>
      </c>
      <c r="N1523" s="14">
        <v>0</v>
      </c>
      <c r="O1523" s="14">
        <v>69</v>
      </c>
      <c r="P1523" s="14">
        <v>537</v>
      </c>
      <c r="Q1523">
        <v>8205</v>
      </c>
      <c r="R1523">
        <v>1394</v>
      </c>
      <c r="S1523">
        <v>1144</v>
      </c>
    </row>
    <row r="1524" spans="11:19" x14ac:dyDescent="0.3">
      <c r="K1524" s="16">
        <f t="shared" si="23"/>
        <v>44079</v>
      </c>
      <c r="L1524" s="17">
        <v>0.41666666666666669</v>
      </c>
      <c r="M1524" s="14">
        <v>468</v>
      </c>
      <c r="N1524" s="14">
        <v>0</v>
      </c>
      <c r="O1524" s="14">
        <v>-224</v>
      </c>
      <c r="P1524" s="14">
        <v>244</v>
      </c>
      <c r="Q1524">
        <v>8565</v>
      </c>
      <c r="R1524">
        <v>1394</v>
      </c>
      <c r="S1524">
        <v>1800</v>
      </c>
    </row>
    <row r="1525" spans="11:19" x14ac:dyDescent="0.3">
      <c r="K1525" s="16">
        <f t="shared" si="23"/>
        <v>44079</v>
      </c>
      <c r="L1525" s="17">
        <v>0.45833333333333331</v>
      </c>
      <c r="M1525" s="14">
        <v>468</v>
      </c>
      <c r="N1525" s="14">
        <v>0</v>
      </c>
      <c r="O1525" s="14">
        <v>-328</v>
      </c>
      <c r="P1525" s="14">
        <v>140</v>
      </c>
      <c r="Q1525">
        <v>8867</v>
      </c>
      <c r="R1525">
        <v>1311</v>
      </c>
      <c r="S1525">
        <v>2294</v>
      </c>
    </row>
    <row r="1526" spans="11:19" x14ac:dyDescent="0.3">
      <c r="K1526" s="16">
        <f t="shared" si="23"/>
        <v>44079</v>
      </c>
      <c r="L1526" s="17">
        <v>0.5</v>
      </c>
      <c r="M1526" s="14">
        <v>468</v>
      </c>
      <c r="N1526" s="14">
        <v>0</v>
      </c>
      <c r="O1526" s="14">
        <v>-284</v>
      </c>
      <c r="P1526" s="14">
        <v>184</v>
      </c>
      <c r="Q1526">
        <v>9270</v>
      </c>
      <c r="R1526">
        <v>1370</v>
      </c>
      <c r="S1526">
        <v>2596</v>
      </c>
    </row>
    <row r="1527" spans="11:19" x14ac:dyDescent="0.3">
      <c r="K1527" s="16">
        <f t="shared" si="23"/>
        <v>44079</v>
      </c>
      <c r="L1527" s="17">
        <v>0.54166666666666663</v>
      </c>
      <c r="M1527" s="14">
        <v>468</v>
      </c>
      <c r="N1527" s="14">
        <v>0</v>
      </c>
      <c r="O1527" s="14">
        <v>-607</v>
      </c>
      <c r="P1527" s="14">
        <v>-139</v>
      </c>
      <c r="Q1527">
        <v>9033</v>
      </c>
      <c r="R1527">
        <v>1336</v>
      </c>
      <c r="S1527">
        <v>2721</v>
      </c>
    </row>
    <row r="1528" spans="11:19" x14ac:dyDescent="0.3">
      <c r="K1528" s="16">
        <f t="shared" si="23"/>
        <v>44079</v>
      </c>
      <c r="L1528" s="17">
        <v>0.58333333333333337</v>
      </c>
      <c r="M1528" s="14">
        <v>468</v>
      </c>
      <c r="N1528" s="14">
        <v>0</v>
      </c>
      <c r="O1528" s="14">
        <v>-707</v>
      </c>
      <c r="P1528" s="14">
        <v>-239</v>
      </c>
      <c r="Q1528">
        <v>8967</v>
      </c>
      <c r="R1528">
        <v>1433</v>
      </c>
      <c r="S1528">
        <v>2663</v>
      </c>
    </row>
    <row r="1529" spans="11:19" x14ac:dyDescent="0.3">
      <c r="K1529" s="16">
        <f t="shared" si="23"/>
        <v>44079</v>
      </c>
      <c r="L1529" s="17">
        <v>0.625</v>
      </c>
      <c r="M1529" s="14">
        <v>468</v>
      </c>
      <c r="N1529" s="14">
        <v>0</v>
      </c>
      <c r="O1529" s="14">
        <v>-1009</v>
      </c>
      <c r="P1529" s="14">
        <v>-541</v>
      </c>
      <c r="Q1529">
        <v>8788</v>
      </c>
      <c r="R1529">
        <v>1742</v>
      </c>
      <c r="S1529">
        <v>2480</v>
      </c>
    </row>
    <row r="1530" spans="11:19" x14ac:dyDescent="0.3">
      <c r="K1530" s="16">
        <f t="shared" si="23"/>
        <v>44079</v>
      </c>
      <c r="L1530" s="17">
        <v>0.66666666666666663</v>
      </c>
      <c r="M1530" s="14">
        <v>468</v>
      </c>
      <c r="N1530" s="14">
        <v>0</v>
      </c>
      <c r="O1530" s="14">
        <v>-1065</v>
      </c>
      <c r="P1530" s="14">
        <v>-597</v>
      </c>
      <c r="Q1530">
        <v>8636</v>
      </c>
      <c r="R1530">
        <v>2023</v>
      </c>
      <c r="S1530">
        <v>2101</v>
      </c>
    </row>
    <row r="1531" spans="11:19" x14ac:dyDescent="0.3">
      <c r="K1531" s="16">
        <f t="shared" si="23"/>
        <v>44079</v>
      </c>
      <c r="L1531" s="17">
        <v>0.70833333333333337</v>
      </c>
      <c r="M1531" s="14">
        <v>468</v>
      </c>
      <c r="N1531" s="14">
        <v>0</v>
      </c>
      <c r="O1531" s="14">
        <v>-938</v>
      </c>
      <c r="P1531" s="14">
        <v>-470</v>
      </c>
      <c r="Q1531">
        <v>8579</v>
      </c>
      <c r="R1531">
        <v>2356</v>
      </c>
      <c r="S1531">
        <v>1580</v>
      </c>
    </row>
    <row r="1532" spans="11:19" x14ac:dyDescent="0.3">
      <c r="K1532" s="16">
        <f t="shared" si="23"/>
        <v>44079</v>
      </c>
      <c r="L1532" s="17">
        <v>0.75</v>
      </c>
      <c r="M1532" s="14">
        <v>468</v>
      </c>
      <c r="N1532" s="14">
        <v>0</v>
      </c>
      <c r="O1532" s="14">
        <v>-383</v>
      </c>
      <c r="P1532" s="14">
        <v>85</v>
      </c>
      <c r="Q1532">
        <v>8508</v>
      </c>
      <c r="R1532">
        <v>2409</v>
      </c>
      <c r="S1532">
        <v>902</v>
      </c>
    </row>
    <row r="1533" spans="11:19" x14ac:dyDescent="0.3">
      <c r="K1533" s="16">
        <f t="shared" si="23"/>
        <v>44079</v>
      </c>
      <c r="L1533" s="17">
        <v>0.79166666666666663</v>
      </c>
      <c r="M1533" s="14">
        <v>468</v>
      </c>
      <c r="N1533" s="14">
        <v>0</v>
      </c>
      <c r="O1533" s="14">
        <v>296</v>
      </c>
      <c r="P1533" s="14">
        <v>764</v>
      </c>
      <c r="Q1533">
        <v>8363</v>
      </c>
      <c r="R1533">
        <v>2217</v>
      </c>
      <c r="S1533">
        <v>285</v>
      </c>
    </row>
    <row r="1534" spans="11:19" x14ac:dyDescent="0.3">
      <c r="K1534" s="16">
        <f t="shared" si="23"/>
        <v>44079</v>
      </c>
      <c r="L1534" s="17">
        <v>0.83333333333333337</v>
      </c>
      <c r="M1534" s="14">
        <v>468</v>
      </c>
      <c r="N1534" s="14">
        <v>0</v>
      </c>
      <c r="O1534" s="14">
        <v>178</v>
      </c>
      <c r="P1534" s="14">
        <v>646</v>
      </c>
      <c r="Q1534">
        <v>8230</v>
      </c>
      <c r="R1534">
        <v>2453</v>
      </c>
      <c r="S1534">
        <v>45</v>
      </c>
    </row>
    <row r="1535" spans="11:19" x14ac:dyDescent="0.3">
      <c r="K1535" s="16">
        <f t="shared" si="23"/>
        <v>44079</v>
      </c>
      <c r="L1535" s="17">
        <v>0.875</v>
      </c>
      <c r="M1535" s="14">
        <v>468</v>
      </c>
      <c r="N1535" s="14">
        <v>0</v>
      </c>
      <c r="O1535" s="14">
        <v>373</v>
      </c>
      <c r="P1535" s="14">
        <v>841</v>
      </c>
      <c r="Q1535">
        <v>8223</v>
      </c>
      <c r="R1535">
        <v>2304</v>
      </c>
      <c r="S1535">
        <v>0</v>
      </c>
    </row>
    <row r="1536" spans="11:19" x14ac:dyDescent="0.3">
      <c r="K1536" s="16">
        <f t="shared" si="23"/>
        <v>44079</v>
      </c>
      <c r="L1536" s="17">
        <v>0.91666666666666663</v>
      </c>
      <c r="M1536" s="14">
        <v>468</v>
      </c>
      <c r="N1536" s="14">
        <v>0</v>
      </c>
      <c r="O1536" s="14">
        <v>939</v>
      </c>
      <c r="P1536" s="14">
        <v>1407</v>
      </c>
      <c r="Q1536">
        <v>8505</v>
      </c>
      <c r="R1536">
        <v>2023</v>
      </c>
      <c r="S1536">
        <v>0</v>
      </c>
    </row>
    <row r="1537" spans="11:19" x14ac:dyDescent="0.3">
      <c r="K1537" s="16">
        <f t="shared" si="23"/>
        <v>44079</v>
      </c>
      <c r="L1537" s="17">
        <v>0.95833333333333337</v>
      </c>
      <c r="M1537" s="14">
        <v>468</v>
      </c>
      <c r="N1537" s="14">
        <v>0</v>
      </c>
      <c r="O1537" s="14">
        <v>1162</v>
      </c>
      <c r="P1537" s="14">
        <v>1630</v>
      </c>
      <c r="Q1537">
        <v>8475</v>
      </c>
      <c r="R1537">
        <v>1789</v>
      </c>
      <c r="S1537">
        <v>0</v>
      </c>
    </row>
    <row r="1538" spans="11:19" x14ac:dyDescent="0.3">
      <c r="K1538" s="16">
        <f t="shared" si="23"/>
        <v>44080</v>
      </c>
      <c r="L1538" s="17">
        <v>0</v>
      </c>
      <c r="M1538" s="14">
        <v>468</v>
      </c>
      <c r="N1538" s="14">
        <v>0</v>
      </c>
      <c r="O1538" s="14">
        <v>434</v>
      </c>
      <c r="P1538" s="14">
        <v>902</v>
      </c>
      <c r="Q1538">
        <v>7679</v>
      </c>
      <c r="R1538">
        <v>1726</v>
      </c>
      <c r="S1538">
        <v>0</v>
      </c>
    </row>
    <row r="1539" spans="11:19" x14ac:dyDescent="0.3">
      <c r="K1539" s="16">
        <f t="shared" si="23"/>
        <v>44080</v>
      </c>
      <c r="L1539" s="17">
        <v>4.1666666666666664E-2</v>
      </c>
      <c r="M1539" s="14">
        <v>468</v>
      </c>
      <c r="N1539" s="14">
        <v>0</v>
      </c>
      <c r="O1539" s="14">
        <v>-16</v>
      </c>
      <c r="P1539" s="14">
        <v>452</v>
      </c>
      <c r="Q1539">
        <v>7221</v>
      </c>
      <c r="R1539">
        <v>1718</v>
      </c>
      <c r="S1539">
        <v>0</v>
      </c>
    </row>
    <row r="1540" spans="11:19" x14ac:dyDescent="0.3">
      <c r="K1540" s="16">
        <f t="shared" si="23"/>
        <v>44080</v>
      </c>
      <c r="L1540" s="17">
        <v>8.3333333333333329E-2</v>
      </c>
      <c r="M1540" s="14">
        <v>468</v>
      </c>
      <c r="N1540" s="14">
        <v>0</v>
      </c>
      <c r="O1540" s="14">
        <v>0</v>
      </c>
      <c r="P1540" s="14">
        <v>468</v>
      </c>
      <c r="Q1540">
        <v>6852</v>
      </c>
      <c r="R1540">
        <v>1702</v>
      </c>
      <c r="S1540">
        <v>0</v>
      </c>
    </row>
    <row r="1541" spans="11:19" x14ac:dyDescent="0.3">
      <c r="K1541" s="16">
        <f t="shared" si="23"/>
        <v>44080</v>
      </c>
      <c r="L1541" s="17">
        <v>0.125</v>
      </c>
      <c r="M1541" s="14">
        <v>468</v>
      </c>
      <c r="N1541" s="14">
        <v>0</v>
      </c>
      <c r="O1541" s="14">
        <v>-697</v>
      </c>
      <c r="P1541" s="14">
        <v>-229</v>
      </c>
      <c r="Q1541">
        <v>6424</v>
      </c>
      <c r="R1541">
        <v>1600</v>
      </c>
      <c r="S1541">
        <v>0</v>
      </c>
    </row>
    <row r="1542" spans="11:19" x14ac:dyDescent="0.3">
      <c r="K1542" s="16">
        <f t="shared" si="23"/>
        <v>44080</v>
      </c>
      <c r="L1542" s="17">
        <v>0.16666666666666666</v>
      </c>
      <c r="M1542" s="14">
        <v>468</v>
      </c>
      <c r="N1542" s="14">
        <v>0</v>
      </c>
      <c r="O1542" s="14">
        <v>-926</v>
      </c>
      <c r="P1542" s="14">
        <v>-458</v>
      </c>
      <c r="Q1542">
        <v>6207</v>
      </c>
      <c r="R1542">
        <v>1609</v>
      </c>
      <c r="S1542">
        <v>0</v>
      </c>
    </row>
    <row r="1543" spans="11:19" x14ac:dyDescent="0.3">
      <c r="K1543" s="16">
        <f t="shared" si="23"/>
        <v>44080</v>
      </c>
      <c r="L1543" s="17">
        <v>0.20833333333333334</v>
      </c>
      <c r="M1543" s="14">
        <v>468</v>
      </c>
      <c r="N1543" s="14">
        <v>0</v>
      </c>
      <c r="O1543" s="14">
        <v>-900</v>
      </c>
      <c r="P1543" s="14">
        <v>-432</v>
      </c>
      <c r="Q1543">
        <v>6151</v>
      </c>
      <c r="R1543">
        <v>1516</v>
      </c>
      <c r="S1543">
        <v>0</v>
      </c>
    </row>
    <row r="1544" spans="11:19" x14ac:dyDescent="0.3">
      <c r="K1544" s="16">
        <f t="shared" si="23"/>
        <v>44080</v>
      </c>
      <c r="L1544" s="17">
        <v>0.25</v>
      </c>
      <c r="M1544" s="14">
        <v>468</v>
      </c>
      <c r="N1544" s="14">
        <v>0</v>
      </c>
      <c r="O1544" s="14">
        <v>-862</v>
      </c>
      <c r="P1544" s="14">
        <v>-394</v>
      </c>
      <c r="Q1544">
        <v>6176</v>
      </c>
      <c r="R1544">
        <v>1477</v>
      </c>
      <c r="S1544">
        <v>0</v>
      </c>
    </row>
    <row r="1545" spans="11:19" x14ac:dyDescent="0.3">
      <c r="K1545" s="16">
        <f t="shared" si="23"/>
        <v>44080</v>
      </c>
      <c r="L1545" s="17">
        <v>0.29166666666666669</v>
      </c>
      <c r="M1545" s="14">
        <v>468</v>
      </c>
      <c r="N1545" s="14">
        <v>0</v>
      </c>
      <c r="O1545" s="14">
        <v>-807</v>
      </c>
      <c r="P1545" s="14">
        <v>-339</v>
      </c>
      <c r="Q1545">
        <v>6211</v>
      </c>
      <c r="R1545">
        <v>1387</v>
      </c>
      <c r="S1545">
        <v>51</v>
      </c>
    </row>
    <row r="1546" spans="11:19" x14ac:dyDescent="0.3">
      <c r="K1546" s="16">
        <f t="shared" si="23"/>
        <v>44080</v>
      </c>
      <c r="L1546" s="17">
        <v>0.33333333333333331</v>
      </c>
      <c r="M1546" s="14">
        <v>468</v>
      </c>
      <c r="N1546" s="14">
        <v>0</v>
      </c>
      <c r="O1546" s="14">
        <v>0</v>
      </c>
      <c r="P1546" s="14">
        <v>468</v>
      </c>
      <c r="Q1546">
        <v>6677</v>
      </c>
      <c r="R1546">
        <v>1226</v>
      </c>
      <c r="S1546">
        <v>467</v>
      </c>
    </row>
    <row r="1547" spans="11:19" x14ac:dyDescent="0.3">
      <c r="K1547" s="16">
        <f t="shared" si="23"/>
        <v>44080</v>
      </c>
      <c r="L1547" s="17">
        <v>0.375</v>
      </c>
      <c r="M1547" s="14">
        <v>468</v>
      </c>
      <c r="N1547" s="14">
        <v>0</v>
      </c>
      <c r="O1547" s="14">
        <v>-717</v>
      </c>
      <c r="P1547" s="14">
        <v>-249</v>
      </c>
      <c r="Q1547">
        <v>7273</v>
      </c>
      <c r="R1547">
        <v>1304</v>
      </c>
      <c r="S1547">
        <v>1090</v>
      </c>
    </row>
    <row r="1548" spans="11:19" x14ac:dyDescent="0.3">
      <c r="K1548" s="16">
        <f t="shared" si="23"/>
        <v>44080</v>
      </c>
      <c r="L1548" s="17">
        <v>0.41666666666666669</v>
      </c>
      <c r="M1548" s="14">
        <v>468</v>
      </c>
      <c r="N1548" s="14">
        <v>0</v>
      </c>
      <c r="O1548" s="14">
        <v>-250</v>
      </c>
      <c r="P1548" s="14">
        <v>218</v>
      </c>
      <c r="Q1548">
        <v>7755</v>
      </c>
      <c r="R1548">
        <v>1285</v>
      </c>
      <c r="S1548">
        <v>1742</v>
      </c>
    </row>
    <row r="1549" spans="11:19" x14ac:dyDescent="0.3">
      <c r="K1549" s="16">
        <f t="shared" si="23"/>
        <v>44080</v>
      </c>
      <c r="L1549" s="17">
        <v>0.45833333333333331</v>
      </c>
      <c r="M1549" s="14">
        <v>468</v>
      </c>
      <c r="N1549" s="14">
        <v>0</v>
      </c>
      <c r="O1549" s="14">
        <v>-366</v>
      </c>
      <c r="P1549" s="14">
        <v>102</v>
      </c>
      <c r="Q1549">
        <v>8147</v>
      </c>
      <c r="R1549">
        <v>1314</v>
      </c>
      <c r="S1549">
        <v>2225</v>
      </c>
    </row>
    <row r="1550" spans="11:19" x14ac:dyDescent="0.3">
      <c r="K1550" s="16">
        <f t="shared" si="23"/>
        <v>44080</v>
      </c>
      <c r="L1550" s="17">
        <v>0.5</v>
      </c>
      <c r="M1550" s="14">
        <v>468</v>
      </c>
      <c r="N1550" s="14">
        <v>0</v>
      </c>
      <c r="O1550" s="14">
        <v>-784</v>
      </c>
      <c r="P1550" s="14">
        <v>-316</v>
      </c>
      <c r="Q1550">
        <v>8601</v>
      </c>
      <c r="R1550">
        <v>1276</v>
      </c>
      <c r="S1550">
        <v>2523</v>
      </c>
    </row>
    <row r="1551" spans="11:19" x14ac:dyDescent="0.3">
      <c r="K1551" s="16">
        <f t="shared" si="23"/>
        <v>44080</v>
      </c>
      <c r="L1551" s="17">
        <v>0.54166666666666663</v>
      </c>
      <c r="M1551" s="14">
        <v>468</v>
      </c>
      <c r="N1551" s="14">
        <v>0</v>
      </c>
      <c r="O1551" s="14">
        <v>-952</v>
      </c>
      <c r="P1551" s="14">
        <v>-484</v>
      </c>
      <c r="Q1551">
        <v>8316</v>
      </c>
      <c r="R1551">
        <v>1114</v>
      </c>
      <c r="S1551">
        <v>2626</v>
      </c>
    </row>
    <row r="1552" spans="11:19" x14ac:dyDescent="0.3">
      <c r="K1552" s="16">
        <f t="shared" si="23"/>
        <v>44080</v>
      </c>
      <c r="L1552" s="17">
        <v>0.58333333333333337</v>
      </c>
      <c r="M1552" s="14">
        <v>468</v>
      </c>
      <c r="N1552" s="14">
        <v>0</v>
      </c>
      <c r="O1552" s="14">
        <v>-417</v>
      </c>
      <c r="P1552" s="14">
        <v>51</v>
      </c>
      <c r="Q1552">
        <v>8177</v>
      </c>
      <c r="R1552">
        <v>1053</v>
      </c>
      <c r="S1552">
        <v>2579</v>
      </c>
    </row>
    <row r="1553" spans="11:19" x14ac:dyDescent="0.3">
      <c r="K1553" s="16">
        <f t="shared" si="23"/>
        <v>44080</v>
      </c>
      <c r="L1553" s="17">
        <v>0.625</v>
      </c>
      <c r="M1553" s="14">
        <v>468</v>
      </c>
      <c r="N1553" s="14">
        <v>0</v>
      </c>
      <c r="O1553" s="14">
        <v>-404</v>
      </c>
      <c r="P1553" s="14">
        <v>64</v>
      </c>
      <c r="Q1553">
        <v>8015</v>
      </c>
      <c r="R1553">
        <v>1060</v>
      </c>
      <c r="S1553">
        <v>2399</v>
      </c>
    </row>
    <row r="1554" spans="11:19" x14ac:dyDescent="0.3">
      <c r="K1554" s="16">
        <f t="shared" si="23"/>
        <v>44080</v>
      </c>
      <c r="L1554" s="17">
        <v>0.66666666666666663</v>
      </c>
      <c r="M1554" s="14">
        <v>468</v>
      </c>
      <c r="N1554" s="14">
        <v>0</v>
      </c>
      <c r="O1554" s="14">
        <v>-263</v>
      </c>
      <c r="P1554" s="14">
        <v>205</v>
      </c>
      <c r="Q1554">
        <v>7917</v>
      </c>
      <c r="R1554">
        <v>1175</v>
      </c>
      <c r="S1554">
        <v>2044</v>
      </c>
    </row>
    <row r="1555" spans="11:19" x14ac:dyDescent="0.3">
      <c r="K1555" s="16">
        <f t="shared" si="23"/>
        <v>44080</v>
      </c>
      <c r="L1555" s="17">
        <v>0.70833333333333337</v>
      </c>
      <c r="M1555" s="14">
        <v>468</v>
      </c>
      <c r="N1555" s="14">
        <v>0</v>
      </c>
      <c r="O1555" s="14">
        <v>0</v>
      </c>
      <c r="P1555" s="14">
        <v>468</v>
      </c>
      <c r="Q1555">
        <v>7937</v>
      </c>
      <c r="R1555">
        <v>1201</v>
      </c>
      <c r="S1555">
        <v>1497</v>
      </c>
    </row>
    <row r="1556" spans="11:19" x14ac:dyDescent="0.3">
      <c r="K1556" s="16">
        <f t="shared" si="23"/>
        <v>44080</v>
      </c>
      <c r="L1556" s="17">
        <v>0.75</v>
      </c>
      <c r="M1556" s="14">
        <v>468</v>
      </c>
      <c r="N1556" s="14">
        <v>0</v>
      </c>
      <c r="O1556" s="14">
        <v>339</v>
      </c>
      <c r="P1556" s="14">
        <v>807</v>
      </c>
      <c r="Q1556">
        <v>8018</v>
      </c>
      <c r="R1556">
        <v>1269</v>
      </c>
      <c r="S1556">
        <v>832</v>
      </c>
    </row>
    <row r="1557" spans="11:19" x14ac:dyDescent="0.3">
      <c r="K1557" s="16">
        <f t="shared" si="23"/>
        <v>44080</v>
      </c>
      <c r="L1557" s="17">
        <v>0.79166666666666663</v>
      </c>
      <c r="M1557" s="14">
        <v>468</v>
      </c>
      <c r="N1557" s="14">
        <v>0</v>
      </c>
      <c r="O1557" s="14">
        <v>1117</v>
      </c>
      <c r="P1557" s="14">
        <v>1585</v>
      </c>
      <c r="Q1557">
        <v>8151</v>
      </c>
      <c r="R1557">
        <v>1220</v>
      </c>
      <c r="S1557">
        <v>250</v>
      </c>
    </row>
    <row r="1558" spans="11:19" x14ac:dyDescent="0.3">
      <c r="K1558" s="16">
        <f t="shared" si="23"/>
        <v>44080</v>
      </c>
      <c r="L1558" s="17">
        <v>0.83333333333333337</v>
      </c>
      <c r="M1558" s="14">
        <v>468</v>
      </c>
      <c r="N1558" s="14">
        <v>184</v>
      </c>
      <c r="O1558" s="14">
        <v>1200</v>
      </c>
      <c r="P1558" s="14">
        <v>1852</v>
      </c>
      <c r="Q1558">
        <v>8263</v>
      </c>
      <c r="R1558">
        <v>1287</v>
      </c>
      <c r="S1558">
        <v>40</v>
      </c>
    </row>
    <row r="1559" spans="11:19" x14ac:dyDescent="0.3">
      <c r="K1559" s="16">
        <f t="shared" si="23"/>
        <v>44080</v>
      </c>
      <c r="L1559" s="17">
        <v>0.875</v>
      </c>
      <c r="M1559" s="14">
        <v>468</v>
      </c>
      <c r="N1559" s="14">
        <v>438</v>
      </c>
      <c r="O1559" s="14">
        <v>1200</v>
      </c>
      <c r="P1559" s="14">
        <v>2106</v>
      </c>
      <c r="Q1559">
        <v>8284</v>
      </c>
      <c r="R1559">
        <v>1102</v>
      </c>
      <c r="S1559">
        <v>0</v>
      </c>
    </row>
    <row r="1560" spans="11:19" x14ac:dyDescent="0.3">
      <c r="K1560" s="16">
        <f t="shared" si="23"/>
        <v>44080</v>
      </c>
      <c r="L1560" s="17">
        <v>0.91666666666666663</v>
      </c>
      <c r="M1560" s="14">
        <v>468</v>
      </c>
      <c r="N1560" s="14">
        <v>0</v>
      </c>
      <c r="O1560" s="14">
        <v>1200</v>
      </c>
      <c r="P1560" s="14">
        <v>1668</v>
      </c>
      <c r="Q1560">
        <v>8502</v>
      </c>
      <c r="R1560">
        <v>1134</v>
      </c>
      <c r="S1560">
        <v>0</v>
      </c>
    </row>
    <row r="1561" spans="11:19" x14ac:dyDescent="0.3">
      <c r="K1561" s="16">
        <f t="shared" si="23"/>
        <v>44080</v>
      </c>
      <c r="L1561" s="17">
        <v>0.95833333333333337</v>
      </c>
      <c r="M1561" s="14">
        <v>468</v>
      </c>
      <c r="N1561" s="14">
        <v>514</v>
      </c>
      <c r="O1561" s="14">
        <v>1200</v>
      </c>
      <c r="P1561" s="14">
        <v>2182</v>
      </c>
      <c r="Q1561">
        <v>8403</v>
      </c>
      <c r="R1561">
        <v>987</v>
      </c>
      <c r="S1561">
        <v>0</v>
      </c>
    </row>
    <row r="1562" spans="11:19" x14ac:dyDescent="0.3">
      <c r="K1562" s="16">
        <f t="shared" si="23"/>
        <v>44081</v>
      </c>
      <c r="L1562" s="17">
        <v>0</v>
      </c>
      <c r="M1562" s="14">
        <v>468</v>
      </c>
      <c r="N1562" s="14">
        <v>0</v>
      </c>
      <c r="O1562" s="14">
        <v>0</v>
      </c>
      <c r="P1562" s="14">
        <v>468</v>
      </c>
      <c r="Q1562">
        <v>7546</v>
      </c>
      <c r="R1562">
        <v>1128</v>
      </c>
      <c r="S1562">
        <v>0</v>
      </c>
    </row>
    <row r="1563" spans="11:19" x14ac:dyDescent="0.3">
      <c r="K1563" s="16">
        <f t="shared" ref="K1563:K1626" si="24">K1539+1</f>
        <v>44081</v>
      </c>
      <c r="L1563" s="17">
        <v>4.1666666666666664E-2</v>
      </c>
      <c r="M1563" s="14">
        <v>468</v>
      </c>
      <c r="N1563" s="14">
        <v>461</v>
      </c>
      <c r="O1563" s="14">
        <v>0</v>
      </c>
      <c r="P1563" s="14">
        <v>929</v>
      </c>
      <c r="Q1563">
        <v>7180</v>
      </c>
      <c r="R1563">
        <v>1037</v>
      </c>
      <c r="S1563">
        <v>0</v>
      </c>
    </row>
    <row r="1564" spans="11:19" x14ac:dyDescent="0.3">
      <c r="K1564" s="16">
        <f t="shared" si="24"/>
        <v>44081</v>
      </c>
      <c r="L1564" s="17">
        <v>8.3333333333333329E-2</v>
      </c>
      <c r="M1564" s="14">
        <v>468</v>
      </c>
      <c r="N1564" s="14">
        <v>0</v>
      </c>
      <c r="O1564" s="14">
        <v>0</v>
      </c>
      <c r="P1564" s="14">
        <v>468</v>
      </c>
      <c r="Q1564">
        <v>6886</v>
      </c>
      <c r="R1564">
        <v>934</v>
      </c>
      <c r="S1564">
        <v>0</v>
      </c>
    </row>
    <row r="1565" spans="11:19" x14ac:dyDescent="0.3">
      <c r="K1565" s="16">
        <f t="shared" si="24"/>
        <v>44081</v>
      </c>
      <c r="L1565" s="17">
        <v>0.125</v>
      </c>
      <c r="M1565" s="14">
        <v>468</v>
      </c>
      <c r="N1565" s="14">
        <v>0</v>
      </c>
      <c r="O1565" s="14">
        <v>-203</v>
      </c>
      <c r="P1565" s="14">
        <v>265</v>
      </c>
      <c r="Q1565">
        <v>6578</v>
      </c>
      <c r="R1565">
        <v>858</v>
      </c>
      <c r="S1565">
        <v>0</v>
      </c>
    </row>
    <row r="1566" spans="11:19" x14ac:dyDescent="0.3">
      <c r="K1566" s="16">
        <f t="shared" si="24"/>
        <v>44081</v>
      </c>
      <c r="L1566" s="17">
        <v>0.16666666666666666</v>
      </c>
      <c r="M1566" s="14">
        <v>468</v>
      </c>
      <c r="N1566" s="14">
        <v>0</v>
      </c>
      <c r="O1566" s="14">
        <v>52</v>
      </c>
      <c r="P1566" s="14">
        <v>520</v>
      </c>
      <c r="Q1566">
        <v>6604</v>
      </c>
      <c r="R1566">
        <v>625</v>
      </c>
      <c r="S1566">
        <v>0</v>
      </c>
    </row>
    <row r="1567" spans="11:19" x14ac:dyDescent="0.3">
      <c r="K1567" s="16">
        <f t="shared" si="24"/>
        <v>44081</v>
      </c>
      <c r="L1567" s="17">
        <v>0.20833333333333334</v>
      </c>
      <c r="M1567" s="14">
        <v>468</v>
      </c>
      <c r="N1567" s="14">
        <v>0</v>
      </c>
      <c r="O1567" s="14">
        <v>0</v>
      </c>
      <c r="P1567" s="14">
        <v>468</v>
      </c>
      <c r="Q1567">
        <v>7018</v>
      </c>
      <c r="R1567">
        <v>502</v>
      </c>
      <c r="S1567">
        <v>0</v>
      </c>
    </row>
    <row r="1568" spans="11:19" x14ac:dyDescent="0.3">
      <c r="K1568" s="16">
        <f t="shared" si="24"/>
        <v>44081</v>
      </c>
      <c r="L1568" s="17">
        <v>0.25</v>
      </c>
      <c r="M1568" s="14">
        <v>468</v>
      </c>
      <c r="N1568" s="14">
        <v>1346</v>
      </c>
      <c r="O1568" s="14">
        <v>0</v>
      </c>
      <c r="P1568" s="14">
        <v>1814</v>
      </c>
      <c r="Q1568">
        <v>7817</v>
      </c>
      <c r="R1568">
        <v>486</v>
      </c>
      <c r="S1568">
        <v>0</v>
      </c>
    </row>
    <row r="1569" spans="11:19" x14ac:dyDescent="0.3">
      <c r="K1569" s="16">
        <f t="shared" si="24"/>
        <v>44081</v>
      </c>
      <c r="L1569" s="17">
        <v>0.29166666666666669</v>
      </c>
      <c r="M1569" s="14">
        <v>468</v>
      </c>
      <c r="N1569" s="14">
        <v>0</v>
      </c>
      <c r="O1569" s="14">
        <v>111</v>
      </c>
      <c r="P1569" s="14">
        <v>579</v>
      </c>
      <c r="Q1569">
        <v>8534</v>
      </c>
      <c r="R1569">
        <v>318</v>
      </c>
      <c r="S1569">
        <v>48</v>
      </c>
    </row>
    <row r="1570" spans="11:19" x14ac:dyDescent="0.3">
      <c r="K1570" s="16">
        <f t="shared" si="24"/>
        <v>44081</v>
      </c>
      <c r="L1570" s="17">
        <v>0.33333333333333331</v>
      </c>
      <c r="M1570" s="14">
        <v>468</v>
      </c>
      <c r="N1570" s="14">
        <v>0</v>
      </c>
      <c r="O1570" s="14">
        <v>0</v>
      </c>
      <c r="P1570" s="14">
        <v>468</v>
      </c>
      <c r="Q1570">
        <v>9141</v>
      </c>
      <c r="R1570">
        <v>355</v>
      </c>
      <c r="S1570">
        <v>455</v>
      </c>
    </row>
    <row r="1571" spans="11:19" x14ac:dyDescent="0.3">
      <c r="K1571" s="16">
        <f t="shared" si="24"/>
        <v>44081</v>
      </c>
      <c r="L1571" s="17">
        <v>0.375</v>
      </c>
      <c r="M1571" s="14">
        <v>468</v>
      </c>
      <c r="N1571" s="14">
        <v>0</v>
      </c>
      <c r="O1571" s="14">
        <v>0</v>
      </c>
      <c r="P1571" s="14">
        <v>468</v>
      </c>
      <c r="Q1571">
        <v>9614</v>
      </c>
      <c r="R1571">
        <v>461</v>
      </c>
      <c r="S1571">
        <v>1096</v>
      </c>
    </row>
    <row r="1572" spans="11:19" x14ac:dyDescent="0.3">
      <c r="K1572" s="16">
        <f t="shared" si="24"/>
        <v>44081</v>
      </c>
      <c r="L1572" s="17">
        <v>0.41666666666666669</v>
      </c>
      <c r="M1572" s="14">
        <v>468</v>
      </c>
      <c r="N1572" s="14">
        <v>1536</v>
      </c>
      <c r="O1572" s="14">
        <v>0</v>
      </c>
      <c r="P1572" s="14">
        <v>2004</v>
      </c>
      <c r="Q1572">
        <v>9949</v>
      </c>
      <c r="R1572">
        <v>389</v>
      </c>
      <c r="S1572">
        <v>1762</v>
      </c>
    </row>
    <row r="1573" spans="11:19" x14ac:dyDescent="0.3">
      <c r="K1573" s="16">
        <f t="shared" si="24"/>
        <v>44081</v>
      </c>
      <c r="L1573" s="17">
        <v>0.45833333333333331</v>
      </c>
      <c r="M1573" s="14">
        <v>468</v>
      </c>
      <c r="N1573" s="14">
        <v>1536</v>
      </c>
      <c r="O1573" s="14">
        <v>0</v>
      </c>
      <c r="P1573" s="14">
        <v>2004</v>
      </c>
      <c r="Q1573">
        <v>10262</v>
      </c>
      <c r="R1573">
        <v>407</v>
      </c>
      <c r="S1573">
        <v>2278</v>
      </c>
    </row>
    <row r="1574" spans="11:19" x14ac:dyDescent="0.3">
      <c r="K1574" s="16">
        <f t="shared" si="24"/>
        <v>44081</v>
      </c>
      <c r="L1574" s="17">
        <v>0.5</v>
      </c>
      <c r="M1574" s="14">
        <v>468</v>
      </c>
      <c r="N1574" s="14">
        <v>1536</v>
      </c>
      <c r="O1574" s="14">
        <v>0</v>
      </c>
      <c r="P1574" s="14">
        <v>2004</v>
      </c>
      <c r="Q1574">
        <v>10450</v>
      </c>
      <c r="R1574">
        <v>310</v>
      </c>
      <c r="S1574">
        <v>2611</v>
      </c>
    </row>
    <row r="1575" spans="11:19" x14ac:dyDescent="0.3">
      <c r="K1575" s="16">
        <f t="shared" si="24"/>
        <v>44081</v>
      </c>
      <c r="L1575" s="17">
        <v>0.54166666666666663</v>
      </c>
      <c r="M1575" s="14">
        <v>468</v>
      </c>
      <c r="N1575" s="14">
        <v>0</v>
      </c>
      <c r="O1575" s="14">
        <v>0</v>
      </c>
      <c r="P1575" s="14">
        <v>468</v>
      </c>
      <c r="Q1575">
        <v>10438</v>
      </c>
      <c r="R1575">
        <v>357</v>
      </c>
      <c r="S1575">
        <v>2733</v>
      </c>
    </row>
    <row r="1576" spans="11:19" x14ac:dyDescent="0.3">
      <c r="K1576" s="16">
        <f t="shared" si="24"/>
        <v>44081</v>
      </c>
      <c r="L1576" s="17">
        <v>0.58333333333333337</v>
      </c>
      <c r="M1576" s="14">
        <v>468</v>
      </c>
      <c r="N1576" s="14">
        <v>0</v>
      </c>
      <c r="O1576" s="14">
        <v>0</v>
      </c>
      <c r="P1576" s="14">
        <v>468</v>
      </c>
      <c r="Q1576">
        <v>10585</v>
      </c>
      <c r="R1576">
        <v>361</v>
      </c>
      <c r="S1576">
        <v>2698</v>
      </c>
    </row>
    <row r="1577" spans="11:19" x14ac:dyDescent="0.3">
      <c r="K1577" s="16">
        <f t="shared" si="24"/>
        <v>44081</v>
      </c>
      <c r="L1577" s="17">
        <v>0.625</v>
      </c>
      <c r="M1577" s="14">
        <v>468</v>
      </c>
      <c r="N1577" s="14">
        <v>0</v>
      </c>
      <c r="O1577" s="14">
        <v>0</v>
      </c>
      <c r="P1577" s="14">
        <v>468</v>
      </c>
      <c r="Q1577">
        <v>10477</v>
      </c>
      <c r="R1577">
        <v>467</v>
      </c>
      <c r="S1577">
        <v>2519</v>
      </c>
    </row>
    <row r="1578" spans="11:19" x14ac:dyDescent="0.3">
      <c r="K1578" s="16">
        <f t="shared" si="24"/>
        <v>44081</v>
      </c>
      <c r="L1578" s="17">
        <v>0.66666666666666663</v>
      </c>
      <c r="M1578" s="14">
        <v>468</v>
      </c>
      <c r="N1578" s="14">
        <v>1536</v>
      </c>
      <c r="O1578" s="14">
        <v>0</v>
      </c>
      <c r="P1578" s="14">
        <v>2004</v>
      </c>
      <c r="Q1578">
        <v>10309</v>
      </c>
      <c r="R1578">
        <v>531</v>
      </c>
      <c r="S1578">
        <v>2153</v>
      </c>
    </row>
    <row r="1579" spans="11:19" x14ac:dyDescent="0.3">
      <c r="K1579" s="16">
        <f t="shared" si="24"/>
        <v>44081</v>
      </c>
      <c r="L1579" s="17">
        <v>0.70833333333333337</v>
      </c>
      <c r="M1579" s="14">
        <v>468</v>
      </c>
      <c r="N1579" s="14">
        <v>0</v>
      </c>
      <c r="O1579" s="14">
        <v>0</v>
      </c>
      <c r="P1579" s="14">
        <v>468</v>
      </c>
      <c r="Q1579">
        <v>10165</v>
      </c>
      <c r="R1579">
        <v>675</v>
      </c>
      <c r="S1579">
        <v>1601</v>
      </c>
    </row>
    <row r="1580" spans="11:19" x14ac:dyDescent="0.3">
      <c r="K1580" s="16">
        <f t="shared" si="24"/>
        <v>44081</v>
      </c>
      <c r="L1580" s="17">
        <v>0.75</v>
      </c>
      <c r="M1580" s="14">
        <v>468</v>
      </c>
      <c r="N1580" s="14">
        <v>0</v>
      </c>
      <c r="O1580" s="14">
        <v>0</v>
      </c>
      <c r="P1580" s="14">
        <v>468</v>
      </c>
      <c r="Q1580">
        <v>10143</v>
      </c>
      <c r="R1580">
        <v>884</v>
      </c>
      <c r="S1580">
        <v>921</v>
      </c>
    </row>
    <row r="1581" spans="11:19" x14ac:dyDescent="0.3">
      <c r="K1581" s="16">
        <f t="shared" si="24"/>
        <v>44081</v>
      </c>
      <c r="L1581" s="17">
        <v>0.79166666666666663</v>
      </c>
      <c r="M1581" s="14">
        <v>468</v>
      </c>
      <c r="N1581" s="14">
        <v>1536</v>
      </c>
      <c r="O1581" s="14">
        <v>0</v>
      </c>
      <c r="P1581" s="14">
        <v>2004</v>
      </c>
      <c r="Q1581">
        <v>9996</v>
      </c>
      <c r="R1581">
        <v>951</v>
      </c>
      <c r="S1581">
        <v>263</v>
      </c>
    </row>
    <row r="1582" spans="11:19" x14ac:dyDescent="0.3">
      <c r="K1582" s="16">
        <f t="shared" si="24"/>
        <v>44081</v>
      </c>
      <c r="L1582" s="17">
        <v>0.83333333333333337</v>
      </c>
      <c r="M1582" s="14">
        <v>468</v>
      </c>
      <c r="N1582" s="14">
        <v>0</v>
      </c>
      <c r="O1582" s="14">
        <v>0</v>
      </c>
      <c r="P1582" s="14">
        <v>468</v>
      </c>
      <c r="Q1582">
        <v>9568</v>
      </c>
      <c r="R1582">
        <v>1075</v>
      </c>
      <c r="S1582">
        <v>38</v>
      </c>
    </row>
    <row r="1583" spans="11:19" x14ac:dyDescent="0.3">
      <c r="K1583" s="16">
        <f t="shared" si="24"/>
        <v>44081</v>
      </c>
      <c r="L1583" s="17">
        <v>0.875</v>
      </c>
      <c r="M1583" s="14">
        <v>468</v>
      </c>
      <c r="N1583" s="14">
        <v>1536</v>
      </c>
      <c r="O1583" s="14">
        <v>0</v>
      </c>
      <c r="P1583" s="14">
        <v>2004</v>
      </c>
      <c r="Q1583">
        <v>9166</v>
      </c>
      <c r="R1583">
        <v>984</v>
      </c>
      <c r="S1583">
        <v>0</v>
      </c>
    </row>
    <row r="1584" spans="11:19" x14ac:dyDescent="0.3">
      <c r="K1584" s="16">
        <f t="shared" si="24"/>
        <v>44081</v>
      </c>
      <c r="L1584" s="17">
        <v>0.91666666666666663</v>
      </c>
      <c r="M1584" s="14">
        <v>468</v>
      </c>
      <c r="N1584" s="14">
        <v>0</v>
      </c>
      <c r="O1584" s="14">
        <v>0</v>
      </c>
      <c r="P1584" s="14">
        <v>468</v>
      </c>
      <c r="Q1584">
        <v>9273</v>
      </c>
      <c r="R1584">
        <v>1135</v>
      </c>
      <c r="S1584">
        <v>0</v>
      </c>
    </row>
    <row r="1585" spans="11:19" x14ac:dyDescent="0.3">
      <c r="K1585" s="16">
        <f t="shared" si="24"/>
        <v>44081</v>
      </c>
      <c r="L1585" s="17">
        <v>0.95833333333333337</v>
      </c>
      <c r="M1585" s="14">
        <v>468</v>
      </c>
      <c r="N1585" s="14">
        <v>0</v>
      </c>
      <c r="O1585" s="14">
        <v>0</v>
      </c>
      <c r="P1585" s="14">
        <v>468</v>
      </c>
      <c r="Q1585">
        <v>9094</v>
      </c>
      <c r="R1585">
        <v>1136</v>
      </c>
      <c r="S1585">
        <v>0</v>
      </c>
    </row>
    <row r="1586" spans="11:19" x14ac:dyDescent="0.3">
      <c r="K1586" s="16">
        <f t="shared" si="24"/>
        <v>44082</v>
      </c>
      <c r="L1586" s="17">
        <v>0</v>
      </c>
      <c r="M1586" s="14">
        <v>468</v>
      </c>
      <c r="N1586" s="14">
        <v>0</v>
      </c>
      <c r="O1586" s="14">
        <v>0</v>
      </c>
      <c r="P1586" s="14">
        <v>468</v>
      </c>
      <c r="Q1586">
        <v>8333</v>
      </c>
      <c r="R1586">
        <v>1193</v>
      </c>
      <c r="S1586">
        <v>0</v>
      </c>
    </row>
    <row r="1587" spans="11:19" x14ac:dyDescent="0.3">
      <c r="K1587" s="16">
        <f t="shared" si="24"/>
        <v>44082</v>
      </c>
      <c r="L1587" s="17">
        <v>4.1666666666666664E-2</v>
      </c>
      <c r="M1587" s="14">
        <v>468</v>
      </c>
      <c r="N1587" s="14">
        <v>1166</v>
      </c>
      <c r="O1587" s="14">
        <v>0</v>
      </c>
      <c r="P1587" s="14">
        <v>1634</v>
      </c>
      <c r="Q1587">
        <v>7939</v>
      </c>
      <c r="R1587">
        <v>850</v>
      </c>
      <c r="S1587">
        <v>0</v>
      </c>
    </row>
    <row r="1588" spans="11:19" x14ac:dyDescent="0.3">
      <c r="K1588" s="16">
        <f t="shared" si="24"/>
        <v>44082</v>
      </c>
      <c r="L1588" s="17">
        <v>8.3333333333333329E-2</v>
      </c>
      <c r="M1588" s="14">
        <v>468</v>
      </c>
      <c r="N1588" s="14">
        <v>1061</v>
      </c>
      <c r="O1588" s="14">
        <v>0</v>
      </c>
      <c r="P1588" s="14">
        <v>1529</v>
      </c>
      <c r="Q1588">
        <v>7651</v>
      </c>
      <c r="R1588">
        <v>667</v>
      </c>
      <c r="S1588">
        <v>0</v>
      </c>
    </row>
    <row r="1589" spans="11:19" x14ac:dyDescent="0.3">
      <c r="K1589" s="16">
        <f t="shared" si="24"/>
        <v>44082</v>
      </c>
      <c r="L1589" s="17">
        <v>0.125</v>
      </c>
      <c r="M1589" s="14">
        <v>468</v>
      </c>
      <c r="N1589" s="14">
        <v>0</v>
      </c>
      <c r="O1589" s="14">
        <v>0</v>
      </c>
      <c r="P1589" s="14">
        <v>468</v>
      </c>
      <c r="Q1589">
        <v>7323</v>
      </c>
      <c r="R1589">
        <v>572</v>
      </c>
      <c r="S1589">
        <v>0</v>
      </c>
    </row>
    <row r="1590" spans="11:19" x14ac:dyDescent="0.3">
      <c r="K1590" s="16">
        <f t="shared" si="24"/>
        <v>44082</v>
      </c>
      <c r="L1590" s="17">
        <v>0.16666666666666666</v>
      </c>
      <c r="M1590" s="14">
        <v>468</v>
      </c>
      <c r="N1590" s="14">
        <v>734</v>
      </c>
      <c r="O1590" s="14">
        <v>0</v>
      </c>
      <c r="P1590" s="14">
        <v>1202</v>
      </c>
      <c r="Q1590">
        <v>7277</v>
      </c>
      <c r="R1590">
        <v>614</v>
      </c>
      <c r="S1590">
        <v>0</v>
      </c>
    </row>
    <row r="1591" spans="11:19" x14ac:dyDescent="0.3">
      <c r="K1591" s="16">
        <f t="shared" si="24"/>
        <v>44082</v>
      </c>
      <c r="L1591" s="17">
        <v>0.20833333333333334</v>
      </c>
      <c r="M1591" s="14">
        <v>468</v>
      </c>
      <c r="N1591" s="14">
        <v>964</v>
      </c>
      <c r="O1591" s="14">
        <v>0</v>
      </c>
      <c r="P1591" s="14">
        <v>1432</v>
      </c>
      <c r="Q1591">
        <v>7594</v>
      </c>
      <c r="R1591">
        <v>681</v>
      </c>
      <c r="S1591">
        <v>0</v>
      </c>
    </row>
    <row r="1592" spans="11:19" x14ac:dyDescent="0.3">
      <c r="K1592" s="16">
        <f t="shared" si="24"/>
        <v>44082</v>
      </c>
      <c r="L1592" s="17">
        <v>0.25</v>
      </c>
      <c r="M1592" s="14">
        <v>468</v>
      </c>
      <c r="N1592" s="14">
        <v>0</v>
      </c>
      <c r="O1592" s="14">
        <v>0</v>
      </c>
      <c r="P1592" s="14">
        <v>468</v>
      </c>
      <c r="Q1592">
        <v>8419</v>
      </c>
      <c r="R1592">
        <v>665</v>
      </c>
      <c r="S1592">
        <v>0</v>
      </c>
    </row>
    <row r="1593" spans="11:19" x14ac:dyDescent="0.3">
      <c r="K1593" s="16">
        <f t="shared" si="24"/>
        <v>44082</v>
      </c>
      <c r="L1593" s="17">
        <v>0.29166666666666669</v>
      </c>
      <c r="M1593" s="14">
        <v>468</v>
      </c>
      <c r="N1593" s="14">
        <v>0</v>
      </c>
      <c r="O1593" s="14">
        <v>0</v>
      </c>
      <c r="P1593" s="14">
        <v>468</v>
      </c>
      <c r="Q1593">
        <v>9159</v>
      </c>
      <c r="R1593">
        <v>656</v>
      </c>
      <c r="S1593">
        <v>40</v>
      </c>
    </row>
    <row r="1594" spans="11:19" x14ac:dyDescent="0.3">
      <c r="K1594" s="16">
        <f t="shared" si="24"/>
        <v>44082</v>
      </c>
      <c r="L1594" s="17">
        <v>0.33333333333333331</v>
      </c>
      <c r="M1594" s="14">
        <v>468</v>
      </c>
      <c r="N1594" s="14">
        <v>1688</v>
      </c>
      <c r="O1594" s="14">
        <v>0</v>
      </c>
      <c r="P1594" s="14">
        <v>2156</v>
      </c>
      <c r="Q1594">
        <v>9625</v>
      </c>
      <c r="R1594">
        <v>512</v>
      </c>
      <c r="S1594">
        <v>450</v>
      </c>
    </row>
    <row r="1595" spans="11:19" x14ac:dyDescent="0.3">
      <c r="K1595" s="16">
        <f t="shared" si="24"/>
        <v>44082</v>
      </c>
      <c r="L1595" s="17">
        <v>0.375</v>
      </c>
      <c r="M1595" s="14">
        <v>468</v>
      </c>
      <c r="N1595" s="14">
        <v>1688</v>
      </c>
      <c r="O1595" s="14">
        <v>0</v>
      </c>
      <c r="P1595" s="14">
        <v>2156</v>
      </c>
      <c r="Q1595">
        <v>10054</v>
      </c>
      <c r="R1595">
        <v>739</v>
      </c>
      <c r="S1595">
        <v>1117</v>
      </c>
    </row>
    <row r="1596" spans="11:19" x14ac:dyDescent="0.3">
      <c r="K1596" s="16">
        <f t="shared" si="24"/>
        <v>44082</v>
      </c>
      <c r="L1596" s="17">
        <v>0.41666666666666669</v>
      </c>
      <c r="M1596" s="14">
        <v>468</v>
      </c>
      <c r="N1596" s="14">
        <v>0</v>
      </c>
      <c r="O1596" s="14">
        <v>0</v>
      </c>
      <c r="P1596" s="14">
        <v>468</v>
      </c>
      <c r="Q1596">
        <v>10354</v>
      </c>
      <c r="R1596">
        <v>713</v>
      </c>
      <c r="S1596">
        <v>1788</v>
      </c>
    </row>
    <row r="1597" spans="11:19" x14ac:dyDescent="0.3">
      <c r="K1597" s="16">
        <f t="shared" si="24"/>
        <v>44082</v>
      </c>
      <c r="L1597" s="17">
        <v>0.45833333333333331</v>
      </c>
      <c r="M1597" s="14">
        <v>468</v>
      </c>
      <c r="N1597" s="14">
        <v>0</v>
      </c>
      <c r="O1597" s="14">
        <v>0</v>
      </c>
      <c r="P1597" s="14">
        <v>468</v>
      </c>
      <c r="Q1597">
        <v>10628</v>
      </c>
      <c r="R1597">
        <v>572</v>
      </c>
      <c r="S1597">
        <v>2282</v>
      </c>
    </row>
    <row r="1598" spans="11:19" x14ac:dyDescent="0.3">
      <c r="K1598" s="16">
        <f t="shared" si="24"/>
        <v>44082</v>
      </c>
      <c r="L1598" s="17">
        <v>0.5</v>
      </c>
      <c r="M1598" s="14">
        <v>468</v>
      </c>
      <c r="N1598" s="14">
        <v>1554</v>
      </c>
      <c r="O1598" s="14">
        <v>0</v>
      </c>
      <c r="P1598" s="14">
        <v>2022</v>
      </c>
      <c r="Q1598">
        <v>10775</v>
      </c>
      <c r="R1598">
        <v>685</v>
      </c>
      <c r="S1598">
        <v>2621</v>
      </c>
    </row>
    <row r="1599" spans="11:19" x14ac:dyDescent="0.3">
      <c r="K1599" s="16">
        <f t="shared" si="24"/>
        <v>44082</v>
      </c>
      <c r="L1599" s="17">
        <v>0.54166666666666663</v>
      </c>
      <c r="M1599" s="14">
        <v>468</v>
      </c>
      <c r="N1599" s="14">
        <v>1410</v>
      </c>
      <c r="O1599" s="14">
        <v>0</v>
      </c>
      <c r="P1599" s="14">
        <v>1878</v>
      </c>
      <c r="Q1599">
        <v>10733</v>
      </c>
      <c r="R1599">
        <v>671</v>
      </c>
      <c r="S1599">
        <v>2738</v>
      </c>
    </row>
    <row r="1600" spans="11:19" x14ac:dyDescent="0.3">
      <c r="K1600" s="16">
        <f t="shared" si="24"/>
        <v>44082</v>
      </c>
      <c r="L1600" s="17">
        <v>0.58333333333333337</v>
      </c>
      <c r="M1600" s="14">
        <v>468</v>
      </c>
      <c r="N1600" s="14">
        <v>1398</v>
      </c>
      <c r="O1600" s="14">
        <v>0</v>
      </c>
      <c r="P1600" s="14">
        <v>1866</v>
      </c>
      <c r="Q1600">
        <v>10876</v>
      </c>
      <c r="R1600">
        <v>790</v>
      </c>
      <c r="S1600">
        <v>2694</v>
      </c>
    </row>
    <row r="1601" spans="11:19" x14ac:dyDescent="0.3">
      <c r="K1601" s="16">
        <f t="shared" si="24"/>
        <v>44082</v>
      </c>
      <c r="L1601" s="17">
        <v>0.625</v>
      </c>
      <c r="M1601" s="14">
        <v>468</v>
      </c>
      <c r="N1601" s="14">
        <v>0</v>
      </c>
      <c r="O1601" s="14">
        <v>0</v>
      </c>
      <c r="P1601" s="14">
        <v>468</v>
      </c>
      <c r="Q1601">
        <v>10769</v>
      </c>
      <c r="R1601">
        <v>934</v>
      </c>
      <c r="S1601">
        <v>2520</v>
      </c>
    </row>
    <row r="1602" spans="11:19" x14ac:dyDescent="0.3">
      <c r="K1602" s="16">
        <f t="shared" si="24"/>
        <v>44082</v>
      </c>
      <c r="L1602" s="17">
        <v>0.66666666666666663</v>
      </c>
      <c r="M1602" s="14">
        <v>468</v>
      </c>
      <c r="N1602" s="14">
        <v>0</v>
      </c>
      <c r="O1602" s="14">
        <v>0</v>
      </c>
      <c r="P1602" s="14">
        <v>468</v>
      </c>
      <c r="Q1602">
        <v>10618</v>
      </c>
      <c r="R1602">
        <v>1031</v>
      </c>
      <c r="S1602">
        <v>2157</v>
      </c>
    </row>
    <row r="1603" spans="11:19" x14ac:dyDescent="0.3">
      <c r="K1603" s="16">
        <f t="shared" si="24"/>
        <v>44082</v>
      </c>
      <c r="L1603" s="17">
        <v>0.70833333333333337</v>
      </c>
      <c r="M1603" s="14">
        <v>468</v>
      </c>
      <c r="N1603" s="14">
        <v>1621</v>
      </c>
      <c r="O1603" s="14">
        <v>0</v>
      </c>
      <c r="P1603" s="14">
        <v>2089</v>
      </c>
      <c r="Q1603">
        <v>10470</v>
      </c>
      <c r="R1603">
        <v>1252</v>
      </c>
      <c r="S1603">
        <v>1596</v>
      </c>
    </row>
    <row r="1604" spans="11:19" x14ac:dyDescent="0.3">
      <c r="K1604" s="16">
        <f t="shared" si="24"/>
        <v>44082</v>
      </c>
      <c r="L1604" s="17">
        <v>0.75</v>
      </c>
      <c r="M1604" s="14">
        <v>468</v>
      </c>
      <c r="N1604" s="14">
        <v>0</v>
      </c>
      <c r="O1604" s="14">
        <v>0</v>
      </c>
      <c r="P1604" s="14">
        <v>468</v>
      </c>
      <c r="Q1604">
        <v>10370</v>
      </c>
      <c r="R1604">
        <v>1258</v>
      </c>
      <c r="S1604">
        <v>912</v>
      </c>
    </row>
    <row r="1605" spans="11:19" x14ac:dyDescent="0.3">
      <c r="K1605" s="16">
        <f t="shared" si="24"/>
        <v>44082</v>
      </c>
      <c r="L1605" s="17">
        <v>0.79166666666666663</v>
      </c>
      <c r="M1605" s="14">
        <v>468</v>
      </c>
      <c r="N1605" s="14">
        <v>1688</v>
      </c>
      <c r="O1605" s="14">
        <v>0</v>
      </c>
      <c r="P1605" s="14">
        <v>2156</v>
      </c>
      <c r="Q1605">
        <v>10087</v>
      </c>
      <c r="R1605">
        <v>1318</v>
      </c>
      <c r="S1605">
        <v>247</v>
      </c>
    </row>
    <row r="1606" spans="11:19" x14ac:dyDescent="0.3">
      <c r="K1606" s="16">
        <f t="shared" si="24"/>
        <v>44082</v>
      </c>
      <c r="L1606" s="17">
        <v>0.83333333333333337</v>
      </c>
      <c r="M1606" s="14">
        <v>468</v>
      </c>
      <c r="N1606" s="14">
        <v>0</v>
      </c>
      <c r="O1606" s="14">
        <v>0</v>
      </c>
      <c r="P1606" s="14">
        <v>468</v>
      </c>
      <c r="Q1606">
        <v>9662</v>
      </c>
      <c r="R1606">
        <v>1405</v>
      </c>
      <c r="S1606">
        <v>33</v>
      </c>
    </row>
    <row r="1607" spans="11:19" x14ac:dyDescent="0.3">
      <c r="K1607" s="16">
        <f t="shared" si="24"/>
        <v>44082</v>
      </c>
      <c r="L1607" s="17">
        <v>0.875</v>
      </c>
      <c r="M1607" s="14">
        <v>468</v>
      </c>
      <c r="N1607" s="14">
        <v>1688</v>
      </c>
      <c r="O1607" s="14">
        <v>0</v>
      </c>
      <c r="P1607" s="14">
        <v>2156</v>
      </c>
      <c r="Q1607">
        <v>9313</v>
      </c>
      <c r="R1607">
        <v>1170</v>
      </c>
      <c r="S1607">
        <v>0</v>
      </c>
    </row>
    <row r="1608" spans="11:19" x14ac:dyDescent="0.3">
      <c r="K1608" s="16">
        <f t="shared" si="24"/>
        <v>44082</v>
      </c>
      <c r="L1608" s="17">
        <v>0.91666666666666663</v>
      </c>
      <c r="M1608" s="14">
        <v>468</v>
      </c>
      <c r="N1608" s="14">
        <v>0</v>
      </c>
      <c r="O1608" s="14">
        <v>0</v>
      </c>
      <c r="P1608" s="14">
        <v>468</v>
      </c>
      <c r="Q1608">
        <v>9406</v>
      </c>
      <c r="R1608">
        <v>941</v>
      </c>
      <c r="S1608">
        <v>0</v>
      </c>
    </row>
    <row r="1609" spans="11:19" x14ac:dyDescent="0.3">
      <c r="K1609" s="16">
        <f t="shared" si="24"/>
        <v>44082</v>
      </c>
      <c r="L1609" s="17">
        <v>0.95833333333333337</v>
      </c>
      <c r="M1609" s="14">
        <v>468</v>
      </c>
      <c r="N1609" s="14">
        <v>0</v>
      </c>
      <c r="O1609" s="14">
        <v>0</v>
      </c>
      <c r="P1609" s="14">
        <v>468</v>
      </c>
      <c r="Q1609">
        <v>9212</v>
      </c>
      <c r="R1609">
        <v>1074</v>
      </c>
      <c r="S1609">
        <v>0</v>
      </c>
    </row>
    <row r="1610" spans="11:19" x14ac:dyDescent="0.3">
      <c r="K1610" s="16">
        <f t="shared" si="24"/>
        <v>44083</v>
      </c>
      <c r="L1610" s="17">
        <v>0</v>
      </c>
      <c r="M1610" s="14">
        <v>468</v>
      </c>
      <c r="N1610" s="14">
        <v>0</v>
      </c>
      <c r="O1610" s="14">
        <v>0</v>
      </c>
      <c r="P1610" s="14">
        <v>468</v>
      </c>
      <c r="Q1610">
        <v>8317</v>
      </c>
      <c r="R1610">
        <v>1115</v>
      </c>
      <c r="S1610">
        <v>0</v>
      </c>
    </row>
    <row r="1611" spans="11:19" x14ac:dyDescent="0.3">
      <c r="K1611" s="16">
        <f t="shared" si="24"/>
        <v>44083</v>
      </c>
      <c r="L1611" s="17">
        <v>4.1666666666666664E-2</v>
      </c>
      <c r="M1611" s="14">
        <v>468</v>
      </c>
      <c r="N1611" s="14">
        <v>0</v>
      </c>
      <c r="O1611" s="14">
        <v>0</v>
      </c>
      <c r="P1611" s="14">
        <v>468</v>
      </c>
      <c r="Q1611">
        <v>7918</v>
      </c>
      <c r="R1611">
        <v>954</v>
      </c>
      <c r="S1611">
        <v>0</v>
      </c>
    </row>
    <row r="1612" spans="11:19" x14ac:dyDescent="0.3">
      <c r="K1612" s="16">
        <f t="shared" si="24"/>
        <v>44083</v>
      </c>
      <c r="L1612" s="17">
        <v>8.3333333333333329E-2</v>
      </c>
      <c r="M1612" s="14">
        <v>468</v>
      </c>
      <c r="N1612" s="14">
        <v>0</v>
      </c>
      <c r="O1612" s="14">
        <v>0</v>
      </c>
      <c r="P1612" s="14">
        <v>468</v>
      </c>
      <c r="Q1612">
        <v>7624</v>
      </c>
      <c r="R1612">
        <v>724</v>
      </c>
      <c r="S1612">
        <v>0</v>
      </c>
    </row>
    <row r="1613" spans="11:19" x14ac:dyDescent="0.3">
      <c r="K1613" s="16">
        <f t="shared" si="24"/>
        <v>44083</v>
      </c>
      <c r="L1613" s="17">
        <v>0.125</v>
      </c>
      <c r="M1613" s="14">
        <v>468</v>
      </c>
      <c r="N1613" s="14">
        <v>886</v>
      </c>
      <c r="O1613" s="14">
        <v>0</v>
      </c>
      <c r="P1613" s="14">
        <v>1354</v>
      </c>
      <c r="Q1613">
        <v>7289</v>
      </c>
      <c r="R1613">
        <v>639</v>
      </c>
      <c r="S1613">
        <v>0</v>
      </c>
    </row>
    <row r="1614" spans="11:19" x14ac:dyDescent="0.3">
      <c r="K1614" s="16">
        <f t="shared" si="24"/>
        <v>44083</v>
      </c>
      <c r="L1614" s="17">
        <v>0.16666666666666666</v>
      </c>
      <c r="M1614" s="14">
        <v>468</v>
      </c>
      <c r="N1614" s="14">
        <v>739</v>
      </c>
      <c r="O1614" s="14">
        <v>0</v>
      </c>
      <c r="P1614" s="14">
        <v>1207</v>
      </c>
      <c r="Q1614">
        <v>7235</v>
      </c>
      <c r="R1614">
        <v>728</v>
      </c>
      <c r="S1614">
        <v>0</v>
      </c>
    </row>
    <row r="1615" spans="11:19" x14ac:dyDescent="0.3">
      <c r="K1615" s="16">
        <f t="shared" si="24"/>
        <v>44083</v>
      </c>
      <c r="L1615" s="17">
        <v>0.20833333333333334</v>
      </c>
      <c r="M1615" s="14">
        <v>468</v>
      </c>
      <c r="N1615" s="14">
        <v>0</v>
      </c>
      <c r="O1615" s="14">
        <v>0</v>
      </c>
      <c r="P1615" s="14">
        <v>468</v>
      </c>
      <c r="Q1615">
        <v>7549</v>
      </c>
      <c r="R1615">
        <v>741</v>
      </c>
      <c r="S1615">
        <v>0</v>
      </c>
    </row>
    <row r="1616" spans="11:19" x14ac:dyDescent="0.3">
      <c r="K1616" s="16">
        <f t="shared" si="24"/>
        <v>44083</v>
      </c>
      <c r="L1616" s="17">
        <v>0.25</v>
      </c>
      <c r="M1616" s="14">
        <v>468</v>
      </c>
      <c r="N1616" s="14">
        <v>0</v>
      </c>
      <c r="O1616" s="14">
        <v>0</v>
      </c>
      <c r="P1616" s="14">
        <v>468</v>
      </c>
      <c r="Q1616">
        <v>8372</v>
      </c>
      <c r="R1616">
        <v>719</v>
      </c>
      <c r="S1616">
        <v>0</v>
      </c>
    </row>
    <row r="1617" spans="11:19" x14ac:dyDescent="0.3">
      <c r="K1617" s="16">
        <f t="shared" si="24"/>
        <v>44083</v>
      </c>
      <c r="L1617" s="17">
        <v>0.29166666666666669</v>
      </c>
      <c r="M1617" s="14">
        <v>468</v>
      </c>
      <c r="N1617" s="14">
        <v>1749</v>
      </c>
      <c r="O1617" s="14">
        <v>0</v>
      </c>
      <c r="P1617" s="14">
        <v>2217</v>
      </c>
      <c r="Q1617">
        <v>9098</v>
      </c>
      <c r="R1617">
        <v>629</v>
      </c>
      <c r="S1617">
        <v>34</v>
      </c>
    </row>
    <row r="1618" spans="11:19" x14ac:dyDescent="0.3">
      <c r="K1618" s="16">
        <f t="shared" si="24"/>
        <v>44083</v>
      </c>
      <c r="L1618" s="17">
        <v>0.33333333333333331</v>
      </c>
      <c r="M1618" s="14">
        <v>468</v>
      </c>
      <c r="N1618" s="14">
        <v>0</v>
      </c>
      <c r="O1618" s="14">
        <v>0</v>
      </c>
      <c r="P1618" s="14">
        <v>468</v>
      </c>
      <c r="Q1618">
        <v>9556</v>
      </c>
      <c r="R1618">
        <v>622</v>
      </c>
      <c r="S1618">
        <v>411</v>
      </c>
    </row>
    <row r="1619" spans="11:19" x14ac:dyDescent="0.3">
      <c r="K1619" s="16">
        <f t="shared" si="24"/>
        <v>44083</v>
      </c>
      <c r="L1619" s="17">
        <v>0.375</v>
      </c>
      <c r="M1619" s="14">
        <v>468</v>
      </c>
      <c r="N1619" s="14">
        <v>1749</v>
      </c>
      <c r="O1619" s="14">
        <v>0</v>
      </c>
      <c r="P1619" s="14">
        <v>2217</v>
      </c>
      <c r="Q1619">
        <v>9968</v>
      </c>
      <c r="R1619">
        <v>817</v>
      </c>
      <c r="S1619">
        <v>1062</v>
      </c>
    </row>
    <row r="1620" spans="11:19" x14ac:dyDescent="0.3">
      <c r="K1620" s="16">
        <f t="shared" si="24"/>
        <v>44083</v>
      </c>
      <c r="L1620" s="17">
        <v>0.41666666666666669</v>
      </c>
      <c r="M1620" s="14">
        <v>468</v>
      </c>
      <c r="N1620" s="14">
        <v>0</v>
      </c>
      <c r="O1620" s="14">
        <v>0</v>
      </c>
      <c r="P1620" s="14">
        <v>468</v>
      </c>
      <c r="Q1620">
        <v>10248</v>
      </c>
      <c r="R1620">
        <v>761</v>
      </c>
      <c r="S1620">
        <v>1695</v>
      </c>
    </row>
    <row r="1621" spans="11:19" x14ac:dyDescent="0.3">
      <c r="K1621" s="16">
        <f t="shared" si="24"/>
        <v>44083</v>
      </c>
      <c r="L1621" s="17">
        <v>0.45833333333333331</v>
      </c>
      <c r="M1621" s="14">
        <v>468</v>
      </c>
      <c r="N1621" s="14">
        <v>1652</v>
      </c>
      <c r="O1621" s="14">
        <v>0</v>
      </c>
      <c r="P1621" s="14">
        <v>2120</v>
      </c>
      <c r="Q1621">
        <v>10507</v>
      </c>
      <c r="R1621">
        <v>776</v>
      </c>
      <c r="S1621">
        <v>2163</v>
      </c>
    </row>
    <row r="1622" spans="11:19" x14ac:dyDescent="0.3">
      <c r="K1622" s="16">
        <f t="shared" si="24"/>
        <v>44083</v>
      </c>
      <c r="L1622" s="17">
        <v>0.5</v>
      </c>
      <c r="M1622" s="14">
        <v>468</v>
      </c>
      <c r="N1622" s="14">
        <v>0</v>
      </c>
      <c r="O1622" s="14">
        <v>0</v>
      </c>
      <c r="P1622" s="14">
        <v>468</v>
      </c>
      <c r="Q1622">
        <v>10644</v>
      </c>
      <c r="R1622">
        <v>789</v>
      </c>
      <c r="S1622">
        <v>2476</v>
      </c>
    </row>
    <row r="1623" spans="11:19" x14ac:dyDescent="0.3">
      <c r="K1623" s="16">
        <f t="shared" si="24"/>
        <v>44083</v>
      </c>
      <c r="L1623" s="17">
        <v>0.54166666666666663</v>
      </c>
      <c r="M1623" s="14">
        <v>468</v>
      </c>
      <c r="N1623" s="14">
        <v>1322</v>
      </c>
      <c r="O1623" s="14">
        <v>0</v>
      </c>
      <c r="P1623" s="14">
        <v>1790</v>
      </c>
      <c r="Q1623">
        <v>10590</v>
      </c>
      <c r="R1623">
        <v>748</v>
      </c>
      <c r="S1623">
        <v>2606</v>
      </c>
    </row>
    <row r="1624" spans="11:19" x14ac:dyDescent="0.3">
      <c r="K1624" s="16">
        <f t="shared" si="24"/>
        <v>44083</v>
      </c>
      <c r="L1624" s="17">
        <v>0.58333333333333337</v>
      </c>
      <c r="M1624" s="14">
        <v>468</v>
      </c>
      <c r="N1624" s="14">
        <v>1485</v>
      </c>
      <c r="O1624" s="14">
        <v>0</v>
      </c>
      <c r="P1624" s="14">
        <v>1953</v>
      </c>
      <c r="Q1624">
        <v>10709</v>
      </c>
      <c r="R1624">
        <v>736</v>
      </c>
      <c r="S1624">
        <v>2574</v>
      </c>
    </row>
    <row r="1625" spans="11:19" x14ac:dyDescent="0.3">
      <c r="K1625" s="16">
        <f t="shared" si="24"/>
        <v>44083</v>
      </c>
      <c r="L1625" s="17">
        <v>0.625</v>
      </c>
      <c r="M1625" s="14">
        <v>468</v>
      </c>
      <c r="N1625" s="14">
        <v>1510</v>
      </c>
      <c r="O1625" s="14">
        <v>0</v>
      </c>
      <c r="P1625" s="14">
        <v>1978</v>
      </c>
      <c r="Q1625">
        <v>10589</v>
      </c>
      <c r="R1625">
        <v>705</v>
      </c>
      <c r="S1625">
        <v>2380</v>
      </c>
    </row>
    <row r="1626" spans="11:19" x14ac:dyDescent="0.3">
      <c r="K1626" s="16">
        <f t="shared" si="24"/>
        <v>44083</v>
      </c>
      <c r="L1626" s="17">
        <v>0.66666666666666663</v>
      </c>
      <c r="M1626" s="14">
        <v>468</v>
      </c>
      <c r="N1626" s="14">
        <v>0</v>
      </c>
      <c r="O1626" s="14">
        <v>0</v>
      </c>
      <c r="P1626" s="14">
        <v>468</v>
      </c>
      <c r="Q1626">
        <v>10435</v>
      </c>
      <c r="R1626">
        <v>706</v>
      </c>
      <c r="S1626">
        <v>2049</v>
      </c>
    </row>
    <row r="1627" spans="11:19" x14ac:dyDescent="0.3">
      <c r="K1627" s="16">
        <f t="shared" ref="K1627:K1690" si="25">K1603+1</f>
        <v>44083</v>
      </c>
      <c r="L1627" s="17">
        <v>0.70833333333333337</v>
      </c>
      <c r="M1627" s="14">
        <v>468</v>
      </c>
      <c r="N1627" s="14">
        <v>0</v>
      </c>
      <c r="O1627" s="14">
        <v>0</v>
      </c>
      <c r="P1627" s="14">
        <v>468</v>
      </c>
      <c r="Q1627">
        <v>10293</v>
      </c>
      <c r="R1627">
        <v>785</v>
      </c>
      <c r="S1627">
        <v>1525</v>
      </c>
    </row>
    <row r="1628" spans="11:19" x14ac:dyDescent="0.3">
      <c r="K1628" s="16">
        <f t="shared" si="25"/>
        <v>44083</v>
      </c>
      <c r="L1628" s="17">
        <v>0.75</v>
      </c>
      <c r="M1628" s="14">
        <v>468</v>
      </c>
      <c r="N1628" s="14">
        <v>1749</v>
      </c>
      <c r="O1628" s="14">
        <v>0</v>
      </c>
      <c r="P1628" s="14">
        <v>2217</v>
      </c>
      <c r="Q1628">
        <v>10224</v>
      </c>
      <c r="R1628">
        <v>825</v>
      </c>
      <c r="S1628">
        <v>847</v>
      </c>
    </row>
    <row r="1629" spans="11:19" x14ac:dyDescent="0.3">
      <c r="K1629" s="16">
        <f t="shared" si="25"/>
        <v>44083</v>
      </c>
      <c r="L1629" s="17">
        <v>0.79166666666666663</v>
      </c>
      <c r="M1629" s="14">
        <v>468</v>
      </c>
      <c r="N1629" s="14">
        <v>428</v>
      </c>
      <c r="O1629" s="14">
        <v>0</v>
      </c>
      <c r="P1629" s="14">
        <v>896</v>
      </c>
      <c r="Q1629">
        <v>9963</v>
      </c>
      <c r="R1629">
        <v>787</v>
      </c>
      <c r="S1629">
        <v>220</v>
      </c>
    </row>
    <row r="1630" spans="11:19" x14ac:dyDescent="0.3">
      <c r="K1630" s="16">
        <f t="shared" si="25"/>
        <v>44083</v>
      </c>
      <c r="L1630" s="17">
        <v>0.83333333333333337</v>
      </c>
      <c r="M1630" s="14">
        <v>468</v>
      </c>
      <c r="N1630" s="14">
        <v>1749</v>
      </c>
      <c r="O1630" s="14">
        <v>0</v>
      </c>
      <c r="P1630" s="14">
        <v>2217</v>
      </c>
      <c r="Q1630">
        <v>9547</v>
      </c>
      <c r="R1630">
        <v>732</v>
      </c>
      <c r="S1630">
        <v>25</v>
      </c>
    </row>
    <row r="1631" spans="11:19" x14ac:dyDescent="0.3">
      <c r="K1631" s="16">
        <f t="shared" si="25"/>
        <v>44083</v>
      </c>
      <c r="L1631" s="17">
        <v>0.875</v>
      </c>
      <c r="M1631" s="14">
        <v>468</v>
      </c>
      <c r="N1631" s="14">
        <v>71</v>
      </c>
      <c r="O1631" s="14">
        <v>0</v>
      </c>
      <c r="P1631" s="14">
        <v>539</v>
      </c>
      <c r="Q1631">
        <v>9195</v>
      </c>
      <c r="R1631">
        <v>625</v>
      </c>
      <c r="S1631">
        <v>0</v>
      </c>
    </row>
    <row r="1632" spans="11:19" x14ac:dyDescent="0.3">
      <c r="K1632" s="16">
        <f t="shared" si="25"/>
        <v>44083</v>
      </c>
      <c r="L1632" s="17">
        <v>0.91666666666666663</v>
      </c>
      <c r="M1632" s="14">
        <v>468</v>
      </c>
      <c r="N1632" s="14">
        <v>213</v>
      </c>
      <c r="O1632" s="14">
        <v>0</v>
      </c>
      <c r="P1632" s="14">
        <v>681</v>
      </c>
      <c r="Q1632">
        <v>9282</v>
      </c>
      <c r="R1632">
        <v>577</v>
      </c>
      <c r="S1632">
        <v>0</v>
      </c>
    </row>
    <row r="1633" spans="11:19" x14ac:dyDescent="0.3">
      <c r="K1633" s="16">
        <f t="shared" si="25"/>
        <v>44083</v>
      </c>
      <c r="L1633" s="17">
        <v>0.95833333333333337</v>
      </c>
      <c r="M1633" s="14">
        <v>468</v>
      </c>
      <c r="N1633" s="14">
        <v>1749</v>
      </c>
      <c r="O1633" s="14">
        <v>0</v>
      </c>
      <c r="P1633" s="14">
        <v>2217</v>
      </c>
      <c r="Q1633">
        <v>9112</v>
      </c>
      <c r="R1633">
        <v>481</v>
      </c>
      <c r="S1633">
        <v>0</v>
      </c>
    </row>
    <row r="1634" spans="11:19" x14ac:dyDescent="0.3">
      <c r="K1634" s="16">
        <f t="shared" si="25"/>
        <v>44084</v>
      </c>
      <c r="L1634" s="17">
        <v>0</v>
      </c>
      <c r="M1634" s="14">
        <v>468</v>
      </c>
      <c r="N1634" s="14">
        <v>0</v>
      </c>
      <c r="O1634" s="14">
        <v>0</v>
      </c>
      <c r="P1634" s="14">
        <v>468</v>
      </c>
      <c r="Q1634">
        <v>8241</v>
      </c>
      <c r="R1634">
        <v>527</v>
      </c>
      <c r="S1634">
        <v>0</v>
      </c>
    </row>
    <row r="1635" spans="11:19" x14ac:dyDescent="0.3">
      <c r="K1635" s="16">
        <f t="shared" si="25"/>
        <v>44084</v>
      </c>
      <c r="L1635" s="17">
        <v>4.1666666666666664E-2</v>
      </c>
      <c r="M1635" s="14">
        <v>468</v>
      </c>
      <c r="N1635" s="14">
        <v>1521</v>
      </c>
      <c r="O1635" s="14">
        <v>0</v>
      </c>
      <c r="P1635" s="14">
        <v>1989</v>
      </c>
      <c r="Q1635">
        <v>7842</v>
      </c>
      <c r="R1635">
        <v>451</v>
      </c>
      <c r="S1635">
        <v>0</v>
      </c>
    </row>
    <row r="1636" spans="11:19" x14ac:dyDescent="0.3">
      <c r="K1636" s="16">
        <f t="shared" si="25"/>
        <v>44084</v>
      </c>
      <c r="L1636" s="17">
        <v>8.3333333333333329E-2</v>
      </c>
      <c r="M1636" s="14">
        <v>468</v>
      </c>
      <c r="N1636" s="14">
        <v>0</v>
      </c>
      <c r="O1636" s="14">
        <v>0</v>
      </c>
      <c r="P1636" s="14">
        <v>468</v>
      </c>
      <c r="Q1636">
        <v>7546</v>
      </c>
      <c r="R1636">
        <v>456</v>
      </c>
      <c r="S1636">
        <v>0</v>
      </c>
    </row>
    <row r="1637" spans="11:19" x14ac:dyDescent="0.3">
      <c r="K1637" s="16">
        <f t="shared" si="25"/>
        <v>44084</v>
      </c>
      <c r="L1637" s="17">
        <v>0.125</v>
      </c>
      <c r="M1637" s="14">
        <v>468</v>
      </c>
      <c r="N1637" s="14">
        <v>0</v>
      </c>
      <c r="O1637" s="14">
        <v>0</v>
      </c>
      <c r="P1637" s="14">
        <v>468</v>
      </c>
      <c r="Q1637">
        <v>7208</v>
      </c>
      <c r="R1637">
        <v>403</v>
      </c>
      <c r="S1637">
        <v>0</v>
      </c>
    </row>
    <row r="1638" spans="11:19" x14ac:dyDescent="0.3">
      <c r="K1638" s="16">
        <f t="shared" si="25"/>
        <v>44084</v>
      </c>
      <c r="L1638" s="17">
        <v>0.16666666666666666</v>
      </c>
      <c r="M1638" s="14">
        <v>468</v>
      </c>
      <c r="N1638" s="14">
        <v>108</v>
      </c>
      <c r="O1638" s="14">
        <v>0</v>
      </c>
      <c r="P1638" s="14">
        <v>576</v>
      </c>
      <c r="Q1638">
        <v>7150</v>
      </c>
      <c r="R1638">
        <v>458</v>
      </c>
      <c r="S1638">
        <v>0</v>
      </c>
    </row>
    <row r="1639" spans="11:19" x14ac:dyDescent="0.3">
      <c r="K1639" s="16">
        <f t="shared" si="25"/>
        <v>44084</v>
      </c>
      <c r="L1639" s="17">
        <v>0.20833333333333334</v>
      </c>
      <c r="M1639" s="14">
        <v>468</v>
      </c>
      <c r="N1639" s="14">
        <v>1159</v>
      </c>
      <c r="O1639" s="14">
        <v>0</v>
      </c>
      <c r="P1639" s="14">
        <v>1627</v>
      </c>
      <c r="Q1639">
        <v>7468</v>
      </c>
      <c r="R1639">
        <v>519</v>
      </c>
      <c r="S1639">
        <v>0</v>
      </c>
    </row>
    <row r="1640" spans="11:19" x14ac:dyDescent="0.3">
      <c r="K1640" s="16">
        <f t="shared" si="25"/>
        <v>44084</v>
      </c>
      <c r="L1640" s="17">
        <v>0.25</v>
      </c>
      <c r="M1640" s="14">
        <v>468</v>
      </c>
      <c r="N1640" s="14">
        <v>1521</v>
      </c>
      <c r="O1640" s="14">
        <v>0</v>
      </c>
      <c r="P1640" s="14">
        <v>1989</v>
      </c>
      <c r="Q1640">
        <v>8296</v>
      </c>
      <c r="R1640">
        <v>582</v>
      </c>
      <c r="S1640">
        <v>0</v>
      </c>
    </row>
    <row r="1641" spans="11:19" x14ac:dyDescent="0.3">
      <c r="K1641" s="16">
        <f t="shared" si="25"/>
        <v>44084</v>
      </c>
      <c r="L1641" s="17">
        <v>0.29166666666666669</v>
      </c>
      <c r="M1641" s="14">
        <v>468</v>
      </c>
      <c r="N1641" s="14">
        <v>0</v>
      </c>
      <c r="O1641" s="14">
        <v>0</v>
      </c>
      <c r="P1641" s="14">
        <v>468</v>
      </c>
      <c r="Q1641">
        <v>9010</v>
      </c>
      <c r="R1641">
        <v>587</v>
      </c>
      <c r="S1641">
        <v>37</v>
      </c>
    </row>
    <row r="1642" spans="11:19" x14ac:dyDescent="0.3">
      <c r="K1642" s="16">
        <f t="shared" si="25"/>
        <v>44084</v>
      </c>
      <c r="L1642" s="17">
        <v>0.33333333333333331</v>
      </c>
      <c r="M1642" s="14">
        <v>468</v>
      </c>
      <c r="N1642" s="14">
        <v>0</v>
      </c>
      <c r="O1642" s="14">
        <v>0</v>
      </c>
      <c r="P1642" s="14">
        <v>468</v>
      </c>
      <c r="Q1642">
        <v>9468</v>
      </c>
      <c r="R1642">
        <v>562</v>
      </c>
      <c r="S1642">
        <v>418</v>
      </c>
    </row>
    <row r="1643" spans="11:19" x14ac:dyDescent="0.3">
      <c r="K1643" s="16">
        <f t="shared" si="25"/>
        <v>44084</v>
      </c>
      <c r="L1643" s="17">
        <v>0.375</v>
      </c>
      <c r="M1643" s="14">
        <v>468</v>
      </c>
      <c r="N1643" s="14">
        <v>1521</v>
      </c>
      <c r="O1643" s="14">
        <v>0</v>
      </c>
      <c r="P1643" s="14">
        <v>1989</v>
      </c>
      <c r="Q1643">
        <v>9868</v>
      </c>
      <c r="R1643">
        <v>574</v>
      </c>
      <c r="S1643">
        <v>1077</v>
      </c>
    </row>
    <row r="1644" spans="11:19" x14ac:dyDescent="0.3">
      <c r="K1644" s="16">
        <f t="shared" si="25"/>
        <v>44084</v>
      </c>
      <c r="L1644" s="17">
        <v>0.41666666666666669</v>
      </c>
      <c r="M1644" s="14">
        <v>468</v>
      </c>
      <c r="N1644" s="14">
        <v>1521</v>
      </c>
      <c r="O1644" s="14">
        <v>0</v>
      </c>
      <c r="P1644" s="14">
        <v>1989</v>
      </c>
      <c r="Q1644">
        <v>10137</v>
      </c>
      <c r="R1644">
        <v>658</v>
      </c>
      <c r="S1644">
        <v>1715</v>
      </c>
    </row>
    <row r="1645" spans="11:19" x14ac:dyDescent="0.3">
      <c r="K1645" s="16">
        <f t="shared" si="25"/>
        <v>44084</v>
      </c>
      <c r="L1645" s="17">
        <v>0.45833333333333331</v>
      </c>
      <c r="M1645" s="14">
        <v>468</v>
      </c>
      <c r="N1645" s="14">
        <v>0</v>
      </c>
      <c r="O1645" s="14">
        <v>0</v>
      </c>
      <c r="P1645" s="14">
        <v>468</v>
      </c>
      <c r="Q1645">
        <v>10394</v>
      </c>
      <c r="R1645">
        <v>801</v>
      </c>
      <c r="S1645">
        <v>2183</v>
      </c>
    </row>
    <row r="1646" spans="11:19" x14ac:dyDescent="0.3">
      <c r="K1646" s="16">
        <f t="shared" si="25"/>
        <v>44084</v>
      </c>
      <c r="L1646" s="17">
        <v>0.5</v>
      </c>
      <c r="M1646" s="14">
        <v>468</v>
      </c>
      <c r="N1646" s="14">
        <v>1280</v>
      </c>
      <c r="O1646" s="14">
        <v>0</v>
      </c>
      <c r="P1646" s="14">
        <v>1748</v>
      </c>
      <c r="Q1646">
        <v>10533</v>
      </c>
      <c r="R1646">
        <v>888</v>
      </c>
      <c r="S1646">
        <v>2449</v>
      </c>
    </row>
    <row r="1647" spans="11:19" x14ac:dyDescent="0.3">
      <c r="K1647" s="16">
        <f t="shared" si="25"/>
        <v>44084</v>
      </c>
      <c r="L1647" s="17">
        <v>0.54166666666666663</v>
      </c>
      <c r="M1647" s="14">
        <v>468</v>
      </c>
      <c r="N1647" s="14">
        <v>0</v>
      </c>
      <c r="O1647" s="14">
        <v>0</v>
      </c>
      <c r="P1647" s="14">
        <v>468</v>
      </c>
      <c r="Q1647">
        <v>10478</v>
      </c>
      <c r="R1647">
        <v>1040</v>
      </c>
      <c r="S1647">
        <v>2574</v>
      </c>
    </row>
    <row r="1648" spans="11:19" x14ac:dyDescent="0.3">
      <c r="K1648" s="16">
        <f t="shared" si="25"/>
        <v>44084</v>
      </c>
      <c r="L1648" s="17">
        <v>0.58333333333333337</v>
      </c>
      <c r="M1648" s="14">
        <v>468</v>
      </c>
      <c r="N1648" s="14">
        <v>0</v>
      </c>
      <c r="O1648" s="14">
        <v>0</v>
      </c>
      <c r="P1648" s="14">
        <v>468</v>
      </c>
      <c r="Q1648">
        <v>10587</v>
      </c>
      <c r="R1648">
        <v>1221</v>
      </c>
      <c r="S1648">
        <v>2511</v>
      </c>
    </row>
    <row r="1649" spans="11:19" x14ac:dyDescent="0.3">
      <c r="K1649" s="16">
        <f t="shared" si="25"/>
        <v>44084</v>
      </c>
      <c r="L1649" s="17">
        <v>0.625</v>
      </c>
      <c r="M1649" s="14">
        <v>468</v>
      </c>
      <c r="N1649" s="14">
        <v>0</v>
      </c>
      <c r="O1649" s="14">
        <v>0</v>
      </c>
      <c r="P1649" s="14">
        <v>468</v>
      </c>
      <c r="Q1649">
        <v>10460</v>
      </c>
      <c r="R1649">
        <v>1191</v>
      </c>
      <c r="S1649">
        <v>2309</v>
      </c>
    </row>
    <row r="1650" spans="11:19" x14ac:dyDescent="0.3">
      <c r="K1650" s="16">
        <f t="shared" si="25"/>
        <v>44084</v>
      </c>
      <c r="L1650" s="17">
        <v>0.66666666666666663</v>
      </c>
      <c r="M1650" s="14">
        <v>468</v>
      </c>
      <c r="N1650" s="14">
        <v>1163</v>
      </c>
      <c r="O1650" s="14">
        <v>0</v>
      </c>
      <c r="P1650" s="14">
        <v>1631</v>
      </c>
      <c r="Q1650">
        <v>10303</v>
      </c>
      <c r="R1650">
        <v>1283</v>
      </c>
      <c r="S1650">
        <v>1938</v>
      </c>
    </row>
    <row r="1651" spans="11:19" x14ac:dyDescent="0.3">
      <c r="K1651" s="16">
        <f t="shared" si="25"/>
        <v>44084</v>
      </c>
      <c r="L1651" s="17">
        <v>0.70833333333333337</v>
      </c>
      <c r="M1651" s="14">
        <v>468</v>
      </c>
      <c r="N1651" s="14">
        <v>1323</v>
      </c>
      <c r="O1651" s="14">
        <v>0</v>
      </c>
      <c r="P1651" s="14">
        <v>1791</v>
      </c>
      <c r="Q1651">
        <v>10160</v>
      </c>
      <c r="R1651">
        <v>1501</v>
      </c>
      <c r="S1651">
        <v>1414</v>
      </c>
    </row>
    <row r="1652" spans="11:19" x14ac:dyDescent="0.3">
      <c r="K1652" s="16">
        <f t="shared" si="25"/>
        <v>44084</v>
      </c>
      <c r="L1652" s="17">
        <v>0.75</v>
      </c>
      <c r="M1652" s="14">
        <v>468</v>
      </c>
      <c r="N1652" s="14">
        <v>0</v>
      </c>
      <c r="O1652" s="14">
        <v>0</v>
      </c>
      <c r="P1652" s="14">
        <v>468</v>
      </c>
      <c r="Q1652">
        <v>10110</v>
      </c>
      <c r="R1652">
        <v>1434</v>
      </c>
      <c r="S1652">
        <v>744</v>
      </c>
    </row>
    <row r="1653" spans="11:19" x14ac:dyDescent="0.3">
      <c r="K1653" s="16">
        <f t="shared" si="25"/>
        <v>44084</v>
      </c>
      <c r="L1653" s="17">
        <v>0.79166666666666663</v>
      </c>
      <c r="M1653" s="14">
        <v>468</v>
      </c>
      <c r="N1653" s="14">
        <v>1521</v>
      </c>
      <c r="O1653" s="14">
        <v>0</v>
      </c>
      <c r="P1653" s="14">
        <v>1989</v>
      </c>
      <c r="Q1653">
        <v>9863</v>
      </c>
      <c r="R1653">
        <v>1697</v>
      </c>
      <c r="S1653">
        <v>187</v>
      </c>
    </row>
    <row r="1654" spans="11:19" x14ac:dyDescent="0.3">
      <c r="K1654" s="16">
        <f t="shared" si="25"/>
        <v>44084</v>
      </c>
      <c r="L1654" s="17">
        <v>0.83333333333333337</v>
      </c>
      <c r="M1654" s="14">
        <v>468</v>
      </c>
      <c r="N1654" s="14">
        <v>0</v>
      </c>
      <c r="O1654" s="14">
        <v>0</v>
      </c>
      <c r="P1654" s="14">
        <v>468</v>
      </c>
      <c r="Q1654">
        <v>9456</v>
      </c>
      <c r="R1654">
        <v>1757</v>
      </c>
      <c r="S1654">
        <v>14</v>
      </c>
    </row>
    <row r="1655" spans="11:19" x14ac:dyDescent="0.3">
      <c r="K1655" s="16">
        <f t="shared" si="25"/>
        <v>44084</v>
      </c>
      <c r="L1655" s="17">
        <v>0.875</v>
      </c>
      <c r="M1655" s="14">
        <v>468</v>
      </c>
      <c r="N1655" s="14">
        <v>1493</v>
      </c>
      <c r="O1655" s="14">
        <v>0</v>
      </c>
      <c r="P1655" s="14">
        <v>1961</v>
      </c>
      <c r="Q1655">
        <v>9105</v>
      </c>
      <c r="R1655">
        <v>1731</v>
      </c>
      <c r="S1655">
        <v>0</v>
      </c>
    </row>
    <row r="1656" spans="11:19" x14ac:dyDescent="0.3">
      <c r="K1656" s="16">
        <f t="shared" si="25"/>
        <v>44084</v>
      </c>
      <c r="L1656" s="17">
        <v>0.91666666666666663</v>
      </c>
      <c r="M1656" s="14">
        <v>468</v>
      </c>
      <c r="N1656" s="14">
        <v>1521</v>
      </c>
      <c r="O1656" s="14">
        <v>0</v>
      </c>
      <c r="P1656" s="14">
        <v>1989</v>
      </c>
      <c r="Q1656">
        <v>9192</v>
      </c>
      <c r="R1656">
        <v>1642</v>
      </c>
      <c r="S1656">
        <v>0</v>
      </c>
    </row>
    <row r="1657" spans="11:19" x14ac:dyDescent="0.3">
      <c r="K1657" s="16">
        <f t="shared" si="25"/>
        <v>44084</v>
      </c>
      <c r="L1657" s="17">
        <v>0.95833333333333337</v>
      </c>
      <c r="M1657" s="14">
        <v>468</v>
      </c>
      <c r="N1657" s="14">
        <v>0</v>
      </c>
      <c r="O1657" s="14">
        <v>0</v>
      </c>
      <c r="P1657" s="14">
        <v>468</v>
      </c>
      <c r="Q1657">
        <v>9046</v>
      </c>
      <c r="R1657">
        <v>1585</v>
      </c>
      <c r="S1657">
        <v>0</v>
      </c>
    </row>
    <row r="1658" spans="11:19" x14ac:dyDescent="0.3">
      <c r="K1658" s="16">
        <f t="shared" si="25"/>
        <v>44085</v>
      </c>
      <c r="L1658" s="17">
        <v>0</v>
      </c>
      <c r="M1658" s="14">
        <v>468</v>
      </c>
      <c r="N1658" s="14">
        <v>816</v>
      </c>
      <c r="O1658" s="14">
        <v>0</v>
      </c>
      <c r="P1658" s="14">
        <v>1284</v>
      </c>
      <c r="Q1658">
        <v>8210</v>
      </c>
      <c r="R1658">
        <v>1548</v>
      </c>
      <c r="S1658">
        <v>0</v>
      </c>
    </row>
    <row r="1659" spans="11:19" x14ac:dyDescent="0.3">
      <c r="K1659" s="16">
        <f t="shared" si="25"/>
        <v>44085</v>
      </c>
      <c r="L1659" s="17">
        <v>4.1666666666666664E-2</v>
      </c>
      <c r="M1659" s="14">
        <v>468</v>
      </c>
      <c r="N1659" s="14">
        <v>0</v>
      </c>
      <c r="O1659" s="14">
        <v>0</v>
      </c>
      <c r="P1659" s="14">
        <v>468</v>
      </c>
      <c r="Q1659">
        <v>7836</v>
      </c>
      <c r="R1659">
        <v>1085</v>
      </c>
      <c r="S1659">
        <v>0</v>
      </c>
    </row>
    <row r="1660" spans="11:19" x14ac:dyDescent="0.3">
      <c r="K1660" s="16">
        <f t="shared" si="25"/>
        <v>44085</v>
      </c>
      <c r="L1660" s="17">
        <v>8.3333333333333329E-2</v>
      </c>
      <c r="M1660" s="14">
        <v>468</v>
      </c>
      <c r="N1660" s="14">
        <v>0</v>
      </c>
      <c r="O1660" s="14">
        <v>0</v>
      </c>
      <c r="P1660" s="14">
        <v>468</v>
      </c>
      <c r="Q1660">
        <v>7541</v>
      </c>
      <c r="R1660">
        <v>1040</v>
      </c>
      <c r="S1660">
        <v>0</v>
      </c>
    </row>
    <row r="1661" spans="11:19" x14ac:dyDescent="0.3">
      <c r="K1661" s="16">
        <f t="shared" si="25"/>
        <v>44085</v>
      </c>
      <c r="L1661" s="17">
        <v>0.125</v>
      </c>
      <c r="M1661" s="14">
        <v>468</v>
      </c>
      <c r="N1661" s="14">
        <v>524</v>
      </c>
      <c r="O1661" s="14">
        <v>0</v>
      </c>
      <c r="P1661" s="14">
        <v>992</v>
      </c>
      <c r="Q1661">
        <v>7226</v>
      </c>
      <c r="R1661">
        <v>1016</v>
      </c>
      <c r="S1661">
        <v>0</v>
      </c>
    </row>
    <row r="1662" spans="11:19" x14ac:dyDescent="0.3">
      <c r="K1662" s="16">
        <f t="shared" si="25"/>
        <v>44085</v>
      </c>
      <c r="L1662" s="17">
        <v>0.16666666666666666</v>
      </c>
      <c r="M1662" s="14">
        <v>468</v>
      </c>
      <c r="N1662" s="14">
        <v>0</v>
      </c>
      <c r="O1662" s="14">
        <v>0</v>
      </c>
      <c r="P1662" s="14">
        <v>468</v>
      </c>
      <c r="Q1662">
        <v>7193</v>
      </c>
      <c r="R1662">
        <v>898</v>
      </c>
      <c r="S1662">
        <v>0</v>
      </c>
    </row>
    <row r="1663" spans="11:19" x14ac:dyDescent="0.3">
      <c r="K1663" s="16">
        <f t="shared" si="25"/>
        <v>44085</v>
      </c>
      <c r="L1663" s="17">
        <v>0.20833333333333334</v>
      </c>
      <c r="M1663" s="14">
        <v>468</v>
      </c>
      <c r="N1663" s="14">
        <v>0</v>
      </c>
      <c r="O1663" s="14">
        <v>0</v>
      </c>
      <c r="P1663" s="14">
        <v>468</v>
      </c>
      <c r="Q1663">
        <v>7513</v>
      </c>
      <c r="R1663">
        <v>983</v>
      </c>
      <c r="S1663">
        <v>0</v>
      </c>
    </row>
    <row r="1664" spans="11:19" x14ac:dyDescent="0.3">
      <c r="K1664" s="16">
        <f t="shared" si="25"/>
        <v>44085</v>
      </c>
      <c r="L1664" s="17">
        <v>0.25</v>
      </c>
      <c r="M1664" s="14">
        <v>468</v>
      </c>
      <c r="N1664" s="14">
        <v>1343</v>
      </c>
      <c r="O1664" s="14">
        <v>0</v>
      </c>
      <c r="P1664" s="14">
        <v>1811</v>
      </c>
      <c r="Q1664">
        <v>8385</v>
      </c>
      <c r="R1664">
        <v>982</v>
      </c>
      <c r="S1664">
        <v>0</v>
      </c>
    </row>
    <row r="1665" spans="11:19" x14ac:dyDescent="0.3">
      <c r="K1665" s="16">
        <f t="shared" si="25"/>
        <v>44085</v>
      </c>
      <c r="L1665" s="17">
        <v>0.29166666666666669</v>
      </c>
      <c r="M1665" s="14">
        <v>468</v>
      </c>
      <c r="N1665" s="14">
        <v>0</v>
      </c>
      <c r="O1665" s="14">
        <v>0</v>
      </c>
      <c r="P1665" s="14">
        <v>468</v>
      </c>
      <c r="Q1665">
        <v>9095</v>
      </c>
      <c r="R1665">
        <v>873</v>
      </c>
      <c r="S1665">
        <v>20</v>
      </c>
    </row>
    <row r="1666" spans="11:19" x14ac:dyDescent="0.3">
      <c r="K1666" s="16">
        <f t="shared" si="25"/>
        <v>44085</v>
      </c>
      <c r="L1666" s="17">
        <v>0.33333333333333331</v>
      </c>
      <c r="M1666" s="14">
        <v>468</v>
      </c>
      <c r="N1666" s="14">
        <v>1343</v>
      </c>
      <c r="O1666" s="14">
        <v>0</v>
      </c>
      <c r="P1666" s="14">
        <v>1811</v>
      </c>
      <c r="Q1666">
        <v>9523</v>
      </c>
      <c r="R1666">
        <v>790</v>
      </c>
      <c r="S1666">
        <v>244</v>
      </c>
    </row>
    <row r="1667" spans="11:19" x14ac:dyDescent="0.3">
      <c r="K1667" s="16">
        <f t="shared" si="25"/>
        <v>44085</v>
      </c>
      <c r="L1667" s="17">
        <v>0.375</v>
      </c>
      <c r="M1667" s="14">
        <v>468</v>
      </c>
      <c r="N1667" s="14">
        <v>1343</v>
      </c>
      <c r="O1667" s="14">
        <v>0</v>
      </c>
      <c r="P1667" s="14">
        <v>1811</v>
      </c>
      <c r="Q1667">
        <v>9922</v>
      </c>
      <c r="R1667">
        <v>703</v>
      </c>
      <c r="S1667">
        <v>727</v>
      </c>
    </row>
    <row r="1668" spans="11:19" x14ac:dyDescent="0.3">
      <c r="K1668" s="16">
        <f t="shared" si="25"/>
        <v>44085</v>
      </c>
      <c r="L1668" s="17">
        <v>0.41666666666666669</v>
      </c>
      <c r="M1668" s="14">
        <v>468</v>
      </c>
      <c r="N1668" s="14">
        <v>0</v>
      </c>
      <c r="O1668" s="14">
        <v>0</v>
      </c>
      <c r="P1668" s="14">
        <v>468</v>
      </c>
      <c r="Q1668">
        <v>10126</v>
      </c>
      <c r="R1668">
        <v>717</v>
      </c>
      <c r="S1668">
        <v>1242</v>
      </c>
    </row>
    <row r="1669" spans="11:19" x14ac:dyDescent="0.3">
      <c r="K1669" s="16">
        <f t="shared" si="25"/>
        <v>44085</v>
      </c>
      <c r="L1669" s="17">
        <v>0.45833333333333331</v>
      </c>
      <c r="M1669" s="14">
        <v>468</v>
      </c>
      <c r="N1669" s="14">
        <v>0</v>
      </c>
      <c r="O1669" s="14">
        <v>0</v>
      </c>
      <c r="P1669" s="14">
        <v>468</v>
      </c>
      <c r="Q1669">
        <v>10301</v>
      </c>
      <c r="R1669">
        <v>851</v>
      </c>
      <c r="S1669">
        <v>1616</v>
      </c>
    </row>
    <row r="1670" spans="11:19" x14ac:dyDescent="0.3">
      <c r="K1670" s="16">
        <f t="shared" si="25"/>
        <v>44085</v>
      </c>
      <c r="L1670" s="17">
        <v>0.5</v>
      </c>
      <c r="M1670" s="14">
        <v>468</v>
      </c>
      <c r="N1670" s="14">
        <v>0</v>
      </c>
      <c r="O1670" s="14">
        <v>0</v>
      </c>
      <c r="P1670" s="14">
        <v>468</v>
      </c>
      <c r="Q1670">
        <v>10395</v>
      </c>
      <c r="R1670">
        <v>1038</v>
      </c>
      <c r="S1670">
        <v>1879</v>
      </c>
    </row>
    <row r="1671" spans="11:19" x14ac:dyDescent="0.3">
      <c r="K1671" s="16">
        <f t="shared" si="25"/>
        <v>44085</v>
      </c>
      <c r="L1671" s="17">
        <v>0.54166666666666663</v>
      </c>
      <c r="M1671" s="14">
        <v>468</v>
      </c>
      <c r="N1671" s="14">
        <v>1001</v>
      </c>
      <c r="O1671" s="14">
        <v>0</v>
      </c>
      <c r="P1671" s="14">
        <v>1469</v>
      </c>
      <c r="Q1671">
        <v>10210</v>
      </c>
      <c r="R1671">
        <v>1296</v>
      </c>
      <c r="S1671">
        <v>1997</v>
      </c>
    </row>
    <row r="1672" spans="11:19" x14ac:dyDescent="0.3">
      <c r="K1672" s="16">
        <f t="shared" si="25"/>
        <v>44085</v>
      </c>
      <c r="L1672" s="17">
        <v>0.58333333333333337</v>
      </c>
      <c r="M1672" s="14">
        <v>468</v>
      </c>
      <c r="N1672" s="14">
        <v>0</v>
      </c>
      <c r="O1672" s="14">
        <v>0</v>
      </c>
      <c r="P1672" s="14">
        <v>468</v>
      </c>
      <c r="Q1672">
        <v>10204</v>
      </c>
      <c r="R1672">
        <v>1513</v>
      </c>
      <c r="S1672">
        <v>1985</v>
      </c>
    </row>
    <row r="1673" spans="11:19" x14ac:dyDescent="0.3">
      <c r="K1673" s="16">
        <f t="shared" si="25"/>
        <v>44085</v>
      </c>
      <c r="L1673" s="17">
        <v>0.625</v>
      </c>
      <c r="M1673" s="14">
        <v>468</v>
      </c>
      <c r="N1673" s="14">
        <v>0</v>
      </c>
      <c r="O1673" s="14">
        <v>0</v>
      </c>
      <c r="P1673" s="14">
        <v>468</v>
      </c>
      <c r="Q1673">
        <v>9968</v>
      </c>
      <c r="R1673">
        <v>1785</v>
      </c>
      <c r="S1673">
        <v>1831</v>
      </c>
    </row>
    <row r="1674" spans="11:19" x14ac:dyDescent="0.3">
      <c r="K1674" s="16">
        <f t="shared" si="25"/>
        <v>44085</v>
      </c>
      <c r="L1674" s="17">
        <v>0.66666666666666663</v>
      </c>
      <c r="M1674" s="14">
        <v>468</v>
      </c>
      <c r="N1674" s="14">
        <v>0</v>
      </c>
      <c r="O1674" s="14">
        <v>0</v>
      </c>
      <c r="P1674" s="14">
        <v>468</v>
      </c>
      <c r="Q1674">
        <v>9719</v>
      </c>
      <c r="R1674">
        <v>1788</v>
      </c>
      <c r="S1674">
        <v>1528</v>
      </c>
    </row>
    <row r="1675" spans="11:19" x14ac:dyDescent="0.3">
      <c r="K1675" s="16">
        <f t="shared" si="25"/>
        <v>44085</v>
      </c>
      <c r="L1675" s="17">
        <v>0.70833333333333337</v>
      </c>
      <c r="M1675" s="14">
        <v>468</v>
      </c>
      <c r="N1675" s="14">
        <v>617</v>
      </c>
      <c r="O1675" s="14">
        <v>0</v>
      </c>
      <c r="P1675" s="14">
        <v>1085</v>
      </c>
      <c r="Q1675">
        <v>9581</v>
      </c>
      <c r="R1675">
        <v>2068</v>
      </c>
      <c r="S1675">
        <v>1053</v>
      </c>
    </row>
    <row r="1676" spans="11:19" x14ac:dyDescent="0.3">
      <c r="K1676" s="16">
        <f t="shared" si="25"/>
        <v>44085</v>
      </c>
      <c r="L1676" s="17">
        <v>0.75</v>
      </c>
      <c r="M1676" s="14">
        <v>468</v>
      </c>
      <c r="N1676" s="14">
        <v>0</v>
      </c>
      <c r="O1676" s="14">
        <v>0</v>
      </c>
      <c r="P1676" s="14">
        <v>468</v>
      </c>
      <c r="Q1676">
        <v>9517</v>
      </c>
      <c r="R1676">
        <v>2065</v>
      </c>
      <c r="S1676">
        <v>539</v>
      </c>
    </row>
    <row r="1677" spans="11:19" x14ac:dyDescent="0.3">
      <c r="K1677" s="16">
        <f t="shared" si="25"/>
        <v>44085</v>
      </c>
      <c r="L1677" s="17">
        <v>0.79166666666666663</v>
      </c>
      <c r="M1677" s="14">
        <v>468</v>
      </c>
      <c r="N1677" s="14">
        <v>1343</v>
      </c>
      <c r="O1677" s="14">
        <v>0</v>
      </c>
      <c r="P1677" s="14">
        <v>1811</v>
      </c>
      <c r="Q1677">
        <v>9309</v>
      </c>
      <c r="R1677">
        <v>1642</v>
      </c>
      <c r="S1677">
        <v>103</v>
      </c>
    </row>
    <row r="1678" spans="11:19" x14ac:dyDescent="0.3">
      <c r="K1678" s="16">
        <f t="shared" si="25"/>
        <v>44085</v>
      </c>
      <c r="L1678" s="17">
        <v>0.83333333333333337</v>
      </c>
      <c r="M1678" s="14">
        <v>468</v>
      </c>
      <c r="N1678" s="14">
        <v>0</v>
      </c>
      <c r="O1678" s="14">
        <v>0</v>
      </c>
      <c r="P1678" s="14">
        <v>468</v>
      </c>
      <c r="Q1678">
        <v>9024</v>
      </c>
      <c r="R1678">
        <v>1497</v>
      </c>
      <c r="S1678">
        <v>6</v>
      </c>
    </row>
    <row r="1679" spans="11:19" x14ac:dyDescent="0.3">
      <c r="K1679" s="16">
        <f t="shared" si="25"/>
        <v>44085</v>
      </c>
      <c r="L1679" s="17">
        <v>0.875</v>
      </c>
      <c r="M1679" s="14">
        <v>468</v>
      </c>
      <c r="N1679" s="14">
        <v>1331</v>
      </c>
      <c r="O1679" s="14">
        <v>0</v>
      </c>
      <c r="P1679" s="14">
        <v>1799</v>
      </c>
      <c r="Q1679">
        <v>8664</v>
      </c>
      <c r="R1679">
        <v>1451</v>
      </c>
      <c r="S1679">
        <v>0</v>
      </c>
    </row>
    <row r="1680" spans="11:19" x14ac:dyDescent="0.3">
      <c r="K1680" s="16">
        <f t="shared" si="25"/>
        <v>44085</v>
      </c>
      <c r="L1680" s="17">
        <v>0.91666666666666663</v>
      </c>
      <c r="M1680" s="14">
        <v>468</v>
      </c>
      <c r="N1680" s="14">
        <v>0</v>
      </c>
      <c r="O1680" s="14">
        <v>0</v>
      </c>
      <c r="P1680" s="14">
        <v>468</v>
      </c>
      <c r="Q1680">
        <v>8807</v>
      </c>
      <c r="R1680">
        <v>1223</v>
      </c>
      <c r="S1680">
        <v>0</v>
      </c>
    </row>
    <row r="1681" spans="11:19" x14ac:dyDescent="0.3">
      <c r="K1681" s="16">
        <f t="shared" si="25"/>
        <v>44085</v>
      </c>
      <c r="L1681" s="17">
        <v>0.95833333333333337</v>
      </c>
      <c r="M1681" s="14">
        <v>468</v>
      </c>
      <c r="N1681" s="14">
        <v>0</v>
      </c>
      <c r="O1681" s="14">
        <v>0</v>
      </c>
      <c r="P1681" s="14">
        <v>468</v>
      </c>
      <c r="Q1681">
        <v>8702</v>
      </c>
      <c r="R1681">
        <v>1133</v>
      </c>
      <c r="S1681">
        <v>0</v>
      </c>
    </row>
    <row r="1682" spans="11:19" x14ac:dyDescent="0.3">
      <c r="K1682" s="16">
        <f t="shared" si="25"/>
        <v>44086</v>
      </c>
      <c r="L1682" s="17">
        <v>0</v>
      </c>
      <c r="M1682" s="14">
        <v>468</v>
      </c>
      <c r="N1682" s="14">
        <v>0</v>
      </c>
      <c r="O1682" s="14">
        <v>535</v>
      </c>
      <c r="P1682" s="14">
        <v>1003</v>
      </c>
      <c r="Q1682">
        <v>7878</v>
      </c>
      <c r="R1682">
        <v>1027</v>
      </c>
      <c r="S1682">
        <v>0</v>
      </c>
    </row>
    <row r="1683" spans="11:19" x14ac:dyDescent="0.3">
      <c r="K1683" s="16">
        <f t="shared" si="25"/>
        <v>44086</v>
      </c>
      <c r="L1683" s="17">
        <v>4.1666666666666664E-2</v>
      </c>
      <c r="M1683" s="14">
        <v>468</v>
      </c>
      <c r="N1683" s="14">
        <v>0</v>
      </c>
      <c r="O1683" s="14">
        <v>0</v>
      </c>
      <c r="P1683" s="14">
        <v>468</v>
      </c>
      <c r="Q1683">
        <v>7427</v>
      </c>
      <c r="R1683">
        <v>780</v>
      </c>
      <c r="S1683">
        <v>0</v>
      </c>
    </row>
    <row r="1684" spans="11:19" x14ac:dyDescent="0.3">
      <c r="K1684" s="16">
        <f t="shared" si="25"/>
        <v>44086</v>
      </c>
      <c r="L1684" s="17">
        <v>8.3333333333333329E-2</v>
      </c>
      <c r="M1684" s="14">
        <v>468</v>
      </c>
      <c r="N1684" s="14">
        <v>0</v>
      </c>
      <c r="O1684" s="14">
        <v>0</v>
      </c>
      <c r="P1684" s="14">
        <v>468</v>
      </c>
      <c r="Q1684">
        <v>7060</v>
      </c>
      <c r="R1684">
        <v>768</v>
      </c>
      <c r="S1684">
        <v>0</v>
      </c>
    </row>
    <row r="1685" spans="11:19" x14ac:dyDescent="0.3">
      <c r="K1685" s="16">
        <f t="shared" si="25"/>
        <v>44086</v>
      </c>
      <c r="L1685" s="17">
        <v>0.125</v>
      </c>
      <c r="M1685" s="14">
        <v>468</v>
      </c>
      <c r="N1685" s="14">
        <v>258</v>
      </c>
      <c r="O1685" s="14">
        <v>0</v>
      </c>
      <c r="P1685" s="14">
        <v>726</v>
      </c>
      <c r="Q1685">
        <v>6642</v>
      </c>
      <c r="R1685">
        <v>701</v>
      </c>
      <c r="S1685">
        <v>0</v>
      </c>
    </row>
    <row r="1686" spans="11:19" x14ac:dyDescent="0.3">
      <c r="K1686" s="16">
        <f t="shared" si="25"/>
        <v>44086</v>
      </c>
      <c r="L1686" s="17">
        <v>0.16666666666666666</v>
      </c>
      <c r="M1686" s="14">
        <v>468</v>
      </c>
      <c r="N1686" s="14">
        <v>92</v>
      </c>
      <c r="O1686" s="14">
        <v>0</v>
      </c>
      <c r="P1686" s="14">
        <v>560</v>
      </c>
      <c r="Q1686">
        <v>6473</v>
      </c>
      <c r="R1686">
        <v>695</v>
      </c>
      <c r="S1686">
        <v>0</v>
      </c>
    </row>
    <row r="1687" spans="11:19" x14ac:dyDescent="0.3">
      <c r="K1687" s="16">
        <f t="shared" si="25"/>
        <v>44086</v>
      </c>
      <c r="L1687" s="17">
        <v>0.20833333333333334</v>
      </c>
      <c r="M1687" s="14">
        <v>468</v>
      </c>
      <c r="N1687" s="14">
        <v>0</v>
      </c>
      <c r="O1687" s="14">
        <v>0</v>
      </c>
      <c r="P1687" s="14">
        <v>468</v>
      </c>
      <c r="Q1687">
        <v>6517</v>
      </c>
      <c r="R1687">
        <v>679</v>
      </c>
      <c r="S1687">
        <v>0</v>
      </c>
    </row>
    <row r="1688" spans="11:19" x14ac:dyDescent="0.3">
      <c r="K1688" s="16">
        <f t="shared" si="25"/>
        <v>44086</v>
      </c>
      <c r="L1688" s="17">
        <v>0.25</v>
      </c>
      <c r="M1688" s="14">
        <v>468</v>
      </c>
      <c r="N1688" s="14">
        <v>387</v>
      </c>
      <c r="O1688" s="14">
        <v>0</v>
      </c>
      <c r="P1688" s="14">
        <v>855</v>
      </c>
      <c r="Q1688">
        <v>6762</v>
      </c>
      <c r="R1688">
        <v>571</v>
      </c>
      <c r="S1688">
        <v>0</v>
      </c>
    </row>
    <row r="1689" spans="11:19" x14ac:dyDescent="0.3">
      <c r="K1689" s="16">
        <f t="shared" si="25"/>
        <v>44086</v>
      </c>
      <c r="L1689" s="17">
        <v>0.29166666666666669</v>
      </c>
      <c r="M1689" s="14">
        <v>468</v>
      </c>
      <c r="N1689" s="14">
        <v>0</v>
      </c>
      <c r="O1689" s="14">
        <v>0</v>
      </c>
      <c r="P1689" s="14">
        <v>468</v>
      </c>
      <c r="Q1689">
        <v>6900</v>
      </c>
      <c r="R1689">
        <v>582</v>
      </c>
      <c r="S1689">
        <v>15</v>
      </c>
    </row>
    <row r="1690" spans="11:19" x14ac:dyDescent="0.3">
      <c r="K1690" s="16">
        <f t="shared" si="25"/>
        <v>44086</v>
      </c>
      <c r="L1690" s="17">
        <v>0.33333333333333331</v>
      </c>
      <c r="M1690" s="14">
        <v>468</v>
      </c>
      <c r="N1690" s="14">
        <v>0</v>
      </c>
      <c r="O1690" s="14">
        <v>0</v>
      </c>
      <c r="P1690" s="14">
        <v>468</v>
      </c>
      <c r="Q1690">
        <v>7432</v>
      </c>
      <c r="R1690">
        <v>498</v>
      </c>
      <c r="S1690">
        <v>231</v>
      </c>
    </row>
    <row r="1691" spans="11:19" x14ac:dyDescent="0.3">
      <c r="K1691" s="16">
        <f t="shared" ref="K1691:K1754" si="26">K1667+1</f>
        <v>44086</v>
      </c>
      <c r="L1691" s="17">
        <v>0.375</v>
      </c>
      <c r="M1691" s="14">
        <v>468</v>
      </c>
      <c r="N1691" s="14">
        <v>0</v>
      </c>
      <c r="O1691" s="14">
        <v>0</v>
      </c>
      <c r="P1691" s="14">
        <v>468</v>
      </c>
      <c r="Q1691">
        <v>7991</v>
      </c>
      <c r="R1691">
        <v>481</v>
      </c>
      <c r="S1691">
        <v>666</v>
      </c>
    </row>
    <row r="1692" spans="11:19" x14ac:dyDescent="0.3">
      <c r="K1692" s="16">
        <f t="shared" si="26"/>
        <v>44086</v>
      </c>
      <c r="L1692" s="17">
        <v>0.41666666666666669</v>
      </c>
      <c r="M1692" s="14">
        <v>468</v>
      </c>
      <c r="N1692" s="14">
        <v>846</v>
      </c>
      <c r="O1692" s="14">
        <v>0</v>
      </c>
      <c r="P1692" s="14">
        <v>1314</v>
      </c>
      <c r="Q1692">
        <v>8258</v>
      </c>
      <c r="R1692">
        <v>491</v>
      </c>
      <c r="S1692">
        <v>1018</v>
      </c>
    </row>
    <row r="1693" spans="11:19" x14ac:dyDescent="0.3">
      <c r="K1693" s="16">
        <f t="shared" si="26"/>
        <v>44086</v>
      </c>
      <c r="L1693" s="17">
        <v>0.45833333333333331</v>
      </c>
      <c r="M1693" s="14">
        <v>468</v>
      </c>
      <c r="N1693" s="14">
        <v>0</v>
      </c>
      <c r="O1693" s="14">
        <v>0</v>
      </c>
      <c r="P1693" s="14">
        <v>468</v>
      </c>
      <c r="Q1693">
        <v>8475</v>
      </c>
      <c r="R1693">
        <v>600</v>
      </c>
      <c r="S1693">
        <v>1308</v>
      </c>
    </row>
    <row r="1694" spans="11:19" x14ac:dyDescent="0.3">
      <c r="K1694" s="16">
        <f t="shared" si="26"/>
        <v>44086</v>
      </c>
      <c r="L1694" s="17">
        <v>0.5</v>
      </c>
      <c r="M1694" s="14">
        <v>468</v>
      </c>
      <c r="N1694" s="14">
        <v>846</v>
      </c>
      <c r="O1694" s="14">
        <v>0</v>
      </c>
      <c r="P1694" s="14">
        <v>1314</v>
      </c>
      <c r="Q1694">
        <v>8820</v>
      </c>
      <c r="R1694">
        <v>722</v>
      </c>
      <c r="S1694">
        <v>1399</v>
      </c>
    </row>
    <row r="1695" spans="11:19" x14ac:dyDescent="0.3">
      <c r="K1695" s="16">
        <f t="shared" si="26"/>
        <v>44086</v>
      </c>
      <c r="L1695" s="17">
        <v>0.54166666666666663</v>
      </c>
      <c r="M1695" s="14">
        <v>468</v>
      </c>
      <c r="N1695" s="14">
        <v>0</v>
      </c>
      <c r="O1695" s="14">
        <v>0</v>
      </c>
      <c r="P1695" s="14">
        <v>468</v>
      </c>
      <c r="Q1695">
        <v>8501</v>
      </c>
      <c r="R1695">
        <v>704</v>
      </c>
      <c r="S1695">
        <v>1511</v>
      </c>
    </row>
    <row r="1696" spans="11:19" x14ac:dyDescent="0.3">
      <c r="K1696" s="16">
        <f t="shared" si="26"/>
        <v>44086</v>
      </c>
      <c r="L1696" s="17">
        <v>0.58333333333333337</v>
      </c>
      <c r="M1696" s="14">
        <v>468</v>
      </c>
      <c r="N1696" s="14">
        <v>0</v>
      </c>
      <c r="O1696" s="14">
        <v>0</v>
      </c>
      <c r="P1696" s="14">
        <v>468</v>
      </c>
      <c r="Q1696">
        <v>8288</v>
      </c>
      <c r="R1696">
        <v>809</v>
      </c>
      <c r="S1696">
        <v>1633</v>
      </c>
    </row>
    <row r="1697" spans="11:19" x14ac:dyDescent="0.3">
      <c r="K1697" s="16">
        <f t="shared" si="26"/>
        <v>44086</v>
      </c>
      <c r="L1697" s="17">
        <v>0.625</v>
      </c>
      <c r="M1697" s="14">
        <v>468</v>
      </c>
      <c r="N1697" s="14">
        <v>0</v>
      </c>
      <c r="O1697" s="14">
        <v>-243</v>
      </c>
      <c r="P1697" s="14">
        <v>225</v>
      </c>
      <c r="Q1697">
        <v>8016</v>
      </c>
      <c r="R1697">
        <v>997</v>
      </c>
      <c r="S1697">
        <v>1525</v>
      </c>
    </row>
    <row r="1698" spans="11:19" x14ac:dyDescent="0.3">
      <c r="K1698" s="16">
        <f t="shared" si="26"/>
        <v>44086</v>
      </c>
      <c r="L1698" s="17">
        <v>0.66666666666666663</v>
      </c>
      <c r="M1698" s="14">
        <v>468</v>
      </c>
      <c r="N1698" s="14">
        <v>0</v>
      </c>
      <c r="O1698" s="14">
        <v>-328</v>
      </c>
      <c r="P1698" s="14">
        <v>140</v>
      </c>
      <c r="Q1698">
        <v>7801</v>
      </c>
      <c r="R1698">
        <v>1078</v>
      </c>
      <c r="S1698">
        <v>1313</v>
      </c>
    </row>
    <row r="1699" spans="11:19" x14ac:dyDescent="0.3">
      <c r="K1699" s="16">
        <f t="shared" si="26"/>
        <v>44086</v>
      </c>
      <c r="L1699" s="17">
        <v>0.70833333333333337</v>
      </c>
      <c r="M1699" s="14">
        <v>468</v>
      </c>
      <c r="N1699" s="14">
        <v>0</v>
      </c>
      <c r="O1699" s="14">
        <v>-97</v>
      </c>
      <c r="P1699" s="14">
        <v>371</v>
      </c>
      <c r="Q1699">
        <v>7714</v>
      </c>
      <c r="R1699">
        <v>1154</v>
      </c>
      <c r="S1699">
        <v>914</v>
      </c>
    </row>
    <row r="1700" spans="11:19" x14ac:dyDescent="0.3">
      <c r="K1700" s="16">
        <f t="shared" si="26"/>
        <v>44086</v>
      </c>
      <c r="L1700" s="17">
        <v>0.75</v>
      </c>
      <c r="M1700" s="14">
        <v>468</v>
      </c>
      <c r="N1700" s="14">
        <v>0</v>
      </c>
      <c r="O1700" s="14">
        <v>0</v>
      </c>
      <c r="P1700" s="14">
        <v>468</v>
      </c>
      <c r="Q1700">
        <v>7804</v>
      </c>
      <c r="R1700">
        <v>1250</v>
      </c>
      <c r="S1700">
        <v>437</v>
      </c>
    </row>
    <row r="1701" spans="11:19" x14ac:dyDescent="0.3">
      <c r="K1701" s="16">
        <f t="shared" si="26"/>
        <v>44086</v>
      </c>
      <c r="L1701" s="17">
        <v>0.79166666666666663</v>
      </c>
      <c r="M1701" s="14">
        <v>468</v>
      </c>
      <c r="N1701" s="14">
        <v>0</v>
      </c>
      <c r="O1701" s="14">
        <v>0</v>
      </c>
      <c r="P1701" s="14">
        <v>468</v>
      </c>
      <c r="Q1701">
        <v>7839</v>
      </c>
      <c r="R1701">
        <v>1222</v>
      </c>
      <c r="S1701">
        <v>77</v>
      </c>
    </row>
    <row r="1702" spans="11:19" x14ac:dyDescent="0.3">
      <c r="K1702" s="16">
        <f t="shared" si="26"/>
        <v>44086</v>
      </c>
      <c r="L1702" s="17">
        <v>0.83333333333333337</v>
      </c>
      <c r="M1702" s="14">
        <v>468</v>
      </c>
      <c r="N1702" s="14">
        <v>0</v>
      </c>
      <c r="O1702" s="14">
        <v>0</v>
      </c>
      <c r="P1702" s="14">
        <v>468</v>
      </c>
      <c r="Q1702">
        <v>7863</v>
      </c>
      <c r="R1702">
        <v>1532</v>
      </c>
      <c r="S1702">
        <v>1</v>
      </c>
    </row>
    <row r="1703" spans="11:19" x14ac:dyDescent="0.3">
      <c r="K1703" s="16">
        <f t="shared" si="26"/>
        <v>44086</v>
      </c>
      <c r="L1703" s="17">
        <v>0.875</v>
      </c>
      <c r="M1703" s="14">
        <v>468</v>
      </c>
      <c r="N1703" s="14">
        <v>0</v>
      </c>
      <c r="O1703" s="14">
        <v>0</v>
      </c>
      <c r="P1703" s="14">
        <v>468</v>
      </c>
      <c r="Q1703">
        <v>7679</v>
      </c>
      <c r="R1703">
        <v>1676</v>
      </c>
      <c r="S1703">
        <v>0</v>
      </c>
    </row>
    <row r="1704" spans="11:19" x14ac:dyDescent="0.3">
      <c r="K1704" s="16">
        <f t="shared" si="26"/>
        <v>44086</v>
      </c>
      <c r="L1704" s="17">
        <v>0.91666666666666663</v>
      </c>
      <c r="M1704" s="14">
        <v>468</v>
      </c>
      <c r="N1704" s="14">
        <v>644</v>
      </c>
      <c r="O1704" s="14">
        <v>0</v>
      </c>
      <c r="P1704" s="14">
        <v>1112</v>
      </c>
      <c r="Q1704">
        <v>7938</v>
      </c>
      <c r="R1704">
        <v>1670</v>
      </c>
      <c r="S1704">
        <v>0</v>
      </c>
    </row>
    <row r="1705" spans="11:19" x14ac:dyDescent="0.3">
      <c r="K1705" s="16">
        <f t="shared" si="26"/>
        <v>44086</v>
      </c>
      <c r="L1705" s="17">
        <v>0.95833333333333337</v>
      </c>
      <c r="M1705" s="14">
        <v>468</v>
      </c>
      <c r="N1705" s="14">
        <v>793</v>
      </c>
      <c r="O1705" s="14">
        <v>0</v>
      </c>
      <c r="P1705" s="14">
        <v>1261</v>
      </c>
      <c r="Q1705">
        <v>8052</v>
      </c>
      <c r="R1705">
        <v>1654</v>
      </c>
      <c r="S1705">
        <v>0</v>
      </c>
    </row>
    <row r="1706" spans="11:19" x14ac:dyDescent="0.3">
      <c r="K1706" s="16">
        <f t="shared" si="26"/>
        <v>44087</v>
      </c>
      <c r="L1706" s="17">
        <v>0</v>
      </c>
      <c r="M1706" s="14">
        <v>468</v>
      </c>
      <c r="N1706" s="14">
        <v>0</v>
      </c>
      <c r="O1706" s="14">
        <v>288</v>
      </c>
      <c r="P1706" s="14">
        <v>756</v>
      </c>
      <c r="Q1706">
        <v>7378</v>
      </c>
      <c r="R1706">
        <v>1489</v>
      </c>
      <c r="S1706">
        <v>0</v>
      </c>
    </row>
    <row r="1707" spans="11:19" x14ac:dyDescent="0.3">
      <c r="K1707" s="16">
        <f t="shared" si="26"/>
        <v>44087</v>
      </c>
      <c r="L1707" s="17">
        <v>4.1666666666666664E-2</v>
      </c>
      <c r="M1707" s="14">
        <v>468</v>
      </c>
      <c r="N1707" s="14">
        <v>0</v>
      </c>
      <c r="O1707" s="14">
        <v>215</v>
      </c>
      <c r="P1707" s="14">
        <v>683</v>
      </c>
      <c r="Q1707">
        <v>6942</v>
      </c>
      <c r="R1707">
        <v>1126</v>
      </c>
      <c r="S1707">
        <v>0</v>
      </c>
    </row>
    <row r="1708" spans="11:19" x14ac:dyDescent="0.3">
      <c r="K1708" s="16">
        <f t="shared" si="26"/>
        <v>44087</v>
      </c>
      <c r="L1708" s="17">
        <v>8.3333333333333329E-2</v>
      </c>
      <c r="M1708" s="14">
        <v>468</v>
      </c>
      <c r="N1708" s="14">
        <v>0</v>
      </c>
      <c r="O1708" s="14">
        <v>0</v>
      </c>
      <c r="P1708" s="14">
        <v>468</v>
      </c>
      <c r="Q1708">
        <v>6559</v>
      </c>
      <c r="R1708">
        <v>1056</v>
      </c>
      <c r="S1708">
        <v>0</v>
      </c>
    </row>
    <row r="1709" spans="11:19" x14ac:dyDescent="0.3">
      <c r="K1709" s="16">
        <f t="shared" si="26"/>
        <v>44087</v>
      </c>
      <c r="L1709" s="17">
        <v>0.125</v>
      </c>
      <c r="M1709" s="14">
        <v>468</v>
      </c>
      <c r="N1709" s="14">
        <v>0</v>
      </c>
      <c r="O1709" s="14">
        <v>0</v>
      </c>
      <c r="P1709" s="14">
        <v>468</v>
      </c>
      <c r="Q1709">
        <v>6136</v>
      </c>
      <c r="R1709">
        <v>1000</v>
      </c>
      <c r="S1709">
        <v>0</v>
      </c>
    </row>
    <row r="1710" spans="11:19" x14ac:dyDescent="0.3">
      <c r="K1710" s="16">
        <f t="shared" si="26"/>
        <v>44087</v>
      </c>
      <c r="L1710" s="17">
        <v>0.16666666666666666</v>
      </c>
      <c r="M1710" s="14">
        <v>468</v>
      </c>
      <c r="N1710" s="14">
        <v>0</v>
      </c>
      <c r="O1710" s="14">
        <v>0</v>
      </c>
      <c r="P1710" s="14">
        <v>468</v>
      </c>
      <c r="Q1710">
        <v>5933</v>
      </c>
      <c r="R1710">
        <v>851</v>
      </c>
      <c r="S1710">
        <v>0</v>
      </c>
    </row>
    <row r="1711" spans="11:19" x14ac:dyDescent="0.3">
      <c r="K1711" s="16">
        <f t="shared" si="26"/>
        <v>44087</v>
      </c>
      <c r="L1711" s="17">
        <v>0.20833333333333334</v>
      </c>
      <c r="M1711" s="14">
        <v>468</v>
      </c>
      <c r="N1711" s="14">
        <v>0</v>
      </c>
      <c r="O1711" s="14">
        <v>0</v>
      </c>
      <c r="P1711" s="14">
        <v>468</v>
      </c>
      <c r="Q1711">
        <v>5900</v>
      </c>
      <c r="R1711">
        <v>960</v>
      </c>
      <c r="S1711">
        <v>0</v>
      </c>
    </row>
    <row r="1712" spans="11:19" x14ac:dyDescent="0.3">
      <c r="K1712" s="16">
        <f t="shared" si="26"/>
        <v>44087</v>
      </c>
      <c r="L1712" s="17">
        <v>0.25</v>
      </c>
      <c r="M1712" s="14">
        <v>468</v>
      </c>
      <c r="N1712" s="14">
        <v>0</v>
      </c>
      <c r="O1712" s="14">
        <v>0</v>
      </c>
      <c r="P1712" s="14">
        <v>468</v>
      </c>
      <c r="Q1712">
        <v>5997</v>
      </c>
      <c r="R1712">
        <v>1183</v>
      </c>
      <c r="S1712">
        <v>0</v>
      </c>
    </row>
    <row r="1713" spans="11:19" x14ac:dyDescent="0.3">
      <c r="K1713" s="16">
        <f t="shared" si="26"/>
        <v>44087</v>
      </c>
      <c r="L1713" s="17">
        <v>0.29166666666666669</v>
      </c>
      <c r="M1713" s="14">
        <v>468</v>
      </c>
      <c r="N1713" s="14">
        <v>0</v>
      </c>
      <c r="O1713" s="14">
        <v>0</v>
      </c>
      <c r="P1713" s="14">
        <v>468</v>
      </c>
      <c r="Q1713">
        <v>5971</v>
      </c>
      <c r="R1713">
        <v>1106</v>
      </c>
      <c r="S1713">
        <v>24</v>
      </c>
    </row>
    <row r="1714" spans="11:19" x14ac:dyDescent="0.3">
      <c r="K1714" s="16">
        <f t="shared" si="26"/>
        <v>44087</v>
      </c>
      <c r="L1714" s="17">
        <v>0.33333333333333331</v>
      </c>
      <c r="M1714" s="14">
        <v>468</v>
      </c>
      <c r="N1714" s="14">
        <v>0</v>
      </c>
      <c r="O1714" s="14">
        <v>0</v>
      </c>
      <c r="P1714" s="14">
        <v>468</v>
      </c>
      <c r="Q1714">
        <v>6403</v>
      </c>
      <c r="R1714">
        <v>1066</v>
      </c>
      <c r="S1714">
        <v>239</v>
      </c>
    </row>
    <row r="1715" spans="11:19" x14ac:dyDescent="0.3">
      <c r="K1715" s="16">
        <f t="shared" si="26"/>
        <v>44087</v>
      </c>
      <c r="L1715" s="17">
        <v>0.375</v>
      </c>
      <c r="M1715" s="14">
        <v>468</v>
      </c>
      <c r="N1715" s="14">
        <v>0</v>
      </c>
      <c r="O1715" s="14">
        <v>0</v>
      </c>
      <c r="P1715" s="14">
        <v>468</v>
      </c>
      <c r="Q1715">
        <v>6954</v>
      </c>
      <c r="R1715">
        <v>1200</v>
      </c>
      <c r="S1715">
        <v>770</v>
      </c>
    </row>
    <row r="1716" spans="11:19" x14ac:dyDescent="0.3">
      <c r="K1716" s="16">
        <f t="shared" si="26"/>
        <v>44087</v>
      </c>
      <c r="L1716" s="17">
        <v>0.41666666666666669</v>
      </c>
      <c r="M1716" s="14">
        <v>468</v>
      </c>
      <c r="N1716" s="14">
        <v>0</v>
      </c>
      <c r="O1716" s="14">
        <v>0</v>
      </c>
      <c r="P1716" s="14">
        <v>468</v>
      </c>
      <c r="Q1716">
        <v>7330</v>
      </c>
      <c r="R1716">
        <v>1219</v>
      </c>
      <c r="S1716">
        <v>1347</v>
      </c>
    </row>
    <row r="1717" spans="11:19" x14ac:dyDescent="0.3">
      <c r="K1717" s="16">
        <f t="shared" si="26"/>
        <v>44087</v>
      </c>
      <c r="L1717" s="17">
        <v>0.45833333333333331</v>
      </c>
      <c r="M1717" s="14">
        <v>468</v>
      </c>
      <c r="N1717" s="14">
        <v>0</v>
      </c>
      <c r="O1717" s="14">
        <v>0</v>
      </c>
      <c r="P1717" s="14">
        <v>468</v>
      </c>
      <c r="Q1717">
        <v>7646</v>
      </c>
      <c r="R1717">
        <v>1245</v>
      </c>
      <c r="S1717">
        <v>1750</v>
      </c>
    </row>
    <row r="1718" spans="11:19" x14ac:dyDescent="0.3">
      <c r="K1718" s="16">
        <f t="shared" si="26"/>
        <v>44087</v>
      </c>
      <c r="L1718" s="17">
        <v>0.5</v>
      </c>
      <c r="M1718" s="14">
        <v>468</v>
      </c>
      <c r="N1718" s="14">
        <v>0</v>
      </c>
      <c r="O1718" s="14">
        <v>0</v>
      </c>
      <c r="P1718" s="14">
        <v>468</v>
      </c>
      <c r="Q1718">
        <v>8037</v>
      </c>
      <c r="R1718">
        <v>1283</v>
      </c>
      <c r="S1718">
        <v>2076</v>
      </c>
    </row>
    <row r="1719" spans="11:19" x14ac:dyDescent="0.3">
      <c r="K1719" s="16">
        <f t="shared" si="26"/>
        <v>44087</v>
      </c>
      <c r="L1719" s="17">
        <v>0.54166666666666663</v>
      </c>
      <c r="M1719" s="14">
        <v>468</v>
      </c>
      <c r="N1719" s="14">
        <v>0</v>
      </c>
      <c r="O1719" s="14">
        <v>0</v>
      </c>
      <c r="P1719" s="14">
        <v>468</v>
      </c>
      <c r="Q1719">
        <v>7640</v>
      </c>
      <c r="R1719">
        <v>1437</v>
      </c>
      <c r="S1719">
        <v>2239</v>
      </c>
    </row>
    <row r="1720" spans="11:19" x14ac:dyDescent="0.3">
      <c r="K1720" s="16">
        <f t="shared" si="26"/>
        <v>44087</v>
      </c>
      <c r="L1720" s="17">
        <v>0.58333333333333337</v>
      </c>
      <c r="M1720" s="14">
        <v>468</v>
      </c>
      <c r="N1720" s="14">
        <v>0</v>
      </c>
      <c r="O1720" s="14">
        <v>-429</v>
      </c>
      <c r="P1720" s="14">
        <v>39</v>
      </c>
      <c r="Q1720">
        <v>7316</v>
      </c>
      <c r="R1720">
        <v>1647</v>
      </c>
      <c r="S1720">
        <v>2269</v>
      </c>
    </row>
    <row r="1721" spans="11:19" x14ac:dyDescent="0.3">
      <c r="K1721" s="16">
        <f t="shared" si="26"/>
        <v>44087</v>
      </c>
      <c r="L1721" s="17">
        <v>0.625</v>
      </c>
      <c r="M1721" s="14">
        <v>468</v>
      </c>
      <c r="N1721" s="14">
        <v>0</v>
      </c>
      <c r="O1721" s="14">
        <v>-830</v>
      </c>
      <c r="P1721" s="14">
        <v>-362</v>
      </c>
      <c r="Q1721">
        <v>7028</v>
      </c>
      <c r="R1721">
        <v>1933</v>
      </c>
      <c r="S1721">
        <v>2098</v>
      </c>
    </row>
    <row r="1722" spans="11:19" x14ac:dyDescent="0.3">
      <c r="K1722" s="16">
        <f t="shared" si="26"/>
        <v>44087</v>
      </c>
      <c r="L1722" s="17">
        <v>0.66666666666666663</v>
      </c>
      <c r="M1722" s="14">
        <v>468</v>
      </c>
      <c r="N1722" s="14">
        <v>0</v>
      </c>
      <c r="O1722" s="14">
        <v>-927</v>
      </c>
      <c r="P1722" s="14">
        <v>-459</v>
      </c>
      <c r="Q1722">
        <v>6851</v>
      </c>
      <c r="R1722">
        <v>2144</v>
      </c>
      <c r="S1722">
        <v>1805</v>
      </c>
    </row>
    <row r="1723" spans="11:19" x14ac:dyDescent="0.3">
      <c r="K1723" s="16">
        <f t="shared" si="26"/>
        <v>44087</v>
      </c>
      <c r="L1723" s="17">
        <v>0.70833333333333337</v>
      </c>
      <c r="M1723" s="14">
        <v>468</v>
      </c>
      <c r="N1723" s="14">
        <v>0</v>
      </c>
      <c r="O1723" s="14">
        <v>-479</v>
      </c>
      <c r="P1723" s="14">
        <v>-11</v>
      </c>
      <c r="Q1723">
        <v>6865</v>
      </c>
      <c r="R1723">
        <v>2243</v>
      </c>
      <c r="S1723">
        <v>1268</v>
      </c>
    </row>
    <row r="1724" spans="11:19" x14ac:dyDescent="0.3">
      <c r="K1724" s="16">
        <f t="shared" si="26"/>
        <v>44087</v>
      </c>
      <c r="L1724" s="17">
        <v>0.75</v>
      </c>
      <c r="M1724" s="14">
        <v>468</v>
      </c>
      <c r="N1724" s="14">
        <v>0</v>
      </c>
      <c r="O1724" s="14">
        <v>0</v>
      </c>
      <c r="P1724" s="14">
        <v>468</v>
      </c>
      <c r="Q1724">
        <v>7145</v>
      </c>
      <c r="R1724">
        <v>2056</v>
      </c>
      <c r="S1724">
        <v>642</v>
      </c>
    </row>
    <row r="1725" spans="11:19" x14ac:dyDescent="0.3">
      <c r="K1725" s="16">
        <f t="shared" si="26"/>
        <v>44087</v>
      </c>
      <c r="L1725" s="17">
        <v>0.79166666666666663</v>
      </c>
      <c r="M1725" s="14">
        <v>468</v>
      </c>
      <c r="N1725" s="14">
        <v>0</v>
      </c>
      <c r="O1725" s="14">
        <v>0</v>
      </c>
      <c r="P1725" s="14">
        <v>468</v>
      </c>
      <c r="Q1725">
        <v>7476</v>
      </c>
      <c r="R1725">
        <v>1802</v>
      </c>
      <c r="S1725">
        <v>134</v>
      </c>
    </row>
    <row r="1726" spans="11:19" x14ac:dyDescent="0.3">
      <c r="K1726" s="16">
        <f t="shared" si="26"/>
        <v>44087</v>
      </c>
      <c r="L1726" s="17">
        <v>0.83333333333333337</v>
      </c>
      <c r="M1726" s="14">
        <v>468</v>
      </c>
      <c r="N1726" s="14">
        <v>0</v>
      </c>
      <c r="O1726" s="14">
        <v>277</v>
      </c>
      <c r="P1726" s="14">
        <v>745</v>
      </c>
      <c r="Q1726">
        <v>7739</v>
      </c>
      <c r="R1726">
        <v>1908</v>
      </c>
      <c r="S1726">
        <v>0</v>
      </c>
    </row>
    <row r="1727" spans="11:19" x14ac:dyDescent="0.3">
      <c r="K1727" s="16">
        <f t="shared" si="26"/>
        <v>44087</v>
      </c>
      <c r="L1727" s="17">
        <v>0.875</v>
      </c>
      <c r="M1727" s="14">
        <v>468</v>
      </c>
      <c r="N1727" s="14">
        <v>0</v>
      </c>
      <c r="O1727" s="14">
        <v>221</v>
      </c>
      <c r="P1727" s="14">
        <v>689</v>
      </c>
      <c r="Q1727">
        <v>7568</v>
      </c>
      <c r="R1727">
        <v>1800</v>
      </c>
      <c r="S1727">
        <v>0</v>
      </c>
    </row>
    <row r="1728" spans="11:19" x14ac:dyDescent="0.3">
      <c r="K1728" s="16">
        <f t="shared" si="26"/>
        <v>44087</v>
      </c>
      <c r="L1728" s="17">
        <v>0.91666666666666663</v>
      </c>
      <c r="M1728" s="14">
        <v>468</v>
      </c>
      <c r="N1728" s="14">
        <v>0</v>
      </c>
      <c r="O1728" s="14">
        <v>527</v>
      </c>
      <c r="P1728" s="14">
        <v>995</v>
      </c>
      <c r="Q1728">
        <v>7729</v>
      </c>
      <c r="R1728">
        <v>1609</v>
      </c>
      <c r="S1728">
        <v>0</v>
      </c>
    </row>
    <row r="1729" spans="11:19" x14ac:dyDescent="0.3">
      <c r="K1729" s="16">
        <f t="shared" si="26"/>
        <v>44087</v>
      </c>
      <c r="L1729" s="17">
        <v>0.95833333333333337</v>
      </c>
      <c r="M1729" s="14">
        <v>468</v>
      </c>
      <c r="N1729" s="14">
        <v>0</v>
      </c>
      <c r="O1729" s="14">
        <v>606</v>
      </c>
      <c r="P1729" s="14">
        <v>1074</v>
      </c>
      <c r="Q1729">
        <v>7812</v>
      </c>
      <c r="R1729">
        <v>1602</v>
      </c>
      <c r="S1729">
        <v>0</v>
      </c>
    </row>
    <row r="1730" spans="11:19" x14ac:dyDescent="0.3">
      <c r="K1730" s="16">
        <f t="shared" si="26"/>
        <v>44088</v>
      </c>
      <c r="L1730" s="17">
        <v>0</v>
      </c>
      <c r="M1730" s="14">
        <v>468</v>
      </c>
      <c r="N1730" s="14">
        <v>0</v>
      </c>
      <c r="O1730" s="14">
        <v>-15</v>
      </c>
      <c r="P1730" s="14">
        <v>453</v>
      </c>
      <c r="Q1730">
        <v>7184</v>
      </c>
      <c r="R1730">
        <v>1594</v>
      </c>
      <c r="S1730">
        <v>0</v>
      </c>
    </row>
    <row r="1731" spans="11:19" x14ac:dyDescent="0.3">
      <c r="K1731" s="16">
        <f t="shared" si="26"/>
        <v>44088</v>
      </c>
      <c r="L1731" s="17">
        <v>4.1666666666666664E-2</v>
      </c>
      <c r="M1731" s="14">
        <v>468</v>
      </c>
      <c r="N1731" s="14">
        <v>0</v>
      </c>
      <c r="O1731" s="14">
        <v>-236</v>
      </c>
      <c r="P1731" s="14">
        <v>232</v>
      </c>
      <c r="Q1731">
        <v>6815</v>
      </c>
      <c r="R1731">
        <v>1448</v>
      </c>
      <c r="S1731">
        <v>0</v>
      </c>
    </row>
    <row r="1732" spans="11:19" x14ac:dyDescent="0.3">
      <c r="K1732" s="16">
        <f t="shared" si="26"/>
        <v>44088</v>
      </c>
      <c r="L1732" s="17">
        <v>8.3333333333333329E-2</v>
      </c>
      <c r="M1732" s="14">
        <v>468</v>
      </c>
      <c r="N1732" s="14">
        <v>0</v>
      </c>
      <c r="O1732" s="14">
        <v>-465</v>
      </c>
      <c r="P1732" s="14">
        <v>3</v>
      </c>
      <c r="Q1732">
        <v>6521</v>
      </c>
      <c r="R1732">
        <v>1383</v>
      </c>
      <c r="S1732">
        <v>0</v>
      </c>
    </row>
    <row r="1733" spans="11:19" x14ac:dyDescent="0.3">
      <c r="K1733" s="16">
        <f t="shared" si="26"/>
        <v>44088</v>
      </c>
      <c r="L1733" s="17">
        <v>0.125</v>
      </c>
      <c r="M1733" s="14">
        <v>468</v>
      </c>
      <c r="N1733" s="14">
        <v>0</v>
      </c>
      <c r="O1733" s="14">
        <v>-614</v>
      </c>
      <c r="P1733" s="14">
        <v>-146</v>
      </c>
      <c r="Q1733">
        <v>6191</v>
      </c>
      <c r="R1733">
        <v>1200</v>
      </c>
      <c r="S1733">
        <v>0</v>
      </c>
    </row>
    <row r="1734" spans="11:19" x14ac:dyDescent="0.3">
      <c r="K1734" s="16">
        <f t="shared" si="26"/>
        <v>44088</v>
      </c>
      <c r="L1734" s="17">
        <v>0.16666666666666666</v>
      </c>
      <c r="M1734" s="14">
        <v>468</v>
      </c>
      <c r="N1734" s="14">
        <v>0</v>
      </c>
      <c r="O1734" s="14">
        <v>-561</v>
      </c>
      <c r="P1734" s="14">
        <v>-93</v>
      </c>
      <c r="Q1734">
        <v>6202</v>
      </c>
      <c r="R1734">
        <v>1154</v>
      </c>
      <c r="S1734">
        <v>0</v>
      </c>
    </row>
    <row r="1735" spans="11:19" x14ac:dyDescent="0.3">
      <c r="K1735" s="16">
        <f t="shared" si="26"/>
        <v>44088</v>
      </c>
      <c r="L1735" s="17">
        <v>0.20833333333333334</v>
      </c>
      <c r="M1735" s="14">
        <v>468</v>
      </c>
      <c r="N1735" s="14">
        <v>0</v>
      </c>
      <c r="O1735" s="14">
        <v>-43</v>
      </c>
      <c r="P1735" s="14">
        <v>425</v>
      </c>
      <c r="Q1735">
        <v>6682</v>
      </c>
      <c r="R1735">
        <v>1095</v>
      </c>
      <c r="S1735">
        <v>0</v>
      </c>
    </row>
    <row r="1736" spans="11:19" x14ac:dyDescent="0.3">
      <c r="K1736" s="16">
        <f t="shared" si="26"/>
        <v>44088</v>
      </c>
      <c r="L1736" s="17">
        <v>0.25</v>
      </c>
      <c r="M1736" s="14">
        <v>468</v>
      </c>
      <c r="N1736" s="14">
        <v>893</v>
      </c>
      <c r="O1736" s="14">
        <v>0</v>
      </c>
      <c r="P1736" s="14">
        <v>1361</v>
      </c>
      <c r="Q1736">
        <v>7697</v>
      </c>
      <c r="R1736">
        <v>1134</v>
      </c>
      <c r="S1736">
        <v>0</v>
      </c>
    </row>
    <row r="1737" spans="11:19" x14ac:dyDescent="0.3">
      <c r="K1737" s="16">
        <f t="shared" si="26"/>
        <v>44088</v>
      </c>
      <c r="L1737" s="17">
        <v>0.29166666666666669</v>
      </c>
      <c r="M1737" s="14">
        <v>468</v>
      </c>
      <c r="N1737" s="14">
        <v>0</v>
      </c>
      <c r="O1737" s="14">
        <v>1200</v>
      </c>
      <c r="P1737" s="14">
        <v>1668</v>
      </c>
      <c r="Q1737">
        <v>8373</v>
      </c>
      <c r="R1737">
        <v>1021</v>
      </c>
      <c r="S1737">
        <v>37</v>
      </c>
    </row>
    <row r="1738" spans="11:19" x14ac:dyDescent="0.3">
      <c r="K1738" s="16">
        <f t="shared" si="26"/>
        <v>44088</v>
      </c>
      <c r="L1738" s="17">
        <v>0.33333333333333331</v>
      </c>
      <c r="M1738" s="14">
        <v>468</v>
      </c>
      <c r="N1738" s="14">
        <v>893</v>
      </c>
      <c r="O1738" s="14">
        <v>399</v>
      </c>
      <c r="P1738" s="14">
        <v>1760</v>
      </c>
      <c r="Q1738">
        <v>8851</v>
      </c>
      <c r="R1738">
        <v>956</v>
      </c>
      <c r="S1738">
        <v>347</v>
      </c>
    </row>
    <row r="1739" spans="11:19" x14ac:dyDescent="0.3">
      <c r="K1739" s="16">
        <f t="shared" si="26"/>
        <v>44088</v>
      </c>
      <c r="L1739" s="17">
        <v>0.375</v>
      </c>
      <c r="M1739" s="14">
        <v>468</v>
      </c>
      <c r="N1739" s="14">
        <v>893</v>
      </c>
      <c r="O1739" s="14">
        <v>0</v>
      </c>
      <c r="P1739" s="14">
        <v>1361</v>
      </c>
      <c r="Q1739">
        <v>9192</v>
      </c>
      <c r="R1739">
        <v>824</v>
      </c>
      <c r="S1739">
        <v>1023</v>
      </c>
    </row>
    <row r="1740" spans="11:19" x14ac:dyDescent="0.3">
      <c r="K1740" s="16">
        <f t="shared" si="26"/>
        <v>44088</v>
      </c>
      <c r="L1740" s="17">
        <v>0.41666666666666669</v>
      </c>
      <c r="M1740" s="14">
        <v>468</v>
      </c>
      <c r="N1740" s="14">
        <v>893</v>
      </c>
      <c r="O1740" s="14">
        <v>0</v>
      </c>
      <c r="P1740" s="14">
        <v>1361</v>
      </c>
      <c r="Q1740">
        <v>9363</v>
      </c>
      <c r="R1740">
        <v>823</v>
      </c>
      <c r="S1740">
        <v>1676</v>
      </c>
    </row>
    <row r="1741" spans="11:19" x14ac:dyDescent="0.3">
      <c r="K1741" s="16">
        <f t="shared" si="26"/>
        <v>44088</v>
      </c>
      <c r="L1741" s="17">
        <v>0.45833333333333331</v>
      </c>
      <c r="M1741" s="14">
        <v>468</v>
      </c>
      <c r="N1741" s="14">
        <v>0</v>
      </c>
      <c r="O1741" s="14">
        <v>0</v>
      </c>
      <c r="P1741" s="14">
        <v>468</v>
      </c>
      <c r="Q1741">
        <v>9554</v>
      </c>
      <c r="R1741">
        <v>950</v>
      </c>
      <c r="S1741">
        <v>2150</v>
      </c>
    </row>
    <row r="1742" spans="11:19" x14ac:dyDescent="0.3">
      <c r="K1742" s="16">
        <f t="shared" si="26"/>
        <v>44088</v>
      </c>
      <c r="L1742" s="17">
        <v>0.5</v>
      </c>
      <c r="M1742" s="14">
        <v>468</v>
      </c>
      <c r="N1742" s="14">
        <v>0</v>
      </c>
      <c r="O1742" s="14">
        <v>0</v>
      </c>
      <c r="P1742" s="14">
        <v>468</v>
      </c>
      <c r="Q1742">
        <v>9656</v>
      </c>
      <c r="R1742">
        <v>1148</v>
      </c>
      <c r="S1742">
        <v>2450</v>
      </c>
    </row>
    <row r="1743" spans="11:19" x14ac:dyDescent="0.3">
      <c r="K1743" s="16">
        <f t="shared" si="26"/>
        <v>44088</v>
      </c>
      <c r="L1743" s="17">
        <v>0.54166666666666663</v>
      </c>
      <c r="M1743" s="14">
        <v>468</v>
      </c>
      <c r="N1743" s="14">
        <v>0</v>
      </c>
      <c r="O1743" s="14">
        <v>0</v>
      </c>
      <c r="P1743" s="14">
        <v>468</v>
      </c>
      <c r="Q1743">
        <v>9532</v>
      </c>
      <c r="R1743">
        <v>1169</v>
      </c>
      <c r="S1743">
        <v>2586</v>
      </c>
    </row>
    <row r="1744" spans="11:19" x14ac:dyDescent="0.3">
      <c r="K1744" s="16">
        <f t="shared" si="26"/>
        <v>44088</v>
      </c>
      <c r="L1744" s="17">
        <v>0.58333333333333337</v>
      </c>
      <c r="M1744" s="14">
        <v>468</v>
      </c>
      <c r="N1744" s="14">
        <v>21</v>
      </c>
      <c r="O1744" s="14">
        <v>0</v>
      </c>
      <c r="P1744" s="14">
        <v>489</v>
      </c>
      <c r="Q1744">
        <v>9461</v>
      </c>
      <c r="R1744">
        <v>1222</v>
      </c>
      <c r="S1744">
        <v>2543</v>
      </c>
    </row>
    <row r="1745" spans="11:19" x14ac:dyDescent="0.3">
      <c r="K1745" s="16">
        <f t="shared" si="26"/>
        <v>44088</v>
      </c>
      <c r="L1745" s="17">
        <v>0.625</v>
      </c>
      <c r="M1745" s="14">
        <v>468</v>
      </c>
      <c r="N1745" s="14">
        <v>0</v>
      </c>
      <c r="O1745" s="14">
        <v>-62</v>
      </c>
      <c r="P1745" s="14">
        <v>406</v>
      </c>
      <c r="Q1745">
        <v>9230</v>
      </c>
      <c r="R1745">
        <v>1315</v>
      </c>
      <c r="S1745">
        <v>2302</v>
      </c>
    </row>
    <row r="1746" spans="11:19" x14ac:dyDescent="0.3">
      <c r="K1746" s="16">
        <f t="shared" si="26"/>
        <v>44088</v>
      </c>
      <c r="L1746" s="17">
        <v>0.66666666666666663</v>
      </c>
      <c r="M1746" s="14">
        <v>468</v>
      </c>
      <c r="N1746" s="14">
        <v>0</v>
      </c>
      <c r="O1746" s="14">
        <v>0</v>
      </c>
      <c r="P1746" s="14">
        <v>468</v>
      </c>
      <c r="Q1746">
        <v>9016</v>
      </c>
      <c r="R1746">
        <v>1295</v>
      </c>
      <c r="S1746">
        <v>1925</v>
      </c>
    </row>
    <row r="1747" spans="11:19" x14ac:dyDescent="0.3">
      <c r="K1747" s="16">
        <f t="shared" si="26"/>
        <v>44088</v>
      </c>
      <c r="L1747" s="17">
        <v>0.70833333333333337</v>
      </c>
      <c r="M1747" s="14">
        <v>468</v>
      </c>
      <c r="N1747" s="14">
        <v>537</v>
      </c>
      <c r="O1747" s="14">
        <v>0</v>
      </c>
      <c r="P1747" s="14">
        <v>1005</v>
      </c>
      <c r="Q1747">
        <v>8911</v>
      </c>
      <c r="R1747">
        <v>1350</v>
      </c>
      <c r="S1747">
        <v>1343</v>
      </c>
    </row>
    <row r="1748" spans="11:19" x14ac:dyDescent="0.3">
      <c r="K1748" s="16">
        <f t="shared" si="26"/>
        <v>44088</v>
      </c>
      <c r="L1748" s="17">
        <v>0.75</v>
      </c>
      <c r="M1748" s="14">
        <v>468</v>
      </c>
      <c r="N1748" s="14">
        <v>0</v>
      </c>
      <c r="O1748" s="14">
        <v>0</v>
      </c>
      <c r="P1748" s="14">
        <v>468</v>
      </c>
      <c r="Q1748">
        <v>9105</v>
      </c>
      <c r="R1748">
        <v>1450</v>
      </c>
      <c r="S1748">
        <v>660</v>
      </c>
    </row>
    <row r="1749" spans="11:19" x14ac:dyDescent="0.3">
      <c r="K1749" s="16">
        <f t="shared" si="26"/>
        <v>44088</v>
      </c>
      <c r="L1749" s="17">
        <v>0.79166666666666663</v>
      </c>
      <c r="M1749" s="14">
        <v>468</v>
      </c>
      <c r="N1749" s="14">
        <v>893</v>
      </c>
      <c r="O1749" s="14">
        <v>0</v>
      </c>
      <c r="P1749" s="14">
        <v>1361</v>
      </c>
      <c r="Q1749">
        <v>9065</v>
      </c>
      <c r="R1749">
        <v>1342</v>
      </c>
      <c r="S1749">
        <v>109</v>
      </c>
    </row>
    <row r="1750" spans="11:19" x14ac:dyDescent="0.3">
      <c r="K1750" s="16">
        <f t="shared" si="26"/>
        <v>44088</v>
      </c>
      <c r="L1750" s="17">
        <v>0.83333333333333337</v>
      </c>
      <c r="M1750" s="14">
        <v>468</v>
      </c>
      <c r="N1750" s="14">
        <v>893</v>
      </c>
      <c r="O1750" s="14">
        <v>0</v>
      </c>
      <c r="P1750" s="14">
        <v>1361</v>
      </c>
      <c r="Q1750">
        <v>8741</v>
      </c>
      <c r="R1750">
        <v>1392</v>
      </c>
      <c r="S1750">
        <v>5</v>
      </c>
    </row>
    <row r="1751" spans="11:19" x14ac:dyDescent="0.3">
      <c r="K1751" s="16">
        <f t="shared" si="26"/>
        <v>44088</v>
      </c>
      <c r="L1751" s="17">
        <v>0.875</v>
      </c>
      <c r="M1751" s="14">
        <v>468</v>
      </c>
      <c r="N1751" s="14">
        <v>893</v>
      </c>
      <c r="O1751" s="14">
        <v>0</v>
      </c>
      <c r="P1751" s="14">
        <v>1361</v>
      </c>
      <c r="Q1751">
        <v>8252</v>
      </c>
      <c r="R1751">
        <v>1349</v>
      </c>
      <c r="S1751">
        <v>0</v>
      </c>
    </row>
    <row r="1752" spans="11:19" x14ac:dyDescent="0.3">
      <c r="K1752" s="16">
        <f t="shared" si="26"/>
        <v>44088</v>
      </c>
      <c r="L1752" s="17">
        <v>0.91666666666666663</v>
      </c>
      <c r="M1752" s="14">
        <v>468</v>
      </c>
      <c r="N1752" s="14">
        <v>0</v>
      </c>
      <c r="O1752" s="14">
        <v>0</v>
      </c>
      <c r="P1752" s="14">
        <v>468</v>
      </c>
      <c r="Q1752">
        <v>8378</v>
      </c>
      <c r="R1752">
        <v>1192</v>
      </c>
      <c r="S1752">
        <v>0</v>
      </c>
    </row>
    <row r="1753" spans="11:19" x14ac:dyDescent="0.3">
      <c r="K1753" s="16">
        <f t="shared" si="26"/>
        <v>44088</v>
      </c>
      <c r="L1753" s="17">
        <v>0.95833333333333337</v>
      </c>
      <c r="M1753" s="14">
        <v>468</v>
      </c>
      <c r="N1753" s="14">
        <v>0</v>
      </c>
      <c r="O1753" s="14">
        <v>0</v>
      </c>
      <c r="P1753" s="14">
        <v>468</v>
      </c>
      <c r="Q1753">
        <v>8417</v>
      </c>
      <c r="R1753">
        <v>1039</v>
      </c>
      <c r="S1753">
        <v>0</v>
      </c>
    </row>
    <row r="1754" spans="11:19" x14ac:dyDescent="0.3">
      <c r="K1754" s="16">
        <f t="shared" si="26"/>
        <v>44089</v>
      </c>
      <c r="L1754" s="17">
        <v>0</v>
      </c>
      <c r="M1754" s="14">
        <v>468</v>
      </c>
      <c r="N1754" s="14">
        <v>0</v>
      </c>
      <c r="O1754" s="14">
        <v>0</v>
      </c>
      <c r="P1754" s="14">
        <v>468</v>
      </c>
      <c r="Q1754">
        <v>7780</v>
      </c>
      <c r="R1754">
        <v>1059</v>
      </c>
      <c r="S1754">
        <v>0</v>
      </c>
    </row>
    <row r="1755" spans="11:19" x14ac:dyDescent="0.3">
      <c r="K1755" s="16">
        <f t="shared" ref="K1755:K1818" si="27">K1731+1</f>
        <v>44089</v>
      </c>
      <c r="L1755" s="17">
        <v>4.1666666666666664E-2</v>
      </c>
      <c r="M1755" s="14">
        <v>468</v>
      </c>
      <c r="N1755" s="14">
        <v>0</v>
      </c>
      <c r="O1755" s="14">
        <v>0</v>
      </c>
      <c r="P1755" s="14">
        <v>468</v>
      </c>
      <c r="Q1755">
        <v>7399</v>
      </c>
      <c r="R1755">
        <v>1112</v>
      </c>
      <c r="S1755">
        <v>0</v>
      </c>
    </row>
    <row r="1756" spans="11:19" x14ac:dyDescent="0.3">
      <c r="K1756" s="16">
        <f t="shared" si="27"/>
        <v>44089</v>
      </c>
      <c r="L1756" s="17">
        <v>8.3333333333333329E-2</v>
      </c>
      <c r="M1756" s="14">
        <v>468</v>
      </c>
      <c r="N1756" s="14">
        <v>149</v>
      </c>
      <c r="O1756" s="14">
        <v>0</v>
      </c>
      <c r="P1756" s="14">
        <v>617</v>
      </c>
      <c r="Q1756">
        <v>7113</v>
      </c>
      <c r="R1756">
        <v>1121</v>
      </c>
      <c r="S1756">
        <v>0</v>
      </c>
    </row>
    <row r="1757" spans="11:19" x14ac:dyDescent="0.3">
      <c r="K1757" s="16">
        <f t="shared" si="27"/>
        <v>44089</v>
      </c>
      <c r="L1757" s="17">
        <v>0.125</v>
      </c>
      <c r="M1757" s="14">
        <v>468</v>
      </c>
      <c r="N1757" s="14">
        <v>0</v>
      </c>
      <c r="O1757" s="14">
        <v>-38</v>
      </c>
      <c r="P1757" s="14">
        <v>430</v>
      </c>
      <c r="Q1757">
        <v>6778</v>
      </c>
      <c r="R1757">
        <v>971</v>
      </c>
      <c r="S1757">
        <v>0</v>
      </c>
    </row>
    <row r="1758" spans="11:19" x14ac:dyDescent="0.3">
      <c r="K1758" s="16">
        <f t="shared" si="27"/>
        <v>44089</v>
      </c>
      <c r="L1758" s="17">
        <v>0.16666666666666666</v>
      </c>
      <c r="M1758" s="14">
        <v>468</v>
      </c>
      <c r="N1758" s="14">
        <v>0</v>
      </c>
      <c r="O1758" s="14">
        <v>-86</v>
      </c>
      <c r="P1758" s="14">
        <v>382</v>
      </c>
      <c r="Q1758">
        <v>6716</v>
      </c>
      <c r="R1758">
        <v>873</v>
      </c>
      <c r="S1758">
        <v>0</v>
      </c>
    </row>
    <row r="1759" spans="11:19" x14ac:dyDescent="0.3">
      <c r="K1759" s="16">
        <f t="shared" si="27"/>
        <v>44089</v>
      </c>
      <c r="L1759" s="17">
        <v>0.20833333333333334</v>
      </c>
      <c r="M1759" s="14">
        <v>468</v>
      </c>
      <c r="N1759" s="14">
        <v>0</v>
      </c>
      <c r="O1759" s="14">
        <v>0</v>
      </c>
      <c r="P1759" s="14">
        <v>468</v>
      </c>
      <c r="Q1759">
        <v>7094</v>
      </c>
      <c r="R1759">
        <v>783</v>
      </c>
      <c r="S1759">
        <v>0</v>
      </c>
    </row>
    <row r="1760" spans="11:19" x14ac:dyDescent="0.3">
      <c r="K1760" s="16">
        <f t="shared" si="27"/>
        <v>44089</v>
      </c>
      <c r="L1760" s="17">
        <v>0.25</v>
      </c>
      <c r="M1760" s="14">
        <v>468</v>
      </c>
      <c r="N1760" s="14">
        <v>1239</v>
      </c>
      <c r="O1760" s="14">
        <v>0</v>
      </c>
      <c r="P1760" s="14">
        <v>1707</v>
      </c>
      <c r="Q1760">
        <v>8048</v>
      </c>
      <c r="R1760">
        <v>757</v>
      </c>
      <c r="S1760">
        <v>0</v>
      </c>
    </row>
    <row r="1761" spans="11:19" x14ac:dyDescent="0.3">
      <c r="K1761" s="16">
        <f t="shared" si="27"/>
        <v>44089</v>
      </c>
      <c r="L1761" s="17">
        <v>0.29166666666666669</v>
      </c>
      <c r="M1761" s="14">
        <v>468</v>
      </c>
      <c r="N1761" s="14">
        <v>0</v>
      </c>
      <c r="O1761" s="14">
        <v>0</v>
      </c>
      <c r="P1761" s="14">
        <v>468</v>
      </c>
      <c r="Q1761">
        <v>8719</v>
      </c>
      <c r="R1761">
        <v>735</v>
      </c>
      <c r="S1761">
        <v>25</v>
      </c>
    </row>
    <row r="1762" spans="11:19" x14ac:dyDescent="0.3">
      <c r="K1762" s="16">
        <f t="shared" si="27"/>
        <v>44089</v>
      </c>
      <c r="L1762" s="17">
        <v>0.33333333333333331</v>
      </c>
      <c r="M1762" s="14">
        <v>468</v>
      </c>
      <c r="N1762" s="14">
        <v>0</v>
      </c>
      <c r="O1762" s="14">
        <v>0</v>
      </c>
      <c r="P1762" s="14">
        <v>468</v>
      </c>
      <c r="Q1762">
        <v>9158</v>
      </c>
      <c r="R1762">
        <v>739</v>
      </c>
      <c r="S1762">
        <v>289</v>
      </c>
    </row>
    <row r="1763" spans="11:19" x14ac:dyDescent="0.3">
      <c r="K1763" s="16">
        <f t="shared" si="27"/>
        <v>44089</v>
      </c>
      <c r="L1763" s="17">
        <v>0.375</v>
      </c>
      <c r="M1763" s="14">
        <v>468</v>
      </c>
      <c r="N1763" s="14">
        <v>1239</v>
      </c>
      <c r="O1763" s="14">
        <v>0</v>
      </c>
      <c r="P1763" s="14">
        <v>1707</v>
      </c>
      <c r="Q1763">
        <v>9467</v>
      </c>
      <c r="R1763">
        <v>729</v>
      </c>
      <c r="S1763">
        <v>948</v>
      </c>
    </row>
    <row r="1764" spans="11:19" x14ac:dyDescent="0.3">
      <c r="K1764" s="16">
        <f t="shared" si="27"/>
        <v>44089</v>
      </c>
      <c r="L1764" s="17">
        <v>0.41666666666666669</v>
      </c>
      <c r="M1764" s="14">
        <v>468</v>
      </c>
      <c r="N1764" s="14">
        <v>1239</v>
      </c>
      <c r="O1764" s="14">
        <v>0</v>
      </c>
      <c r="P1764" s="14">
        <v>1707</v>
      </c>
      <c r="Q1764">
        <v>9611</v>
      </c>
      <c r="R1764">
        <v>623</v>
      </c>
      <c r="S1764">
        <v>1596</v>
      </c>
    </row>
    <row r="1765" spans="11:19" x14ac:dyDescent="0.3">
      <c r="K1765" s="16">
        <f t="shared" si="27"/>
        <v>44089</v>
      </c>
      <c r="L1765" s="17">
        <v>0.45833333333333331</v>
      </c>
      <c r="M1765" s="14">
        <v>468</v>
      </c>
      <c r="N1765" s="14">
        <v>0</v>
      </c>
      <c r="O1765" s="14">
        <v>0</v>
      </c>
      <c r="P1765" s="14">
        <v>468</v>
      </c>
      <c r="Q1765">
        <v>9790</v>
      </c>
      <c r="R1765">
        <v>974</v>
      </c>
      <c r="S1765">
        <v>2116</v>
      </c>
    </row>
    <row r="1766" spans="11:19" x14ac:dyDescent="0.3">
      <c r="K1766" s="16">
        <f t="shared" si="27"/>
        <v>44089</v>
      </c>
      <c r="L1766" s="17">
        <v>0.5</v>
      </c>
      <c r="M1766" s="14">
        <v>468</v>
      </c>
      <c r="N1766" s="14">
        <v>588</v>
      </c>
      <c r="O1766" s="14">
        <v>0</v>
      </c>
      <c r="P1766" s="14">
        <v>1056</v>
      </c>
      <c r="Q1766">
        <v>9839</v>
      </c>
      <c r="R1766">
        <v>1018</v>
      </c>
      <c r="S1766">
        <v>2478</v>
      </c>
    </row>
    <row r="1767" spans="11:19" x14ac:dyDescent="0.3">
      <c r="K1767" s="16">
        <f t="shared" si="27"/>
        <v>44089</v>
      </c>
      <c r="L1767" s="17">
        <v>0.54166666666666663</v>
      </c>
      <c r="M1767" s="14">
        <v>468</v>
      </c>
      <c r="N1767" s="14">
        <v>241</v>
      </c>
      <c r="O1767" s="14">
        <v>0</v>
      </c>
      <c r="P1767" s="14">
        <v>709</v>
      </c>
      <c r="Q1767">
        <v>9709</v>
      </c>
      <c r="R1767">
        <v>1074</v>
      </c>
      <c r="S1767">
        <v>2639</v>
      </c>
    </row>
    <row r="1768" spans="11:19" x14ac:dyDescent="0.3">
      <c r="K1768" s="16">
        <f t="shared" si="27"/>
        <v>44089</v>
      </c>
      <c r="L1768" s="17">
        <v>0.58333333333333337</v>
      </c>
      <c r="M1768" s="14">
        <v>468</v>
      </c>
      <c r="N1768" s="14">
        <v>196</v>
      </c>
      <c r="O1768" s="14">
        <v>0</v>
      </c>
      <c r="P1768" s="14">
        <v>664</v>
      </c>
      <c r="Q1768">
        <v>9718</v>
      </c>
      <c r="R1768">
        <v>1022</v>
      </c>
      <c r="S1768">
        <v>2585</v>
      </c>
    </row>
    <row r="1769" spans="11:19" x14ac:dyDescent="0.3">
      <c r="K1769" s="16">
        <f t="shared" si="27"/>
        <v>44089</v>
      </c>
      <c r="L1769" s="17">
        <v>0.625</v>
      </c>
      <c r="M1769" s="14">
        <v>468</v>
      </c>
      <c r="N1769" s="14">
        <v>0</v>
      </c>
      <c r="O1769" s="14">
        <v>0</v>
      </c>
      <c r="P1769" s="14">
        <v>468</v>
      </c>
      <c r="Q1769">
        <v>9539</v>
      </c>
      <c r="R1769">
        <v>828</v>
      </c>
      <c r="S1769">
        <v>2311</v>
      </c>
    </row>
    <row r="1770" spans="11:19" x14ac:dyDescent="0.3">
      <c r="K1770" s="16">
        <f t="shared" si="27"/>
        <v>44089</v>
      </c>
      <c r="L1770" s="17">
        <v>0.66666666666666663</v>
      </c>
      <c r="M1770" s="14">
        <v>468</v>
      </c>
      <c r="N1770" s="14">
        <v>0</v>
      </c>
      <c r="O1770" s="14">
        <v>100</v>
      </c>
      <c r="P1770" s="14">
        <v>568</v>
      </c>
      <c r="Q1770">
        <v>9378</v>
      </c>
      <c r="R1770">
        <v>878</v>
      </c>
      <c r="S1770">
        <v>1901</v>
      </c>
    </row>
    <row r="1771" spans="11:19" x14ac:dyDescent="0.3">
      <c r="K1771" s="16">
        <f t="shared" si="27"/>
        <v>44089</v>
      </c>
      <c r="L1771" s="17">
        <v>0.70833333333333337</v>
      </c>
      <c r="M1771" s="14">
        <v>468</v>
      </c>
      <c r="N1771" s="14">
        <v>0</v>
      </c>
      <c r="O1771" s="14">
        <v>0</v>
      </c>
      <c r="P1771" s="14">
        <v>468</v>
      </c>
      <c r="Q1771">
        <v>9291</v>
      </c>
      <c r="R1771">
        <v>1042</v>
      </c>
      <c r="S1771">
        <v>1284</v>
      </c>
    </row>
    <row r="1772" spans="11:19" x14ac:dyDescent="0.3">
      <c r="K1772" s="16">
        <f t="shared" si="27"/>
        <v>44089</v>
      </c>
      <c r="L1772" s="17">
        <v>0.75</v>
      </c>
      <c r="M1772" s="14">
        <v>468</v>
      </c>
      <c r="N1772" s="14">
        <v>0</v>
      </c>
      <c r="O1772" s="14">
        <v>0</v>
      </c>
      <c r="P1772" s="14">
        <v>468</v>
      </c>
      <c r="Q1772">
        <v>9433</v>
      </c>
      <c r="R1772">
        <v>946</v>
      </c>
      <c r="S1772">
        <v>601</v>
      </c>
    </row>
    <row r="1773" spans="11:19" x14ac:dyDescent="0.3">
      <c r="K1773" s="16">
        <f t="shared" si="27"/>
        <v>44089</v>
      </c>
      <c r="L1773" s="17">
        <v>0.79166666666666663</v>
      </c>
      <c r="M1773" s="14">
        <v>468</v>
      </c>
      <c r="N1773" s="14">
        <v>1239</v>
      </c>
      <c r="O1773" s="14">
        <v>0</v>
      </c>
      <c r="P1773" s="14">
        <v>1707</v>
      </c>
      <c r="Q1773">
        <v>9349</v>
      </c>
      <c r="R1773">
        <v>1019</v>
      </c>
      <c r="S1773">
        <v>100</v>
      </c>
    </row>
    <row r="1774" spans="11:19" x14ac:dyDescent="0.3">
      <c r="K1774" s="16">
        <f t="shared" si="27"/>
        <v>44089</v>
      </c>
      <c r="L1774" s="17">
        <v>0.83333333333333337</v>
      </c>
      <c r="M1774" s="14">
        <v>468</v>
      </c>
      <c r="N1774" s="14">
        <v>1239</v>
      </c>
      <c r="O1774" s="14">
        <v>0</v>
      </c>
      <c r="P1774" s="14">
        <v>1707</v>
      </c>
      <c r="Q1774">
        <v>9050</v>
      </c>
      <c r="R1774">
        <v>930</v>
      </c>
      <c r="S1774">
        <v>4</v>
      </c>
    </row>
    <row r="1775" spans="11:19" x14ac:dyDescent="0.3">
      <c r="K1775" s="16">
        <f t="shared" si="27"/>
        <v>44089</v>
      </c>
      <c r="L1775" s="17">
        <v>0.875</v>
      </c>
      <c r="M1775" s="14">
        <v>468</v>
      </c>
      <c r="N1775" s="14">
        <v>0</v>
      </c>
      <c r="O1775" s="14">
        <v>0</v>
      </c>
      <c r="P1775" s="14">
        <v>468</v>
      </c>
      <c r="Q1775">
        <v>8560</v>
      </c>
      <c r="R1775">
        <v>913</v>
      </c>
      <c r="S1775">
        <v>0</v>
      </c>
    </row>
    <row r="1776" spans="11:19" x14ac:dyDescent="0.3">
      <c r="K1776" s="16">
        <f t="shared" si="27"/>
        <v>44089</v>
      </c>
      <c r="L1776" s="17">
        <v>0.91666666666666663</v>
      </c>
      <c r="M1776" s="14">
        <v>468</v>
      </c>
      <c r="N1776" s="14">
        <v>0</v>
      </c>
      <c r="O1776" s="14">
        <v>0</v>
      </c>
      <c r="P1776" s="14">
        <v>468</v>
      </c>
      <c r="Q1776">
        <v>8680</v>
      </c>
      <c r="R1776">
        <v>926</v>
      </c>
      <c r="S1776">
        <v>0</v>
      </c>
    </row>
    <row r="1777" spans="11:19" x14ac:dyDescent="0.3">
      <c r="K1777" s="16">
        <f t="shared" si="27"/>
        <v>44089</v>
      </c>
      <c r="L1777" s="17">
        <v>0.95833333333333337</v>
      </c>
      <c r="M1777" s="14">
        <v>468</v>
      </c>
      <c r="N1777" s="14">
        <v>0</v>
      </c>
      <c r="O1777" s="14">
        <v>0</v>
      </c>
      <c r="P1777" s="14">
        <v>468</v>
      </c>
      <c r="Q1777">
        <v>8667</v>
      </c>
      <c r="R1777">
        <v>867</v>
      </c>
      <c r="S1777">
        <v>0</v>
      </c>
    </row>
    <row r="1778" spans="11:19" x14ac:dyDescent="0.3">
      <c r="K1778" s="16">
        <f t="shared" si="27"/>
        <v>44090</v>
      </c>
      <c r="L1778" s="17">
        <v>0</v>
      </c>
      <c r="M1778" s="14">
        <v>468</v>
      </c>
      <c r="N1778" s="14">
        <v>1265</v>
      </c>
      <c r="O1778" s="14">
        <v>0</v>
      </c>
      <c r="P1778" s="14">
        <v>1733</v>
      </c>
      <c r="Q1778">
        <v>7898</v>
      </c>
      <c r="R1778">
        <v>947</v>
      </c>
      <c r="S1778">
        <v>0</v>
      </c>
    </row>
    <row r="1779" spans="11:19" x14ac:dyDescent="0.3">
      <c r="K1779" s="16">
        <f t="shared" si="27"/>
        <v>44090</v>
      </c>
      <c r="L1779" s="17">
        <v>4.1666666666666664E-2</v>
      </c>
      <c r="M1779" s="14">
        <v>468</v>
      </c>
      <c r="N1779" s="14">
        <v>0</v>
      </c>
      <c r="O1779" s="14">
        <v>0</v>
      </c>
      <c r="P1779" s="14">
        <v>468</v>
      </c>
      <c r="Q1779">
        <v>7513</v>
      </c>
      <c r="R1779">
        <v>875</v>
      </c>
      <c r="S1779">
        <v>0</v>
      </c>
    </row>
    <row r="1780" spans="11:19" x14ac:dyDescent="0.3">
      <c r="K1780" s="16">
        <f t="shared" si="27"/>
        <v>44090</v>
      </c>
      <c r="L1780" s="17">
        <v>8.3333333333333329E-2</v>
      </c>
      <c r="M1780" s="14">
        <v>468</v>
      </c>
      <c r="N1780" s="14">
        <v>0</v>
      </c>
      <c r="O1780" s="14">
        <v>0</v>
      </c>
      <c r="P1780" s="14">
        <v>468</v>
      </c>
      <c r="Q1780">
        <v>7223</v>
      </c>
      <c r="R1780">
        <v>802</v>
      </c>
      <c r="S1780">
        <v>0</v>
      </c>
    </row>
    <row r="1781" spans="11:19" x14ac:dyDescent="0.3">
      <c r="K1781" s="16">
        <f t="shared" si="27"/>
        <v>44090</v>
      </c>
      <c r="L1781" s="17">
        <v>0.125</v>
      </c>
      <c r="M1781" s="14">
        <v>468</v>
      </c>
      <c r="N1781" s="14">
        <v>0</v>
      </c>
      <c r="O1781" s="14">
        <v>0</v>
      </c>
      <c r="P1781" s="14">
        <v>468</v>
      </c>
      <c r="Q1781">
        <v>6888</v>
      </c>
      <c r="R1781">
        <v>784</v>
      </c>
      <c r="S1781">
        <v>0</v>
      </c>
    </row>
    <row r="1782" spans="11:19" x14ac:dyDescent="0.3">
      <c r="K1782" s="16">
        <f t="shared" si="27"/>
        <v>44090</v>
      </c>
      <c r="L1782" s="17">
        <v>0.16666666666666666</v>
      </c>
      <c r="M1782" s="14">
        <v>468</v>
      </c>
      <c r="N1782" s="14">
        <v>441</v>
      </c>
      <c r="O1782" s="14">
        <v>0</v>
      </c>
      <c r="P1782" s="14">
        <v>909</v>
      </c>
      <c r="Q1782">
        <v>6825</v>
      </c>
      <c r="R1782">
        <v>694</v>
      </c>
      <c r="S1782">
        <v>0</v>
      </c>
    </row>
    <row r="1783" spans="11:19" x14ac:dyDescent="0.3">
      <c r="K1783" s="16">
        <f t="shared" si="27"/>
        <v>44090</v>
      </c>
      <c r="L1783" s="17">
        <v>0.20833333333333334</v>
      </c>
      <c r="M1783" s="14">
        <v>468</v>
      </c>
      <c r="N1783" s="14">
        <v>617</v>
      </c>
      <c r="O1783" s="14">
        <v>0</v>
      </c>
      <c r="P1783" s="14">
        <v>1085</v>
      </c>
      <c r="Q1783">
        <v>7190</v>
      </c>
      <c r="R1783">
        <v>622</v>
      </c>
      <c r="S1783">
        <v>0</v>
      </c>
    </row>
    <row r="1784" spans="11:19" x14ac:dyDescent="0.3">
      <c r="K1784" s="16">
        <f t="shared" si="27"/>
        <v>44090</v>
      </c>
      <c r="L1784" s="17">
        <v>0.25</v>
      </c>
      <c r="M1784" s="14">
        <v>468</v>
      </c>
      <c r="N1784" s="14">
        <v>1563</v>
      </c>
      <c r="O1784" s="14">
        <v>0</v>
      </c>
      <c r="P1784" s="14">
        <v>2031</v>
      </c>
      <c r="Q1784">
        <v>8131</v>
      </c>
      <c r="R1784">
        <v>524</v>
      </c>
      <c r="S1784">
        <v>0</v>
      </c>
    </row>
    <row r="1785" spans="11:19" x14ac:dyDescent="0.3">
      <c r="K1785" s="16">
        <f t="shared" si="27"/>
        <v>44090</v>
      </c>
      <c r="L1785" s="17">
        <v>0.29166666666666669</v>
      </c>
      <c r="M1785" s="14">
        <v>468</v>
      </c>
      <c r="N1785" s="14">
        <v>0</v>
      </c>
      <c r="O1785" s="14">
        <v>0</v>
      </c>
      <c r="P1785" s="14">
        <v>468</v>
      </c>
      <c r="Q1785">
        <v>8811</v>
      </c>
      <c r="R1785">
        <v>549</v>
      </c>
      <c r="S1785">
        <v>19</v>
      </c>
    </row>
    <row r="1786" spans="11:19" x14ac:dyDescent="0.3">
      <c r="K1786" s="16">
        <f t="shared" si="27"/>
        <v>44090</v>
      </c>
      <c r="L1786" s="17">
        <v>0.33333333333333331</v>
      </c>
      <c r="M1786" s="14">
        <v>468</v>
      </c>
      <c r="N1786" s="14">
        <v>1563</v>
      </c>
      <c r="O1786" s="14">
        <v>0</v>
      </c>
      <c r="P1786" s="14">
        <v>2031</v>
      </c>
      <c r="Q1786">
        <v>9251</v>
      </c>
      <c r="R1786">
        <v>588</v>
      </c>
      <c r="S1786">
        <v>214</v>
      </c>
    </row>
    <row r="1787" spans="11:19" x14ac:dyDescent="0.3">
      <c r="K1787" s="16">
        <f t="shared" si="27"/>
        <v>44090</v>
      </c>
      <c r="L1787" s="17">
        <v>0.375</v>
      </c>
      <c r="M1787" s="14">
        <v>468</v>
      </c>
      <c r="N1787" s="14">
        <v>0</v>
      </c>
      <c r="O1787" s="14">
        <v>0</v>
      </c>
      <c r="P1787" s="14">
        <v>468</v>
      </c>
      <c r="Q1787">
        <v>9579</v>
      </c>
      <c r="R1787">
        <v>744</v>
      </c>
      <c r="S1787">
        <v>768</v>
      </c>
    </row>
    <row r="1788" spans="11:19" x14ac:dyDescent="0.3">
      <c r="K1788" s="16">
        <f t="shared" si="27"/>
        <v>44090</v>
      </c>
      <c r="L1788" s="17">
        <v>0.41666666666666669</v>
      </c>
      <c r="M1788" s="14">
        <v>468</v>
      </c>
      <c r="N1788" s="14">
        <v>0</v>
      </c>
      <c r="O1788" s="14">
        <v>0</v>
      </c>
      <c r="P1788" s="14">
        <v>468</v>
      </c>
      <c r="Q1788">
        <v>9751</v>
      </c>
      <c r="R1788">
        <v>747</v>
      </c>
      <c r="S1788">
        <v>1397</v>
      </c>
    </row>
    <row r="1789" spans="11:19" x14ac:dyDescent="0.3">
      <c r="K1789" s="16">
        <f t="shared" si="27"/>
        <v>44090</v>
      </c>
      <c r="L1789" s="17">
        <v>0.45833333333333331</v>
      </c>
      <c r="M1789" s="14">
        <v>468</v>
      </c>
      <c r="N1789" s="14">
        <v>1323</v>
      </c>
      <c r="O1789" s="14">
        <v>0</v>
      </c>
      <c r="P1789" s="14">
        <v>1791</v>
      </c>
      <c r="Q1789">
        <v>9959</v>
      </c>
      <c r="R1789">
        <v>865</v>
      </c>
      <c r="S1789">
        <v>1853</v>
      </c>
    </row>
    <row r="1790" spans="11:19" x14ac:dyDescent="0.3">
      <c r="K1790" s="16">
        <f t="shared" si="27"/>
        <v>44090</v>
      </c>
      <c r="L1790" s="17">
        <v>0.5</v>
      </c>
      <c r="M1790" s="14">
        <v>468</v>
      </c>
      <c r="N1790" s="14">
        <v>0</v>
      </c>
      <c r="O1790" s="14">
        <v>0</v>
      </c>
      <c r="P1790" s="14">
        <v>468</v>
      </c>
      <c r="Q1790">
        <v>10037</v>
      </c>
      <c r="R1790">
        <v>892</v>
      </c>
      <c r="S1790">
        <v>2199</v>
      </c>
    </row>
    <row r="1791" spans="11:19" x14ac:dyDescent="0.3">
      <c r="K1791" s="16">
        <f t="shared" si="27"/>
        <v>44090</v>
      </c>
      <c r="L1791" s="17">
        <v>0.54166666666666663</v>
      </c>
      <c r="M1791" s="14">
        <v>468</v>
      </c>
      <c r="N1791" s="14">
        <v>0</v>
      </c>
      <c r="O1791" s="14">
        <v>0</v>
      </c>
      <c r="P1791" s="14">
        <v>468</v>
      </c>
      <c r="Q1791">
        <v>9945</v>
      </c>
      <c r="R1791">
        <v>889</v>
      </c>
      <c r="S1791">
        <v>2341</v>
      </c>
    </row>
    <row r="1792" spans="11:19" x14ac:dyDescent="0.3">
      <c r="K1792" s="16">
        <f t="shared" si="27"/>
        <v>44090</v>
      </c>
      <c r="L1792" s="17">
        <v>0.58333333333333337</v>
      </c>
      <c r="M1792" s="14">
        <v>468</v>
      </c>
      <c r="N1792" s="14">
        <v>0</v>
      </c>
      <c r="O1792" s="14">
        <v>0</v>
      </c>
      <c r="P1792" s="14">
        <v>468</v>
      </c>
      <c r="Q1792">
        <v>10013</v>
      </c>
      <c r="R1792">
        <v>846</v>
      </c>
      <c r="S1792">
        <v>2318</v>
      </c>
    </row>
    <row r="1793" spans="11:19" x14ac:dyDescent="0.3">
      <c r="K1793" s="16">
        <f t="shared" si="27"/>
        <v>44090</v>
      </c>
      <c r="L1793" s="17">
        <v>0.625</v>
      </c>
      <c r="M1793" s="14">
        <v>468</v>
      </c>
      <c r="N1793" s="14">
        <v>0</v>
      </c>
      <c r="O1793" s="14">
        <v>0</v>
      </c>
      <c r="P1793" s="14">
        <v>468</v>
      </c>
      <c r="Q1793">
        <v>9871</v>
      </c>
      <c r="R1793">
        <v>718</v>
      </c>
      <c r="S1793">
        <v>2068</v>
      </c>
    </row>
    <row r="1794" spans="11:19" x14ac:dyDescent="0.3">
      <c r="K1794" s="16">
        <f t="shared" si="27"/>
        <v>44090</v>
      </c>
      <c r="L1794" s="17">
        <v>0.66666666666666663</v>
      </c>
      <c r="M1794" s="14">
        <v>468</v>
      </c>
      <c r="N1794" s="14">
        <v>1464</v>
      </c>
      <c r="O1794" s="14">
        <v>0</v>
      </c>
      <c r="P1794" s="14">
        <v>1932</v>
      </c>
      <c r="Q1794">
        <v>9724</v>
      </c>
      <c r="R1794">
        <v>714</v>
      </c>
      <c r="S1794">
        <v>1706</v>
      </c>
    </row>
    <row r="1795" spans="11:19" x14ac:dyDescent="0.3">
      <c r="K1795" s="16">
        <f t="shared" si="27"/>
        <v>44090</v>
      </c>
      <c r="L1795" s="17">
        <v>0.70833333333333337</v>
      </c>
      <c r="M1795" s="14">
        <v>468</v>
      </c>
      <c r="N1795" s="14">
        <v>1563</v>
      </c>
      <c r="O1795" s="14">
        <v>0</v>
      </c>
      <c r="P1795" s="14">
        <v>2031</v>
      </c>
      <c r="Q1795">
        <v>9628</v>
      </c>
      <c r="R1795">
        <v>609</v>
      </c>
      <c r="S1795">
        <v>1133</v>
      </c>
    </row>
    <row r="1796" spans="11:19" x14ac:dyDescent="0.3">
      <c r="K1796" s="16">
        <f t="shared" si="27"/>
        <v>44090</v>
      </c>
      <c r="L1796" s="17">
        <v>0.75</v>
      </c>
      <c r="M1796" s="14">
        <v>468</v>
      </c>
      <c r="N1796" s="14">
        <v>1563</v>
      </c>
      <c r="O1796" s="14">
        <v>0</v>
      </c>
      <c r="P1796" s="14">
        <v>2031</v>
      </c>
      <c r="Q1796">
        <v>9708</v>
      </c>
      <c r="R1796">
        <v>591</v>
      </c>
      <c r="S1796">
        <v>518</v>
      </c>
    </row>
    <row r="1797" spans="11:19" x14ac:dyDescent="0.3">
      <c r="K1797" s="16">
        <f t="shared" si="27"/>
        <v>44090</v>
      </c>
      <c r="L1797" s="17">
        <v>0.79166666666666663</v>
      </c>
      <c r="M1797" s="14">
        <v>468</v>
      </c>
      <c r="N1797" s="14">
        <v>1563</v>
      </c>
      <c r="O1797" s="14">
        <v>0</v>
      </c>
      <c r="P1797" s="14">
        <v>2031</v>
      </c>
      <c r="Q1797">
        <v>9577</v>
      </c>
      <c r="R1797">
        <v>580</v>
      </c>
      <c r="S1797">
        <v>94</v>
      </c>
    </row>
    <row r="1798" spans="11:19" x14ac:dyDescent="0.3">
      <c r="K1798" s="16">
        <f t="shared" si="27"/>
        <v>44090</v>
      </c>
      <c r="L1798" s="17">
        <v>0.83333333333333337</v>
      </c>
      <c r="M1798" s="14">
        <v>468</v>
      </c>
      <c r="N1798" s="14">
        <v>1563</v>
      </c>
      <c r="O1798" s="14">
        <v>0</v>
      </c>
      <c r="P1798" s="14">
        <v>2031</v>
      </c>
      <c r="Q1798">
        <v>9256</v>
      </c>
      <c r="R1798">
        <v>487</v>
      </c>
      <c r="S1798">
        <v>8</v>
      </c>
    </row>
    <row r="1799" spans="11:19" x14ac:dyDescent="0.3">
      <c r="K1799" s="16">
        <f t="shared" si="27"/>
        <v>44090</v>
      </c>
      <c r="L1799" s="17">
        <v>0.875</v>
      </c>
      <c r="M1799" s="14">
        <v>468</v>
      </c>
      <c r="N1799" s="14">
        <v>0</v>
      </c>
      <c r="O1799" s="14">
        <v>0</v>
      </c>
      <c r="P1799" s="14">
        <v>468</v>
      </c>
      <c r="Q1799">
        <v>8764</v>
      </c>
      <c r="R1799">
        <v>475</v>
      </c>
      <c r="S1799">
        <v>0</v>
      </c>
    </row>
    <row r="1800" spans="11:19" x14ac:dyDescent="0.3">
      <c r="K1800" s="16">
        <f t="shared" si="27"/>
        <v>44090</v>
      </c>
      <c r="L1800" s="17">
        <v>0.91666666666666663</v>
      </c>
      <c r="M1800" s="14">
        <v>468</v>
      </c>
      <c r="N1800" s="14">
        <v>0</v>
      </c>
      <c r="O1800" s="14">
        <v>0</v>
      </c>
      <c r="P1800" s="14">
        <v>468</v>
      </c>
      <c r="Q1800">
        <v>8892</v>
      </c>
      <c r="R1800">
        <v>422</v>
      </c>
      <c r="S1800">
        <v>0</v>
      </c>
    </row>
    <row r="1801" spans="11:19" x14ac:dyDescent="0.3">
      <c r="K1801" s="16">
        <f t="shared" si="27"/>
        <v>44090</v>
      </c>
      <c r="L1801" s="17">
        <v>0.95833333333333337</v>
      </c>
      <c r="M1801" s="14">
        <v>468</v>
      </c>
      <c r="N1801" s="14">
        <v>1563</v>
      </c>
      <c r="O1801" s="14">
        <v>0</v>
      </c>
      <c r="P1801" s="14">
        <v>2031</v>
      </c>
      <c r="Q1801">
        <v>8834</v>
      </c>
      <c r="R1801">
        <v>376</v>
      </c>
      <c r="S1801">
        <v>0</v>
      </c>
    </row>
    <row r="1802" spans="11:19" x14ac:dyDescent="0.3">
      <c r="K1802" s="16">
        <f t="shared" si="27"/>
        <v>44091</v>
      </c>
      <c r="L1802" s="17">
        <v>0</v>
      </c>
      <c r="M1802" s="14">
        <v>468</v>
      </c>
      <c r="N1802" s="14">
        <v>1714</v>
      </c>
      <c r="O1802" s="14">
        <v>0</v>
      </c>
      <c r="P1802" s="14">
        <v>2182</v>
      </c>
      <c r="Q1802">
        <v>8022</v>
      </c>
      <c r="R1802">
        <v>379</v>
      </c>
      <c r="S1802">
        <v>0</v>
      </c>
    </row>
    <row r="1803" spans="11:19" x14ac:dyDescent="0.3">
      <c r="K1803" s="16">
        <f t="shared" si="27"/>
        <v>44091</v>
      </c>
      <c r="L1803" s="17">
        <v>4.1666666666666664E-2</v>
      </c>
      <c r="M1803" s="14">
        <v>468</v>
      </c>
      <c r="N1803" s="14">
        <v>0</v>
      </c>
      <c r="O1803" s="14">
        <v>0</v>
      </c>
      <c r="P1803" s="14">
        <v>468</v>
      </c>
      <c r="Q1803">
        <v>7634</v>
      </c>
      <c r="R1803">
        <v>396</v>
      </c>
      <c r="S1803">
        <v>0</v>
      </c>
    </row>
    <row r="1804" spans="11:19" x14ac:dyDescent="0.3">
      <c r="K1804" s="16">
        <f t="shared" si="27"/>
        <v>44091</v>
      </c>
      <c r="L1804" s="17">
        <v>8.3333333333333329E-2</v>
      </c>
      <c r="M1804" s="14">
        <v>468</v>
      </c>
      <c r="N1804" s="14">
        <v>0</v>
      </c>
      <c r="O1804" s="14">
        <v>0</v>
      </c>
      <c r="P1804" s="14">
        <v>468</v>
      </c>
      <c r="Q1804">
        <v>7344</v>
      </c>
      <c r="R1804">
        <v>372</v>
      </c>
      <c r="S1804">
        <v>0</v>
      </c>
    </row>
    <row r="1805" spans="11:19" x14ac:dyDescent="0.3">
      <c r="K1805" s="16">
        <f t="shared" si="27"/>
        <v>44091</v>
      </c>
      <c r="L1805" s="17">
        <v>0.125</v>
      </c>
      <c r="M1805" s="14">
        <v>468</v>
      </c>
      <c r="N1805" s="14">
        <v>904</v>
      </c>
      <c r="O1805" s="14">
        <v>0</v>
      </c>
      <c r="P1805" s="14">
        <v>1372</v>
      </c>
      <c r="Q1805">
        <v>7013</v>
      </c>
      <c r="R1805">
        <v>340</v>
      </c>
      <c r="S1805">
        <v>0</v>
      </c>
    </row>
    <row r="1806" spans="11:19" x14ac:dyDescent="0.3">
      <c r="K1806" s="16">
        <f t="shared" si="27"/>
        <v>44091</v>
      </c>
      <c r="L1806" s="17">
        <v>0.16666666666666666</v>
      </c>
      <c r="M1806" s="14">
        <v>468</v>
      </c>
      <c r="N1806" s="14">
        <v>0</v>
      </c>
      <c r="O1806" s="14">
        <v>0</v>
      </c>
      <c r="P1806" s="14">
        <v>468</v>
      </c>
      <c r="Q1806">
        <v>6954</v>
      </c>
      <c r="R1806">
        <v>353</v>
      </c>
      <c r="S1806">
        <v>0</v>
      </c>
    </row>
    <row r="1807" spans="11:19" x14ac:dyDescent="0.3">
      <c r="K1807" s="16">
        <f t="shared" si="27"/>
        <v>44091</v>
      </c>
      <c r="L1807" s="17">
        <v>0.20833333333333334</v>
      </c>
      <c r="M1807" s="14">
        <v>468</v>
      </c>
      <c r="N1807" s="14">
        <v>1080</v>
      </c>
      <c r="O1807" s="14">
        <v>0</v>
      </c>
      <c r="P1807" s="14">
        <v>1548</v>
      </c>
      <c r="Q1807">
        <v>7311</v>
      </c>
      <c r="R1807">
        <v>437</v>
      </c>
      <c r="S1807">
        <v>0</v>
      </c>
    </row>
    <row r="1808" spans="11:19" x14ac:dyDescent="0.3">
      <c r="K1808" s="16">
        <f t="shared" si="27"/>
        <v>44091</v>
      </c>
      <c r="L1808" s="17">
        <v>0.25</v>
      </c>
      <c r="M1808" s="14">
        <v>468</v>
      </c>
      <c r="N1808" s="14">
        <v>0</v>
      </c>
      <c r="O1808" s="14">
        <v>0</v>
      </c>
      <c r="P1808" s="14">
        <v>468</v>
      </c>
      <c r="Q1808">
        <v>8242</v>
      </c>
      <c r="R1808">
        <v>396</v>
      </c>
      <c r="S1808">
        <v>0</v>
      </c>
    </row>
    <row r="1809" spans="11:19" x14ac:dyDescent="0.3">
      <c r="K1809" s="16">
        <f t="shared" si="27"/>
        <v>44091</v>
      </c>
      <c r="L1809" s="17">
        <v>0.29166666666666669</v>
      </c>
      <c r="M1809" s="14">
        <v>468</v>
      </c>
      <c r="N1809" s="14">
        <v>1756</v>
      </c>
      <c r="O1809" s="14">
        <v>0</v>
      </c>
      <c r="P1809" s="14">
        <v>2224</v>
      </c>
      <c r="Q1809">
        <v>8939</v>
      </c>
      <c r="R1809">
        <v>319</v>
      </c>
      <c r="S1809">
        <v>15</v>
      </c>
    </row>
    <row r="1810" spans="11:19" x14ac:dyDescent="0.3">
      <c r="K1810" s="16">
        <f t="shared" si="27"/>
        <v>44091</v>
      </c>
      <c r="L1810" s="17">
        <v>0.33333333333333331</v>
      </c>
      <c r="M1810" s="14">
        <v>468</v>
      </c>
      <c r="N1810" s="14">
        <v>1756</v>
      </c>
      <c r="O1810" s="14">
        <v>0</v>
      </c>
      <c r="P1810" s="14">
        <v>2224</v>
      </c>
      <c r="Q1810">
        <v>9381</v>
      </c>
      <c r="R1810">
        <v>317</v>
      </c>
      <c r="S1810">
        <v>222</v>
      </c>
    </row>
    <row r="1811" spans="11:19" x14ac:dyDescent="0.3">
      <c r="K1811" s="16">
        <f t="shared" si="27"/>
        <v>44091</v>
      </c>
      <c r="L1811" s="17">
        <v>0.375</v>
      </c>
      <c r="M1811" s="14">
        <v>468</v>
      </c>
      <c r="N1811" s="14">
        <v>24</v>
      </c>
      <c r="O1811" s="14">
        <v>0</v>
      </c>
      <c r="P1811" s="14">
        <v>492</v>
      </c>
      <c r="Q1811">
        <v>9728</v>
      </c>
      <c r="R1811">
        <v>406</v>
      </c>
      <c r="S1811">
        <v>753</v>
      </c>
    </row>
    <row r="1812" spans="11:19" x14ac:dyDescent="0.3">
      <c r="K1812" s="16">
        <f t="shared" si="27"/>
        <v>44091</v>
      </c>
      <c r="L1812" s="17">
        <v>0.41666666666666669</v>
      </c>
      <c r="M1812" s="14">
        <v>468</v>
      </c>
      <c r="N1812" s="14">
        <v>1756</v>
      </c>
      <c r="O1812" s="14">
        <v>0</v>
      </c>
      <c r="P1812" s="14">
        <v>2224</v>
      </c>
      <c r="Q1812">
        <v>9923</v>
      </c>
      <c r="R1812">
        <v>396</v>
      </c>
      <c r="S1812">
        <v>1328</v>
      </c>
    </row>
    <row r="1813" spans="11:19" x14ac:dyDescent="0.3">
      <c r="K1813" s="16">
        <f t="shared" si="27"/>
        <v>44091</v>
      </c>
      <c r="L1813" s="17">
        <v>0.45833333333333331</v>
      </c>
      <c r="M1813" s="14">
        <v>468</v>
      </c>
      <c r="N1813" s="14">
        <v>1756</v>
      </c>
      <c r="O1813" s="14">
        <v>0</v>
      </c>
      <c r="P1813" s="14">
        <v>2224</v>
      </c>
      <c r="Q1813">
        <v>10141</v>
      </c>
      <c r="R1813">
        <v>411</v>
      </c>
      <c r="S1813">
        <v>1733</v>
      </c>
    </row>
    <row r="1814" spans="11:19" x14ac:dyDescent="0.3">
      <c r="K1814" s="16">
        <f t="shared" si="27"/>
        <v>44091</v>
      </c>
      <c r="L1814" s="17">
        <v>0.5</v>
      </c>
      <c r="M1814" s="14">
        <v>468</v>
      </c>
      <c r="N1814" s="14">
        <v>0</v>
      </c>
      <c r="O1814" s="14">
        <v>0</v>
      </c>
      <c r="P1814" s="14">
        <v>468</v>
      </c>
      <c r="Q1814">
        <v>10224</v>
      </c>
      <c r="R1814">
        <v>442</v>
      </c>
      <c r="S1814">
        <v>2050</v>
      </c>
    </row>
    <row r="1815" spans="11:19" x14ac:dyDescent="0.3">
      <c r="K1815" s="16">
        <f t="shared" si="27"/>
        <v>44091</v>
      </c>
      <c r="L1815" s="17">
        <v>0.54166666666666663</v>
      </c>
      <c r="M1815" s="14">
        <v>468</v>
      </c>
      <c r="N1815" s="14">
        <v>0</v>
      </c>
      <c r="O1815" s="14">
        <v>0</v>
      </c>
      <c r="P1815" s="14">
        <v>468</v>
      </c>
      <c r="Q1815">
        <v>10138</v>
      </c>
      <c r="R1815">
        <v>512</v>
      </c>
      <c r="S1815">
        <v>2199</v>
      </c>
    </row>
    <row r="1816" spans="11:19" x14ac:dyDescent="0.3">
      <c r="K1816" s="16">
        <f t="shared" si="27"/>
        <v>44091</v>
      </c>
      <c r="L1816" s="17">
        <v>0.58333333333333337</v>
      </c>
      <c r="M1816" s="14">
        <v>468</v>
      </c>
      <c r="N1816" s="14">
        <v>0</v>
      </c>
      <c r="O1816" s="14">
        <v>0</v>
      </c>
      <c r="P1816" s="14">
        <v>468</v>
      </c>
      <c r="Q1816">
        <v>10224</v>
      </c>
      <c r="R1816">
        <v>614</v>
      </c>
      <c r="S1816">
        <v>2169</v>
      </c>
    </row>
    <row r="1817" spans="11:19" x14ac:dyDescent="0.3">
      <c r="K1817" s="16">
        <f t="shared" si="27"/>
        <v>44091</v>
      </c>
      <c r="L1817" s="17">
        <v>0.625</v>
      </c>
      <c r="M1817" s="14">
        <v>468</v>
      </c>
      <c r="N1817" s="14">
        <v>0</v>
      </c>
      <c r="O1817" s="14">
        <v>0</v>
      </c>
      <c r="P1817" s="14">
        <v>468</v>
      </c>
      <c r="Q1817">
        <v>10084</v>
      </c>
      <c r="R1817">
        <v>607</v>
      </c>
      <c r="S1817">
        <v>1982</v>
      </c>
    </row>
    <row r="1818" spans="11:19" x14ac:dyDescent="0.3">
      <c r="K1818" s="16">
        <f t="shared" si="27"/>
        <v>44091</v>
      </c>
      <c r="L1818" s="17">
        <v>0.66666666666666663</v>
      </c>
      <c r="M1818" s="14">
        <v>468</v>
      </c>
      <c r="N1818" s="14">
        <v>0</v>
      </c>
      <c r="O1818" s="14">
        <v>0</v>
      </c>
      <c r="P1818" s="14">
        <v>468</v>
      </c>
      <c r="Q1818">
        <v>9925</v>
      </c>
      <c r="R1818">
        <v>722</v>
      </c>
      <c r="S1818">
        <v>1633</v>
      </c>
    </row>
    <row r="1819" spans="11:19" x14ac:dyDescent="0.3">
      <c r="K1819" s="16">
        <f t="shared" ref="K1819:K1882" si="28">K1795+1</f>
        <v>44091</v>
      </c>
      <c r="L1819" s="17">
        <v>0.70833333333333337</v>
      </c>
      <c r="M1819" s="14">
        <v>468</v>
      </c>
      <c r="N1819" s="14">
        <v>139</v>
      </c>
      <c r="O1819" s="14">
        <v>0</v>
      </c>
      <c r="P1819" s="14">
        <v>607</v>
      </c>
      <c r="Q1819">
        <v>9805</v>
      </c>
      <c r="R1819">
        <v>854</v>
      </c>
      <c r="S1819">
        <v>1129</v>
      </c>
    </row>
    <row r="1820" spans="11:19" x14ac:dyDescent="0.3">
      <c r="K1820" s="16">
        <f t="shared" si="28"/>
        <v>44091</v>
      </c>
      <c r="L1820" s="17">
        <v>0.75</v>
      </c>
      <c r="M1820" s="14">
        <v>468</v>
      </c>
      <c r="N1820" s="14">
        <v>1756</v>
      </c>
      <c r="O1820" s="14">
        <v>0</v>
      </c>
      <c r="P1820" s="14">
        <v>2224</v>
      </c>
      <c r="Q1820">
        <v>9838</v>
      </c>
      <c r="R1820">
        <v>888</v>
      </c>
      <c r="S1820">
        <v>490</v>
      </c>
    </row>
    <row r="1821" spans="11:19" x14ac:dyDescent="0.3">
      <c r="K1821" s="16">
        <f t="shared" si="28"/>
        <v>44091</v>
      </c>
      <c r="L1821" s="17">
        <v>0.79166666666666663</v>
      </c>
      <c r="M1821" s="14">
        <v>468</v>
      </c>
      <c r="N1821" s="14">
        <v>118</v>
      </c>
      <c r="O1821" s="14">
        <v>0</v>
      </c>
      <c r="P1821" s="14">
        <v>586</v>
      </c>
      <c r="Q1821">
        <v>9677</v>
      </c>
      <c r="R1821">
        <v>922</v>
      </c>
      <c r="S1821">
        <v>102</v>
      </c>
    </row>
    <row r="1822" spans="11:19" x14ac:dyDescent="0.3">
      <c r="K1822" s="16">
        <f t="shared" si="28"/>
        <v>44091</v>
      </c>
      <c r="L1822" s="17">
        <v>0.83333333333333337</v>
      </c>
      <c r="M1822" s="14">
        <v>468</v>
      </c>
      <c r="N1822" s="14">
        <v>0</v>
      </c>
      <c r="O1822" s="14">
        <v>0</v>
      </c>
      <c r="P1822" s="14">
        <v>468</v>
      </c>
      <c r="Q1822">
        <v>9339</v>
      </c>
      <c r="R1822">
        <v>1133</v>
      </c>
      <c r="S1822">
        <v>8</v>
      </c>
    </row>
    <row r="1823" spans="11:19" x14ac:dyDescent="0.3">
      <c r="K1823" s="16">
        <f t="shared" si="28"/>
        <v>44091</v>
      </c>
      <c r="L1823" s="17">
        <v>0.875</v>
      </c>
      <c r="M1823" s="14">
        <v>468</v>
      </c>
      <c r="N1823" s="14">
        <v>1756</v>
      </c>
      <c r="O1823" s="14">
        <v>0</v>
      </c>
      <c r="P1823" s="14">
        <v>2224</v>
      </c>
      <c r="Q1823">
        <v>8842</v>
      </c>
      <c r="R1823">
        <v>1077</v>
      </c>
      <c r="S1823">
        <v>0</v>
      </c>
    </row>
    <row r="1824" spans="11:19" x14ac:dyDescent="0.3">
      <c r="K1824" s="16">
        <f t="shared" si="28"/>
        <v>44091</v>
      </c>
      <c r="L1824" s="17">
        <v>0.91666666666666663</v>
      </c>
      <c r="M1824" s="14">
        <v>468</v>
      </c>
      <c r="N1824" s="14">
        <v>0</v>
      </c>
      <c r="O1824" s="14">
        <v>0</v>
      </c>
      <c r="P1824" s="14">
        <v>468</v>
      </c>
      <c r="Q1824">
        <v>8970</v>
      </c>
      <c r="R1824">
        <v>946</v>
      </c>
      <c r="S1824">
        <v>0</v>
      </c>
    </row>
    <row r="1825" spans="11:19" x14ac:dyDescent="0.3">
      <c r="K1825" s="16">
        <f t="shared" si="28"/>
        <v>44091</v>
      </c>
      <c r="L1825" s="17">
        <v>0.95833333333333337</v>
      </c>
      <c r="M1825" s="14">
        <v>468</v>
      </c>
      <c r="N1825" s="14">
        <v>1756</v>
      </c>
      <c r="O1825" s="14">
        <v>0</v>
      </c>
      <c r="P1825" s="14">
        <v>2224</v>
      </c>
      <c r="Q1825">
        <v>8892</v>
      </c>
      <c r="R1825">
        <v>682</v>
      </c>
      <c r="S1825">
        <v>0</v>
      </c>
    </row>
    <row r="1826" spans="11:19" x14ac:dyDescent="0.3">
      <c r="K1826" s="16">
        <f t="shared" si="28"/>
        <v>44092</v>
      </c>
      <c r="L1826" s="17">
        <v>0</v>
      </c>
      <c r="M1826" s="14">
        <v>468</v>
      </c>
      <c r="N1826" s="14">
        <v>0</v>
      </c>
      <c r="O1826" s="14">
        <v>0</v>
      </c>
      <c r="P1826" s="14">
        <v>468</v>
      </c>
      <c r="Q1826">
        <v>8141</v>
      </c>
      <c r="R1826">
        <v>706</v>
      </c>
      <c r="S1826">
        <v>0</v>
      </c>
    </row>
    <row r="1827" spans="11:19" x14ac:dyDescent="0.3">
      <c r="K1827" s="16">
        <f t="shared" si="28"/>
        <v>44092</v>
      </c>
      <c r="L1827" s="17">
        <v>4.1666666666666664E-2</v>
      </c>
      <c r="M1827" s="14">
        <v>468</v>
      </c>
      <c r="N1827" s="14">
        <v>1275</v>
      </c>
      <c r="O1827" s="14">
        <v>0</v>
      </c>
      <c r="P1827" s="14">
        <v>1743</v>
      </c>
      <c r="Q1827">
        <v>7759</v>
      </c>
      <c r="R1827">
        <v>557</v>
      </c>
      <c r="S1827">
        <v>0</v>
      </c>
    </row>
    <row r="1828" spans="11:19" x14ac:dyDescent="0.3">
      <c r="K1828" s="16">
        <f t="shared" si="28"/>
        <v>44092</v>
      </c>
      <c r="L1828" s="17">
        <v>8.3333333333333329E-2</v>
      </c>
      <c r="M1828" s="14">
        <v>468</v>
      </c>
      <c r="N1828" s="14">
        <v>0</v>
      </c>
      <c r="O1828" s="14">
        <v>0</v>
      </c>
      <c r="P1828" s="14">
        <v>468</v>
      </c>
      <c r="Q1828">
        <v>7477</v>
      </c>
      <c r="R1828">
        <v>408</v>
      </c>
      <c r="S1828">
        <v>0</v>
      </c>
    </row>
    <row r="1829" spans="11:19" x14ac:dyDescent="0.3">
      <c r="K1829" s="16">
        <f t="shared" si="28"/>
        <v>44092</v>
      </c>
      <c r="L1829" s="17">
        <v>0.125</v>
      </c>
      <c r="M1829" s="14">
        <v>468</v>
      </c>
      <c r="N1829" s="14">
        <v>905</v>
      </c>
      <c r="O1829" s="14">
        <v>0</v>
      </c>
      <c r="P1829" s="14">
        <v>1373</v>
      </c>
      <c r="Q1829">
        <v>7151</v>
      </c>
      <c r="R1829">
        <v>318</v>
      </c>
      <c r="S1829">
        <v>0</v>
      </c>
    </row>
    <row r="1830" spans="11:19" x14ac:dyDescent="0.3">
      <c r="K1830" s="16">
        <f t="shared" si="28"/>
        <v>44092</v>
      </c>
      <c r="L1830" s="17">
        <v>0.16666666666666666</v>
      </c>
      <c r="M1830" s="14">
        <v>468</v>
      </c>
      <c r="N1830" s="14">
        <v>0</v>
      </c>
      <c r="O1830" s="14">
        <v>0</v>
      </c>
      <c r="P1830" s="14">
        <v>468</v>
      </c>
      <c r="Q1830">
        <v>7084</v>
      </c>
      <c r="R1830">
        <v>307</v>
      </c>
      <c r="S1830">
        <v>0</v>
      </c>
    </row>
    <row r="1831" spans="11:19" x14ac:dyDescent="0.3">
      <c r="K1831" s="16">
        <f t="shared" si="28"/>
        <v>44092</v>
      </c>
      <c r="L1831" s="17">
        <v>0.20833333333333334</v>
      </c>
      <c r="M1831" s="14">
        <v>468</v>
      </c>
      <c r="N1831" s="14">
        <v>1199</v>
      </c>
      <c r="O1831" s="14">
        <v>0</v>
      </c>
      <c r="P1831" s="14">
        <v>1667</v>
      </c>
      <c r="Q1831">
        <v>7428</v>
      </c>
      <c r="R1831">
        <v>275</v>
      </c>
      <c r="S1831">
        <v>0</v>
      </c>
    </row>
    <row r="1832" spans="11:19" x14ac:dyDescent="0.3">
      <c r="K1832" s="16">
        <f t="shared" si="28"/>
        <v>44092</v>
      </c>
      <c r="L1832" s="17">
        <v>0.25</v>
      </c>
      <c r="M1832" s="14">
        <v>468</v>
      </c>
      <c r="N1832" s="14">
        <v>0</v>
      </c>
      <c r="O1832" s="14">
        <v>0</v>
      </c>
      <c r="P1832" s="14">
        <v>468</v>
      </c>
      <c r="Q1832">
        <v>8361</v>
      </c>
      <c r="R1832">
        <v>237</v>
      </c>
      <c r="S1832">
        <v>0</v>
      </c>
    </row>
    <row r="1833" spans="11:19" x14ac:dyDescent="0.3">
      <c r="K1833" s="16">
        <f t="shared" si="28"/>
        <v>44092</v>
      </c>
      <c r="L1833" s="17">
        <v>0.29166666666666669</v>
      </c>
      <c r="M1833" s="14">
        <v>468</v>
      </c>
      <c r="N1833" s="14">
        <v>1449</v>
      </c>
      <c r="O1833" s="14">
        <v>0</v>
      </c>
      <c r="P1833" s="14">
        <v>1917</v>
      </c>
      <c r="Q1833">
        <v>9073</v>
      </c>
      <c r="R1833">
        <v>284</v>
      </c>
      <c r="S1833">
        <v>19</v>
      </c>
    </row>
    <row r="1834" spans="11:19" x14ac:dyDescent="0.3">
      <c r="K1834" s="16">
        <f t="shared" si="28"/>
        <v>44092</v>
      </c>
      <c r="L1834" s="17">
        <v>0.33333333333333331</v>
      </c>
      <c r="M1834" s="14">
        <v>468</v>
      </c>
      <c r="N1834" s="14">
        <v>1449</v>
      </c>
      <c r="O1834" s="14">
        <v>0</v>
      </c>
      <c r="P1834" s="14">
        <v>1917</v>
      </c>
      <c r="Q1834">
        <v>9463</v>
      </c>
      <c r="R1834">
        <v>292</v>
      </c>
      <c r="S1834">
        <v>261</v>
      </c>
    </row>
    <row r="1835" spans="11:19" x14ac:dyDescent="0.3">
      <c r="K1835" s="16">
        <f t="shared" si="28"/>
        <v>44092</v>
      </c>
      <c r="L1835" s="17">
        <v>0.375</v>
      </c>
      <c r="M1835" s="14">
        <v>468</v>
      </c>
      <c r="N1835" s="14">
        <v>1449</v>
      </c>
      <c r="O1835" s="14">
        <v>0</v>
      </c>
      <c r="P1835" s="14">
        <v>1917</v>
      </c>
      <c r="Q1835">
        <v>9802</v>
      </c>
      <c r="R1835">
        <v>394</v>
      </c>
      <c r="S1835">
        <v>882</v>
      </c>
    </row>
    <row r="1836" spans="11:19" x14ac:dyDescent="0.3">
      <c r="K1836" s="16">
        <f t="shared" si="28"/>
        <v>44092</v>
      </c>
      <c r="L1836" s="17">
        <v>0.41666666666666669</v>
      </c>
      <c r="M1836" s="14">
        <v>468</v>
      </c>
      <c r="N1836" s="14">
        <v>1449</v>
      </c>
      <c r="O1836" s="14">
        <v>0</v>
      </c>
      <c r="P1836" s="14">
        <v>1917</v>
      </c>
      <c r="Q1836">
        <v>9971</v>
      </c>
      <c r="R1836">
        <v>456</v>
      </c>
      <c r="S1836">
        <v>1534</v>
      </c>
    </row>
    <row r="1837" spans="11:19" x14ac:dyDescent="0.3">
      <c r="K1837" s="16">
        <f t="shared" si="28"/>
        <v>44092</v>
      </c>
      <c r="L1837" s="17">
        <v>0.45833333333333331</v>
      </c>
      <c r="M1837" s="14">
        <v>468</v>
      </c>
      <c r="N1837" s="14">
        <v>0</v>
      </c>
      <c r="O1837" s="14">
        <v>0</v>
      </c>
      <c r="P1837" s="14">
        <v>468</v>
      </c>
      <c r="Q1837">
        <v>10151</v>
      </c>
      <c r="R1837">
        <v>482</v>
      </c>
      <c r="S1837">
        <v>2003</v>
      </c>
    </row>
    <row r="1838" spans="11:19" x14ac:dyDescent="0.3">
      <c r="K1838" s="16">
        <f t="shared" si="28"/>
        <v>44092</v>
      </c>
      <c r="L1838" s="17">
        <v>0.5</v>
      </c>
      <c r="M1838" s="14">
        <v>468</v>
      </c>
      <c r="N1838" s="14">
        <v>1383</v>
      </c>
      <c r="O1838" s="14">
        <v>0</v>
      </c>
      <c r="P1838" s="14">
        <v>1851</v>
      </c>
      <c r="Q1838">
        <v>10230</v>
      </c>
      <c r="R1838">
        <v>763</v>
      </c>
      <c r="S1838">
        <v>2323</v>
      </c>
    </row>
    <row r="1839" spans="11:19" x14ac:dyDescent="0.3">
      <c r="K1839" s="16">
        <f t="shared" si="28"/>
        <v>44092</v>
      </c>
      <c r="L1839" s="17">
        <v>0.54166666666666663</v>
      </c>
      <c r="M1839" s="14">
        <v>468</v>
      </c>
      <c r="N1839" s="14">
        <v>981</v>
      </c>
      <c r="O1839" s="14">
        <v>0</v>
      </c>
      <c r="P1839" s="14">
        <v>1449</v>
      </c>
      <c r="Q1839">
        <v>10090</v>
      </c>
      <c r="R1839">
        <v>887</v>
      </c>
      <c r="S1839">
        <v>2462</v>
      </c>
    </row>
    <row r="1840" spans="11:19" x14ac:dyDescent="0.3">
      <c r="K1840" s="16">
        <f t="shared" si="28"/>
        <v>44092</v>
      </c>
      <c r="L1840" s="17">
        <v>0.58333333333333337</v>
      </c>
      <c r="M1840" s="14">
        <v>468</v>
      </c>
      <c r="N1840" s="14">
        <v>0</v>
      </c>
      <c r="O1840" s="14">
        <v>0</v>
      </c>
      <c r="P1840" s="14">
        <v>468</v>
      </c>
      <c r="Q1840">
        <v>10127</v>
      </c>
      <c r="R1840">
        <v>967</v>
      </c>
      <c r="S1840">
        <v>2408</v>
      </c>
    </row>
    <row r="1841" spans="11:19" x14ac:dyDescent="0.3">
      <c r="K1841" s="16">
        <f t="shared" si="28"/>
        <v>44092</v>
      </c>
      <c r="L1841" s="17">
        <v>0.625</v>
      </c>
      <c r="M1841" s="14">
        <v>468</v>
      </c>
      <c r="N1841" s="14">
        <v>814</v>
      </c>
      <c r="O1841" s="14">
        <v>0</v>
      </c>
      <c r="P1841" s="14">
        <v>1282</v>
      </c>
      <c r="Q1841">
        <v>9964</v>
      </c>
      <c r="R1841">
        <v>1195</v>
      </c>
      <c r="S1841">
        <v>2194</v>
      </c>
    </row>
    <row r="1842" spans="11:19" x14ac:dyDescent="0.3">
      <c r="K1842" s="16">
        <f t="shared" si="28"/>
        <v>44092</v>
      </c>
      <c r="L1842" s="17">
        <v>0.66666666666666663</v>
      </c>
      <c r="M1842" s="14">
        <v>468</v>
      </c>
      <c r="N1842" s="14">
        <v>694</v>
      </c>
      <c r="O1842" s="14">
        <v>0</v>
      </c>
      <c r="P1842" s="14">
        <v>1162</v>
      </c>
      <c r="Q1842">
        <v>9761</v>
      </c>
      <c r="R1842">
        <v>1475</v>
      </c>
      <c r="S1842">
        <v>1829</v>
      </c>
    </row>
    <row r="1843" spans="11:19" x14ac:dyDescent="0.3">
      <c r="K1843" s="16">
        <f t="shared" si="28"/>
        <v>44092</v>
      </c>
      <c r="L1843" s="17">
        <v>0.70833333333333337</v>
      </c>
      <c r="M1843" s="14">
        <v>468</v>
      </c>
      <c r="N1843" s="14">
        <v>0</v>
      </c>
      <c r="O1843" s="14">
        <v>0</v>
      </c>
      <c r="P1843" s="14">
        <v>468</v>
      </c>
      <c r="Q1843">
        <v>9684</v>
      </c>
      <c r="R1843">
        <v>1830</v>
      </c>
      <c r="S1843">
        <v>1239</v>
      </c>
    </row>
    <row r="1844" spans="11:19" x14ac:dyDescent="0.3">
      <c r="K1844" s="16">
        <f t="shared" si="28"/>
        <v>44092</v>
      </c>
      <c r="L1844" s="17">
        <v>0.75</v>
      </c>
      <c r="M1844" s="14">
        <v>468</v>
      </c>
      <c r="N1844" s="14">
        <v>0</v>
      </c>
      <c r="O1844" s="14">
        <v>0</v>
      </c>
      <c r="P1844" s="14">
        <v>468</v>
      </c>
      <c r="Q1844">
        <v>9667</v>
      </c>
      <c r="R1844">
        <v>1780</v>
      </c>
      <c r="S1844">
        <v>587</v>
      </c>
    </row>
    <row r="1845" spans="11:19" x14ac:dyDescent="0.3">
      <c r="K1845" s="16">
        <f t="shared" si="28"/>
        <v>44092</v>
      </c>
      <c r="L1845" s="17">
        <v>0.79166666666666663</v>
      </c>
      <c r="M1845" s="14">
        <v>468</v>
      </c>
      <c r="N1845" s="14">
        <v>1449</v>
      </c>
      <c r="O1845" s="14">
        <v>0</v>
      </c>
      <c r="P1845" s="14">
        <v>1917</v>
      </c>
      <c r="Q1845">
        <v>9497</v>
      </c>
      <c r="R1845">
        <v>1600</v>
      </c>
      <c r="S1845">
        <v>111</v>
      </c>
    </row>
    <row r="1846" spans="11:19" x14ac:dyDescent="0.3">
      <c r="K1846" s="16">
        <f t="shared" si="28"/>
        <v>44092</v>
      </c>
      <c r="L1846" s="17">
        <v>0.83333333333333337</v>
      </c>
      <c r="M1846" s="14">
        <v>468</v>
      </c>
      <c r="N1846" s="14">
        <v>0</v>
      </c>
      <c r="O1846" s="14">
        <v>0</v>
      </c>
      <c r="P1846" s="14">
        <v>468</v>
      </c>
      <c r="Q1846">
        <v>9233</v>
      </c>
      <c r="R1846">
        <v>1715</v>
      </c>
      <c r="S1846">
        <v>3</v>
      </c>
    </row>
    <row r="1847" spans="11:19" x14ac:dyDescent="0.3">
      <c r="K1847" s="16">
        <f t="shared" si="28"/>
        <v>44092</v>
      </c>
      <c r="L1847" s="17">
        <v>0.875</v>
      </c>
      <c r="M1847" s="14">
        <v>468</v>
      </c>
      <c r="N1847" s="14">
        <v>0</v>
      </c>
      <c r="O1847" s="14">
        <v>0</v>
      </c>
      <c r="P1847" s="14">
        <v>468</v>
      </c>
      <c r="Q1847">
        <v>8757</v>
      </c>
      <c r="R1847">
        <v>1786</v>
      </c>
      <c r="S1847">
        <v>0</v>
      </c>
    </row>
    <row r="1848" spans="11:19" x14ac:dyDescent="0.3">
      <c r="K1848" s="16">
        <f t="shared" si="28"/>
        <v>44092</v>
      </c>
      <c r="L1848" s="17">
        <v>0.91666666666666663</v>
      </c>
      <c r="M1848" s="14">
        <v>468</v>
      </c>
      <c r="N1848" s="14">
        <v>0</v>
      </c>
      <c r="O1848" s="14">
        <v>0</v>
      </c>
      <c r="P1848" s="14">
        <v>468</v>
      </c>
      <c r="Q1848">
        <v>8934</v>
      </c>
      <c r="R1848">
        <v>1808</v>
      </c>
      <c r="S1848">
        <v>0</v>
      </c>
    </row>
    <row r="1849" spans="11:19" x14ac:dyDescent="0.3">
      <c r="K1849" s="16">
        <f t="shared" si="28"/>
        <v>44092</v>
      </c>
      <c r="L1849" s="17">
        <v>0.95833333333333337</v>
      </c>
      <c r="M1849" s="14">
        <v>468</v>
      </c>
      <c r="N1849" s="14">
        <v>0</v>
      </c>
      <c r="O1849" s="14">
        <v>0</v>
      </c>
      <c r="P1849" s="14">
        <v>468</v>
      </c>
      <c r="Q1849">
        <v>8860</v>
      </c>
      <c r="R1849">
        <v>1990</v>
      </c>
      <c r="S1849">
        <v>0</v>
      </c>
    </row>
    <row r="1850" spans="11:19" x14ac:dyDescent="0.3">
      <c r="K1850" s="16">
        <f t="shared" si="28"/>
        <v>44093</v>
      </c>
      <c r="L1850" s="17">
        <v>0</v>
      </c>
      <c r="M1850" s="14">
        <v>468</v>
      </c>
      <c r="N1850" s="14">
        <v>217</v>
      </c>
      <c r="O1850" s="14">
        <v>0</v>
      </c>
      <c r="P1850" s="14">
        <v>685</v>
      </c>
      <c r="Q1850">
        <v>7994</v>
      </c>
      <c r="R1850">
        <v>1932</v>
      </c>
      <c r="S1850">
        <v>0</v>
      </c>
    </row>
    <row r="1851" spans="11:19" x14ac:dyDescent="0.3">
      <c r="K1851" s="16">
        <f t="shared" si="28"/>
        <v>44093</v>
      </c>
      <c r="L1851" s="17">
        <v>4.1666666666666664E-2</v>
      </c>
      <c r="M1851" s="14">
        <v>468</v>
      </c>
      <c r="N1851" s="14">
        <v>41</v>
      </c>
      <c r="O1851" s="14">
        <v>0</v>
      </c>
      <c r="P1851" s="14">
        <v>509</v>
      </c>
      <c r="Q1851">
        <v>7546</v>
      </c>
      <c r="R1851">
        <v>1660</v>
      </c>
      <c r="S1851">
        <v>0</v>
      </c>
    </row>
    <row r="1852" spans="11:19" x14ac:dyDescent="0.3">
      <c r="K1852" s="16">
        <f t="shared" si="28"/>
        <v>44093</v>
      </c>
      <c r="L1852" s="17">
        <v>8.3333333333333329E-2</v>
      </c>
      <c r="M1852" s="14">
        <v>468</v>
      </c>
      <c r="N1852" s="14">
        <v>0</v>
      </c>
      <c r="O1852" s="14">
        <v>-259</v>
      </c>
      <c r="P1852" s="14">
        <v>209</v>
      </c>
      <c r="Q1852">
        <v>7179</v>
      </c>
      <c r="R1852">
        <v>1592</v>
      </c>
      <c r="S1852">
        <v>0</v>
      </c>
    </row>
    <row r="1853" spans="11:19" x14ac:dyDescent="0.3">
      <c r="K1853" s="16">
        <f t="shared" si="28"/>
        <v>44093</v>
      </c>
      <c r="L1853" s="17">
        <v>0.125</v>
      </c>
      <c r="M1853" s="14">
        <v>468</v>
      </c>
      <c r="N1853" s="14">
        <v>0</v>
      </c>
      <c r="O1853" s="14">
        <v>-326</v>
      </c>
      <c r="P1853" s="14">
        <v>142</v>
      </c>
      <c r="Q1853">
        <v>6756</v>
      </c>
      <c r="R1853">
        <v>1476</v>
      </c>
      <c r="S1853">
        <v>0</v>
      </c>
    </row>
    <row r="1854" spans="11:19" x14ac:dyDescent="0.3">
      <c r="K1854" s="16">
        <f t="shared" si="28"/>
        <v>44093</v>
      </c>
      <c r="L1854" s="17">
        <v>0.16666666666666666</v>
      </c>
      <c r="M1854" s="14">
        <v>468</v>
      </c>
      <c r="N1854" s="14">
        <v>0</v>
      </c>
      <c r="O1854" s="14">
        <v>-368</v>
      </c>
      <c r="P1854" s="14">
        <v>100</v>
      </c>
      <c r="Q1854">
        <v>6577</v>
      </c>
      <c r="R1854">
        <v>1335</v>
      </c>
      <c r="S1854">
        <v>0</v>
      </c>
    </row>
    <row r="1855" spans="11:19" x14ac:dyDescent="0.3">
      <c r="K1855" s="16">
        <f t="shared" si="28"/>
        <v>44093</v>
      </c>
      <c r="L1855" s="17">
        <v>0.20833333333333334</v>
      </c>
      <c r="M1855" s="14">
        <v>468</v>
      </c>
      <c r="N1855" s="14">
        <v>0</v>
      </c>
      <c r="O1855" s="14">
        <v>-251</v>
      </c>
      <c r="P1855" s="14">
        <v>217</v>
      </c>
      <c r="Q1855">
        <v>6624</v>
      </c>
      <c r="R1855">
        <v>1253</v>
      </c>
      <c r="S1855">
        <v>0</v>
      </c>
    </row>
    <row r="1856" spans="11:19" x14ac:dyDescent="0.3">
      <c r="K1856" s="16">
        <f t="shared" si="28"/>
        <v>44093</v>
      </c>
      <c r="L1856" s="17">
        <v>0.25</v>
      </c>
      <c r="M1856" s="14">
        <v>468</v>
      </c>
      <c r="N1856" s="14">
        <v>47</v>
      </c>
      <c r="O1856" s="14">
        <v>0</v>
      </c>
      <c r="P1856" s="14">
        <v>515</v>
      </c>
      <c r="Q1856">
        <v>6874</v>
      </c>
      <c r="R1856">
        <v>1179</v>
      </c>
      <c r="S1856">
        <v>0</v>
      </c>
    </row>
    <row r="1857" spans="11:19" x14ac:dyDescent="0.3">
      <c r="K1857" s="16">
        <f t="shared" si="28"/>
        <v>44093</v>
      </c>
      <c r="L1857" s="17">
        <v>0.29166666666666669</v>
      </c>
      <c r="M1857" s="14">
        <v>468</v>
      </c>
      <c r="N1857" s="14">
        <v>0</v>
      </c>
      <c r="O1857" s="14">
        <v>233</v>
      </c>
      <c r="P1857" s="14">
        <v>701</v>
      </c>
      <c r="Q1857">
        <v>7062</v>
      </c>
      <c r="R1857">
        <v>1140</v>
      </c>
      <c r="S1857">
        <v>21</v>
      </c>
    </row>
    <row r="1858" spans="11:19" x14ac:dyDescent="0.3">
      <c r="K1858" s="16">
        <f t="shared" si="28"/>
        <v>44093</v>
      </c>
      <c r="L1858" s="17">
        <v>0.33333333333333331</v>
      </c>
      <c r="M1858" s="14">
        <v>468</v>
      </c>
      <c r="N1858" s="14">
        <v>0</v>
      </c>
      <c r="O1858" s="14">
        <v>583</v>
      </c>
      <c r="P1858" s="14">
        <v>1051</v>
      </c>
      <c r="Q1858">
        <v>7573</v>
      </c>
      <c r="R1858">
        <v>1123</v>
      </c>
      <c r="S1858">
        <v>268</v>
      </c>
    </row>
    <row r="1859" spans="11:19" x14ac:dyDescent="0.3">
      <c r="K1859" s="16">
        <f t="shared" si="28"/>
        <v>44093</v>
      </c>
      <c r="L1859" s="17">
        <v>0.375</v>
      </c>
      <c r="M1859" s="14">
        <v>468</v>
      </c>
      <c r="N1859" s="14">
        <v>480</v>
      </c>
      <c r="O1859" s="14">
        <v>0</v>
      </c>
      <c r="P1859" s="14">
        <v>948</v>
      </c>
      <c r="Q1859">
        <v>8150</v>
      </c>
      <c r="R1859">
        <v>1125</v>
      </c>
      <c r="S1859">
        <v>940</v>
      </c>
    </row>
    <row r="1860" spans="11:19" x14ac:dyDescent="0.3">
      <c r="K1860" s="16">
        <f t="shared" si="28"/>
        <v>44093</v>
      </c>
      <c r="L1860" s="17">
        <v>0.41666666666666669</v>
      </c>
      <c r="M1860" s="14">
        <v>468</v>
      </c>
      <c r="N1860" s="14">
        <v>0</v>
      </c>
      <c r="O1860" s="14">
        <v>72</v>
      </c>
      <c r="P1860" s="14">
        <v>540</v>
      </c>
      <c r="Q1860">
        <v>8432</v>
      </c>
      <c r="R1860">
        <v>1133</v>
      </c>
      <c r="S1860">
        <v>1626</v>
      </c>
    </row>
    <row r="1861" spans="11:19" x14ac:dyDescent="0.3">
      <c r="K1861" s="16">
        <f t="shared" si="28"/>
        <v>44093</v>
      </c>
      <c r="L1861" s="17">
        <v>0.45833333333333331</v>
      </c>
      <c r="M1861" s="14">
        <v>468</v>
      </c>
      <c r="N1861" s="14">
        <v>0</v>
      </c>
      <c r="O1861" s="14">
        <v>-200</v>
      </c>
      <c r="P1861" s="14">
        <v>268</v>
      </c>
      <c r="Q1861">
        <v>8688</v>
      </c>
      <c r="R1861">
        <v>1151</v>
      </c>
      <c r="S1861">
        <v>2141</v>
      </c>
    </row>
    <row r="1862" spans="11:19" x14ac:dyDescent="0.3">
      <c r="K1862" s="16">
        <f t="shared" si="28"/>
        <v>44093</v>
      </c>
      <c r="L1862" s="17">
        <v>0.5</v>
      </c>
      <c r="M1862" s="14">
        <v>468</v>
      </c>
      <c r="N1862" s="14">
        <v>0</v>
      </c>
      <c r="O1862" s="14">
        <v>-141</v>
      </c>
      <c r="P1862" s="14">
        <v>327</v>
      </c>
      <c r="Q1862">
        <v>9056</v>
      </c>
      <c r="R1862">
        <v>1123</v>
      </c>
      <c r="S1862">
        <v>2479</v>
      </c>
    </row>
    <row r="1863" spans="11:19" x14ac:dyDescent="0.3">
      <c r="K1863" s="16">
        <f t="shared" si="28"/>
        <v>44093</v>
      </c>
      <c r="L1863" s="17">
        <v>0.54166666666666663</v>
      </c>
      <c r="M1863" s="14">
        <v>468</v>
      </c>
      <c r="N1863" s="14">
        <v>0</v>
      </c>
      <c r="O1863" s="14">
        <v>-625</v>
      </c>
      <c r="P1863" s="14">
        <v>-157</v>
      </c>
      <c r="Q1863">
        <v>8747</v>
      </c>
      <c r="R1863">
        <v>1133</v>
      </c>
      <c r="S1863">
        <v>2649</v>
      </c>
    </row>
    <row r="1864" spans="11:19" x14ac:dyDescent="0.3">
      <c r="K1864" s="16">
        <f t="shared" si="28"/>
        <v>44093</v>
      </c>
      <c r="L1864" s="17">
        <v>0.58333333333333337</v>
      </c>
      <c r="M1864" s="14">
        <v>468</v>
      </c>
      <c r="N1864" s="14">
        <v>0</v>
      </c>
      <c r="O1864" s="14">
        <v>-857</v>
      </c>
      <c r="P1864" s="14">
        <v>-389</v>
      </c>
      <c r="Q1864">
        <v>8577</v>
      </c>
      <c r="R1864">
        <v>1251</v>
      </c>
      <c r="S1864">
        <v>2599</v>
      </c>
    </row>
    <row r="1865" spans="11:19" x14ac:dyDescent="0.3">
      <c r="K1865" s="16">
        <f t="shared" si="28"/>
        <v>44093</v>
      </c>
      <c r="L1865" s="17">
        <v>0.625</v>
      </c>
      <c r="M1865" s="14">
        <v>468</v>
      </c>
      <c r="N1865" s="14">
        <v>0</v>
      </c>
      <c r="O1865" s="14">
        <v>-841</v>
      </c>
      <c r="P1865" s="14">
        <v>-373</v>
      </c>
      <c r="Q1865">
        <v>8352</v>
      </c>
      <c r="R1865">
        <v>1266</v>
      </c>
      <c r="S1865">
        <v>2346</v>
      </c>
    </row>
    <row r="1866" spans="11:19" x14ac:dyDescent="0.3">
      <c r="K1866" s="16">
        <f t="shared" si="28"/>
        <v>44093</v>
      </c>
      <c r="L1866" s="17">
        <v>0.66666666666666663</v>
      </c>
      <c r="M1866" s="14">
        <v>468</v>
      </c>
      <c r="N1866" s="14">
        <v>0</v>
      </c>
      <c r="O1866" s="14">
        <v>-869</v>
      </c>
      <c r="P1866" s="14">
        <v>-401</v>
      </c>
      <c r="Q1866">
        <v>8184</v>
      </c>
      <c r="R1866">
        <v>1548</v>
      </c>
      <c r="S1866">
        <v>1922</v>
      </c>
    </row>
    <row r="1867" spans="11:19" x14ac:dyDescent="0.3">
      <c r="K1867" s="16">
        <f t="shared" si="28"/>
        <v>44093</v>
      </c>
      <c r="L1867" s="17">
        <v>0.70833333333333337</v>
      </c>
      <c r="M1867" s="14">
        <v>468</v>
      </c>
      <c r="N1867" s="14">
        <v>0</v>
      </c>
      <c r="O1867" s="14">
        <v>-426</v>
      </c>
      <c r="P1867" s="14">
        <v>42</v>
      </c>
      <c r="Q1867">
        <v>8117</v>
      </c>
      <c r="R1867">
        <v>1662</v>
      </c>
      <c r="S1867">
        <v>1293</v>
      </c>
    </row>
    <row r="1868" spans="11:19" x14ac:dyDescent="0.3">
      <c r="K1868" s="16">
        <f t="shared" si="28"/>
        <v>44093</v>
      </c>
      <c r="L1868" s="17">
        <v>0.75</v>
      </c>
      <c r="M1868" s="14">
        <v>468</v>
      </c>
      <c r="N1868" s="14">
        <v>326</v>
      </c>
      <c r="O1868" s="14">
        <v>0</v>
      </c>
      <c r="P1868" s="14">
        <v>794</v>
      </c>
      <c r="Q1868">
        <v>8171</v>
      </c>
      <c r="R1868">
        <v>1528</v>
      </c>
      <c r="S1868">
        <v>571</v>
      </c>
    </row>
    <row r="1869" spans="11:19" x14ac:dyDescent="0.3">
      <c r="K1869" s="16">
        <f t="shared" si="28"/>
        <v>44093</v>
      </c>
      <c r="L1869" s="17">
        <v>0.79166666666666663</v>
      </c>
      <c r="M1869" s="14">
        <v>468</v>
      </c>
      <c r="N1869" s="14">
        <v>647</v>
      </c>
      <c r="O1869" s="14">
        <v>289</v>
      </c>
      <c r="P1869" s="14">
        <v>1404</v>
      </c>
      <c r="Q1869">
        <v>8228</v>
      </c>
      <c r="R1869">
        <v>1462</v>
      </c>
      <c r="S1869">
        <v>99</v>
      </c>
    </row>
    <row r="1870" spans="11:19" x14ac:dyDescent="0.3">
      <c r="K1870" s="16">
        <f t="shared" si="28"/>
        <v>44093</v>
      </c>
      <c r="L1870" s="17">
        <v>0.83333333333333337</v>
      </c>
      <c r="M1870" s="14">
        <v>468</v>
      </c>
      <c r="N1870" s="14">
        <v>640</v>
      </c>
      <c r="O1870" s="14">
        <v>417</v>
      </c>
      <c r="P1870" s="14">
        <v>1525</v>
      </c>
      <c r="Q1870">
        <v>8249</v>
      </c>
      <c r="R1870">
        <v>1468</v>
      </c>
      <c r="S1870">
        <v>5</v>
      </c>
    </row>
    <row r="1871" spans="11:19" x14ac:dyDescent="0.3">
      <c r="K1871" s="16">
        <f t="shared" si="28"/>
        <v>44093</v>
      </c>
      <c r="L1871" s="17">
        <v>0.875</v>
      </c>
      <c r="M1871" s="14">
        <v>468</v>
      </c>
      <c r="N1871" s="14">
        <v>0</v>
      </c>
      <c r="O1871" s="14">
        <v>930</v>
      </c>
      <c r="P1871" s="14">
        <v>1398</v>
      </c>
      <c r="Q1871">
        <v>7897</v>
      </c>
      <c r="R1871">
        <v>1256</v>
      </c>
      <c r="S1871">
        <v>0</v>
      </c>
    </row>
    <row r="1872" spans="11:19" x14ac:dyDescent="0.3">
      <c r="K1872" s="16">
        <f t="shared" si="28"/>
        <v>44093</v>
      </c>
      <c r="L1872" s="17">
        <v>0.91666666666666663</v>
      </c>
      <c r="M1872" s="14">
        <v>468</v>
      </c>
      <c r="N1872" s="14">
        <v>647</v>
      </c>
      <c r="O1872" s="14">
        <v>596</v>
      </c>
      <c r="P1872" s="14">
        <v>1711</v>
      </c>
      <c r="Q1872">
        <v>8167</v>
      </c>
      <c r="R1872">
        <v>1215</v>
      </c>
      <c r="S1872">
        <v>0</v>
      </c>
    </row>
    <row r="1873" spans="11:19" x14ac:dyDescent="0.3">
      <c r="K1873" s="16">
        <f t="shared" si="28"/>
        <v>44093</v>
      </c>
      <c r="L1873" s="17">
        <v>0.95833333333333337</v>
      </c>
      <c r="M1873" s="14">
        <v>468</v>
      </c>
      <c r="N1873" s="14">
        <v>647</v>
      </c>
      <c r="O1873" s="14">
        <v>1015</v>
      </c>
      <c r="P1873" s="14">
        <v>2130</v>
      </c>
      <c r="Q1873">
        <v>8243</v>
      </c>
      <c r="R1873">
        <v>1053</v>
      </c>
      <c r="S1873">
        <v>0</v>
      </c>
    </row>
    <row r="1874" spans="11:19" x14ac:dyDescent="0.3">
      <c r="K1874" s="16">
        <f t="shared" si="28"/>
        <v>44094</v>
      </c>
      <c r="L1874" s="17">
        <v>0</v>
      </c>
      <c r="M1874" s="14">
        <v>468</v>
      </c>
      <c r="N1874" s="14">
        <v>562</v>
      </c>
      <c r="O1874" s="14">
        <v>417</v>
      </c>
      <c r="P1874" s="14">
        <v>1447</v>
      </c>
      <c r="Q1874">
        <v>7555</v>
      </c>
      <c r="R1874">
        <v>1049</v>
      </c>
      <c r="S1874">
        <v>0</v>
      </c>
    </row>
    <row r="1875" spans="11:19" x14ac:dyDescent="0.3">
      <c r="K1875" s="16">
        <f t="shared" si="28"/>
        <v>44094</v>
      </c>
      <c r="L1875" s="17">
        <v>4.1666666666666664E-2</v>
      </c>
      <c r="M1875" s="14">
        <v>468</v>
      </c>
      <c r="N1875" s="14">
        <v>0</v>
      </c>
      <c r="O1875" s="14">
        <v>570</v>
      </c>
      <c r="P1875" s="14">
        <v>1038</v>
      </c>
      <c r="Q1875">
        <v>7113</v>
      </c>
      <c r="R1875">
        <v>1017</v>
      </c>
      <c r="S1875">
        <v>0</v>
      </c>
    </row>
    <row r="1876" spans="11:19" x14ac:dyDescent="0.3">
      <c r="K1876" s="16">
        <f t="shared" si="28"/>
        <v>44094</v>
      </c>
      <c r="L1876" s="17">
        <v>8.3333333333333329E-2</v>
      </c>
      <c r="M1876" s="14">
        <v>468</v>
      </c>
      <c r="N1876" s="14">
        <v>0</v>
      </c>
      <c r="O1876" s="14">
        <v>265</v>
      </c>
      <c r="P1876" s="14">
        <v>733</v>
      </c>
      <c r="Q1876">
        <v>6725</v>
      </c>
      <c r="R1876">
        <v>933</v>
      </c>
      <c r="S1876">
        <v>0</v>
      </c>
    </row>
    <row r="1877" spans="11:19" x14ac:dyDescent="0.3">
      <c r="K1877" s="16">
        <f t="shared" si="28"/>
        <v>44094</v>
      </c>
      <c r="L1877" s="17">
        <v>0.125</v>
      </c>
      <c r="M1877" s="14">
        <v>468</v>
      </c>
      <c r="N1877" s="14">
        <v>0</v>
      </c>
      <c r="O1877" s="14">
        <v>-32</v>
      </c>
      <c r="P1877" s="14">
        <v>436</v>
      </c>
      <c r="Q1877">
        <v>6271</v>
      </c>
      <c r="R1877">
        <v>776</v>
      </c>
      <c r="S1877">
        <v>0</v>
      </c>
    </row>
    <row r="1878" spans="11:19" x14ac:dyDescent="0.3">
      <c r="K1878" s="16">
        <f t="shared" si="28"/>
        <v>44094</v>
      </c>
      <c r="L1878" s="17">
        <v>0.16666666666666666</v>
      </c>
      <c r="M1878" s="14">
        <v>468</v>
      </c>
      <c r="N1878" s="14">
        <v>0</v>
      </c>
      <c r="O1878" s="14">
        <v>-154</v>
      </c>
      <c r="P1878" s="14">
        <v>314</v>
      </c>
      <c r="Q1878">
        <v>6046</v>
      </c>
      <c r="R1878">
        <v>669</v>
      </c>
      <c r="S1878">
        <v>0</v>
      </c>
    </row>
    <row r="1879" spans="11:19" x14ac:dyDescent="0.3">
      <c r="K1879" s="16">
        <f t="shared" si="28"/>
        <v>44094</v>
      </c>
      <c r="L1879" s="17">
        <v>0.20833333333333334</v>
      </c>
      <c r="M1879" s="14">
        <v>468</v>
      </c>
      <c r="N1879" s="14">
        <v>0</v>
      </c>
      <c r="O1879" s="14">
        <v>-208</v>
      </c>
      <c r="P1879" s="14">
        <v>260</v>
      </c>
      <c r="Q1879">
        <v>5995</v>
      </c>
      <c r="R1879">
        <v>660</v>
      </c>
      <c r="S1879">
        <v>0</v>
      </c>
    </row>
    <row r="1880" spans="11:19" x14ac:dyDescent="0.3">
      <c r="K1880" s="16">
        <f t="shared" si="28"/>
        <v>44094</v>
      </c>
      <c r="L1880" s="17">
        <v>0.25</v>
      </c>
      <c r="M1880" s="14">
        <v>468</v>
      </c>
      <c r="N1880" s="14">
        <v>0</v>
      </c>
      <c r="O1880" s="14">
        <v>-74</v>
      </c>
      <c r="P1880" s="14">
        <v>394</v>
      </c>
      <c r="Q1880">
        <v>6097</v>
      </c>
      <c r="R1880">
        <v>602</v>
      </c>
      <c r="S1880">
        <v>0</v>
      </c>
    </row>
    <row r="1881" spans="11:19" x14ac:dyDescent="0.3">
      <c r="K1881" s="16">
        <f t="shared" si="28"/>
        <v>44094</v>
      </c>
      <c r="L1881" s="17">
        <v>0.29166666666666669</v>
      </c>
      <c r="M1881" s="14">
        <v>468</v>
      </c>
      <c r="N1881" s="14">
        <v>0</v>
      </c>
      <c r="O1881" s="14">
        <v>-174</v>
      </c>
      <c r="P1881" s="14">
        <v>294</v>
      </c>
      <c r="Q1881">
        <v>6090</v>
      </c>
      <c r="R1881">
        <v>649</v>
      </c>
      <c r="S1881">
        <v>26</v>
      </c>
    </row>
    <row r="1882" spans="11:19" x14ac:dyDescent="0.3">
      <c r="K1882" s="16">
        <f t="shared" si="28"/>
        <v>44094</v>
      </c>
      <c r="L1882" s="17">
        <v>0.33333333333333331</v>
      </c>
      <c r="M1882" s="14">
        <v>468</v>
      </c>
      <c r="N1882" s="14">
        <v>0</v>
      </c>
      <c r="O1882" s="14">
        <v>-108</v>
      </c>
      <c r="P1882" s="14">
        <v>360</v>
      </c>
      <c r="Q1882">
        <v>6516</v>
      </c>
      <c r="R1882">
        <v>755</v>
      </c>
      <c r="S1882">
        <v>268</v>
      </c>
    </row>
    <row r="1883" spans="11:19" x14ac:dyDescent="0.3">
      <c r="K1883" s="16">
        <f t="shared" ref="K1883:K1946" si="29">K1859+1</f>
        <v>44094</v>
      </c>
      <c r="L1883" s="17">
        <v>0.375</v>
      </c>
      <c r="M1883" s="14">
        <v>468</v>
      </c>
      <c r="N1883" s="14">
        <v>0</v>
      </c>
      <c r="O1883" s="14">
        <v>-208</v>
      </c>
      <c r="P1883" s="14">
        <v>260</v>
      </c>
      <c r="Q1883">
        <v>7110</v>
      </c>
      <c r="R1883">
        <v>789</v>
      </c>
      <c r="S1883">
        <v>922</v>
      </c>
    </row>
    <row r="1884" spans="11:19" x14ac:dyDescent="0.3">
      <c r="K1884" s="16">
        <f t="shared" si="29"/>
        <v>44094</v>
      </c>
      <c r="L1884" s="17">
        <v>0.41666666666666669</v>
      </c>
      <c r="M1884" s="14">
        <v>468</v>
      </c>
      <c r="N1884" s="14">
        <v>0</v>
      </c>
      <c r="O1884" s="14">
        <v>-429</v>
      </c>
      <c r="P1884" s="14">
        <v>39</v>
      </c>
      <c r="Q1884">
        <v>7529</v>
      </c>
      <c r="R1884">
        <v>752</v>
      </c>
      <c r="S1884">
        <v>1604</v>
      </c>
    </row>
    <row r="1885" spans="11:19" x14ac:dyDescent="0.3">
      <c r="K1885" s="16">
        <f t="shared" si="29"/>
        <v>44094</v>
      </c>
      <c r="L1885" s="17">
        <v>0.45833333333333331</v>
      </c>
      <c r="M1885" s="14">
        <v>468</v>
      </c>
      <c r="N1885" s="14">
        <v>0</v>
      </c>
      <c r="O1885" s="14">
        <v>-446</v>
      </c>
      <c r="P1885" s="14">
        <v>22</v>
      </c>
      <c r="Q1885">
        <v>7890</v>
      </c>
      <c r="R1885">
        <v>636</v>
      </c>
      <c r="S1885">
        <v>2102</v>
      </c>
    </row>
    <row r="1886" spans="11:19" x14ac:dyDescent="0.3">
      <c r="K1886" s="16">
        <f t="shared" si="29"/>
        <v>44094</v>
      </c>
      <c r="L1886" s="17">
        <v>0.5</v>
      </c>
      <c r="M1886" s="14">
        <v>468</v>
      </c>
      <c r="N1886" s="14">
        <v>0</v>
      </c>
      <c r="O1886" s="14">
        <v>-563</v>
      </c>
      <c r="P1886" s="14">
        <v>-95</v>
      </c>
      <c r="Q1886">
        <v>8285</v>
      </c>
      <c r="R1886">
        <v>777</v>
      </c>
      <c r="S1886">
        <v>2475</v>
      </c>
    </row>
    <row r="1887" spans="11:19" x14ac:dyDescent="0.3">
      <c r="K1887" s="16">
        <f t="shared" si="29"/>
        <v>44094</v>
      </c>
      <c r="L1887" s="17">
        <v>0.54166666666666663</v>
      </c>
      <c r="M1887" s="14">
        <v>468</v>
      </c>
      <c r="N1887" s="14">
        <v>0</v>
      </c>
      <c r="O1887" s="14">
        <v>-1200</v>
      </c>
      <c r="P1887" s="14">
        <v>-732</v>
      </c>
      <c r="Q1887">
        <v>7894</v>
      </c>
      <c r="R1887">
        <v>849</v>
      </c>
      <c r="S1887">
        <v>2654</v>
      </c>
    </row>
    <row r="1888" spans="11:19" x14ac:dyDescent="0.3">
      <c r="K1888" s="16">
        <f t="shared" si="29"/>
        <v>44094</v>
      </c>
      <c r="L1888" s="17">
        <v>0.58333333333333337</v>
      </c>
      <c r="M1888" s="14">
        <v>468</v>
      </c>
      <c r="N1888" s="14">
        <v>0</v>
      </c>
      <c r="O1888" s="14">
        <v>-1200</v>
      </c>
      <c r="P1888" s="14">
        <v>-732</v>
      </c>
      <c r="Q1888">
        <v>7616</v>
      </c>
      <c r="R1888">
        <v>1093</v>
      </c>
      <c r="S1888">
        <v>2606</v>
      </c>
    </row>
    <row r="1889" spans="11:19" x14ac:dyDescent="0.3">
      <c r="K1889" s="16">
        <f t="shared" si="29"/>
        <v>44094</v>
      </c>
      <c r="L1889" s="17">
        <v>0.625</v>
      </c>
      <c r="M1889" s="14">
        <v>468</v>
      </c>
      <c r="N1889" s="14">
        <v>0</v>
      </c>
      <c r="O1889" s="14">
        <v>-1200</v>
      </c>
      <c r="P1889" s="14">
        <v>-732</v>
      </c>
      <c r="Q1889">
        <v>7384</v>
      </c>
      <c r="R1889">
        <v>1330</v>
      </c>
      <c r="S1889">
        <v>2350</v>
      </c>
    </row>
    <row r="1890" spans="11:19" x14ac:dyDescent="0.3">
      <c r="K1890" s="16">
        <f t="shared" si="29"/>
        <v>44094</v>
      </c>
      <c r="L1890" s="17">
        <v>0.66666666666666663</v>
      </c>
      <c r="M1890" s="14">
        <v>468</v>
      </c>
      <c r="N1890" s="14">
        <v>0</v>
      </c>
      <c r="O1890" s="14">
        <v>-1200</v>
      </c>
      <c r="P1890" s="14">
        <v>-732</v>
      </c>
      <c r="Q1890">
        <v>7257</v>
      </c>
      <c r="R1890">
        <v>1454</v>
      </c>
      <c r="S1890">
        <v>1923</v>
      </c>
    </row>
    <row r="1891" spans="11:19" x14ac:dyDescent="0.3">
      <c r="K1891" s="16">
        <f t="shared" si="29"/>
        <v>44094</v>
      </c>
      <c r="L1891" s="17">
        <v>0.70833333333333337</v>
      </c>
      <c r="M1891" s="14">
        <v>468</v>
      </c>
      <c r="N1891" s="14">
        <v>0</v>
      </c>
      <c r="O1891" s="14">
        <v>-1165</v>
      </c>
      <c r="P1891" s="14">
        <v>-697</v>
      </c>
      <c r="Q1891">
        <v>7294</v>
      </c>
      <c r="R1891">
        <v>1586</v>
      </c>
      <c r="S1891">
        <v>1284</v>
      </c>
    </row>
    <row r="1892" spans="11:19" x14ac:dyDescent="0.3">
      <c r="K1892" s="16">
        <f t="shared" si="29"/>
        <v>44094</v>
      </c>
      <c r="L1892" s="17">
        <v>0.75</v>
      </c>
      <c r="M1892" s="14">
        <v>468</v>
      </c>
      <c r="N1892" s="14">
        <v>0</v>
      </c>
      <c r="O1892" s="14">
        <v>104</v>
      </c>
      <c r="P1892" s="14">
        <v>572</v>
      </c>
      <c r="Q1892">
        <v>7559</v>
      </c>
      <c r="R1892">
        <v>1301</v>
      </c>
      <c r="S1892">
        <v>566</v>
      </c>
    </row>
    <row r="1893" spans="11:19" x14ac:dyDescent="0.3">
      <c r="K1893" s="16">
        <f t="shared" si="29"/>
        <v>44094</v>
      </c>
      <c r="L1893" s="17">
        <v>0.79166666666666663</v>
      </c>
      <c r="M1893" s="14">
        <v>468</v>
      </c>
      <c r="N1893" s="14">
        <v>405</v>
      </c>
      <c r="O1893" s="14">
        <v>536</v>
      </c>
      <c r="P1893" s="14">
        <v>1409</v>
      </c>
      <c r="Q1893">
        <v>7912</v>
      </c>
      <c r="R1893">
        <v>1232</v>
      </c>
      <c r="S1893">
        <v>85</v>
      </c>
    </row>
    <row r="1894" spans="11:19" x14ac:dyDescent="0.3">
      <c r="K1894" s="16">
        <f t="shared" si="29"/>
        <v>44094</v>
      </c>
      <c r="L1894" s="17">
        <v>0.83333333333333337</v>
      </c>
      <c r="M1894" s="14">
        <v>468</v>
      </c>
      <c r="N1894" s="14">
        <v>0</v>
      </c>
      <c r="O1894" s="14">
        <v>1200</v>
      </c>
      <c r="P1894" s="14">
        <v>1668</v>
      </c>
      <c r="Q1894">
        <v>8116</v>
      </c>
      <c r="R1894">
        <v>1086</v>
      </c>
      <c r="S1894">
        <v>5</v>
      </c>
    </row>
    <row r="1895" spans="11:19" x14ac:dyDescent="0.3">
      <c r="K1895" s="16">
        <f t="shared" si="29"/>
        <v>44094</v>
      </c>
      <c r="L1895" s="17">
        <v>0.875</v>
      </c>
      <c r="M1895" s="14">
        <v>468</v>
      </c>
      <c r="N1895" s="14">
        <v>0</v>
      </c>
      <c r="O1895" s="14">
        <v>1200</v>
      </c>
      <c r="P1895" s="14">
        <v>1668</v>
      </c>
      <c r="Q1895">
        <v>7774</v>
      </c>
      <c r="R1895">
        <v>869</v>
      </c>
      <c r="S1895">
        <v>0</v>
      </c>
    </row>
    <row r="1896" spans="11:19" x14ac:dyDescent="0.3">
      <c r="K1896" s="16">
        <f t="shared" si="29"/>
        <v>44094</v>
      </c>
      <c r="L1896" s="17">
        <v>0.91666666666666663</v>
      </c>
      <c r="M1896" s="14">
        <v>468</v>
      </c>
      <c r="N1896" s="14">
        <v>0</v>
      </c>
      <c r="O1896" s="14">
        <v>1200</v>
      </c>
      <c r="P1896" s="14">
        <v>1668</v>
      </c>
      <c r="Q1896">
        <v>7969</v>
      </c>
      <c r="R1896">
        <v>730</v>
      </c>
      <c r="S1896">
        <v>0</v>
      </c>
    </row>
    <row r="1897" spans="11:19" x14ac:dyDescent="0.3">
      <c r="K1897" s="16">
        <f t="shared" si="29"/>
        <v>44094</v>
      </c>
      <c r="L1897" s="17">
        <v>0.95833333333333337</v>
      </c>
      <c r="M1897" s="14">
        <v>468</v>
      </c>
      <c r="N1897" s="14">
        <v>562</v>
      </c>
      <c r="O1897" s="14">
        <v>1200</v>
      </c>
      <c r="P1897" s="14">
        <v>2230</v>
      </c>
      <c r="Q1897">
        <v>8024</v>
      </c>
      <c r="R1897">
        <v>645</v>
      </c>
      <c r="S1897">
        <v>0</v>
      </c>
    </row>
    <row r="1898" spans="11:19" x14ac:dyDescent="0.3">
      <c r="K1898" s="16">
        <f t="shared" si="29"/>
        <v>44095</v>
      </c>
      <c r="L1898" s="17">
        <v>0</v>
      </c>
      <c r="M1898" s="14">
        <v>468</v>
      </c>
      <c r="N1898" s="14">
        <v>0</v>
      </c>
      <c r="O1898" s="14">
        <v>0</v>
      </c>
      <c r="P1898" s="14">
        <v>468</v>
      </c>
      <c r="Q1898">
        <v>7364</v>
      </c>
      <c r="R1898">
        <v>480</v>
      </c>
      <c r="S1898">
        <v>0</v>
      </c>
    </row>
    <row r="1899" spans="11:19" x14ac:dyDescent="0.3">
      <c r="K1899" s="16">
        <f t="shared" si="29"/>
        <v>44095</v>
      </c>
      <c r="L1899" s="17">
        <v>4.1666666666666664E-2</v>
      </c>
      <c r="M1899" s="14">
        <v>468</v>
      </c>
      <c r="N1899" s="14">
        <v>691</v>
      </c>
      <c r="O1899" s="14">
        <v>0</v>
      </c>
      <c r="P1899" s="14">
        <v>1159</v>
      </c>
      <c r="Q1899">
        <v>6996</v>
      </c>
      <c r="R1899">
        <v>537</v>
      </c>
      <c r="S1899">
        <v>0</v>
      </c>
    </row>
    <row r="1900" spans="11:19" x14ac:dyDescent="0.3">
      <c r="K1900" s="16">
        <f t="shared" si="29"/>
        <v>44095</v>
      </c>
      <c r="L1900" s="17">
        <v>8.3333333333333329E-2</v>
      </c>
      <c r="M1900" s="14">
        <v>468</v>
      </c>
      <c r="N1900" s="14">
        <v>0</v>
      </c>
      <c r="O1900" s="14">
        <v>0</v>
      </c>
      <c r="P1900" s="14">
        <v>468</v>
      </c>
      <c r="Q1900">
        <v>6693</v>
      </c>
      <c r="R1900">
        <v>547</v>
      </c>
      <c r="S1900">
        <v>0</v>
      </c>
    </row>
    <row r="1901" spans="11:19" x14ac:dyDescent="0.3">
      <c r="K1901" s="16">
        <f t="shared" si="29"/>
        <v>44095</v>
      </c>
      <c r="L1901" s="17">
        <v>0.125</v>
      </c>
      <c r="M1901" s="14">
        <v>468</v>
      </c>
      <c r="N1901" s="14">
        <v>116</v>
      </c>
      <c r="O1901" s="14">
        <v>0</v>
      </c>
      <c r="P1901" s="14">
        <v>584</v>
      </c>
      <c r="Q1901">
        <v>6350</v>
      </c>
      <c r="R1901">
        <v>464</v>
      </c>
      <c r="S1901">
        <v>0</v>
      </c>
    </row>
    <row r="1902" spans="11:19" x14ac:dyDescent="0.3">
      <c r="K1902" s="16">
        <f t="shared" si="29"/>
        <v>44095</v>
      </c>
      <c r="L1902" s="17">
        <v>0.16666666666666666</v>
      </c>
      <c r="M1902" s="14">
        <v>468</v>
      </c>
      <c r="N1902" s="14">
        <v>123</v>
      </c>
      <c r="O1902" s="14">
        <v>0</v>
      </c>
      <c r="P1902" s="14">
        <v>591</v>
      </c>
      <c r="Q1902">
        <v>6345</v>
      </c>
      <c r="R1902">
        <v>448</v>
      </c>
      <c r="S1902">
        <v>0</v>
      </c>
    </row>
    <row r="1903" spans="11:19" x14ac:dyDescent="0.3">
      <c r="K1903" s="16">
        <f t="shared" si="29"/>
        <v>44095</v>
      </c>
      <c r="L1903" s="17">
        <v>0.20833333333333334</v>
      </c>
      <c r="M1903" s="14">
        <v>468</v>
      </c>
      <c r="N1903" s="14">
        <v>0</v>
      </c>
      <c r="O1903" s="14">
        <v>0</v>
      </c>
      <c r="P1903" s="14">
        <v>468</v>
      </c>
      <c r="Q1903">
        <v>6830</v>
      </c>
      <c r="R1903">
        <v>390</v>
      </c>
      <c r="S1903">
        <v>0</v>
      </c>
    </row>
    <row r="1904" spans="11:19" x14ac:dyDescent="0.3">
      <c r="K1904" s="16">
        <f t="shared" si="29"/>
        <v>44095</v>
      </c>
      <c r="L1904" s="17">
        <v>0.25</v>
      </c>
      <c r="M1904" s="14">
        <v>468</v>
      </c>
      <c r="N1904" s="14">
        <v>0</v>
      </c>
      <c r="O1904" s="14">
        <v>0</v>
      </c>
      <c r="P1904" s="14">
        <v>468</v>
      </c>
      <c r="Q1904">
        <v>7894</v>
      </c>
      <c r="R1904">
        <v>362</v>
      </c>
      <c r="S1904">
        <v>0</v>
      </c>
    </row>
    <row r="1905" spans="11:19" x14ac:dyDescent="0.3">
      <c r="K1905" s="16">
        <f t="shared" si="29"/>
        <v>44095</v>
      </c>
      <c r="L1905" s="17">
        <v>0.29166666666666669</v>
      </c>
      <c r="M1905" s="14">
        <v>468</v>
      </c>
      <c r="N1905" s="14">
        <v>0</v>
      </c>
      <c r="O1905" s="14">
        <v>0</v>
      </c>
      <c r="P1905" s="14">
        <v>468</v>
      </c>
      <c r="Q1905">
        <v>8673</v>
      </c>
      <c r="R1905">
        <v>394</v>
      </c>
      <c r="S1905">
        <v>21</v>
      </c>
    </row>
    <row r="1906" spans="11:19" x14ac:dyDescent="0.3">
      <c r="K1906" s="16">
        <f t="shared" si="29"/>
        <v>44095</v>
      </c>
      <c r="L1906" s="17">
        <v>0.33333333333333331</v>
      </c>
      <c r="M1906" s="14">
        <v>468</v>
      </c>
      <c r="N1906" s="14">
        <v>1484</v>
      </c>
      <c r="O1906" s="14">
        <v>0</v>
      </c>
      <c r="P1906" s="14">
        <v>1952</v>
      </c>
      <c r="Q1906">
        <v>9098</v>
      </c>
      <c r="R1906">
        <v>373</v>
      </c>
      <c r="S1906">
        <v>262</v>
      </c>
    </row>
    <row r="1907" spans="11:19" x14ac:dyDescent="0.3">
      <c r="K1907" s="16">
        <f t="shared" si="29"/>
        <v>44095</v>
      </c>
      <c r="L1907" s="17">
        <v>0.375</v>
      </c>
      <c r="M1907" s="14">
        <v>468</v>
      </c>
      <c r="N1907" s="14">
        <v>0</v>
      </c>
      <c r="O1907" s="14">
        <v>0</v>
      </c>
      <c r="P1907" s="14">
        <v>468</v>
      </c>
      <c r="Q1907">
        <v>9426</v>
      </c>
      <c r="R1907">
        <v>390</v>
      </c>
      <c r="S1907">
        <v>944</v>
      </c>
    </row>
    <row r="1908" spans="11:19" x14ac:dyDescent="0.3">
      <c r="K1908" s="16">
        <f t="shared" si="29"/>
        <v>44095</v>
      </c>
      <c r="L1908" s="17">
        <v>0.41666666666666669</v>
      </c>
      <c r="M1908" s="14">
        <v>468</v>
      </c>
      <c r="N1908" s="14">
        <v>1484</v>
      </c>
      <c r="O1908" s="14">
        <v>0</v>
      </c>
      <c r="P1908" s="14">
        <v>1952</v>
      </c>
      <c r="Q1908">
        <v>9567</v>
      </c>
      <c r="R1908">
        <v>398</v>
      </c>
      <c r="S1908">
        <v>1610</v>
      </c>
    </row>
    <row r="1909" spans="11:19" x14ac:dyDescent="0.3">
      <c r="K1909" s="16">
        <f t="shared" si="29"/>
        <v>44095</v>
      </c>
      <c r="L1909" s="17">
        <v>0.45833333333333331</v>
      </c>
      <c r="M1909" s="14">
        <v>468</v>
      </c>
      <c r="N1909" s="14">
        <v>1469</v>
      </c>
      <c r="O1909" s="14">
        <v>0</v>
      </c>
      <c r="P1909" s="14">
        <v>1937</v>
      </c>
      <c r="Q1909">
        <v>9740</v>
      </c>
      <c r="R1909">
        <v>397</v>
      </c>
      <c r="S1909">
        <v>2110</v>
      </c>
    </row>
    <row r="1910" spans="11:19" x14ac:dyDescent="0.3">
      <c r="K1910" s="16">
        <f t="shared" si="29"/>
        <v>44095</v>
      </c>
      <c r="L1910" s="17">
        <v>0.5</v>
      </c>
      <c r="M1910" s="14">
        <v>468</v>
      </c>
      <c r="N1910" s="14">
        <v>1090</v>
      </c>
      <c r="O1910" s="14">
        <v>0</v>
      </c>
      <c r="P1910" s="14">
        <v>1558</v>
      </c>
      <c r="Q1910">
        <v>9832</v>
      </c>
      <c r="R1910">
        <v>541</v>
      </c>
      <c r="S1910">
        <v>2439</v>
      </c>
    </row>
    <row r="1911" spans="11:19" x14ac:dyDescent="0.3">
      <c r="K1911" s="16">
        <f t="shared" si="29"/>
        <v>44095</v>
      </c>
      <c r="L1911" s="17">
        <v>0.54166666666666663</v>
      </c>
      <c r="M1911" s="14">
        <v>468</v>
      </c>
      <c r="N1911" s="14">
        <v>846</v>
      </c>
      <c r="O1911" s="14">
        <v>0</v>
      </c>
      <c r="P1911" s="14">
        <v>1314</v>
      </c>
      <c r="Q1911">
        <v>9730</v>
      </c>
      <c r="R1911">
        <v>538</v>
      </c>
      <c r="S1911">
        <v>2584</v>
      </c>
    </row>
    <row r="1912" spans="11:19" x14ac:dyDescent="0.3">
      <c r="K1912" s="16">
        <f t="shared" si="29"/>
        <v>44095</v>
      </c>
      <c r="L1912" s="17">
        <v>0.58333333333333337</v>
      </c>
      <c r="M1912" s="14">
        <v>468</v>
      </c>
      <c r="N1912" s="14">
        <v>0</v>
      </c>
      <c r="O1912" s="14">
        <v>0</v>
      </c>
      <c r="P1912" s="14">
        <v>468</v>
      </c>
      <c r="Q1912">
        <v>9710</v>
      </c>
      <c r="R1912">
        <v>522</v>
      </c>
      <c r="S1912">
        <v>2517</v>
      </c>
    </row>
    <row r="1913" spans="11:19" x14ac:dyDescent="0.3">
      <c r="K1913" s="16">
        <f t="shared" si="29"/>
        <v>44095</v>
      </c>
      <c r="L1913" s="17">
        <v>0.625</v>
      </c>
      <c r="M1913" s="14">
        <v>468</v>
      </c>
      <c r="N1913" s="14">
        <v>785</v>
      </c>
      <c r="O1913" s="14">
        <v>0</v>
      </c>
      <c r="P1913" s="14">
        <v>1253</v>
      </c>
      <c r="Q1913">
        <v>9550</v>
      </c>
      <c r="R1913">
        <v>509</v>
      </c>
      <c r="S1913">
        <v>2254</v>
      </c>
    </row>
    <row r="1914" spans="11:19" x14ac:dyDescent="0.3">
      <c r="K1914" s="16">
        <f t="shared" si="29"/>
        <v>44095</v>
      </c>
      <c r="L1914" s="17">
        <v>0.66666666666666663</v>
      </c>
      <c r="M1914" s="14">
        <v>468</v>
      </c>
      <c r="N1914" s="14">
        <v>0</v>
      </c>
      <c r="O1914" s="14">
        <v>0</v>
      </c>
      <c r="P1914" s="14">
        <v>468</v>
      </c>
      <c r="Q1914">
        <v>9379</v>
      </c>
      <c r="R1914">
        <v>505</v>
      </c>
      <c r="S1914">
        <v>1838</v>
      </c>
    </row>
    <row r="1915" spans="11:19" x14ac:dyDescent="0.3">
      <c r="K1915" s="16">
        <f t="shared" si="29"/>
        <v>44095</v>
      </c>
      <c r="L1915" s="17">
        <v>0.70833333333333337</v>
      </c>
      <c r="M1915" s="14">
        <v>468</v>
      </c>
      <c r="N1915" s="14">
        <v>1484</v>
      </c>
      <c r="O1915" s="14">
        <v>0</v>
      </c>
      <c r="P1915" s="14">
        <v>1952</v>
      </c>
      <c r="Q1915">
        <v>9299</v>
      </c>
      <c r="R1915">
        <v>561</v>
      </c>
      <c r="S1915">
        <v>1215</v>
      </c>
    </row>
    <row r="1916" spans="11:19" x14ac:dyDescent="0.3">
      <c r="K1916" s="16">
        <f t="shared" si="29"/>
        <v>44095</v>
      </c>
      <c r="L1916" s="17">
        <v>0.75</v>
      </c>
      <c r="M1916" s="14">
        <v>468</v>
      </c>
      <c r="N1916" s="14">
        <v>1484</v>
      </c>
      <c r="O1916" s="14">
        <v>0</v>
      </c>
      <c r="P1916" s="14">
        <v>1952</v>
      </c>
      <c r="Q1916">
        <v>9480</v>
      </c>
      <c r="R1916">
        <v>484</v>
      </c>
      <c r="S1916">
        <v>513</v>
      </c>
    </row>
    <row r="1917" spans="11:19" x14ac:dyDescent="0.3">
      <c r="K1917" s="16">
        <f t="shared" si="29"/>
        <v>44095</v>
      </c>
      <c r="L1917" s="17">
        <v>0.79166666666666663</v>
      </c>
      <c r="M1917" s="14">
        <v>468</v>
      </c>
      <c r="N1917" s="14">
        <v>1484</v>
      </c>
      <c r="O1917" s="14">
        <v>0</v>
      </c>
      <c r="P1917" s="14">
        <v>1952</v>
      </c>
      <c r="Q1917">
        <v>9484</v>
      </c>
      <c r="R1917">
        <v>356</v>
      </c>
      <c r="S1917">
        <v>80</v>
      </c>
    </row>
    <row r="1918" spans="11:19" x14ac:dyDescent="0.3">
      <c r="K1918" s="16">
        <f t="shared" si="29"/>
        <v>44095</v>
      </c>
      <c r="L1918" s="17">
        <v>0.83333333333333337</v>
      </c>
      <c r="M1918" s="14">
        <v>468</v>
      </c>
      <c r="N1918" s="14">
        <v>375</v>
      </c>
      <c r="O1918" s="14">
        <v>0</v>
      </c>
      <c r="P1918" s="14">
        <v>843</v>
      </c>
      <c r="Q1918">
        <v>9171</v>
      </c>
      <c r="R1918">
        <v>270</v>
      </c>
      <c r="S1918">
        <v>0</v>
      </c>
    </row>
    <row r="1919" spans="11:19" x14ac:dyDescent="0.3">
      <c r="K1919" s="16">
        <f t="shared" si="29"/>
        <v>44095</v>
      </c>
      <c r="L1919" s="17">
        <v>0.875</v>
      </c>
      <c r="M1919" s="14">
        <v>468</v>
      </c>
      <c r="N1919" s="14">
        <v>1484</v>
      </c>
      <c r="O1919" s="14">
        <v>0</v>
      </c>
      <c r="P1919" s="14">
        <v>1952</v>
      </c>
      <c r="Q1919">
        <v>8556</v>
      </c>
      <c r="R1919">
        <v>340</v>
      </c>
      <c r="S1919">
        <v>0</v>
      </c>
    </row>
    <row r="1920" spans="11:19" x14ac:dyDescent="0.3">
      <c r="K1920" s="16">
        <f t="shared" si="29"/>
        <v>44095</v>
      </c>
      <c r="L1920" s="17">
        <v>0.91666666666666663</v>
      </c>
      <c r="M1920" s="14">
        <v>468</v>
      </c>
      <c r="N1920" s="14">
        <v>0</v>
      </c>
      <c r="O1920" s="14">
        <v>0</v>
      </c>
      <c r="P1920" s="14">
        <v>468</v>
      </c>
      <c r="Q1920">
        <v>8679</v>
      </c>
      <c r="R1920">
        <v>353</v>
      </c>
      <c r="S1920">
        <v>0</v>
      </c>
    </row>
    <row r="1921" spans="11:19" x14ac:dyDescent="0.3">
      <c r="K1921" s="16">
        <f t="shared" si="29"/>
        <v>44095</v>
      </c>
      <c r="L1921" s="17">
        <v>0.95833333333333337</v>
      </c>
      <c r="M1921" s="14">
        <v>468</v>
      </c>
      <c r="N1921" s="14">
        <v>1484</v>
      </c>
      <c r="O1921" s="14">
        <v>0</v>
      </c>
      <c r="P1921" s="14">
        <v>1952</v>
      </c>
      <c r="Q1921">
        <v>8666</v>
      </c>
      <c r="R1921">
        <v>353</v>
      </c>
      <c r="S1921">
        <v>0</v>
      </c>
    </row>
    <row r="1922" spans="11:19" x14ac:dyDescent="0.3">
      <c r="K1922" s="16">
        <f t="shared" si="29"/>
        <v>44096</v>
      </c>
      <c r="L1922" s="17">
        <v>0</v>
      </c>
      <c r="M1922" s="14">
        <v>468</v>
      </c>
      <c r="N1922" s="14">
        <v>871</v>
      </c>
      <c r="O1922" s="14">
        <v>736</v>
      </c>
      <c r="P1922" s="14">
        <v>2075</v>
      </c>
      <c r="Q1922">
        <v>8004</v>
      </c>
      <c r="R1922">
        <v>358</v>
      </c>
      <c r="S1922">
        <v>0</v>
      </c>
    </row>
    <row r="1923" spans="11:19" x14ac:dyDescent="0.3">
      <c r="K1923" s="16">
        <f t="shared" si="29"/>
        <v>44096</v>
      </c>
      <c r="L1923" s="17">
        <v>4.1666666666666664E-2</v>
      </c>
      <c r="M1923" s="14">
        <v>468</v>
      </c>
      <c r="N1923" s="14">
        <v>871</v>
      </c>
      <c r="O1923" s="14">
        <v>0</v>
      </c>
      <c r="P1923" s="14">
        <v>1339</v>
      </c>
      <c r="Q1923">
        <v>7604</v>
      </c>
      <c r="R1923">
        <v>270</v>
      </c>
      <c r="S1923">
        <v>0</v>
      </c>
    </row>
    <row r="1924" spans="11:19" x14ac:dyDescent="0.3">
      <c r="K1924" s="16">
        <f t="shared" si="29"/>
        <v>44096</v>
      </c>
      <c r="L1924" s="17">
        <v>8.3333333333333329E-2</v>
      </c>
      <c r="M1924" s="14">
        <v>468</v>
      </c>
      <c r="N1924" s="14">
        <v>0</v>
      </c>
      <c r="O1924" s="14">
        <v>0</v>
      </c>
      <c r="P1924" s="14">
        <v>468</v>
      </c>
      <c r="Q1924">
        <v>7305</v>
      </c>
      <c r="R1924">
        <v>499</v>
      </c>
      <c r="S1924">
        <v>0</v>
      </c>
    </row>
    <row r="1925" spans="11:19" x14ac:dyDescent="0.3">
      <c r="K1925" s="16">
        <f t="shared" si="29"/>
        <v>44096</v>
      </c>
      <c r="L1925" s="17">
        <v>0.125</v>
      </c>
      <c r="M1925" s="14">
        <v>468</v>
      </c>
      <c r="N1925" s="14">
        <v>565</v>
      </c>
      <c r="O1925" s="14">
        <v>0</v>
      </c>
      <c r="P1925" s="14">
        <v>1033</v>
      </c>
      <c r="Q1925">
        <v>6956</v>
      </c>
      <c r="R1925">
        <v>622</v>
      </c>
      <c r="S1925">
        <v>0</v>
      </c>
    </row>
    <row r="1926" spans="11:19" x14ac:dyDescent="0.3">
      <c r="K1926" s="16">
        <f t="shared" si="29"/>
        <v>44096</v>
      </c>
      <c r="L1926" s="17">
        <v>0.16666666666666666</v>
      </c>
      <c r="M1926" s="14">
        <v>468</v>
      </c>
      <c r="N1926" s="14">
        <v>344</v>
      </c>
      <c r="O1926" s="14">
        <v>0</v>
      </c>
      <c r="P1926" s="14">
        <v>812</v>
      </c>
      <c r="Q1926">
        <v>6898</v>
      </c>
      <c r="R1926">
        <v>781</v>
      </c>
      <c r="S1926">
        <v>0</v>
      </c>
    </row>
    <row r="1927" spans="11:19" x14ac:dyDescent="0.3">
      <c r="K1927" s="16">
        <f t="shared" si="29"/>
        <v>44096</v>
      </c>
      <c r="L1927" s="17">
        <v>0.20833333333333334</v>
      </c>
      <c r="M1927" s="14">
        <v>468</v>
      </c>
      <c r="N1927" s="14">
        <v>0</v>
      </c>
      <c r="O1927" s="14">
        <v>0</v>
      </c>
      <c r="P1927" s="14">
        <v>468</v>
      </c>
      <c r="Q1927">
        <v>7264</v>
      </c>
      <c r="R1927">
        <v>990</v>
      </c>
      <c r="S1927">
        <v>0</v>
      </c>
    </row>
    <row r="1928" spans="11:19" x14ac:dyDescent="0.3">
      <c r="K1928" s="16">
        <f t="shared" si="29"/>
        <v>44096</v>
      </c>
      <c r="L1928" s="17">
        <v>0.25</v>
      </c>
      <c r="M1928" s="14">
        <v>468</v>
      </c>
      <c r="N1928" s="14">
        <v>0</v>
      </c>
      <c r="O1928" s="14">
        <v>1200</v>
      </c>
      <c r="P1928" s="14">
        <v>1668</v>
      </c>
      <c r="Q1928">
        <v>8269</v>
      </c>
      <c r="R1928">
        <v>1113</v>
      </c>
      <c r="S1928">
        <v>0</v>
      </c>
    </row>
    <row r="1929" spans="11:19" x14ac:dyDescent="0.3">
      <c r="K1929" s="16">
        <f t="shared" si="29"/>
        <v>44096</v>
      </c>
      <c r="L1929" s="17">
        <v>0.29166666666666669</v>
      </c>
      <c r="M1929" s="14">
        <v>468</v>
      </c>
      <c r="N1929" s="14">
        <v>871</v>
      </c>
      <c r="O1929" s="14">
        <v>969</v>
      </c>
      <c r="P1929" s="14">
        <v>2308</v>
      </c>
      <c r="Q1929">
        <v>9046</v>
      </c>
      <c r="R1929">
        <v>1338</v>
      </c>
      <c r="S1929">
        <v>19</v>
      </c>
    </row>
    <row r="1930" spans="11:19" x14ac:dyDescent="0.3">
      <c r="K1930" s="16">
        <f t="shared" si="29"/>
        <v>44096</v>
      </c>
      <c r="L1930" s="17">
        <v>0.33333333333333331</v>
      </c>
      <c r="M1930" s="14">
        <v>468</v>
      </c>
      <c r="N1930" s="14">
        <v>871</v>
      </c>
      <c r="O1930" s="14">
        <v>0</v>
      </c>
      <c r="P1930" s="14">
        <v>1339</v>
      </c>
      <c r="Q1930">
        <v>9428</v>
      </c>
      <c r="R1930">
        <v>1396</v>
      </c>
      <c r="S1930">
        <v>238</v>
      </c>
    </row>
    <row r="1931" spans="11:19" x14ac:dyDescent="0.3">
      <c r="K1931" s="16">
        <f t="shared" si="29"/>
        <v>44096</v>
      </c>
      <c r="L1931" s="17">
        <v>0.375</v>
      </c>
      <c r="M1931" s="14">
        <v>468</v>
      </c>
      <c r="N1931" s="14">
        <v>871</v>
      </c>
      <c r="O1931" s="14">
        <v>0</v>
      </c>
      <c r="P1931" s="14">
        <v>1339</v>
      </c>
      <c r="Q1931">
        <v>9731</v>
      </c>
      <c r="R1931">
        <v>1794</v>
      </c>
      <c r="S1931">
        <v>865</v>
      </c>
    </row>
    <row r="1932" spans="11:19" x14ac:dyDescent="0.3">
      <c r="K1932" s="16">
        <f t="shared" si="29"/>
        <v>44096</v>
      </c>
      <c r="L1932" s="17">
        <v>0.41666666666666669</v>
      </c>
      <c r="M1932" s="14">
        <v>468</v>
      </c>
      <c r="N1932" s="14">
        <v>0</v>
      </c>
      <c r="O1932" s="14">
        <v>0</v>
      </c>
      <c r="P1932" s="14">
        <v>468</v>
      </c>
      <c r="Q1932">
        <v>9883</v>
      </c>
      <c r="R1932">
        <v>1974</v>
      </c>
      <c r="S1932">
        <v>1479</v>
      </c>
    </row>
    <row r="1933" spans="11:19" x14ac:dyDescent="0.3">
      <c r="K1933" s="16">
        <f t="shared" si="29"/>
        <v>44096</v>
      </c>
      <c r="L1933" s="17">
        <v>0.45833333333333331</v>
      </c>
      <c r="M1933" s="14">
        <v>468</v>
      </c>
      <c r="N1933" s="14">
        <v>232</v>
      </c>
      <c r="O1933" s="14">
        <v>0</v>
      </c>
      <c r="P1933" s="14">
        <v>700</v>
      </c>
      <c r="Q1933">
        <v>10062</v>
      </c>
      <c r="R1933">
        <v>2271</v>
      </c>
      <c r="S1933">
        <v>1956</v>
      </c>
    </row>
    <row r="1934" spans="11:19" x14ac:dyDescent="0.3">
      <c r="K1934" s="16">
        <f t="shared" si="29"/>
        <v>44096</v>
      </c>
      <c r="L1934" s="17">
        <v>0.5</v>
      </c>
      <c r="M1934" s="14">
        <v>468</v>
      </c>
      <c r="N1934" s="14">
        <v>0</v>
      </c>
      <c r="O1934" s="14">
        <v>-146</v>
      </c>
      <c r="P1934" s="14">
        <v>322</v>
      </c>
      <c r="Q1934">
        <v>10126</v>
      </c>
      <c r="R1934">
        <v>2449</v>
      </c>
      <c r="S1934">
        <v>2222</v>
      </c>
    </row>
    <row r="1935" spans="11:19" x14ac:dyDescent="0.3">
      <c r="K1935" s="16">
        <f t="shared" si="29"/>
        <v>44096</v>
      </c>
      <c r="L1935" s="17">
        <v>0.54166666666666663</v>
      </c>
      <c r="M1935" s="14">
        <v>468</v>
      </c>
      <c r="N1935" s="14">
        <v>0</v>
      </c>
      <c r="O1935" s="14">
        <v>-705</v>
      </c>
      <c r="P1935" s="14">
        <v>-237</v>
      </c>
      <c r="Q1935">
        <v>10020</v>
      </c>
      <c r="R1935">
        <v>2758</v>
      </c>
      <c r="S1935">
        <v>2366</v>
      </c>
    </row>
    <row r="1936" spans="11:19" x14ac:dyDescent="0.3">
      <c r="K1936" s="16">
        <f t="shared" si="29"/>
        <v>44096</v>
      </c>
      <c r="L1936" s="17">
        <v>0.58333333333333337</v>
      </c>
      <c r="M1936" s="14">
        <v>468</v>
      </c>
      <c r="N1936" s="14">
        <v>0</v>
      </c>
      <c r="O1936" s="14">
        <v>-831</v>
      </c>
      <c r="P1936" s="14">
        <v>-363</v>
      </c>
      <c r="Q1936">
        <v>10059</v>
      </c>
      <c r="R1936">
        <v>2936</v>
      </c>
      <c r="S1936">
        <v>2353</v>
      </c>
    </row>
    <row r="1937" spans="11:19" x14ac:dyDescent="0.3">
      <c r="K1937" s="16">
        <f t="shared" si="29"/>
        <v>44096</v>
      </c>
      <c r="L1937" s="17">
        <v>0.625</v>
      </c>
      <c r="M1937" s="14">
        <v>468</v>
      </c>
      <c r="N1937" s="14">
        <v>0</v>
      </c>
      <c r="O1937" s="14">
        <v>-961</v>
      </c>
      <c r="P1937" s="14">
        <v>-493</v>
      </c>
      <c r="Q1937">
        <v>9910</v>
      </c>
      <c r="R1937">
        <v>3142</v>
      </c>
      <c r="S1937">
        <v>2128</v>
      </c>
    </row>
    <row r="1938" spans="11:19" x14ac:dyDescent="0.3">
      <c r="K1938" s="16">
        <f t="shared" si="29"/>
        <v>44096</v>
      </c>
      <c r="L1938" s="17">
        <v>0.66666666666666663</v>
      </c>
      <c r="M1938" s="14">
        <v>468</v>
      </c>
      <c r="N1938" s="14">
        <v>0</v>
      </c>
      <c r="O1938" s="14">
        <v>-993</v>
      </c>
      <c r="P1938" s="14">
        <v>-525</v>
      </c>
      <c r="Q1938">
        <v>9776</v>
      </c>
      <c r="R1938">
        <v>3221</v>
      </c>
      <c r="S1938">
        <v>1784</v>
      </c>
    </row>
    <row r="1939" spans="11:19" x14ac:dyDescent="0.3">
      <c r="K1939" s="16">
        <f t="shared" si="29"/>
        <v>44096</v>
      </c>
      <c r="L1939" s="17">
        <v>0.70833333333333337</v>
      </c>
      <c r="M1939" s="14">
        <v>468</v>
      </c>
      <c r="N1939" s="14">
        <v>0</v>
      </c>
      <c r="O1939" s="14">
        <v>-495</v>
      </c>
      <c r="P1939" s="14">
        <v>-27</v>
      </c>
      <c r="Q1939">
        <v>9699</v>
      </c>
      <c r="R1939">
        <v>3251</v>
      </c>
      <c r="S1939">
        <v>1175</v>
      </c>
    </row>
    <row r="1940" spans="11:19" x14ac:dyDescent="0.3">
      <c r="K1940" s="16">
        <f t="shared" si="29"/>
        <v>44096</v>
      </c>
      <c r="L1940" s="17">
        <v>0.75</v>
      </c>
      <c r="M1940" s="14">
        <v>468</v>
      </c>
      <c r="N1940" s="14">
        <v>608</v>
      </c>
      <c r="O1940" s="14">
        <v>0</v>
      </c>
      <c r="P1940" s="14">
        <v>1076</v>
      </c>
      <c r="Q1940">
        <v>9832</v>
      </c>
      <c r="R1940">
        <v>2975</v>
      </c>
      <c r="S1940">
        <v>485</v>
      </c>
    </row>
    <row r="1941" spans="11:19" x14ac:dyDescent="0.3">
      <c r="K1941" s="16">
        <f t="shared" si="29"/>
        <v>44096</v>
      </c>
      <c r="L1941" s="17">
        <v>0.79166666666666663</v>
      </c>
      <c r="M1941" s="14">
        <v>468</v>
      </c>
      <c r="N1941" s="14">
        <v>871</v>
      </c>
      <c r="O1941" s="14">
        <v>401</v>
      </c>
      <c r="P1941" s="14">
        <v>1740</v>
      </c>
      <c r="Q1941">
        <v>9807</v>
      </c>
      <c r="R1941">
        <v>2704</v>
      </c>
      <c r="S1941">
        <v>75</v>
      </c>
    </row>
    <row r="1942" spans="11:19" x14ac:dyDescent="0.3">
      <c r="K1942" s="16">
        <f t="shared" si="29"/>
        <v>44096</v>
      </c>
      <c r="L1942" s="17">
        <v>0.83333333333333337</v>
      </c>
      <c r="M1942" s="14">
        <v>468</v>
      </c>
      <c r="N1942" s="14">
        <v>871</v>
      </c>
      <c r="O1942" s="14">
        <v>0</v>
      </c>
      <c r="P1942" s="14">
        <v>1339</v>
      </c>
      <c r="Q1942">
        <v>9456</v>
      </c>
      <c r="R1942">
        <v>2800</v>
      </c>
      <c r="S1942">
        <v>1</v>
      </c>
    </row>
    <row r="1943" spans="11:19" x14ac:dyDescent="0.3">
      <c r="K1943" s="16">
        <f t="shared" si="29"/>
        <v>44096</v>
      </c>
      <c r="L1943" s="17">
        <v>0.875</v>
      </c>
      <c r="M1943" s="14">
        <v>468</v>
      </c>
      <c r="N1943" s="14">
        <v>455</v>
      </c>
      <c r="O1943" s="14">
        <v>0</v>
      </c>
      <c r="P1943" s="14">
        <v>923</v>
      </c>
      <c r="Q1943">
        <v>8809</v>
      </c>
      <c r="R1943">
        <v>2628</v>
      </c>
      <c r="S1943">
        <v>0</v>
      </c>
    </row>
    <row r="1944" spans="11:19" x14ac:dyDescent="0.3">
      <c r="K1944" s="16">
        <f t="shared" si="29"/>
        <v>44096</v>
      </c>
      <c r="L1944" s="17">
        <v>0.91666666666666663</v>
      </c>
      <c r="M1944" s="14">
        <v>468</v>
      </c>
      <c r="N1944" s="14">
        <v>730</v>
      </c>
      <c r="O1944" s="14">
        <v>0</v>
      </c>
      <c r="P1944" s="14">
        <v>1198</v>
      </c>
      <c r="Q1944">
        <v>8919</v>
      </c>
      <c r="R1944">
        <v>2471</v>
      </c>
      <c r="S1944">
        <v>0</v>
      </c>
    </row>
    <row r="1945" spans="11:19" x14ac:dyDescent="0.3">
      <c r="K1945" s="16">
        <f t="shared" si="29"/>
        <v>44096</v>
      </c>
      <c r="L1945" s="17">
        <v>0.95833333333333337</v>
      </c>
      <c r="M1945" s="14">
        <v>468</v>
      </c>
      <c r="N1945" s="14">
        <v>0</v>
      </c>
      <c r="O1945" s="14">
        <v>0</v>
      </c>
      <c r="P1945" s="14">
        <v>468</v>
      </c>
      <c r="Q1945">
        <v>8882</v>
      </c>
      <c r="R1945">
        <v>2412</v>
      </c>
      <c r="S1945">
        <v>0</v>
      </c>
    </row>
    <row r="1946" spans="11:19" x14ac:dyDescent="0.3">
      <c r="K1946" s="16">
        <f t="shared" si="29"/>
        <v>44097</v>
      </c>
      <c r="L1946" s="17">
        <v>0</v>
      </c>
      <c r="M1946" s="14">
        <v>468</v>
      </c>
      <c r="N1946" s="14">
        <v>0</v>
      </c>
      <c r="O1946" s="14">
        <v>-57</v>
      </c>
      <c r="P1946" s="14">
        <v>411</v>
      </c>
      <c r="Q1946">
        <v>8091</v>
      </c>
      <c r="R1946">
        <v>2459</v>
      </c>
      <c r="S1946">
        <v>0</v>
      </c>
    </row>
    <row r="1947" spans="11:19" x14ac:dyDescent="0.3">
      <c r="K1947" s="16">
        <f t="shared" ref="K1947:K2010" si="30">K1923+1</f>
        <v>44097</v>
      </c>
      <c r="L1947" s="17">
        <v>4.1666666666666664E-2</v>
      </c>
      <c r="M1947" s="14">
        <v>468</v>
      </c>
      <c r="N1947" s="14">
        <v>0</v>
      </c>
      <c r="O1947" s="14">
        <v>-368</v>
      </c>
      <c r="P1947" s="14">
        <v>100</v>
      </c>
      <c r="Q1947">
        <v>7690</v>
      </c>
      <c r="R1947">
        <v>2370</v>
      </c>
      <c r="S1947">
        <v>0</v>
      </c>
    </row>
    <row r="1948" spans="11:19" x14ac:dyDescent="0.3">
      <c r="K1948" s="16">
        <f t="shared" si="30"/>
        <v>44097</v>
      </c>
      <c r="L1948" s="17">
        <v>8.3333333333333329E-2</v>
      </c>
      <c r="M1948" s="14">
        <v>468</v>
      </c>
      <c r="N1948" s="14">
        <v>0</v>
      </c>
      <c r="O1948" s="14">
        <v>-425</v>
      </c>
      <c r="P1948" s="14">
        <v>43</v>
      </c>
      <c r="Q1948">
        <v>7391</v>
      </c>
      <c r="R1948">
        <v>2289</v>
      </c>
      <c r="S1948">
        <v>0</v>
      </c>
    </row>
    <row r="1949" spans="11:19" x14ac:dyDescent="0.3">
      <c r="K1949" s="16">
        <f t="shared" si="30"/>
        <v>44097</v>
      </c>
      <c r="L1949" s="17">
        <v>0.125</v>
      </c>
      <c r="M1949" s="14">
        <v>468</v>
      </c>
      <c r="N1949" s="14">
        <v>0</v>
      </c>
      <c r="O1949" s="14">
        <v>-565</v>
      </c>
      <c r="P1949" s="14">
        <v>-97</v>
      </c>
      <c r="Q1949">
        <v>7046</v>
      </c>
      <c r="R1949">
        <v>2082</v>
      </c>
      <c r="S1949">
        <v>0</v>
      </c>
    </row>
    <row r="1950" spans="11:19" x14ac:dyDescent="0.3">
      <c r="K1950" s="16">
        <f t="shared" si="30"/>
        <v>44097</v>
      </c>
      <c r="L1950" s="17">
        <v>0.16666666666666666</v>
      </c>
      <c r="M1950" s="14">
        <v>468</v>
      </c>
      <c r="N1950" s="14">
        <v>0</v>
      </c>
      <c r="O1950" s="14">
        <v>-670</v>
      </c>
      <c r="P1950" s="14">
        <v>-202</v>
      </c>
      <c r="Q1950">
        <v>6991</v>
      </c>
      <c r="R1950">
        <v>2128</v>
      </c>
      <c r="S1950">
        <v>0</v>
      </c>
    </row>
    <row r="1951" spans="11:19" x14ac:dyDescent="0.3">
      <c r="K1951" s="16">
        <f t="shared" si="30"/>
        <v>44097</v>
      </c>
      <c r="L1951" s="17">
        <v>0.20833333333333334</v>
      </c>
      <c r="M1951" s="14">
        <v>468</v>
      </c>
      <c r="N1951" s="14">
        <v>0</v>
      </c>
      <c r="O1951" s="14">
        <v>-77</v>
      </c>
      <c r="P1951" s="14">
        <v>391</v>
      </c>
      <c r="Q1951">
        <v>7351</v>
      </c>
      <c r="R1951">
        <v>1874</v>
      </c>
      <c r="S1951">
        <v>0</v>
      </c>
    </row>
    <row r="1952" spans="11:19" x14ac:dyDescent="0.3">
      <c r="K1952" s="16">
        <f t="shared" si="30"/>
        <v>44097</v>
      </c>
      <c r="L1952" s="17">
        <v>0.25</v>
      </c>
      <c r="M1952" s="14">
        <v>468</v>
      </c>
      <c r="N1952" s="14">
        <v>909</v>
      </c>
      <c r="O1952" s="14">
        <v>0</v>
      </c>
      <c r="P1952" s="14">
        <v>1377</v>
      </c>
      <c r="Q1952">
        <v>8348</v>
      </c>
      <c r="R1952">
        <v>1846</v>
      </c>
      <c r="S1952">
        <v>0</v>
      </c>
    </row>
    <row r="1953" spans="11:19" x14ac:dyDescent="0.3">
      <c r="K1953" s="16">
        <f t="shared" si="30"/>
        <v>44097</v>
      </c>
      <c r="L1953" s="17">
        <v>0.29166666666666669</v>
      </c>
      <c r="M1953" s="14">
        <v>468</v>
      </c>
      <c r="N1953" s="14">
        <v>0</v>
      </c>
      <c r="O1953" s="14">
        <v>1200</v>
      </c>
      <c r="P1953" s="14">
        <v>1668</v>
      </c>
      <c r="Q1953">
        <v>9136</v>
      </c>
      <c r="R1953">
        <v>1762</v>
      </c>
      <c r="S1953">
        <v>14</v>
      </c>
    </row>
    <row r="1954" spans="11:19" x14ac:dyDescent="0.3">
      <c r="K1954" s="16">
        <f t="shared" si="30"/>
        <v>44097</v>
      </c>
      <c r="L1954" s="17">
        <v>0.33333333333333331</v>
      </c>
      <c r="M1954" s="14">
        <v>468</v>
      </c>
      <c r="N1954" s="14">
        <v>915</v>
      </c>
      <c r="O1954" s="14">
        <v>0</v>
      </c>
      <c r="P1954" s="14">
        <v>1383</v>
      </c>
      <c r="Q1954">
        <v>9516</v>
      </c>
      <c r="R1954">
        <v>1540</v>
      </c>
      <c r="S1954">
        <v>210</v>
      </c>
    </row>
    <row r="1955" spans="11:19" x14ac:dyDescent="0.3">
      <c r="K1955" s="16">
        <f t="shared" si="30"/>
        <v>44097</v>
      </c>
      <c r="L1955" s="17">
        <v>0.375</v>
      </c>
      <c r="M1955" s="14">
        <v>468</v>
      </c>
      <c r="N1955" s="14">
        <v>915</v>
      </c>
      <c r="O1955" s="14">
        <v>0</v>
      </c>
      <c r="P1955" s="14">
        <v>1383</v>
      </c>
      <c r="Q1955">
        <v>9826</v>
      </c>
      <c r="R1955">
        <v>1577</v>
      </c>
      <c r="S1955">
        <v>778</v>
      </c>
    </row>
    <row r="1956" spans="11:19" x14ac:dyDescent="0.3">
      <c r="K1956" s="16">
        <f t="shared" si="30"/>
        <v>44097</v>
      </c>
      <c r="L1956" s="17">
        <v>0.41666666666666669</v>
      </c>
      <c r="M1956" s="14">
        <v>468</v>
      </c>
      <c r="N1956" s="14">
        <v>915</v>
      </c>
      <c r="O1956" s="14">
        <v>0</v>
      </c>
      <c r="P1956" s="14">
        <v>1383</v>
      </c>
      <c r="Q1956">
        <v>9981</v>
      </c>
      <c r="R1956">
        <v>1838</v>
      </c>
      <c r="S1956">
        <v>1383</v>
      </c>
    </row>
    <row r="1957" spans="11:19" x14ac:dyDescent="0.3">
      <c r="K1957" s="16">
        <f t="shared" si="30"/>
        <v>44097</v>
      </c>
      <c r="L1957" s="17">
        <v>0.45833333333333331</v>
      </c>
      <c r="M1957" s="14">
        <v>468</v>
      </c>
      <c r="N1957" s="14">
        <v>437</v>
      </c>
      <c r="O1957" s="14">
        <v>0</v>
      </c>
      <c r="P1957" s="14">
        <v>905</v>
      </c>
      <c r="Q1957">
        <v>10152</v>
      </c>
      <c r="R1957">
        <v>2065</v>
      </c>
      <c r="S1957">
        <v>1807</v>
      </c>
    </row>
    <row r="1958" spans="11:19" x14ac:dyDescent="0.3">
      <c r="K1958" s="16">
        <f t="shared" si="30"/>
        <v>44097</v>
      </c>
      <c r="L1958" s="17">
        <v>0.5</v>
      </c>
      <c r="M1958" s="14">
        <v>468</v>
      </c>
      <c r="N1958" s="14">
        <v>0</v>
      </c>
      <c r="O1958" s="14">
        <v>0</v>
      </c>
      <c r="P1958" s="14">
        <v>468</v>
      </c>
      <c r="Q1958">
        <v>10200</v>
      </c>
      <c r="R1958">
        <v>2119</v>
      </c>
      <c r="S1958">
        <v>2069</v>
      </c>
    </row>
    <row r="1959" spans="11:19" x14ac:dyDescent="0.3">
      <c r="K1959" s="16">
        <f t="shared" si="30"/>
        <v>44097</v>
      </c>
      <c r="L1959" s="17">
        <v>0.54166666666666663</v>
      </c>
      <c r="M1959" s="14">
        <v>468</v>
      </c>
      <c r="N1959" s="14">
        <v>180</v>
      </c>
      <c r="O1959" s="14">
        <v>0</v>
      </c>
      <c r="P1959" s="14">
        <v>648</v>
      </c>
      <c r="Q1959">
        <v>10071</v>
      </c>
      <c r="R1959">
        <v>2040</v>
      </c>
      <c r="S1959">
        <v>2170</v>
      </c>
    </row>
    <row r="1960" spans="11:19" x14ac:dyDescent="0.3">
      <c r="K1960" s="16">
        <f t="shared" si="30"/>
        <v>44097</v>
      </c>
      <c r="L1960" s="17">
        <v>0.58333333333333337</v>
      </c>
      <c r="M1960" s="14">
        <v>468</v>
      </c>
      <c r="N1960" s="14">
        <v>25</v>
      </c>
      <c r="O1960" s="14">
        <v>0</v>
      </c>
      <c r="P1960" s="14">
        <v>493</v>
      </c>
      <c r="Q1960">
        <v>10083</v>
      </c>
      <c r="R1960">
        <v>2181</v>
      </c>
      <c r="S1960">
        <v>2196</v>
      </c>
    </row>
    <row r="1961" spans="11:19" x14ac:dyDescent="0.3">
      <c r="K1961" s="16">
        <f t="shared" si="30"/>
        <v>44097</v>
      </c>
      <c r="L1961" s="17">
        <v>0.625</v>
      </c>
      <c r="M1961" s="14">
        <v>468</v>
      </c>
      <c r="N1961" s="14">
        <v>0</v>
      </c>
      <c r="O1961" s="14">
        <v>-170</v>
      </c>
      <c r="P1961" s="14">
        <v>298</v>
      </c>
      <c r="Q1961">
        <v>9896</v>
      </c>
      <c r="R1961">
        <v>2345</v>
      </c>
      <c r="S1961">
        <v>2040</v>
      </c>
    </row>
    <row r="1962" spans="11:19" x14ac:dyDescent="0.3">
      <c r="K1962" s="16">
        <f t="shared" si="30"/>
        <v>44097</v>
      </c>
      <c r="L1962" s="17">
        <v>0.66666666666666663</v>
      </c>
      <c r="M1962" s="14">
        <v>468</v>
      </c>
      <c r="N1962" s="14">
        <v>0</v>
      </c>
      <c r="O1962" s="14">
        <v>-6</v>
      </c>
      <c r="P1962" s="14">
        <v>462</v>
      </c>
      <c r="Q1962">
        <v>9726</v>
      </c>
      <c r="R1962">
        <v>2353</v>
      </c>
      <c r="S1962">
        <v>1695</v>
      </c>
    </row>
    <row r="1963" spans="11:19" x14ac:dyDescent="0.3">
      <c r="K1963" s="16">
        <f t="shared" si="30"/>
        <v>44097</v>
      </c>
      <c r="L1963" s="17">
        <v>0.70833333333333337</v>
      </c>
      <c r="M1963" s="14">
        <v>468</v>
      </c>
      <c r="N1963" s="14">
        <v>0</v>
      </c>
      <c r="O1963" s="14">
        <v>0</v>
      </c>
      <c r="P1963" s="14">
        <v>468</v>
      </c>
      <c r="Q1963">
        <v>9618</v>
      </c>
      <c r="R1963">
        <v>2290</v>
      </c>
      <c r="S1963">
        <v>1113</v>
      </c>
    </row>
    <row r="1964" spans="11:19" x14ac:dyDescent="0.3">
      <c r="K1964" s="16">
        <f t="shared" si="30"/>
        <v>44097</v>
      </c>
      <c r="L1964" s="17">
        <v>0.75</v>
      </c>
      <c r="M1964" s="14">
        <v>468</v>
      </c>
      <c r="N1964" s="14">
        <v>0</v>
      </c>
      <c r="O1964" s="14">
        <v>672</v>
      </c>
      <c r="P1964" s="14">
        <v>1140</v>
      </c>
      <c r="Q1964">
        <v>9744</v>
      </c>
      <c r="R1964">
        <v>1979</v>
      </c>
      <c r="S1964">
        <v>467</v>
      </c>
    </row>
    <row r="1965" spans="11:19" x14ac:dyDescent="0.3">
      <c r="K1965" s="16">
        <f t="shared" si="30"/>
        <v>44097</v>
      </c>
      <c r="L1965" s="17">
        <v>0.79166666666666663</v>
      </c>
      <c r="M1965" s="14">
        <v>468</v>
      </c>
      <c r="N1965" s="14">
        <v>0</v>
      </c>
      <c r="O1965" s="14">
        <v>0</v>
      </c>
      <c r="P1965" s="14">
        <v>468</v>
      </c>
      <c r="Q1965">
        <v>9719</v>
      </c>
      <c r="R1965">
        <v>1835</v>
      </c>
      <c r="S1965">
        <v>74</v>
      </c>
    </row>
    <row r="1966" spans="11:19" x14ac:dyDescent="0.3">
      <c r="K1966" s="16">
        <f t="shared" si="30"/>
        <v>44097</v>
      </c>
      <c r="L1966" s="17">
        <v>0.83333333333333337</v>
      </c>
      <c r="M1966" s="14">
        <v>468</v>
      </c>
      <c r="N1966" s="14">
        <v>915</v>
      </c>
      <c r="O1966" s="14">
        <v>0</v>
      </c>
      <c r="P1966" s="14">
        <v>1383</v>
      </c>
      <c r="Q1966">
        <v>9365</v>
      </c>
      <c r="R1966">
        <v>1683</v>
      </c>
      <c r="S1966">
        <v>0</v>
      </c>
    </row>
    <row r="1967" spans="11:19" x14ac:dyDescent="0.3">
      <c r="K1967" s="16">
        <f t="shared" si="30"/>
        <v>44097</v>
      </c>
      <c r="L1967" s="17">
        <v>0.875</v>
      </c>
      <c r="M1967" s="14">
        <v>468</v>
      </c>
      <c r="N1967" s="14">
        <v>915</v>
      </c>
      <c r="O1967" s="14">
        <v>0</v>
      </c>
      <c r="P1967" s="14">
        <v>1383</v>
      </c>
      <c r="Q1967">
        <v>8709</v>
      </c>
      <c r="R1967">
        <v>1552</v>
      </c>
      <c r="S1967">
        <v>0</v>
      </c>
    </row>
    <row r="1968" spans="11:19" x14ac:dyDescent="0.3">
      <c r="K1968" s="16">
        <f t="shared" si="30"/>
        <v>44097</v>
      </c>
      <c r="L1968" s="17">
        <v>0.91666666666666663</v>
      </c>
      <c r="M1968" s="14">
        <v>468</v>
      </c>
      <c r="N1968" s="14">
        <v>915</v>
      </c>
      <c r="O1968" s="14">
        <v>0</v>
      </c>
      <c r="P1968" s="14">
        <v>1383</v>
      </c>
      <c r="Q1968">
        <v>8808</v>
      </c>
      <c r="R1968">
        <v>1292</v>
      </c>
      <c r="S1968">
        <v>0</v>
      </c>
    </row>
    <row r="1969" spans="11:19" x14ac:dyDescent="0.3">
      <c r="K1969" s="16">
        <f t="shared" si="30"/>
        <v>44097</v>
      </c>
      <c r="L1969" s="17">
        <v>0.95833333333333337</v>
      </c>
      <c r="M1969" s="14">
        <v>468</v>
      </c>
      <c r="N1969" s="14">
        <v>0</v>
      </c>
      <c r="O1969" s="14">
        <v>0</v>
      </c>
      <c r="P1969" s="14">
        <v>468</v>
      </c>
      <c r="Q1969">
        <v>8788</v>
      </c>
      <c r="R1969">
        <v>1098</v>
      </c>
      <c r="S1969">
        <v>0</v>
      </c>
    </row>
    <row r="1970" spans="11:19" x14ac:dyDescent="0.3">
      <c r="K1970" s="16">
        <f t="shared" si="30"/>
        <v>44098</v>
      </c>
      <c r="L1970" s="17">
        <v>0</v>
      </c>
      <c r="M1970" s="14">
        <v>468</v>
      </c>
      <c r="N1970" s="14">
        <v>1034</v>
      </c>
      <c r="O1970" s="14">
        <v>0</v>
      </c>
      <c r="P1970" s="14">
        <v>1502</v>
      </c>
      <c r="Q1970">
        <v>8016</v>
      </c>
      <c r="R1970">
        <v>1132</v>
      </c>
      <c r="S1970">
        <v>0</v>
      </c>
    </row>
    <row r="1971" spans="11:19" x14ac:dyDescent="0.3">
      <c r="K1971" s="16">
        <f t="shared" si="30"/>
        <v>44098</v>
      </c>
      <c r="L1971" s="17">
        <v>4.1666666666666664E-2</v>
      </c>
      <c r="M1971" s="14">
        <v>468</v>
      </c>
      <c r="N1971" s="14">
        <v>742</v>
      </c>
      <c r="O1971" s="14">
        <v>0</v>
      </c>
      <c r="P1971" s="14">
        <v>1210</v>
      </c>
      <c r="Q1971">
        <v>7612</v>
      </c>
      <c r="R1971">
        <v>1022</v>
      </c>
      <c r="S1971">
        <v>0</v>
      </c>
    </row>
    <row r="1972" spans="11:19" x14ac:dyDescent="0.3">
      <c r="K1972" s="16">
        <f t="shared" si="30"/>
        <v>44098</v>
      </c>
      <c r="L1972" s="17">
        <v>8.3333333333333329E-2</v>
      </c>
      <c r="M1972" s="14">
        <v>468</v>
      </c>
      <c r="N1972" s="14">
        <v>0</v>
      </c>
      <c r="O1972" s="14">
        <v>0</v>
      </c>
      <c r="P1972" s="14">
        <v>468</v>
      </c>
      <c r="Q1972">
        <v>7310</v>
      </c>
      <c r="R1972">
        <v>913</v>
      </c>
      <c r="S1972">
        <v>0</v>
      </c>
    </row>
    <row r="1973" spans="11:19" x14ac:dyDescent="0.3">
      <c r="K1973" s="16">
        <f t="shared" si="30"/>
        <v>44098</v>
      </c>
      <c r="L1973" s="17">
        <v>0.125</v>
      </c>
      <c r="M1973" s="14">
        <v>468</v>
      </c>
      <c r="N1973" s="14">
        <v>0</v>
      </c>
      <c r="O1973" s="14">
        <v>0</v>
      </c>
      <c r="P1973" s="14">
        <v>468</v>
      </c>
      <c r="Q1973">
        <v>6958</v>
      </c>
      <c r="R1973">
        <v>901</v>
      </c>
      <c r="S1973">
        <v>0</v>
      </c>
    </row>
    <row r="1974" spans="11:19" x14ac:dyDescent="0.3">
      <c r="K1974" s="16">
        <f t="shared" si="30"/>
        <v>44098</v>
      </c>
      <c r="L1974" s="17">
        <v>0.16666666666666666</v>
      </c>
      <c r="M1974" s="14">
        <v>468</v>
      </c>
      <c r="N1974" s="14">
        <v>160</v>
      </c>
      <c r="O1974" s="14">
        <v>0</v>
      </c>
      <c r="P1974" s="14">
        <v>628</v>
      </c>
      <c r="Q1974">
        <v>6897</v>
      </c>
      <c r="R1974">
        <v>804</v>
      </c>
      <c r="S1974">
        <v>0</v>
      </c>
    </row>
    <row r="1975" spans="11:19" x14ac:dyDescent="0.3">
      <c r="K1975" s="16">
        <f t="shared" si="30"/>
        <v>44098</v>
      </c>
      <c r="L1975" s="17">
        <v>0.20833333333333334</v>
      </c>
      <c r="M1975" s="14">
        <v>468</v>
      </c>
      <c r="N1975" s="14">
        <v>0</v>
      </c>
      <c r="O1975" s="14">
        <v>0</v>
      </c>
      <c r="P1975" s="14">
        <v>468</v>
      </c>
      <c r="Q1975">
        <v>7261</v>
      </c>
      <c r="R1975">
        <v>805</v>
      </c>
      <c r="S1975">
        <v>0</v>
      </c>
    </row>
    <row r="1976" spans="11:19" x14ac:dyDescent="0.3">
      <c r="K1976" s="16">
        <f t="shared" si="30"/>
        <v>44098</v>
      </c>
      <c r="L1976" s="17">
        <v>0.25</v>
      </c>
      <c r="M1976" s="14">
        <v>468</v>
      </c>
      <c r="N1976" s="14">
        <v>0</v>
      </c>
      <c r="O1976" s="14">
        <v>0</v>
      </c>
      <c r="P1976" s="14">
        <v>468</v>
      </c>
      <c r="Q1976">
        <v>8263</v>
      </c>
      <c r="R1976">
        <v>881</v>
      </c>
      <c r="S1976">
        <v>0</v>
      </c>
    </row>
    <row r="1977" spans="11:19" x14ac:dyDescent="0.3">
      <c r="K1977" s="16">
        <f t="shared" si="30"/>
        <v>44098</v>
      </c>
      <c r="L1977" s="17">
        <v>0.29166666666666669</v>
      </c>
      <c r="M1977" s="14">
        <v>468</v>
      </c>
      <c r="N1977" s="14">
        <v>0</v>
      </c>
      <c r="O1977" s="14">
        <v>0</v>
      </c>
      <c r="P1977" s="14">
        <v>468</v>
      </c>
      <c r="Q1977">
        <v>9035</v>
      </c>
      <c r="R1977">
        <v>749</v>
      </c>
      <c r="S1977">
        <v>15</v>
      </c>
    </row>
    <row r="1978" spans="11:19" x14ac:dyDescent="0.3">
      <c r="K1978" s="16">
        <f t="shared" si="30"/>
        <v>44098</v>
      </c>
      <c r="L1978" s="17">
        <v>0.33333333333333331</v>
      </c>
      <c r="M1978" s="14">
        <v>468</v>
      </c>
      <c r="N1978" s="14">
        <v>1421</v>
      </c>
      <c r="O1978" s="14">
        <v>0</v>
      </c>
      <c r="P1978" s="14">
        <v>1889</v>
      </c>
      <c r="Q1978">
        <v>9411</v>
      </c>
      <c r="R1978">
        <v>804</v>
      </c>
      <c r="S1978">
        <v>211</v>
      </c>
    </row>
    <row r="1979" spans="11:19" x14ac:dyDescent="0.3">
      <c r="K1979" s="16">
        <f t="shared" si="30"/>
        <v>44098</v>
      </c>
      <c r="L1979" s="17">
        <v>0.375</v>
      </c>
      <c r="M1979" s="14">
        <v>468</v>
      </c>
      <c r="N1979" s="14">
        <v>1421</v>
      </c>
      <c r="O1979" s="14">
        <v>0</v>
      </c>
      <c r="P1979" s="14">
        <v>1889</v>
      </c>
      <c r="Q1979">
        <v>9701</v>
      </c>
      <c r="R1979">
        <v>900</v>
      </c>
      <c r="S1979">
        <v>788</v>
      </c>
    </row>
    <row r="1980" spans="11:19" x14ac:dyDescent="0.3">
      <c r="K1980" s="16">
        <f t="shared" si="30"/>
        <v>44098</v>
      </c>
      <c r="L1980" s="17">
        <v>0.41666666666666669</v>
      </c>
      <c r="M1980" s="14">
        <v>468</v>
      </c>
      <c r="N1980" s="14">
        <v>0</v>
      </c>
      <c r="O1980" s="14">
        <v>0</v>
      </c>
      <c r="P1980" s="14">
        <v>468</v>
      </c>
      <c r="Q1980">
        <v>9829</v>
      </c>
      <c r="R1980">
        <v>961</v>
      </c>
      <c r="S1980">
        <v>1368</v>
      </c>
    </row>
    <row r="1981" spans="11:19" x14ac:dyDescent="0.3">
      <c r="K1981" s="16">
        <f t="shared" si="30"/>
        <v>44098</v>
      </c>
      <c r="L1981" s="17">
        <v>0.45833333333333331</v>
      </c>
      <c r="M1981" s="14">
        <v>468</v>
      </c>
      <c r="N1981" s="14">
        <v>0</v>
      </c>
      <c r="O1981" s="14">
        <v>0</v>
      </c>
      <c r="P1981" s="14">
        <v>468</v>
      </c>
      <c r="Q1981">
        <v>9978</v>
      </c>
      <c r="R1981">
        <v>1041</v>
      </c>
      <c r="S1981">
        <v>1738</v>
      </c>
    </row>
    <row r="1982" spans="11:19" x14ac:dyDescent="0.3">
      <c r="K1982" s="16">
        <f t="shared" si="30"/>
        <v>44098</v>
      </c>
      <c r="L1982" s="17">
        <v>0.5</v>
      </c>
      <c r="M1982" s="14">
        <v>468</v>
      </c>
      <c r="N1982" s="14">
        <v>0</v>
      </c>
      <c r="O1982" s="14">
        <v>0</v>
      </c>
      <c r="P1982" s="14">
        <v>468</v>
      </c>
      <c r="Q1982">
        <v>10006</v>
      </c>
      <c r="R1982">
        <v>1055</v>
      </c>
      <c r="S1982">
        <v>1942</v>
      </c>
    </row>
    <row r="1983" spans="11:19" x14ac:dyDescent="0.3">
      <c r="K1983" s="16">
        <f t="shared" si="30"/>
        <v>44098</v>
      </c>
      <c r="L1983" s="17">
        <v>0.54166666666666663</v>
      </c>
      <c r="M1983" s="14">
        <v>468</v>
      </c>
      <c r="N1983" s="14">
        <v>1132</v>
      </c>
      <c r="O1983" s="14">
        <v>0</v>
      </c>
      <c r="P1983" s="14">
        <v>1600</v>
      </c>
      <c r="Q1983">
        <v>9851</v>
      </c>
      <c r="R1983">
        <v>946</v>
      </c>
      <c r="S1983">
        <v>2012</v>
      </c>
    </row>
    <row r="1984" spans="11:19" x14ac:dyDescent="0.3">
      <c r="K1984" s="16">
        <f t="shared" si="30"/>
        <v>44098</v>
      </c>
      <c r="L1984" s="17">
        <v>0.58333333333333337</v>
      </c>
      <c r="M1984" s="14">
        <v>468</v>
      </c>
      <c r="N1984" s="14">
        <v>976</v>
      </c>
      <c r="O1984" s="14">
        <v>0</v>
      </c>
      <c r="P1984" s="14">
        <v>1444</v>
      </c>
      <c r="Q1984">
        <v>9819</v>
      </c>
      <c r="R1984">
        <v>1073</v>
      </c>
      <c r="S1984">
        <v>2009</v>
      </c>
    </row>
    <row r="1985" spans="11:19" x14ac:dyDescent="0.3">
      <c r="K1985" s="16">
        <f t="shared" si="30"/>
        <v>44098</v>
      </c>
      <c r="L1985" s="17">
        <v>0.625</v>
      </c>
      <c r="M1985" s="14">
        <v>468</v>
      </c>
      <c r="N1985" s="14">
        <v>0</v>
      </c>
      <c r="O1985" s="14">
        <v>0</v>
      </c>
      <c r="P1985" s="14">
        <v>468</v>
      </c>
      <c r="Q1985">
        <v>9606</v>
      </c>
      <c r="R1985">
        <v>1130</v>
      </c>
      <c r="S1985">
        <v>1863</v>
      </c>
    </row>
    <row r="1986" spans="11:19" x14ac:dyDescent="0.3">
      <c r="K1986" s="16">
        <f t="shared" si="30"/>
        <v>44098</v>
      </c>
      <c r="L1986" s="17">
        <v>0.66666666666666663</v>
      </c>
      <c r="M1986" s="14">
        <v>468</v>
      </c>
      <c r="N1986" s="14">
        <v>0</v>
      </c>
      <c r="O1986" s="14">
        <v>0</v>
      </c>
      <c r="P1986" s="14">
        <v>468</v>
      </c>
      <c r="Q1986">
        <v>9428</v>
      </c>
      <c r="R1986">
        <v>1189</v>
      </c>
      <c r="S1986">
        <v>1540</v>
      </c>
    </row>
    <row r="1987" spans="11:19" x14ac:dyDescent="0.3">
      <c r="K1987" s="16">
        <f t="shared" si="30"/>
        <v>44098</v>
      </c>
      <c r="L1987" s="17">
        <v>0.70833333333333337</v>
      </c>
      <c r="M1987" s="14">
        <v>468</v>
      </c>
      <c r="N1987" s="14">
        <v>1330</v>
      </c>
      <c r="O1987" s="14">
        <v>0</v>
      </c>
      <c r="P1987" s="14">
        <v>1798</v>
      </c>
      <c r="Q1987">
        <v>9333</v>
      </c>
      <c r="R1987">
        <v>1232</v>
      </c>
      <c r="S1987">
        <v>1003</v>
      </c>
    </row>
    <row r="1988" spans="11:19" x14ac:dyDescent="0.3">
      <c r="K1988" s="16">
        <f t="shared" si="30"/>
        <v>44098</v>
      </c>
      <c r="L1988" s="17">
        <v>0.75</v>
      </c>
      <c r="M1988" s="14">
        <v>468</v>
      </c>
      <c r="N1988" s="14">
        <v>0</v>
      </c>
      <c r="O1988" s="14">
        <v>0</v>
      </c>
      <c r="P1988" s="14">
        <v>468</v>
      </c>
      <c r="Q1988">
        <v>9517</v>
      </c>
      <c r="R1988">
        <v>952</v>
      </c>
      <c r="S1988">
        <v>372</v>
      </c>
    </row>
    <row r="1989" spans="11:19" x14ac:dyDescent="0.3">
      <c r="K1989" s="16">
        <f t="shared" si="30"/>
        <v>44098</v>
      </c>
      <c r="L1989" s="17">
        <v>0.79166666666666663</v>
      </c>
      <c r="M1989" s="14">
        <v>468</v>
      </c>
      <c r="N1989" s="14">
        <v>1421</v>
      </c>
      <c r="O1989" s="14">
        <v>0</v>
      </c>
      <c r="P1989" s="14">
        <v>1889</v>
      </c>
      <c r="Q1989">
        <v>9533</v>
      </c>
      <c r="R1989">
        <v>788</v>
      </c>
      <c r="S1989">
        <v>41</v>
      </c>
    </row>
    <row r="1990" spans="11:19" x14ac:dyDescent="0.3">
      <c r="K1990" s="16">
        <f t="shared" si="30"/>
        <v>44098</v>
      </c>
      <c r="L1990" s="17">
        <v>0.83333333333333337</v>
      </c>
      <c r="M1990" s="14">
        <v>468</v>
      </c>
      <c r="N1990" s="14">
        <v>1421</v>
      </c>
      <c r="O1990" s="14">
        <v>0</v>
      </c>
      <c r="P1990" s="14">
        <v>1889</v>
      </c>
      <c r="Q1990">
        <v>9201</v>
      </c>
      <c r="R1990">
        <v>777</v>
      </c>
      <c r="S1990">
        <v>0</v>
      </c>
    </row>
    <row r="1991" spans="11:19" x14ac:dyDescent="0.3">
      <c r="K1991" s="16">
        <f t="shared" si="30"/>
        <v>44098</v>
      </c>
      <c r="L1991" s="17">
        <v>0.875</v>
      </c>
      <c r="M1991" s="14">
        <v>468</v>
      </c>
      <c r="N1991" s="14">
        <v>0</v>
      </c>
      <c r="O1991" s="14">
        <v>0</v>
      </c>
      <c r="P1991" s="14">
        <v>468</v>
      </c>
      <c r="Q1991">
        <v>8551</v>
      </c>
      <c r="R1991">
        <v>748</v>
      </c>
      <c r="S1991">
        <v>0</v>
      </c>
    </row>
    <row r="1992" spans="11:19" x14ac:dyDescent="0.3">
      <c r="K1992" s="16">
        <f t="shared" si="30"/>
        <v>44098</v>
      </c>
      <c r="L1992" s="17">
        <v>0.91666666666666663</v>
      </c>
      <c r="M1992" s="14">
        <v>468</v>
      </c>
      <c r="N1992" s="14">
        <v>485</v>
      </c>
      <c r="O1992" s="14">
        <v>0</v>
      </c>
      <c r="P1992" s="14">
        <v>953</v>
      </c>
      <c r="Q1992">
        <v>8648</v>
      </c>
      <c r="R1992">
        <v>755</v>
      </c>
      <c r="S1992">
        <v>0</v>
      </c>
    </row>
    <row r="1993" spans="11:19" x14ac:dyDescent="0.3">
      <c r="K1993" s="16">
        <f t="shared" si="30"/>
        <v>44098</v>
      </c>
      <c r="L1993" s="17">
        <v>0.95833333333333337</v>
      </c>
      <c r="M1993" s="14">
        <v>468</v>
      </c>
      <c r="N1993" s="14">
        <v>0</v>
      </c>
      <c r="O1993" s="14">
        <v>0</v>
      </c>
      <c r="P1993" s="14">
        <v>468</v>
      </c>
      <c r="Q1993">
        <v>8667</v>
      </c>
      <c r="R1993">
        <v>687</v>
      </c>
      <c r="S1993">
        <v>0</v>
      </c>
    </row>
    <row r="1994" spans="11:19" x14ac:dyDescent="0.3">
      <c r="K1994" s="16">
        <f t="shared" si="30"/>
        <v>44099</v>
      </c>
      <c r="L1994" s="17">
        <v>0</v>
      </c>
      <c r="M1994" s="14">
        <v>468</v>
      </c>
      <c r="N1994" s="14">
        <v>0</v>
      </c>
      <c r="O1994" s="14">
        <v>0</v>
      </c>
      <c r="P1994" s="14">
        <v>468</v>
      </c>
      <c r="Q1994">
        <v>7947</v>
      </c>
      <c r="R1994">
        <v>616</v>
      </c>
      <c r="S1994">
        <v>0</v>
      </c>
    </row>
    <row r="1995" spans="11:19" x14ac:dyDescent="0.3">
      <c r="K1995" s="16">
        <f t="shared" si="30"/>
        <v>44099</v>
      </c>
      <c r="L1995" s="17">
        <v>4.1666666666666664E-2</v>
      </c>
      <c r="M1995" s="14">
        <v>468</v>
      </c>
      <c r="N1995" s="14">
        <v>865</v>
      </c>
      <c r="O1995" s="14">
        <v>0</v>
      </c>
      <c r="P1995" s="14">
        <v>1333</v>
      </c>
      <c r="Q1995">
        <v>7541</v>
      </c>
      <c r="R1995">
        <v>749</v>
      </c>
      <c r="S1995">
        <v>0</v>
      </c>
    </row>
    <row r="1996" spans="11:19" x14ac:dyDescent="0.3">
      <c r="K1996" s="16">
        <f t="shared" si="30"/>
        <v>44099</v>
      </c>
      <c r="L1996" s="17">
        <v>8.3333333333333329E-2</v>
      </c>
      <c r="M1996" s="14">
        <v>468</v>
      </c>
      <c r="N1996" s="14">
        <v>0</v>
      </c>
      <c r="O1996" s="14">
        <v>0</v>
      </c>
      <c r="P1996" s="14">
        <v>468</v>
      </c>
      <c r="Q1996">
        <v>7250</v>
      </c>
      <c r="R1996">
        <v>801</v>
      </c>
      <c r="S1996">
        <v>0</v>
      </c>
    </row>
    <row r="1997" spans="11:19" x14ac:dyDescent="0.3">
      <c r="K1997" s="16">
        <f t="shared" si="30"/>
        <v>44099</v>
      </c>
      <c r="L1997" s="17">
        <v>0.125</v>
      </c>
      <c r="M1997" s="14">
        <v>468</v>
      </c>
      <c r="N1997" s="14">
        <v>0</v>
      </c>
      <c r="O1997" s="14">
        <v>0</v>
      </c>
      <c r="P1997" s="14">
        <v>468</v>
      </c>
      <c r="Q1997">
        <v>6915</v>
      </c>
      <c r="R1997">
        <v>700</v>
      </c>
      <c r="S1997">
        <v>0</v>
      </c>
    </row>
    <row r="1998" spans="11:19" x14ac:dyDescent="0.3">
      <c r="K1998" s="16">
        <f t="shared" si="30"/>
        <v>44099</v>
      </c>
      <c r="L1998" s="17">
        <v>0.16666666666666666</v>
      </c>
      <c r="M1998" s="14">
        <v>468</v>
      </c>
      <c r="N1998" s="14">
        <v>171</v>
      </c>
      <c r="O1998" s="14">
        <v>0</v>
      </c>
      <c r="P1998" s="14">
        <v>639</v>
      </c>
      <c r="Q1998">
        <v>6842</v>
      </c>
      <c r="R1998">
        <v>738</v>
      </c>
      <c r="S1998">
        <v>0</v>
      </c>
    </row>
    <row r="1999" spans="11:19" x14ac:dyDescent="0.3">
      <c r="K1999" s="16">
        <f t="shared" si="30"/>
        <v>44099</v>
      </c>
      <c r="L1999" s="17">
        <v>0.20833333333333334</v>
      </c>
      <c r="M1999" s="14">
        <v>468</v>
      </c>
      <c r="N1999" s="14">
        <v>399</v>
      </c>
      <c r="O1999" s="14">
        <v>0</v>
      </c>
      <c r="P1999" s="14">
        <v>867</v>
      </c>
      <c r="Q1999">
        <v>7215</v>
      </c>
      <c r="R1999">
        <v>862</v>
      </c>
      <c r="S1999">
        <v>0</v>
      </c>
    </row>
    <row r="2000" spans="11:19" x14ac:dyDescent="0.3">
      <c r="K2000" s="16">
        <f t="shared" si="30"/>
        <v>44099</v>
      </c>
      <c r="L2000" s="17">
        <v>0.25</v>
      </c>
      <c r="M2000" s="14">
        <v>468</v>
      </c>
      <c r="N2000" s="14">
        <v>0</v>
      </c>
      <c r="O2000" s="14">
        <v>0</v>
      </c>
      <c r="P2000" s="14">
        <v>468</v>
      </c>
      <c r="Q2000">
        <v>8209</v>
      </c>
      <c r="R2000">
        <v>767</v>
      </c>
      <c r="S2000">
        <v>0</v>
      </c>
    </row>
    <row r="2001" spans="11:19" x14ac:dyDescent="0.3">
      <c r="K2001" s="16">
        <f t="shared" si="30"/>
        <v>44099</v>
      </c>
      <c r="L2001" s="17">
        <v>0.29166666666666669</v>
      </c>
      <c r="M2001" s="14">
        <v>468</v>
      </c>
      <c r="N2001" s="14">
        <v>0</v>
      </c>
      <c r="O2001" s="14">
        <v>0</v>
      </c>
      <c r="P2001" s="14">
        <v>468</v>
      </c>
      <c r="Q2001">
        <v>8972</v>
      </c>
      <c r="R2001">
        <v>751</v>
      </c>
      <c r="S2001">
        <v>14</v>
      </c>
    </row>
    <row r="2002" spans="11:19" x14ac:dyDescent="0.3">
      <c r="K2002" s="16">
        <f t="shared" si="30"/>
        <v>44099</v>
      </c>
      <c r="L2002" s="17">
        <v>0.33333333333333331</v>
      </c>
      <c r="M2002" s="14">
        <v>468</v>
      </c>
      <c r="N2002" s="14">
        <v>1375</v>
      </c>
      <c r="O2002" s="14">
        <v>0</v>
      </c>
      <c r="P2002" s="14">
        <v>1843</v>
      </c>
      <c r="Q2002">
        <v>9327</v>
      </c>
      <c r="R2002">
        <v>749</v>
      </c>
      <c r="S2002">
        <v>163</v>
      </c>
    </row>
    <row r="2003" spans="11:19" x14ac:dyDescent="0.3">
      <c r="K2003" s="16">
        <f t="shared" si="30"/>
        <v>44099</v>
      </c>
      <c r="L2003" s="17">
        <v>0.375</v>
      </c>
      <c r="M2003" s="14">
        <v>468</v>
      </c>
      <c r="N2003" s="14">
        <v>1375</v>
      </c>
      <c r="O2003" s="14">
        <v>0</v>
      </c>
      <c r="P2003" s="14">
        <v>1843</v>
      </c>
      <c r="Q2003">
        <v>9618</v>
      </c>
      <c r="R2003">
        <v>749</v>
      </c>
      <c r="S2003">
        <v>691</v>
      </c>
    </row>
    <row r="2004" spans="11:19" x14ac:dyDescent="0.3">
      <c r="K2004" s="16">
        <f t="shared" si="30"/>
        <v>44099</v>
      </c>
      <c r="L2004" s="17">
        <v>0.41666666666666669</v>
      </c>
      <c r="M2004" s="14">
        <v>468</v>
      </c>
      <c r="N2004" s="14">
        <v>0</v>
      </c>
      <c r="O2004" s="14">
        <v>0</v>
      </c>
      <c r="P2004" s="14">
        <v>468</v>
      </c>
      <c r="Q2004">
        <v>9712</v>
      </c>
      <c r="R2004">
        <v>842</v>
      </c>
      <c r="S2004">
        <v>1235</v>
      </c>
    </row>
    <row r="2005" spans="11:19" x14ac:dyDescent="0.3">
      <c r="K2005" s="16">
        <f t="shared" si="30"/>
        <v>44099</v>
      </c>
      <c r="L2005" s="17">
        <v>0.45833333333333331</v>
      </c>
      <c r="M2005" s="14">
        <v>468</v>
      </c>
      <c r="N2005" s="14">
        <v>0</v>
      </c>
      <c r="O2005" s="14">
        <v>0</v>
      </c>
      <c r="P2005" s="14">
        <v>468</v>
      </c>
      <c r="Q2005">
        <v>9844</v>
      </c>
      <c r="R2005">
        <v>807</v>
      </c>
      <c r="S2005">
        <v>1652</v>
      </c>
    </row>
    <row r="2006" spans="11:19" x14ac:dyDescent="0.3">
      <c r="K2006" s="16">
        <f t="shared" si="30"/>
        <v>44099</v>
      </c>
      <c r="L2006" s="17">
        <v>0.5</v>
      </c>
      <c r="M2006" s="14">
        <v>468</v>
      </c>
      <c r="N2006" s="14">
        <v>0</v>
      </c>
      <c r="O2006" s="14">
        <v>0</v>
      </c>
      <c r="P2006" s="14">
        <v>468</v>
      </c>
      <c r="Q2006">
        <v>9889</v>
      </c>
      <c r="R2006">
        <v>919</v>
      </c>
      <c r="S2006">
        <v>1996</v>
      </c>
    </row>
    <row r="2007" spans="11:19" x14ac:dyDescent="0.3">
      <c r="K2007" s="16">
        <f t="shared" si="30"/>
        <v>44099</v>
      </c>
      <c r="L2007" s="17">
        <v>0.54166666666666663</v>
      </c>
      <c r="M2007" s="14">
        <v>468</v>
      </c>
      <c r="N2007" s="14">
        <v>323</v>
      </c>
      <c r="O2007" s="14">
        <v>0</v>
      </c>
      <c r="P2007" s="14">
        <v>791</v>
      </c>
      <c r="Q2007">
        <v>9682</v>
      </c>
      <c r="R2007">
        <v>1266</v>
      </c>
      <c r="S2007">
        <v>2173</v>
      </c>
    </row>
    <row r="2008" spans="11:19" x14ac:dyDescent="0.3">
      <c r="K2008" s="16">
        <f t="shared" si="30"/>
        <v>44099</v>
      </c>
      <c r="L2008" s="17">
        <v>0.58333333333333337</v>
      </c>
      <c r="M2008" s="14">
        <v>468</v>
      </c>
      <c r="N2008" s="14">
        <v>0</v>
      </c>
      <c r="O2008" s="14">
        <v>0</v>
      </c>
      <c r="P2008" s="14">
        <v>468</v>
      </c>
      <c r="Q2008">
        <v>9595</v>
      </c>
      <c r="R2008">
        <v>1333</v>
      </c>
      <c r="S2008">
        <v>2202</v>
      </c>
    </row>
    <row r="2009" spans="11:19" x14ac:dyDescent="0.3">
      <c r="K2009" s="16">
        <f t="shared" si="30"/>
        <v>44099</v>
      </c>
      <c r="L2009" s="17">
        <v>0.625</v>
      </c>
      <c r="M2009" s="14">
        <v>468</v>
      </c>
      <c r="N2009" s="14">
        <v>258</v>
      </c>
      <c r="O2009" s="14">
        <v>0</v>
      </c>
      <c r="P2009" s="14">
        <v>726</v>
      </c>
      <c r="Q2009">
        <v>9367</v>
      </c>
      <c r="R2009">
        <v>1252</v>
      </c>
      <c r="S2009">
        <v>2016</v>
      </c>
    </row>
    <row r="2010" spans="11:19" x14ac:dyDescent="0.3">
      <c r="K2010" s="16">
        <f t="shared" si="30"/>
        <v>44099</v>
      </c>
      <c r="L2010" s="17">
        <v>0.66666666666666663</v>
      </c>
      <c r="M2010" s="14">
        <v>468</v>
      </c>
      <c r="N2010" s="14">
        <v>603</v>
      </c>
      <c r="O2010" s="14">
        <v>0</v>
      </c>
      <c r="P2010" s="14">
        <v>1071</v>
      </c>
      <c r="Q2010">
        <v>9153</v>
      </c>
      <c r="R2010">
        <v>1041</v>
      </c>
      <c r="S2010">
        <v>1666</v>
      </c>
    </row>
    <row r="2011" spans="11:19" x14ac:dyDescent="0.3">
      <c r="K2011" s="16">
        <f t="shared" ref="K2011:K2074" si="31">K1987+1</f>
        <v>44099</v>
      </c>
      <c r="L2011" s="17">
        <v>0.70833333333333337</v>
      </c>
      <c r="M2011" s="14">
        <v>468</v>
      </c>
      <c r="N2011" s="14">
        <v>0</v>
      </c>
      <c r="O2011" s="14">
        <v>0</v>
      </c>
      <c r="P2011" s="14">
        <v>468</v>
      </c>
      <c r="Q2011">
        <v>9099</v>
      </c>
      <c r="R2011">
        <v>999</v>
      </c>
      <c r="S2011">
        <v>1062</v>
      </c>
    </row>
    <row r="2012" spans="11:19" x14ac:dyDescent="0.3">
      <c r="K2012" s="16">
        <f t="shared" si="31"/>
        <v>44099</v>
      </c>
      <c r="L2012" s="17">
        <v>0.75</v>
      </c>
      <c r="M2012" s="14">
        <v>468</v>
      </c>
      <c r="N2012" s="14">
        <v>1375</v>
      </c>
      <c r="O2012" s="14">
        <v>0</v>
      </c>
      <c r="P2012" s="14">
        <v>1843</v>
      </c>
      <c r="Q2012">
        <v>9184</v>
      </c>
      <c r="R2012">
        <v>768</v>
      </c>
      <c r="S2012">
        <v>396</v>
      </c>
    </row>
    <row r="2013" spans="11:19" x14ac:dyDescent="0.3">
      <c r="K2013" s="16">
        <f t="shared" si="31"/>
        <v>44099</v>
      </c>
      <c r="L2013" s="17">
        <v>0.79166666666666663</v>
      </c>
      <c r="M2013" s="14">
        <v>468</v>
      </c>
      <c r="N2013" s="14">
        <v>1375</v>
      </c>
      <c r="O2013" s="14">
        <v>0</v>
      </c>
      <c r="P2013" s="14">
        <v>1843</v>
      </c>
      <c r="Q2013">
        <v>9178</v>
      </c>
      <c r="R2013">
        <v>621</v>
      </c>
      <c r="S2013">
        <v>50</v>
      </c>
    </row>
    <row r="2014" spans="11:19" x14ac:dyDescent="0.3">
      <c r="K2014" s="16">
        <f t="shared" si="31"/>
        <v>44099</v>
      </c>
      <c r="L2014" s="17">
        <v>0.83333333333333337</v>
      </c>
      <c r="M2014" s="14">
        <v>468</v>
      </c>
      <c r="N2014" s="14">
        <v>1375</v>
      </c>
      <c r="O2014" s="14">
        <v>0</v>
      </c>
      <c r="P2014" s="14">
        <v>1843</v>
      </c>
      <c r="Q2014">
        <v>8979</v>
      </c>
      <c r="R2014">
        <v>636</v>
      </c>
      <c r="S2014">
        <v>0</v>
      </c>
    </row>
    <row r="2015" spans="11:19" x14ac:dyDescent="0.3">
      <c r="K2015" s="16">
        <f t="shared" si="31"/>
        <v>44099</v>
      </c>
      <c r="L2015" s="17">
        <v>0.875</v>
      </c>
      <c r="M2015" s="14">
        <v>468</v>
      </c>
      <c r="N2015" s="14">
        <v>0</v>
      </c>
      <c r="O2015" s="14">
        <v>0</v>
      </c>
      <c r="P2015" s="14">
        <v>468</v>
      </c>
      <c r="Q2015">
        <v>8431</v>
      </c>
      <c r="R2015">
        <v>678</v>
      </c>
      <c r="S2015">
        <v>0</v>
      </c>
    </row>
    <row r="2016" spans="11:19" x14ac:dyDescent="0.3">
      <c r="K2016" s="16">
        <f t="shared" si="31"/>
        <v>44099</v>
      </c>
      <c r="L2016" s="17">
        <v>0.91666666666666663</v>
      </c>
      <c r="M2016" s="14">
        <v>468</v>
      </c>
      <c r="N2016" s="14">
        <v>0</v>
      </c>
      <c r="O2016" s="14">
        <v>0</v>
      </c>
      <c r="P2016" s="14">
        <v>468</v>
      </c>
      <c r="Q2016">
        <v>8600</v>
      </c>
      <c r="R2016">
        <v>807</v>
      </c>
      <c r="S2016">
        <v>0</v>
      </c>
    </row>
    <row r="2017" spans="11:19" x14ac:dyDescent="0.3">
      <c r="K2017" s="16">
        <f t="shared" si="31"/>
        <v>44099</v>
      </c>
      <c r="L2017" s="17">
        <v>0.95833333333333337</v>
      </c>
      <c r="M2017" s="14">
        <v>468</v>
      </c>
      <c r="N2017" s="14">
        <v>0</v>
      </c>
      <c r="O2017" s="14">
        <v>0</v>
      </c>
      <c r="P2017" s="14">
        <v>468</v>
      </c>
      <c r="Q2017">
        <v>8611</v>
      </c>
      <c r="R2017">
        <v>851</v>
      </c>
      <c r="S2017">
        <v>0</v>
      </c>
    </row>
    <row r="2018" spans="11:19" x14ac:dyDescent="0.3">
      <c r="K2018" s="16">
        <f t="shared" si="31"/>
        <v>44100</v>
      </c>
      <c r="L2018" s="17">
        <v>0</v>
      </c>
      <c r="M2018" s="14">
        <v>468</v>
      </c>
      <c r="N2018" s="14">
        <v>0</v>
      </c>
      <c r="O2018" s="14">
        <v>1200</v>
      </c>
      <c r="P2018" s="14">
        <v>1668</v>
      </c>
      <c r="Q2018">
        <v>7818</v>
      </c>
      <c r="R2018">
        <v>923</v>
      </c>
      <c r="S2018">
        <v>0</v>
      </c>
    </row>
    <row r="2019" spans="11:19" x14ac:dyDescent="0.3">
      <c r="K2019" s="16">
        <f t="shared" si="31"/>
        <v>44100</v>
      </c>
      <c r="L2019" s="17">
        <v>4.1666666666666664E-2</v>
      </c>
      <c r="M2019" s="14">
        <v>468</v>
      </c>
      <c r="N2019" s="14">
        <v>0</v>
      </c>
      <c r="O2019" s="14">
        <v>915</v>
      </c>
      <c r="P2019" s="14">
        <v>1383</v>
      </c>
      <c r="Q2019">
        <v>7356</v>
      </c>
      <c r="R2019">
        <v>836</v>
      </c>
      <c r="S2019">
        <v>0</v>
      </c>
    </row>
    <row r="2020" spans="11:19" x14ac:dyDescent="0.3">
      <c r="K2020" s="16">
        <f t="shared" si="31"/>
        <v>44100</v>
      </c>
      <c r="L2020" s="17">
        <v>8.3333333333333329E-2</v>
      </c>
      <c r="M2020" s="14">
        <v>468</v>
      </c>
      <c r="N2020" s="14">
        <v>0</v>
      </c>
      <c r="O2020" s="14">
        <v>550</v>
      </c>
      <c r="P2020" s="14">
        <v>1018</v>
      </c>
      <c r="Q2020">
        <v>7010</v>
      </c>
      <c r="R2020">
        <v>854</v>
      </c>
      <c r="S2020">
        <v>0</v>
      </c>
    </row>
    <row r="2021" spans="11:19" x14ac:dyDescent="0.3">
      <c r="K2021" s="16">
        <f t="shared" si="31"/>
        <v>44100</v>
      </c>
      <c r="L2021" s="17">
        <v>0.125</v>
      </c>
      <c r="M2021" s="14">
        <v>468</v>
      </c>
      <c r="N2021" s="14">
        <v>0</v>
      </c>
      <c r="O2021" s="14">
        <v>13</v>
      </c>
      <c r="P2021" s="14">
        <v>481</v>
      </c>
      <c r="Q2021">
        <v>6601</v>
      </c>
      <c r="R2021">
        <v>981</v>
      </c>
      <c r="S2021">
        <v>0</v>
      </c>
    </row>
    <row r="2022" spans="11:19" x14ac:dyDescent="0.3">
      <c r="K2022" s="16">
        <f t="shared" si="31"/>
        <v>44100</v>
      </c>
      <c r="L2022" s="17">
        <v>0.16666666666666666</v>
      </c>
      <c r="M2022" s="14">
        <v>468</v>
      </c>
      <c r="N2022" s="14">
        <v>0</v>
      </c>
      <c r="O2022" s="14">
        <v>0</v>
      </c>
      <c r="P2022" s="14">
        <v>468</v>
      </c>
      <c r="Q2022">
        <v>6423</v>
      </c>
      <c r="R2022">
        <v>907</v>
      </c>
      <c r="S2022">
        <v>0</v>
      </c>
    </row>
    <row r="2023" spans="11:19" x14ac:dyDescent="0.3">
      <c r="K2023" s="16">
        <f t="shared" si="31"/>
        <v>44100</v>
      </c>
      <c r="L2023" s="17">
        <v>0.20833333333333334</v>
      </c>
      <c r="M2023" s="14">
        <v>468</v>
      </c>
      <c r="N2023" s="14">
        <v>0</v>
      </c>
      <c r="O2023" s="14">
        <v>33</v>
      </c>
      <c r="P2023" s="14">
        <v>501</v>
      </c>
      <c r="Q2023">
        <v>6484</v>
      </c>
      <c r="R2023">
        <v>909</v>
      </c>
      <c r="S2023">
        <v>0</v>
      </c>
    </row>
    <row r="2024" spans="11:19" x14ac:dyDescent="0.3">
      <c r="K2024" s="16">
        <f t="shared" si="31"/>
        <v>44100</v>
      </c>
      <c r="L2024" s="17">
        <v>0.25</v>
      </c>
      <c r="M2024" s="14">
        <v>468</v>
      </c>
      <c r="N2024" s="14">
        <v>0</v>
      </c>
      <c r="O2024" s="14">
        <v>154</v>
      </c>
      <c r="P2024" s="14">
        <v>622</v>
      </c>
      <c r="Q2024">
        <v>6768</v>
      </c>
      <c r="R2024">
        <v>1045</v>
      </c>
      <c r="S2024">
        <v>0</v>
      </c>
    </row>
    <row r="2025" spans="11:19" x14ac:dyDescent="0.3">
      <c r="K2025" s="16">
        <f t="shared" si="31"/>
        <v>44100</v>
      </c>
      <c r="L2025" s="17">
        <v>0.29166666666666669</v>
      </c>
      <c r="M2025" s="14">
        <v>468</v>
      </c>
      <c r="N2025" s="14">
        <v>0</v>
      </c>
      <c r="O2025" s="14">
        <v>192</v>
      </c>
      <c r="P2025" s="14">
        <v>660</v>
      </c>
      <c r="Q2025">
        <v>6969</v>
      </c>
      <c r="R2025">
        <v>1172</v>
      </c>
      <c r="S2025">
        <v>17</v>
      </c>
    </row>
    <row r="2026" spans="11:19" x14ac:dyDescent="0.3">
      <c r="K2026" s="16">
        <f t="shared" si="31"/>
        <v>44100</v>
      </c>
      <c r="L2026" s="17">
        <v>0.33333333333333331</v>
      </c>
      <c r="M2026" s="14">
        <v>468</v>
      </c>
      <c r="N2026" s="14">
        <v>0</v>
      </c>
      <c r="O2026" s="14">
        <v>365</v>
      </c>
      <c r="P2026" s="14">
        <v>833</v>
      </c>
      <c r="Q2026">
        <v>7478</v>
      </c>
      <c r="R2026">
        <v>1323</v>
      </c>
      <c r="S2026">
        <v>190</v>
      </c>
    </row>
    <row r="2027" spans="11:19" x14ac:dyDescent="0.3">
      <c r="K2027" s="16">
        <f t="shared" si="31"/>
        <v>44100</v>
      </c>
      <c r="L2027" s="17">
        <v>0.375</v>
      </c>
      <c r="M2027" s="14">
        <v>468</v>
      </c>
      <c r="N2027" s="14">
        <v>0</v>
      </c>
      <c r="O2027" s="14">
        <v>77</v>
      </c>
      <c r="P2027" s="14">
        <v>545</v>
      </c>
      <c r="Q2027">
        <v>8052</v>
      </c>
      <c r="R2027">
        <v>1626</v>
      </c>
      <c r="S2027">
        <v>743</v>
      </c>
    </row>
    <row r="2028" spans="11:19" x14ac:dyDescent="0.3">
      <c r="K2028" s="16">
        <f t="shared" si="31"/>
        <v>44100</v>
      </c>
      <c r="L2028" s="17">
        <v>0.41666666666666669</v>
      </c>
      <c r="M2028" s="14">
        <v>468</v>
      </c>
      <c r="N2028" s="14">
        <v>0</v>
      </c>
      <c r="O2028" s="14">
        <v>0</v>
      </c>
      <c r="P2028" s="14">
        <v>468</v>
      </c>
      <c r="Q2028">
        <v>8304</v>
      </c>
      <c r="R2028">
        <v>2011</v>
      </c>
      <c r="S2028">
        <v>1259</v>
      </c>
    </row>
    <row r="2029" spans="11:19" x14ac:dyDescent="0.3">
      <c r="K2029" s="16">
        <f t="shared" si="31"/>
        <v>44100</v>
      </c>
      <c r="L2029" s="17">
        <v>0.45833333333333331</v>
      </c>
      <c r="M2029" s="14">
        <v>468</v>
      </c>
      <c r="N2029" s="14">
        <v>0</v>
      </c>
      <c r="O2029" s="14">
        <v>-679</v>
      </c>
      <c r="P2029" s="14">
        <v>-211</v>
      </c>
      <c r="Q2029">
        <v>8514</v>
      </c>
      <c r="R2029">
        <v>2609</v>
      </c>
      <c r="S2029">
        <v>1601</v>
      </c>
    </row>
    <row r="2030" spans="11:19" x14ac:dyDescent="0.3">
      <c r="K2030" s="16">
        <f t="shared" si="31"/>
        <v>44100</v>
      </c>
      <c r="L2030" s="17">
        <v>0.5</v>
      </c>
      <c r="M2030" s="14">
        <v>468</v>
      </c>
      <c r="N2030" s="14">
        <v>0</v>
      </c>
      <c r="O2030" s="14">
        <v>-832</v>
      </c>
      <c r="P2030" s="14">
        <v>-364</v>
      </c>
      <c r="Q2030">
        <v>8870</v>
      </c>
      <c r="R2030">
        <v>2917</v>
      </c>
      <c r="S2030">
        <v>1803</v>
      </c>
    </row>
    <row r="2031" spans="11:19" x14ac:dyDescent="0.3">
      <c r="K2031" s="16">
        <f t="shared" si="31"/>
        <v>44100</v>
      </c>
      <c r="L2031" s="17">
        <v>0.54166666666666663</v>
      </c>
      <c r="M2031" s="14">
        <v>468</v>
      </c>
      <c r="N2031" s="14">
        <v>0</v>
      </c>
      <c r="O2031" s="14">
        <v>-946</v>
      </c>
      <c r="P2031" s="14">
        <v>-478</v>
      </c>
      <c r="Q2031">
        <v>8548</v>
      </c>
      <c r="R2031">
        <v>3312</v>
      </c>
      <c r="S2031">
        <v>1876</v>
      </c>
    </row>
    <row r="2032" spans="11:19" x14ac:dyDescent="0.3">
      <c r="K2032" s="16">
        <f t="shared" si="31"/>
        <v>44100</v>
      </c>
      <c r="L2032" s="17">
        <v>0.58333333333333337</v>
      </c>
      <c r="M2032" s="14">
        <v>468</v>
      </c>
      <c r="N2032" s="14">
        <v>0</v>
      </c>
      <c r="O2032" s="14">
        <v>-1200</v>
      </c>
      <c r="P2032" s="14">
        <v>-732</v>
      </c>
      <c r="Q2032">
        <v>8346</v>
      </c>
      <c r="R2032">
        <v>3607</v>
      </c>
      <c r="S2032">
        <v>1851</v>
      </c>
    </row>
    <row r="2033" spans="11:19" x14ac:dyDescent="0.3">
      <c r="K2033" s="16">
        <f t="shared" si="31"/>
        <v>44100</v>
      </c>
      <c r="L2033" s="17">
        <v>0.625</v>
      </c>
      <c r="M2033" s="14">
        <v>468</v>
      </c>
      <c r="N2033" s="14">
        <v>0</v>
      </c>
      <c r="O2033" s="14">
        <v>-1200</v>
      </c>
      <c r="P2033" s="14">
        <v>-732</v>
      </c>
      <c r="Q2033">
        <v>8088</v>
      </c>
      <c r="R2033">
        <v>3797</v>
      </c>
      <c r="S2033">
        <v>1686</v>
      </c>
    </row>
    <row r="2034" spans="11:19" x14ac:dyDescent="0.3">
      <c r="K2034" s="16">
        <f t="shared" si="31"/>
        <v>44100</v>
      </c>
      <c r="L2034" s="17">
        <v>0.66666666666666663</v>
      </c>
      <c r="M2034" s="14">
        <v>468</v>
      </c>
      <c r="N2034" s="14">
        <v>0</v>
      </c>
      <c r="O2034" s="14">
        <v>-1200</v>
      </c>
      <c r="P2034" s="14">
        <v>-732</v>
      </c>
      <c r="Q2034">
        <v>7877</v>
      </c>
      <c r="R2034">
        <v>3836</v>
      </c>
      <c r="S2034">
        <v>1355</v>
      </c>
    </row>
    <row r="2035" spans="11:19" x14ac:dyDescent="0.3">
      <c r="K2035" s="16">
        <f t="shared" si="31"/>
        <v>44100</v>
      </c>
      <c r="L2035" s="17">
        <v>0.70833333333333337</v>
      </c>
      <c r="M2035" s="14">
        <v>468</v>
      </c>
      <c r="N2035" s="14">
        <v>0</v>
      </c>
      <c r="O2035" s="14">
        <v>-1200</v>
      </c>
      <c r="P2035" s="14">
        <v>-732</v>
      </c>
      <c r="Q2035">
        <v>7784</v>
      </c>
      <c r="R2035">
        <v>3612</v>
      </c>
      <c r="S2035">
        <v>854</v>
      </c>
    </row>
    <row r="2036" spans="11:19" x14ac:dyDescent="0.3">
      <c r="K2036" s="16">
        <f t="shared" si="31"/>
        <v>44100</v>
      </c>
      <c r="L2036" s="17">
        <v>0.75</v>
      </c>
      <c r="M2036" s="14">
        <v>468</v>
      </c>
      <c r="N2036" s="14">
        <v>0</v>
      </c>
      <c r="O2036" s="14">
        <v>0</v>
      </c>
      <c r="P2036" s="14">
        <v>468</v>
      </c>
      <c r="Q2036">
        <v>7874</v>
      </c>
      <c r="R2036">
        <v>3179</v>
      </c>
      <c r="S2036">
        <v>329</v>
      </c>
    </row>
    <row r="2037" spans="11:19" x14ac:dyDescent="0.3">
      <c r="K2037" s="16">
        <f t="shared" si="31"/>
        <v>44100</v>
      </c>
      <c r="L2037" s="17">
        <v>0.79166666666666663</v>
      </c>
      <c r="M2037" s="14">
        <v>468</v>
      </c>
      <c r="N2037" s="14">
        <v>0</v>
      </c>
      <c r="O2037" s="14">
        <v>0</v>
      </c>
      <c r="P2037" s="14">
        <v>468</v>
      </c>
      <c r="Q2037">
        <v>8057</v>
      </c>
      <c r="R2037">
        <v>2554</v>
      </c>
      <c r="S2037">
        <v>37</v>
      </c>
    </row>
    <row r="2038" spans="11:19" x14ac:dyDescent="0.3">
      <c r="K2038" s="16">
        <f t="shared" si="31"/>
        <v>44100</v>
      </c>
      <c r="L2038" s="17">
        <v>0.83333333333333337</v>
      </c>
      <c r="M2038" s="14">
        <v>468</v>
      </c>
      <c r="N2038" s="14">
        <v>0</v>
      </c>
      <c r="O2038" s="14">
        <v>448</v>
      </c>
      <c r="P2038" s="14">
        <v>916</v>
      </c>
      <c r="Q2038">
        <v>8124</v>
      </c>
      <c r="R2038">
        <v>2116</v>
      </c>
      <c r="S2038">
        <v>0</v>
      </c>
    </row>
    <row r="2039" spans="11:19" x14ac:dyDescent="0.3">
      <c r="K2039" s="16">
        <f t="shared" si="31"/>
        <v>44100</v>
      </c>
      <c r="L2039" s="17">
        <v>0.875</v>
      </c>
      <c r="M2039" s="14">
        <v>468</v>
      </c>
      <c r="N2039" s="14">
        <v>0</v>
      </c>
      <c r="O2039" s="14">
        <v>342</v>
      </c>
      <c r="P2039" s="14">
        <v>810</v>
      </c>
      <c r="Q2039">
        <v>7735</v>
      </c>
      <c r="R2039">
        <v>1841</v>
      </c>
      <c r="S2039">
        <v>0</v>
      </c>
    </row>
    <row r="2040" spans="11:19" x14ac:dyDescent="0.3">
      <c r="K2040" s="16">
        <f t="shared" si="31"/>
        <v>44100</v>
      </c>
      <c r="L2040" s="17">
        <v>0.91666666666666663</v>
      </c>
      <c r="M2040" s="14">
        <v>468</v>
      </c>
      <c r="N2040" s="14">
        <v>0</v>
      </c>
      <c r="O2040" s="14">
        <v>746</v>
      </c>
      <c r="P2040" s="14">
        <v>1214</v>
      </c>
      <c r="Q2040">
        <v>8007</v>
      </c>
      <c r="R2040">
        <v>1712</v>
      </c>
      <c r="S2040">
        <v>0</v>
      </c>
    </row>
    <row r="2041" spans="11:19" x14ac:dyDescent="0.3">
      <c r="K2041" s="16">
        <f t="shared" si="31"/>
        <v>44100</v>
      </c>
      <c r="L2041" s="17">
        <v>0.95833333333333337</v>
      </c>
      <c r="M2041" s="14">
        <v>468</v>
      </c>
      <c r="N2041" s="14">
        <v>0</v>
      </c>
      <c r="O2041" s="14">
        <v>774</v>
      </c>
      <c r="P2041" s="14">
        <v>1242</v>
      </c>
      <c r="Q2041">
        <v>8132</v>
      </c>
      <c r="R2041">
        <v>1829</v>
      </c>
      <c r="S2041">
        <v>0</v>
      </c>
    </row>
    <row r="2042" spans="11:19" x14ac:dyDescent="0.3">
      <c r="K2042" s="16">
        <f t="shared" si="31"/>
        <v>44101</v>
      </c>
      <c r="L2042" s="17">
        <v>0</v>
      </c>
      <c r="M2042" s="14">
        <v>468</v>
      </c>
      <c r="N2042" s="14">
        <v>0</v>
      </c>
      <c r="O2042" s="14">
        <v>114</v>
      </c>
      <c r="P2042" s="14">
        <v>582</v>
      </c>
      <c r="Q2042">
        <v>7481</v>
      </c>
      <c r="R2042">
        <v>1840</v>
      </c>
      <c r="S2042">
        <v>0</v>
      </c>
    </row>
    <row r="2043" spans="11:19" x14ac:dyDescent="0.3">
      <c r="K2043" s="16">
        <f t="shared" si="31"/>
        <v>44101</v>
      </c>
      <c r="L2043" s="17">
        <v>4.1666666666666664E-2</v>
      </c>
      <c r="M2043" s="14">
        <v>468</v>
      </c>
      <c r="N2043" s="14">
        <v>0</v>
      </c>
      <c r="O2043" s="14">
        <v>0</v>
      </c>
      <c r="P2043" s="14">
        <v>468</v>
      </c>
      <c r="Q2043">
        <v>7039</v>
      </c>
      <c r="R2043">
        <v>1606</v>
      </c>
      <c r="S2043">
        <v>0</v>
      </c>
    </row>
    <row r="2044" spans="11:19" x14ac:dyDescent="0.3">
      <c r="K2044" s="16">
        <f t="shared" si="31"/>
        <v>44101</v>
      </c>
      <c r="L2044" s="17">
        <v>8.3333333333333329E-2</v>
      </c>
      <c r="M2044" s="14">
        <v>468</v>
      </c>
      <c r="N2044" s="14">
        <v>0</v>
      </c>
      <c r="O2044" s="14">
        <v>0</v>
      </c>
      <c r="P2044" s="14">
        <v>468</v>
      </c>
      <c r="Q2044">
        <v>6660</v>
      </c>
      <c r="R2044">
        <v>1544</v>
      </c>
      <c r="S2044">
        <v>0</v>
      </c>
    </row>
    <row r="2045" spans="11:19" x14ac:dyDescent="0.3">
      <c r="K2045" s="16">
        <f t="shared" si="31"/>
        <v>44101</v>
      </c>
      <c r="L2045" s="17">
        <v>0.125</v>
      </c>
      <c r="M2045" s="14">
        <v>468</v>
      </c>
      <c r="N2045" s="14">
        <v>0</v>
      </c>
      <c r="O2045" s="14">
        <v>0</v>
      </c>
      <c r="P2045" s="14">
        <v>468</v>
      </c>
      <c r="Q2045">
        <v>6226</v>
      </c>
      <c r="R2045">
        <v>1821</v>
      </c>
      <c r="S2045">
        <v>0</v>
      </c>
    </row>
    <row r="2046" spans="11:19" x14ac:dyDescent="0.3">
      <c r="K2046" s="16">
        <f t="shared" si="31"/>
        <v>44101</v>
      </c>
      <c r="L2046" s="17">
        <v>0.16666666666666666</v>
      </c>
      <c r="M2046" s="14">
        <v>468</v>
      </c>
      <c r="N2046" s="14">
        <v>0</v>
      </c>
      <c r="O2046" s="14">
        <v>0</v>
      </c>
      <c r="P2046" s="14">
        <v>468</v>
      </c>
      <c r="Q2046">
        <v>6010</v>
      </c>
      <c r="R2046">
        <v>1733</v>
      </c>
      <c r="S2046">
        <v>0</v>
      </c>
    </row>
    <row r="2047" spans="11:19" x14ac:dyDescent="0.3">
      <c r="K2047" s="16">
        <f t="shared" si="31"/>
        <v>44101</v>
      </c>
      <c r="L2047" s="17">
        <v>0.20833333333333334</v>
      </c>
      <c r="M2047" s="14">
        <v>468</v>
      </c>
      <c r="N2047" s="14">
        <v>0</v>
      </c>
      <c r="O2047" s="14">
        <v>-498</v>
      </c>
      <c r="P2047" s="14">
        <v>-30</v>
      </c>
      <c r="Q2047">
        <v>5966</v>
      </c>
      <c r="R2047">
        <v>1534</v>
      </c>
      <c r="S2047">
        <v>0</v>
      </c>
    </row>
    <row r="2048" spans="11:19" x14ac:dyDescent="0.3">
      <c r="K2048" s="16">
        <f t="shared" si="31"/>
        <v>44101</v>
      </c>
      <c r="L2048" s="17">
        <v>0.25</v>
      </c>
      <c r="M2048" s="14">
        <v>468</v>
      </c>
      <c r="N2048" s="14">
        <v>0</v>
      </c>
      <c r="O2048" s="14">
        <v>-582</v>
      </c>
      <c r="P2048" s="14">
        <v>-114</v>
      </c>
      <c r="Q2048">
        <v>6090</v>
      </c>
      <c r="R2048">
        <v>1715</v>
      </c>
      <c r="S2048">
        <v>0</v>
      </c>
    </row>
    <row r="2049" spans="11:19" x14ac:dyDescent="0.3">
      <c r="K2049" s="16">
        <f t="shared" si="31"/>
        <v>44101</v>
      </c>
      <c r="L2049" s="17">
        <v>0.29166666666666669</v>
      </c>
      <c r="M2049" s="14">
        <v>468</v>
      </c>
      <c r="N2049" s="14">
        <v>0</v>
      </c>
      <c r="O2049" s="14">
        <v>-645</v>
      </c>
      <c r="P2049" s="14">
        <v>-177</v>
      </c>
      <c r="Q2049">
        <v>6126</v>
      </c>
      <c r="R2049">
        <v>1784</v>
      </c>
      <c r="S2049">
        <v>10</v>
      </c>
    </row>
    <row r="2050" spans="11:19" x14ac:dyDescent="0.3">
      <c r="K2050" s="16">
        <f t="shared" si="31"/>
        <v>44101</v>
      </c>
      <c r="L2050" s="17">
        <v>0.33333333333333331</v>
      </c>
      <c r="M2050" s="14">
        <v>468</v>
      </c>
      <c r="N2050" s="14">
        <v>0</v>
      </c>
      <c r="O2050" s="14">
        <v>0</v>
      </c>
      <c r="P2050" s="14">
        <v>468</v>
      </c>
      <c r="Q2050">
        <v>6518</v>
      </c>
      <c r="R2050">
        <v>2029</v>
      </c>
      <c r="S2050">
        <v>133</v>
      </c>
    </row>
    <row r="2051" spans="11:19" x14ac:dyDescent="0.3">
      <c r="K2051" s="16">
        <f t="shared" si="31"/>
        <v>44101</v>
      </c>
      <c r="L2051" s="17">
        <v>0.375</v>
      </c>
      <c r="M2051" s="14">
        <v>468</v>
      </c>
      <c r="N2051" s="14">
        <v>0</v>
      </c>
      <c r="O2051" s="14">
        <v>-300</v>
      </c>
      <c r="P2051" s="14">
        <v>168</v>
      </c>
      <c r="Q2051">
        <v>7126</v>
      </c>
      <c r="R2051">
        <v>1850</v>
      </c>
      <c r="S2051">
        <v>582</v>
      </c>
    </row>
    <row r="2052" spans="11:19" x14ac:dyDescent="0.3">
      <c r="K2052" s="16">
        <f t="shared" si="31"/>
        <v>44101</v>
      </c>
      <c r="L2052" s="17">
        <v>0.41666666666666669</v>
      </c>
      <c r="M2052" s="14">
        <v>468</v>
      </c>
      <c r="N2052" s="14">
        <v>0</v>
      </c>
      <c r="O2052" s="14">
        <v>0</v>
      </c>
      <c r="P2052" s="14">
        <v>468</v>
      </c>
      <c r="Q2052">
        <v>7534</v>
      </c>
      <c r="R2052">
        <v>2040</v>
      </c>
      <c r="S2052">
        <v>1001</v>
      </c>
    </row>
    <row r="2053" spans="11:19" x14ac:dyDescent="0.3">
      <c r="K2053" s="16">
        <f t="shared" si="31"/>
        <v>44101</v>
      </c>
      <c r="L2053" s="17">
        <v>0.45833333333333331</v>
      </c>
      <c r="M2053" s="14">
        <v>468</v>
      </c>
      <c r="N2053" s="14">
        <v>0</v>
      </c>
      <c r="O2053" s="14">
        <v>0</v>
      </c>
      <c r="P2053" s="14">
        <v>468</v>
      </c>
      <c r="Q2053">
        <v>7880</v>
      </c>
      <c r="R2053">
        <v>2171</v>
      </c>
      <c r="S2053">
        <v>1300</v>
      </c>
    </row>
    <row r="2054" spans="11:19" x14ac:dyDescent="0.3">
      <c r="K2054" s="16">
        <f t="shared" si="31"/>
        <v>44101</v>
      </c>
      <c r="L2054" s="17">
        <v>0.5</v>
      </c>
      <c r="M2054" s="14">
        <v>468</v>
      </c>
      <c r="N2054" s="14">
        <v>0</v>
      </c>
      <c r="O2054" s="14">
        <v>0</v>
      </c>
      <c r="P2054" s="14">
        <v>468</v>
      </c>
      <c r="Q2054">
        <v>8270</v>
      </c>
      <c r="R2054">
        <v>2286</v>
      </c>
      <c r="S2054">
        <v>1429</v>
      </c>
    </row>
    <row r="2055" spans="11:19" x14ac:dyDescent="0.3">
      <c r="K2055" s="16">
        <f t="shared" si="31"/>
        <v>44101</v>
      </c>
      <c r="L2055" s="17">
        <v>0.54166666666666663</v>
      </c>
      <c r="M2055" s="14">
        <v>468</v>
      </c>
      <c r="N2055" s="14">
        <v>0</v>
      </c>
      <c r="O2055" s="14">
        <v>-1042</v>
      </c>
      <c r="P2055" s="14">
        <v>-574</v>
      </c>
      <c r="Q2055">
        <v>7870</v>
      </c>
      <c r="R2055">
        <v>2419</v>
      </c>
      <c r="S2055">
        <v>1515</v>
      </c>
    </row>
    <row r="2056" spans="11:19" x14ac:dyDescent="0.3">
      <c r="K2056" s="16">
        <f t="shared" si="31"/>
        <v>44101</v>
      </c>
      <c r="L2056" s="17">
        <v>0.58333333333333337</v>
      </c>
      <c r="M2056" s="14">
        <v>468</v>
      </c>
      <c r="N2056" s="14">
        <v>0</v>
      </c>
      <c r="O2056" s="14">
        <v>-1163</v>
      </c>
      <c r="P2056" s="14">
        <v>-695</v>
      </c>
      <c r="Q2056">
        <v>7561</v>
      </c>
      <c r="R2056">
        <v>2176</v>
      </c>
      <c r="S2056">
        <v>1575</v>
      </c>
    </row>
    <row r="2057" spans="11:19" x14ac:dyDescent="0.3">
      <c r="K2057" s="16">
        <f t="shared" si="31"/>
        <v>44101</v>
      </c>
      <c r="L2057" s="17">
        <v>0.625</v>
      </c>
      <c r="M2057" s="14">
        <v>468</v>
      </c>
      <c r="N2057" s="14">
        <v>0</v>
      </c>
      <c r="O2057" s="14">
        <v>-217</v>
      </c>
      <c r="P2057" s="14">
        <v>251</v>
      </c>
      <c r="Q2057">
        <v>7285</v>
      </c>
      <c r="R2057">
        <v>2185</v>
      </c>
      <c r="S2057">
        <v>1481</v>
      </c>
    </row>
    <row r="2058" spans="11:19" x14ac:dyDescent="0.3">
      <c r="K2058" s="16">
        <f t="shared" si="31"/>
        <v>44101</v>
      </c>
      <c r="L2058" s="17">
        <v>0.66666666666666663</v>
      </c>
      <c r="M2058" s="14">
        <v>468</v>
      </c>
      <c r="N2058" s="14">
        <v>0</v>
      </c>
      <c r="O2058" s="14">
        <v>-1200</v>
      </c>
      <c r="P2058" s="14">
        <v>-732</v>
      </c>
      <c r="Q2058">
        <v>7124</v>
      </c>
      <c r="R2058">
        <v>2045</v>
      </c>
      <c r="S2058">
        <v>1279</v>
      </c>
    </row>
    <row r="2059" spans="11:19" x14ac:dyDescent="0.3">
      <c r="K2059" s="16">
        <f t="shared" si="31"/>
        <v>44101</v>
      </c>
      <c r="L2059" s="17">
        <v>0.70833333333333337</v>
      </c>
      <c r="M2059" s="14">
        <v>468</v>
      </c>
      <c r="N2059" s="14">
        <v>0</v>
      </c>
      <c r="O2059" s="14">
        <v>-148</v>
      </c>
      <c r="P2059" s="14">
        <v>320</v>
      </c>
      <c r="Q2059">
        <v>7148</v>
      </c>
      <c r="R2059">
        <v>1705</v>
      </c>
      <c r="S2059">
        <v>812</v>
      </c>
    </row>
    <row r="2060" spans="11:19" x14ac:dyDescent="0.3">
      <c r="K2060" s="16">
        <f t="shared" si="31"/>
        <v>44101</v>
      </c>
      <c r="L2060" s="17">
        <v>0.75</v>
      </c>
      <c r="M2060" s="14">
        <v>468</v>
      </c>
      <c r="N2060" s="14">
        <v>0</v>
      </c>
      <c r="O2060" s="14">
        <v>0</v>
      </c>
      <c r="P2060" s="14">
        <v>468</v>
      </c>
      <c r="Q2060">
        <v>7420</v>
      </c>
      <c r="R2060">
        <v>1582</v>
      </c>
      <c r="S2060">
        <v>300</v>
      </c>
    </row>
    <row r="2061" spans="11:19" x14ac:dyDescent="0.3">
      <c r="K2061" s="16">
        <f t="shared" si="31"/>
        <v>44101</v>
      </c>
      <c r="L2061" s="17">
        <v>0.79166666666666663</v>
      </c>
      <c r="M2061" s="14">
        <v>468</v>
      </c>
      <c r="N2061" s="14">
        <v>0</v>
      </c>
      <c r="O2061" s="14">
        <v>641</v>
      </c>
      <c r="P2061" s="14">
        <v>1109</v>
      </c>
      <c r="Q2061">
        <v>7883</v>
      </c>
      <c r="R2061">
        <v>1565</v>
      </c>
      <c r="S2061">
        <v>23</v>
      </c>
    </row>
    <row r="2062" spans="11:19" x14ac:dyDescent="0.3">
      <c r="K2062" s="16">
        <f t="shared" si="31"/>
        <v>44101</v>
      </c>
      <c r="L2062" s="17">
        <v>0.83333333333333337</v>
      </c>
      <c r="M2062" s="14">
        <v>468</v>
      </c>
      <c r="N2062" s="14">
        <v>0</v>
      </c>
      <c r="O2062" s="14">
        <v>1125</v>
      </c>
      <c r="P2062" s="14">
        <v>1593</v>
      </c>
      <c r="Q2062">
        <v>8139</v>
      </c>
      <c r="R2062">
        <v>1372</v>
      </c>
      <c r="S2062">
        <v>0</v>
      </c>
    </row>
    <row r="2063" spans="11:19" x14ac:dyDescent="0.3">
      <c r="K2063" s="16">
        <f t="shared" si="31"/>
        <v>44101</v>
      </c>
      <c r="L2063" s="17">
        <v>0.875</v>
      </c>
      <c r="M2063" s="14">
        <v>468</v>
      </c>
      <c r="N2063" s="14">
        <v>0</v>
      </c>
      <c r="O2063" s="14">
        <v>789</v>
      </c>
      <c r="P2063" s="14">
        <v>1257</v>
      </c>
      <c r="Q2063">
        <v>7759</v>
      </c>
      <c r="R2063">
        <v>1337</v>
      </c>
      <c r="S2063">
        <v>0</v>
      </c>
    </row>
    <row r="2064" spans="11:19" x14ac:dyDescent="0.3">
      <c r="K2064" s="16">
        <f t="shared" si="31"/>
        <v>44101</v>
      </c>
      <c r="L2064" s="17">
        <v>0.91666666666666663</v>
      </c>
      <c r="M2064" s="14">
        <v>468</v>
      </c>
      <c r="N2064" s="14">
        <v>0</v>
      </c>
      <c r="O2064" s="14">
        <v>971</v>
      </c>
      <c r="P2064" s="14">
        <v>1439</v>
      </c>
      <c r="Q2064">
        <v>7941</v>
      </c>
      <c r="R2064">
        <v>1339</v>
      </c>
      <c r="S2064">
        <v>0</v>
      </c>
    </row>
    <row r="2065" spans="11:19" x14ac:dyDescent="0.3">
      <c r="K2065" s="16">
        <f t="shared" si="31"/>
        <v>44101</v>
      </c>
      <c r="L2065" s="17">
        <v>0.95833333333333337</v>
      </c>
      <c r="M2065" s="14">
        <v>468</v>
      </c>
      <c r="N2065" s="14">
        <v>0</v>
      </c>
      <c r="O2065" s="14">
        <v>996</v>
      </c>
      <c r="P2065" s="14">
        <v>1464</v>
      </c>
      <c r="Q2065">
        <v>8020</v>
      </c>
      <c r="R2065">
        <v>1413</v>
      </c>
      <c r="S2065">
        <v>0</v>
      </c>
    </row>
    <row r="2066" spans="11:19" x14ac:dyDescent="0.3">
      <c r="K2066" s="16">
        <f t="shared" si="31"/>
        <v>44102</v>
      </c>
      <c r="L2066" s="17">
        <v>0</v>
      </c>
      <c r="M2066" s="14">
        <v>468</v>
      </c>
      <c r="N2066" s="14">
        <v>0</v>
      </c>
      <c r="O2066" s="14">
        <v>0</v>
      </c>
      <c r="P2066" s="14">
        <v>468</v>
      </c>
      <c r="Q2066">
        <v>7375</v>
      </c>
      <c r="R2066">
        <v>1724</v>
      </c>
      <c r="S2066">
        <v>0</v>
      </c>
    </row>
    <row r="2067" spans="11:19" x14ac:dyDescent="0.3">
      <c r="K2067" s="16">
        <f t="shared" si="31"/>
        <v>44102</v>
      </c>
      <c r="L2067" s="17">
        <v>4.1666666666666664E-2</v>
      </c>
      <c r="M2067" s="14">
        <v>468</v>
      </c>
      <c r="N2067" s="14">
        <v>0</v>
      </c>
      <c r="O2067" s="14">
        <v>-564</v>
      </c>
      <c r="P2067" s="14">
        <v>-96</v>
      </c>
      <c r="Q2067">
        <v>7016</v>
      </c>
      <c r="R2067">
        <v>1970</v>
      </c>
      <c r="S2067">
        <v>0</v>
      </c>
    </row>
    <row r="2068" spans="11:19" x14ac:dyDescent="0.3">
      <c r="K2068" s="16">
        <f t="shared" si="31"/>
        <v>44102</v>
      </c>
      <c r="L2068" s="17">
        <v>8.3333333333333329E-2</v>
      </c>
      <c r="M2068" s="14">
        <v>468</v>
      </c>
      <c r="N2068" s="14">
        <v>0</v>
      </c>
      <c r="O2068" s="14">
        <v>-669</v>
      </c>
      <c r="P2068" s="14">
        <v>-201</v>
      </c>
      <c r="Q2068">
        <v>6717</v>
      </c>
      <c r="R2068">
        <v>1856</v>
      </c>
      <c r="S2068">
        <v>0</v>
      </c>
    </row>
    <row r="2069" spans="11:19" x14ac:dyDescent="0.3">
      <c r="K2069" s="16">
        <f t="shared" si="31"/>
        <v>44102</v>
      </c>
      <c r="L2069" s="17">
        <v>0.125</v>
      </c>
      <c r="M2069" s="14">
        <v>468</v>
      </c>
      <c r="N2069" s="14">
        <v>0</v>
      </c>
      <c r="O2069" s="14">
        <v>-1088</v>
      </c>
      <c r="P2069" s="14">
        <v>-620</v>
      </c>
      <c r="Q2069">
        <v>6388</v>
      </c>
      <c r="R2069">
        <v>1945</v>
      </c>
      <c r="S2069">
        <v>0</v>
      </c>
    </row>
    <row r="2070" spans="11:19" x14ac:dyDescent="0.3">
      <c r="K2070" s="16">
        <f t="shared" si="31"/>
        <v>44102</v>
      </c>
      <c r="L2070" s="17">
        <v>0.16666666666666666</v>
      </c>
      <c r="M2070" s="14">
        <v>468</v>
      </c>
      <c r="N2070" s="14">
        <v>0</v>
      </c>
      <c r="O2070" s="14">
        <v>-1184</v>
      </c>
      <c r="P2070" s="14">
        <v>-716</v>
      </c>
      <c r="Q2070">
        <v>6388</v>
      </c>
      <c r="R2070">
        <v>2036</v>
      </c>
      <c r="S2070">
        <v>0</v>
      </c>
    </row>
    <row r="2071" spans="11:19" x14ac:dyDescent="0.3">
      <c r="K2071" s="16">
        <f t="shared" si="31"/>
        <v>44102</v>
      </c>
      <c r="L2071" s="17">
        <v>0.20833333333333334</v>
      </c>
      <c r="M2071" s="14">
        <v>468</v>
      </c>
      <c r="N2071" s="14">
        <v>0</v>
      </c>
      <c r="O2071" s="14">
        <v>-653</v>
      </c>
      <c r="P2071" s="14">
        <v>-185</v>
      </c>
      <c r="Q2071">
        <v>6885</v>
      </c>
      <c r="R2071">
        <v>1981</v>
      </c>
      <c r="S2071">
        <v>0</v>
      </c>
    </row>
    <row r="2072" spans="11:19" x14ac:dyDescent="0.3">
      <c r="K2072" s="16">
        <f t="shared" si="31"/>
        <v>44102</v>
      </c>
      <c r="L2072" s="17">
        <v>0.25</v>
      </c>
      <c r="M2072" s="14">
        <v>468</v>
      </c>
      <c r="N2072" s="14">
        <v>455</v>
      </c>
      <c r="O2072" s="14">
        <v>0</v>
      </c>
      <c r="P2072" s="14">
        <v>923</v>
      </c>
      <c r="Q2072">
        <v>7973</v>
      </c>
      <c r="R2072">
        <v>1922</v>
      </c>
      <c r="S2072">
        <v>0</v>
      </c>
    </row>
    <row r="2073" spans="11:19" x14ac:dyDescent="0.3">
      <c r="K2073" s="16">
        <f t="shared" si="31"/>
        <v>44102</v>
      </c>
      <c r="L2073" s="17">
        <v>0.29166666666666669</v>
      </c>
      <c r="M2073" s="14">
        <v>468</v>
      </c>
      <c r="N2073" s="14">
        <v>0</v>
      </c>
      <c r="O2073" s="14">
        <v>1182</v>
      </c>
      <c r="P2073" s="14">
        <v>1650</v>
      </c>
      <c r="Q2073">
        <v>8781</v>
      </c>
      <c r="R2073">
        <v>1743</v>
      </c>
      <c r="S2073">
        <v>5</v>
      </c>
    </row>
    <row r="2074" spans="11:19" x14ac:dyDescent="0.3">
      <c r="K2074" s="16">
        <f t="shared" si="31"/>
        <v>44102</v>
      </c>
      <c r="L2074" s="17">
        <v>0.33333333333333331</v>
      </c>
      <c r="M2074" s="14">
        <v>468</v>
      </c>
      <c r="N2074" s="14">
        <v>0</v>
      </c>
      <c r="O2074" s="14">
        <v>1200</v>
      </c>
      <c r="P2074" s="14">
        <v>1668</v>
      </c>
      <c r="Q2074">
        <v>9168</v>
      </c>
      <c r="R2074">
        <v>1687</v>
      </c>
      <c r="S2074">
        <v>94</v>
      </c>
    </row>
    <row r="2075" spans="11:19" x14ac:dyDescent="0.3">
      <c r="K2075" s="16">
        <f t="shared" ref="K2075:K2138" si="32">K2051+1</f>
        <v>44102</v>
      </c>
      <c r="L2075" s="17">
        <v>0.375</v>
      </c>
      <c r="M2075" s="14">
        <v>468</v>
      </c>
      <c r="N2075" s="14">
        <v>0</v>
      </c>
      <c r="O2075" s="14">
        <v>125</v>
      </c>
      <c r="P2075" s="14">
        <v>593</v>
      </c>
      <c r="Q2075">
        <v>9520</v>
      </c>
      <c r="R2075">
        <v>1927</v>
      </c>
      <c r="S2075">
        <v>465</v>
      </c>
    </row>
    <row r="2076" spans="11:19" x14ac:dyDescent="0.3">
      <c r="K2076" s="16">
        <f t="shared" si="32"/>
        <v>44102</v>
      </c>
      <c r="L2076" s="17">
        <v>0.41666666666666669</v>
      </c>
      <c r="M2076" s="14">
        <v>468</v>
      </c>
      <c r="N2076" s="14">
        <v>920</v>
      </c>
      <c r="O2076" s="14">
        <v>0</v>
      </c>
      <c r="P2076" s="14">
        <v>1388</v>
      </c>
      <c r="Q2076">
        <v>9676</v>
      </c>
      <c r="R2076">
        <v>1949</v>
      </c>
      <c r="S2076">
        <v>837</v>
      </c>
    </row>
    <row r="2077" spans="11:19" x14ac:dyDescent="0.3">
      <c r="K2077" s="16">
        <f t="shared" si="32"/>
        <v>44102</v>
      </c>
      <c r="L2077" s="17">
        <v>0.45833333333333331</v>
      </c>
      <c r="M2077" s="14">
        <v>468</v>
      </c>
      <c r="N2077" s="14">
        <v>0</v>
      </c>
      <c r="O2077" s="14">
        <v>0</v>
      </c>
      <c r="P2077" s="14">
        <v>468</v>
      </c>
      <c r="Q2077">
        <v>9863</v>
      </c>
      <c r="R2077">
        <v>2119</v>
      </c>
      <c r="S2077">
        <v>1087</v>
      </c>
    </row>
    <row r="2078" spans="11:19" x14ac:dyDescent="0.3">
      <c r="K2078" s="16">
        <f t="shared" si="32"/>
        <v>44102</v>
      </c>
      <c r="L2078" s="17">
        <v>0.5</v>
      </c>
      <c r="M2078" s="14">
        <v>468</v>
      </c>
      <c r="N2078" s="14">
        <v>0</v>
      </c>
      <c r="O2078" s="14">
        <v>0</v>
      </c>
      <c r="P2078" s="14">
        <v>468</v>
      </c>
      <c r="Q2078">
        <v>9959</v>
      </c>
      <c r="R2078">
        <v>2114</v>
      </c>
      <c r="S2078">
        <v>1199</v>
      </c>
    </row>
    <row r="2079" spans="11:19" x14ac:dyDescent="0.3">
      <c r="K2079" s="16">
        <f t="shared" si="32"/>
        <v>44102</v>
      </c>
      <c r="L2079" s="17">
        <v>0.54166666666666663</v>
      </c>
      <c r="M2079" s="14">
        <v>468</v>
      </c>
      <c r="N2079" s="14">
        <v>632</v>
      </c>
      <c r="O2079" s="14">
        <v>0</v>
      </c>
      <c r="P2079" s="14">
        <v>1100</v>
      </c>
      <c r="Q2079">
        <v>9847</v>
      </c>
      <c r="R2079">
        <v>2141</v>
      </c>
      <c r="S2079">
        <v>1310</v>
      </c>
    </row>
    <row r="2080" spans="11:19" x14ac:dyDescent="0.3">
      <c r="K2080" s="16">
        <f t="shared" si="32"/>
        <v>44102</v>
      </c>
      <c r="L2080" s="17">
        <v>0.58333333333333337</v>
      </c>
      <c r="M2080" s="14">
        <v>468</v>
      </c>
      <c r="N2080" s="14">
        <v>735</v>
      </c>
      <c r="O2080" s="14">
        <v>0</v>
      </c>
      <c r="P2080" s="14">
        <v>1203</v>
      </c>
      <c r="Q2080">
        <v>9831</v>
      </c>
      <c r="R2080">
        <v>2012</v>
      </c>
      <c r="S2080">
        <v>1320</v>
      </c>
    </row>
    <row r="2081" spans="11:19" x14ac:dyDescent="0.3">
      <c r="K2081" s="16">
        <f t="shared" si="32"/>
        <v>44102</v>
      </c>
      <c r="L2081" s="17">
        <v>0.625</v>
      </c>
      <c r="M2081" s="14">
        <v>468</v>
      </c>
      <c r="N2081" s="14">
        <v>477</v>
      </c>
      <c r="O2081" s="14">
        <v>0</v>
      </c>
      <c r="P2081" s="14">
        <v>945</v>
      </c>
      <c r="Q2081">
        <v>9634</v>
      </c>
      <c r="R2081">
        <v>2166</v>
      </c>
      <c r="S2081">
        <v>1227</v>
      </c>
    </row>
    <row r="2082" spans="11:19" x14ac:dyDescent="0.3">
      <c r="K2082" s="16">
        <f t="shared" si="32"/>
        <v>44102</v>
      </c>
      <c r="L2082" s="17">
        <v>0.66666666666666663</v>
      </c>
      <c r="M2082" s="14">
        <v>468</v>
      </c>
      <c r="N2082" s="14">
        <v>705</v>
      </c>
      <c r="O2082" s="14">
        <v>0</v>
      </c>
      <c r="P2082" s="14">
        <v>1173</v>
      </c>
      <c r="Q2082">
        <v>9432</v>
      </c>
      <c r="R2082">
        <v>1981</v>
      </c>
      <c r="S2082">
        <v>979</v>
      </c>
    </row>
    <row r="2083" spans="11:19" x14ac:dyDescent="0.3">
      <c r="K2083" s="16">
        <f t="shared" si="32"/>
        <v>44102</v>
      </c>
      <c r="L2083" s="17">
        <v>0.70833333333333337</v>
      </c>
      <c r="M2083" s="14">
        <v>468</v>
      </c>
      <c r="N2083" s="14">
        <v>772</v>
      </c>
      <c r="O2083" s="14">
        <v>0</v>
      </c>
      <c r="P2083" s="14">
        <v>1240</v>
      </c>
      <c r="Q2083">
        <v>9326</v>
      </c>
      <c r="R2083">
        <v>1953</v>
      </c>
      <c r="S2083">
        <v>590</v>
      </c>
    </row>
    <row r="2084" spans="11:19" x14ac:dyDescent="0.3">
      <c r="K2084" s="16">
        <f t="shared" si="32"/>
        <v>44102</v>
      </c>
      <c r="L2084" s="17">
        <v>0.75</v>
      </c>
      <c r="M2084" s="14">
        <v>468</v>
      </c>
      <c r="N2084" s="14">
        <v>920</v>
      </c>
      <c r="O2084" s="14">
        <v>821</v>
      </c>
      <c r="P2084" s="14">
        <v>2209</v>
      </c>
      <c r="Q2084">
        <v>9498</v>
      </c>
      <c r="R2084">
        <v>1554</v>
      </c>
      <c r="S2084">
        <v>195</v>
      </c>
    </row>
    <row r="2085" spans="11:19" x14ac:dyDescent="0.3">
      <c r="K2085" s="16">
        <f t="shared" si="32"/>
        <v>44102</v>
      </c>
      <c r="L2085" s="17">
        <v>0.79166666666666663</v>
      </c>
      <c r="M2085" s="14">
        <v>468</v>
      </c>
      <c r="N2085" s="14">
        <v>0</v>
      </c>
      <c r="O2085" s="14">
        <v>0</v>
      </c>
      <c r="P2085" s="14">
        <v>468</v>
      </c>
      <c r="Q2085">
        <v>9606</v>
      </c>
      <c r="R2085">
        <v>1612</v>
      </c>
      <c r="S2085">
        <v>21</v>
      </c>
    </row>
    <row r="2086" spans="11:19" x14ac:dyDescent="0.3">
      <c r="K2086" s="16">
        <f t="shared" si="32"/>
        <v>44102</v>
      </c>
      <c r="L2086" s="17">
        <v>0.83333333333333337</v>
      </c>
      <c r="M2086" s="14">
        <v>468</v>
      </c>
      <c r="N2086" s="14">
        <v>920</v>
      </c>
      <c r="O2086" s="14">
        <v>0</v>
      </c>
      <c r="P2086" s="14">
        <v>1388</v>
      </c>
      <c r="Q2086">
        <v>9236</v>
      </c>
      <c r="R2086">
        <v>1624</v>
      </c>
      <c r="S2086">
        <v>0</v>
      </c>
    </row>
    <row r="2087" spans="11:19" x14ac:dyDescent="0.3">
      <c r="K2087" s="16">
        <f t="shared" si="32"/>
        <v>44102</v>
      </c>
      <c r="L2087" s="17">
        <v>0.875</v>
      </c>
      <c r="M2087" s="14">
        <v>468</v>
      </c>
      <c r="N2087" s="14">
        <v>0</v>
      </c>
      <c r="O2087" s="14">
        <v>0</v>
      </c>
      <c r="P2087" s="14">
        <v>468</v>
      </c>
      <c r="Q2087">
        <v>8550</v>
      </c>
      <c r="R2087">
        <v>1637</v>
      </c>
      <c r="S2087">
        <v>0</v>
      </c>
    </row>
    <row r="2088" spans="11:19" x14ac:dyDescent="0.3">
      <c r="K2088" s="16">
        <f t="shared" si="32"/>
        <v>44102</v>
      </c>
      <c r="L2088" s="17">
        <v>0.91666666666666663</v>
      </c>
      <c r="M2088" s="14">
        <v>468</v>
      </c>
      <c r="N2088" s="14">
        <v>920</v>
      </c>
      <c r="O2088" s="14">
        <v>0</v>
      </c>
      <c r="P2088" s="14">
        <v>1388</v>
      </c>
      <c r="Q2088">
        <v>8671</v>
      </c>
      <c r="R2088">
        <v>1503</v>
      </c>
      <c r="S2088">
        <v>0</v>
      </c>
    </row>
    <row r="2089" spans="11:19" x14ac:dyDescent="0.3">
      <c r="K2089" s="16">
        <f t="shared" si="32"/>
        <v>44102</v>
      </c>
      <c r="L2089" s="17">
        <v>0.95833333333333337</v>
      </c>
      <c r="M2089" s="14">
        <v>468</v>
      </c>
      <c r="N2089" s="14">
        <v>920</v>
      </c>
      <c r="O2089" s="14">
        <v>0</v>
      </c>
      <c r="P2089" s="14">
        <v>1388</v>
      </c>
      <c r="Q2089">
        <v>8678</v>
      </c>
      <c r="R2089">
        <v>1554</v>
      </c>
      <c r="S2089">
        <v>0</v>
      </c>
    </row>
    <row r="2090" spans="11:19" x14ac:dyDescent="0.3">
      <c r="K2090" s="16">
        <f t="shared" si="32"/>
        <v>44103</v>
      </c>
      <c r="L2090" s="17">
        <v>0</v>
      </c>
      <c r="M2090" s="14">
        <v>468</v>
      </c>
      <c r="N2090" s="14">
        <v>0</v>
      </c>
      <c r="O2090" s="14">
        <v>0</v>
      </c>
      <c r="P2090" s="14">
        <v>468</v>
      </c>
      <c r="Q2090">
        <v>8029</v>
      </c>
      <c r="R2090">
        <v>1474</v>
      </c>
      <c r="S2090">
        <v>0</v>
      </c>
    </row>
    <row r="2091" spans="11:19" x14ac:dyDescent="0.3">
      <c r="K2091" s="16">
        <f t="shared" si="32"/>
        <v>44103</v>
      </c>
      <c r="L2091" s="17">
        <v>4.1666666666666664E-2</v>
      </c>
      <c r="M2091" s="14">
        <v>468</v>
      </c>
      <c r="N2091" s="14">
        <v>0</v>
      </c>
      <c r="O2091" s="14">
        <v>0</v>
      </c>
      <c r="P2091" s="14">
        <v>468</v>
      </c>
      <c r="Q2091">
        <v>7641</v>
      </c>
      <c r="R2091">
        <v>1764</v>
      </c>
      <c r="S2091">
        <v>0</v>
      </c>
    </row>
    <row r="2092" spans="11:19" x14ac:dyDescent="0.3">
      <c r="K2092" s="16">
        <f t="shared" si="32"/>
        <v>44103</v>
      </c>
      <c r="L2092" s="17">
        <v>8.3333333333333329E-2</v>
      </c>
      <c r="M2092" s="14">
        <v>468</v>
      </c>
      <c r="N2092" s="14">
        <v>0</v>
      </c>
      <c r="O2092" s="14">
        <v>-374</v>
      </c>
      <c r="P2092" s="14">
        <v>94</v>
      </c>
      <c r="Q2092">
        <v>7344</v>
      </c>
      <c r="R2092">
        <v>2027</v>
      </c>
      <c r="S2092">
        <v>0</v>
      </c>
    </row>
    <row r="2093" spans="11:19" x14ac:dyDescent="0.3">
      <c r="K2093" s="16">
        <f t="shared" si="32"/>
        <v>44103</v>
      </c>
      <c r="L2093" s="17">
        <v>0.125</v>
      </c>
      <c r="M2093" s="14">
        <v>468</v>
      </c>
      <c r="N2093" s="14">
        <v>0</v>
      </c>
      <c r="O2093" s="14">
        <v>-707</v>
      </c>
      <c r="P2093" s="14">
        <v>-239</v>
      </c>
      <c r="Q2093">
        <v>6999</v>
      </c>
      <c r="R2093">
        <v>2174</v>
      </c>
      <c r="S2093">
        <v>0</v>
      </c>
    </row>
    <row r="2094" spans="11:19" x14ac:dyDescent="0.3">
      <c r="K2094" s="16">
        <f t="shared" si="32"/>
        <v>44103</v>
      </c>
      <c r="L2094" s="17">
        <v>0.16666666666666666</v>
      </c>
      <c r="M2094" s="14">
        <v>468</v>
      </c>
      <c r="N2094" s="14">
        <v>0</v>
      </c>
      <c r="O2094" s="14">
        <v>-840</v>
      </c>
      <c r="P2094" s="14">
        <v>-372</v>
      </c>
      <c r="Q2094">
        <v>6952</v>
      </c>
      <c r="R2094">
        <v>2255</v>
      </c>
      <c r="S2094">
        <v>0</v>
      </c>
    </row>
    <row r="2095" spans="11:19" x14ac:dyDescent="0.3">
      <c r="K2095" s="16">
        <f t="shared" si="32"/>
        <v>44103</v>
      </c>
      <c r="L2095" s="17">
        <v>0.20833333333333334</v>
      </c>
      <c r="M2095" s="14">
        <v>468</v>
      </c>
      <c r="N2095" s="14">
        <v>0</v>
      </c>
      <c r="O2095" s="14">
        <v>-426</v>
      </c>
      <c r="P2095" s="14">
        <v>42</v>
      </c>
      <c r="Q2095">
        <v>7329</v>
      </c>
      <c r="R2095">
        <v>2197</v>
      </c>
      <c r="S2095">
        <v>0</v>
      </c>
    </row>
    <row r="2096" spans="11:19" x14ac:dyDescent="0.3">
      <c r="K2096" s="16">
        <f t="shared" si="32"/>
        <v>44103</v>
      </c>
      <c r="L2096" s="17">
        <v>0.25</v>
      </c>
      <c r="M2096" s="14">
        <v>468</v>
      </c>
      <c r="N2096" s="14">
        <v>578</v>
      </c>
      <c r="O2096" s="14">
        <v>0</v>
      </c>
      <c r="P2096" s="14">
        <v>1046</v>
      </c>
      <c r="Q2096">
        <v>8337</v>
      </c>
      <c r="R2096">
        <v>2161</v>
      </c>
      <c r="S2096">
        <v>0</v>
      </c>
    </row>
    <row r="2097" spans="11:19" x14ac:dyDescent="0.3">
      <c r="K2097" s="16">
        <f t="shared" si="32"/>
        <v>44103</v>
      </c>
      <c r="L2097" s="17">
        <v>0.29166666666666669</v>
      </c>
      <c r="M2097" s="14">
        <v>468</v>
      </c>
      <c r="N2097" s="14">
        <v>1300</v>
      </c>
      <c r="O2097" s="14">
        <v>420</v>
      </c>
      <c r="P2097" s="14">
        <v>2188</v>
      </c>
      <c r="Q2097">
        <v>9184</v>
      </c>
      <c r="R2097">
        <v>1848</v>
      </c>
      <c r="S2097">
        <v>4</v>
      </c>
    </row>
    <row r="2098" spans="11:19" x14ac:dyDescent="0.3">
      <c r="K2098" s="16">
        <f t="shared" si="32"/>
        <v>44103</v>
      </c>
      <c r="L2098" s="17">
        <v>0.33333333333333331</v>
      </c>
      <c r="M2098" s="14">
        <v>468</v>
      </c>
      <c r="N2098" s="14">
        <v>0</v>
      </c>
      <c r="O2098" s="14">
        <v>0</v>
      </c>
      <c r="P2098" s="14">
        <v>468</v>
      </c>
      <c r="Q2098">
        <v>9522</v>
      </c>
      <c r="R2098">
        <v>1786</v>
      </c>
      <c r="S2098">
        <v>129</v>
      </c>
    </row>
    <row r="2099" spans="11:19" x14ac:dyDescent="0.3">
      <c r="K2099" s="16">
        <f t="shared" si="32"/>
        <v>44103</v>
      </c>
      <c r="L2099" s="17">
        <v>0.375</v>
      </c>
      <c r="M2099" s="14">
        <v>468</v>
      </c>
      <c r="N2099" s="14">
        <v>0</v>
      </c>
      <c r="O2099" s="14">
        <v>0</v>
      </c>
      <c r="P2099" s="14">
        <v>468</v>
      </c>
      <c r="Q2099">
        <v>9828</v>
      </c>
      <c r="R2099">
        <v>1684</v>
      </c>
      <c r="S2099">
        <v>552</v>
      </c>
    </row>
    <row r="2100" spans="11:19" x14ac:dyDescent="0.3">
      <c r="K2100" s="16">
        <f t="shared" si="32"/>
        <v>44103</v>
      </c>
      <c r="L2100" s="17">
        <v>0.41666666666666669</v>
      </c>
      <c r="M2100" s="14">
        <v>468</v>
      </c>
      <c r="N2100" s="14">
        <v>1300</v>
      </c>
      <c r="O2100" s="14">
        <v>0</v>
      </c>
      <c r="P2100" s="14">
        <v>1768</v>
      </c>
      <c r="Q2100">
        <v>9978</v>
      </c>
      <c r="R2100">
        <v>1597</v>
      </c>
      <c r="S2100">
        <v>1138</v>
      </c>
    </row>
    <row r="2101" spans="11:19" x14ac:dyDescent="0.3">
      <c r="K2101" s="16">
        <f t="shared" si="32"/>
        <v>44103</v>
      </c>
      <c r="L2101" s="17">
        <v>0.45833333333333331</v>
      </c>
      <c r="M2101" s="14">
        <v>468</v>
      </c>
      <c r="N2101" s="14">
        <v>0</v>
      </c>
      <c r="O2101" s="14">
        <v>0</v>
      </c>
      <c r="P2101" s="14">
        <v>468</v>
      </c>
      <c r="Q2101">
        <v>10154</v>
      </c>
      <c r="R2101">
        <v>1706</v>
      </c>
      <c r="S2101">
        <v>1502</v>
      </c>
    </row>
    <row r="2102" spans="11:19" x14ac:dyDescent="0.3">
      <c r="K2102" s="16">
        <f t="shared" si="32"/>
        <v>44103</v>
      </c>
      <c r="L2102" s="17">
        <v>0.5</v>
      </c>
      <c r="M2102" s="14">
        <v>468</v>
      </c>
      <c r="N2102" s="14">
        <v>924</v>
      </c>
      <c r="O2102" s="14">
        <v>0</v>
      </c>
      <c r="P2102" s="14">
        <v>1392</v>
      </c>
      <c r="Q2102">
        <v>10230</v>
      </c>
      <c r="R2102">
        <v>1701</v>
      </c>
      <c r="S2102">
        <v>1679</v>
      </c>
    </row>
    <row r="2103" spans="11:19" x14ac:dyDescent="0.3">
      <c r="K2103" s="16">
        <f t="shared" si="32"/>
        <v>44103</v>
      </c>
      <c r="L2103" s="17">
        <v>0.54166666666666663</v>
      </c>
      <c r="M2103" s="14">
        <v>468</v>
      </c>
      <c r="N2103" s="14">
        <v>0</v>
      </c>
      <c r="O2103" s="14">
        <v>0</v>
      </c>
      <c r="P2103" s="14">
        <v>468</v>
      </c>
      <c r="Q2103">
        <v>10107</v>
      </c>
      <c r="R2103">
        <v>1649</v>
      </c>
      <c r="S2103">
        <v>1789</v>
      </c>
    </row>
    <row r="2104" spans="11:19" x14ac:dyDescent="0.3">
      <c r="K2104" s="16">
        <f t="shared" si="32"/>
        <v>44103</v>
      </c>
      <c r="L2104" s="17">
        <v>0.58333333333333337</v>
      </c>
      <c r="M2104" s="14">
        <v>468</v>
      </c>
      <c r="N2104" s="14">
        <v>797</v>
      </c>
      <c r="O2104" s="14">
        <v>0</v>
      </c>
      <c r="P2104" s="14">
        <v>1265</v>
      </c>
      <c r="Q2104">
        <v>10114</v>
      </c>
      <c r="R2104">
        <v>1569</v>
      </c>
      <c r="S2104">
        <v>1743</v>
      </c>
    </row>
    <row r="2105" spans="11:19" x14ac:dyDescent="0.3">
      <c r="K2105" s="16">
        <f t="shared" si="32"/>
        <v>44103</v>
      </c>
      <c r="L2105" s="17">
        <v>0.625</v>
      </c>
      <c r="M2105" s="14">
        <v>468</v>
      </c>
      <c r="N2105" s="14">
        <v>890</v>
      </c>
      <c r="O2105" s="14">
        <v>0</v>
      </c>
      <c r="P2105" s="14">
        <v>1358</v>
      </c>
      <c r="Q2105">
        <v>9944</v>
      </c>
      <c r="R2105">
        <v>1505</v>
      </c>
      <c r="S2105">
        <v>1543</v>
      </c>
    </row>
    <row r="2106" spans="11:19" x14ac:dyDescent="0.3">
      <c r="K2106" s="16">
        <f t="shared" si="32"/>
        <v>44103</v>
      </c>
      <c r="L2106" s="17">
        <v>0.66666666666666663</v>
      </c>
      <c r="M2106" s="14">
        <v>468</v>
      </c>
      <c r="N2106" s="14">
        <v>0</v>
      </c>
      <c r="O2106" s="14">
        <v>0</v>
      </c>
      <c r="P2106" s="14">
        <v>468</v>
      </c>
      <c r="Q2106">
        <v>9764</v>
      </c>
      <c r="R2106">
        <v>1188</v>
      </c>
      <c r="S2106">
        <v>1178</v>
      </c>
    </row>
    <row r="2107" spans="11:19" x14ac:dyDescent="0.3">
      <c r="K2107" s="16">
        <f t="shared" si="32"/>
        <v>44103</v>
      </c>
      <c r="L2107" s="17">
        <v>0.70833333333333337</v>
      </c>
      <c r="M2107" s="14">
        <v>468</v>
      </c>
      <c r="N2107" s="14">
        <v>0</v>
      </c>
      <c r="O2107" s="14">
        <v>0</v>
      </c>
      <c r="P2107" s="14">
        <v>468</v>
      </c>
      <c r="Q2107">
        <v>9649</v>
      </c>
      <c r="R2107">
        <v>986</v>
      </c>
      <c r="S2107">
        <v>668</v>
      </c>
    </row>
    <row r="2108" spans="11:19" x14ac:dyDescent="0.3">
      <c r="K2108" s="16">
        <f t="shared" si="32"/>
        <v>44103</v>
      </c>
      <c r="L2108" s="17">
        <v>0.75</v>
      </c>
      <c r="M2108" s="14">
        <v>468</v>
      </c>
      <c r="N2108" s="14">
        <v>0</v>
      </c>
      <c r="O2108" s="14">
        <v>390</v>
      </c>
      <c r="P2108" s="14">
        <v>858</v>
      </c>
      <c r="Q2108">
        <v>9769</v>
      </c>
      <c r="R2108">
        <v>603</v>
      </c>
      <c r="S2108">
        <v>228</v>
      </c>
    </row>
    <row r="2109" spans="11:19" x14ac:dyDescent="0.3">
      <c r="K2109" s="16">
        <f t="shared" si="32"/>
        <v>44103</v>
      </c>
      <c r="L2109" s="17">
        <v>0.79166666666666663</v>
      </c>
      <c r="M2109" s="14">
        <v>468</v>
      </c>
      <c r="N2109" s="14">
        <v>1300</v>
      </c>
      <c r="O2109" s="14">
        <v>427</v>
      </c>
      <c r="P2109" s="14">
        <v>2195</v>
      </c>
      <c r="Q2109">
        <v>9882</v>
      </c>
      <c r="R2109">
        <v>319</v>
      </c>
      <c r="S2109">
        <v>14</v>
      </c>
    </row>
    <row r="2110" spans="11:19" x14ac:dyDescent="0.3">
      <c r="K2110" s="16">
        <f t="shared" si="32"/>
        <v>44103</v>
      </c>
      <c r="L2110" s="17">
        <v>0.83333333333333337</v>
      </c>
      <c r="M2110" s="14">
        <v>468</v>
      </c>
      <c r="N2110" s="14">
        <v>0</v>
      </c>
      <c r="O2110" s="14">
        <v>643</v>
      </c>
      <c r="P2110" s="14">
        <v>1111</v>
      </c>
      <c r="Q2110">
        <v>9467</v>
      </c>
      <c r="R2110">
        <v>295</v>
      </c>
      <c r="S2110">
        <v>0</v>
      </c>
    </row>
    <row r="2111" spans="11:19" x14ac:dyDescent="0.3">
      <c r="K2111" s="16">
        <f t="shared" si="32"/>
        <v>44103</v>
      </c>
      <c r="L2111" s="17">
        <v>0.875</v>
      </c>
      <c r="M2111" s="14">
        <v>468</v>
      </c>
      <c r="N2111" s="14">
        <v>0</v>
      </c>
      <c r="O2111" s="14">
        <v>0</v>
      </c>
      <c r="P2111" s="14">
        <v>468</v>
      </c>
      <c r="Q2111">
        <v>8769</v>
      </c>
      <c r="R2111">
        <v>389</v>
      </c>
      <c r="S2111">
        <v>0</v>
      </c>
    </row>
    <row r="2112" spans="11:19" x14ac:dyDescent="0.3">
      <c r="K2112" s="16">
        <f t="shared" si="32"/>
        <v>44103</v>
      </c>
      <c r="L2112" s="17">
        <v>0.91666666666666663</v>
      </c>
      <c r="M2112" s="14">
        <v>468</v>
      </c>
      <c r="N2112" s="14">
        <v>1300</v>
      </c>
      <c r="O2112" s="14">
        <v>0</v>
      </c>
      <c r="P2112" s="14">
        <v>1768</v>
      </c>
      <c r="Q2112">
        <v>8888</v>
      </c>
      <c r="R2112">
        <v>430</v>
      </c>
      <c r="S2112">
        <v>0</v>
      </c>
    </row>
    <row r="2113" spans="11:19" x14ac:dyDescent="0.3">
      <c r="K2113" s="16">
        <f t="shared" si="32"/>
        <v>44103</v>
      </c>
      <c r="L2113" s="17">
        <v>0.95833333333333337</v>
      </c>
      <c r="M2113" s="14">
        <v>468</v>
      </c>
      <c r="N2113" s="14">
        <v>0</v>
      </c>
      <c r="O2113" s="14">
        <v>0</v>
      </c>
      <c r="P2113" s="14">
        <v>468</v>
      </c>
      <c r="Q2113">
        <v>8877</v>
      </c>
      <c r="R2113">
        <v>540</v>
      </c>
      <c r="S2113">
        <v>0</v>
      </c>
    </row>
    <row r="2114" spans="11:19" x14ac:dyDescent="0.3">
      <c r="K2114" s="16">
        <f t="shared" si="32"/>
        <v>44104</v>
      </c>
      <c r="L2114" s="17">
        <v>0</v>
      </c>
      <c r="M2114" s="14">
        <v>468</v>
      </c>
      <c r="N2114" s="14">
        <v>1323</v>
      </c>
      <c r="O2114" s="14">
        <v>0</v>
      </c>
      <c r="P2114" s="14">
        <v>1791</v>
      </c>
      <c r="Q2114">
        <v>8079</v>
      </c>
      <c r="R2114">
        <v>613</v>
      </c>
      <c r="S2114">
        <v>0</v>
      </c>
    </row>
    <row r="2115" spans="11:19" x14ac:dyDescent="0.3">
      <c r="K2115" s="16">
        <f t="shared" si="32"/>
        <v>44104</v>
      </c>
      <c r="L2115" s="17">
        <v>4.1666666666666664E-2</v>
      </c>
      <c r="M2115" s="14">
        <v>468</v>
      </c>
      <c r="N2115" s="14">
        <v>0</v>
      </c>
      <c r="O2115" s="14">
        <v>0</v>
      </c>
      <c r="P2115" s="14">
        <v>468</v>
      </c>
      <c r="Q2115">
        <v>7689</v>
      </c>
      <c r="R2115">
        <v>835</v>
      </c>
      <c r="S2115">
        <v>0</v>
      </c>
    </row>
    <row r="2116" spans="11:19" x14ac:dyDescent="0.3">
      <c r="K2116" s="16">
        <f t="shared" si="32"/>
        <v>44104</v>
      </c>
      <c r="L2116" s="17">
        <v>8.3333333333333329E-2</v>
      </c>
      <c r="M2116" s="14">
        <v>468</v>
      </c>
      <c r="N2116" s="14">
        <v>555</v>
      </c>
      <c r="O2116" s="14">
        <v>0</v>
      </c>
      <c r="P2116" s="14">
        <v>1023</v>
      </c>
      <c r="Q2116">
        <v>7392</v>
      </c>
      <c r="R2116">
        <v>907</v>
      </c>
      <c r="S2116">
        <v>0</v>
      </c>
    </row>
    <row r="2117" spans="11:19" x14ac:dyDescent="0.3">
      <c r="K2117" s="16">
        <f t="shared" si="32"/>
        <v>44104</v>
      </c>
      <c r="L2117" s="17">
        <v>0.125</v>
      </c>
      <c r="M2117" s="14">
        <v>468</v>
      </c>
      <c r="N2117" s="14">
        <v>175</v>
      </c>
      <c r="O2117" s="14">
        <v>0</v>
      </c>
      <c r="P2117" s="14">
        <v>643</v>
      </c>
      <c r="Q2117">
        <v>7048</v>
      </c>
      <c r="R2117">
        <v>941</v>
      </c>
      <c r="S2117">
        <v>0</v>
      </c>
    </row>
    <row r="2118" spans="11:19" x14ac:dyDescent="0.3">
      <c r="K2118" s="16">
        <f t="shared" si="32"/>
        <v>44104</v>
      </c>
      <c r="L2118" s="17">
        <v>0.16666666666666666</v>
      </c>
      <c r="M2118" s="14">
        <v>468</v>
      </c>
      <c r="N2118" s="14">
        <v>2</v>
      </c>
      <c r="O2118" s="14">
        <v>0</v>
      </c>
      <c r="P2118" s="14">
        <v>470</v>
      </c>
      <c r="Q2118">
        <v>7001</v>
      </c>
      <c r="R2118">
        <v>1063</v>
      </c>
      <c r="S2118">
        <v>0</v>
      </c>
    </row>
    <row r="2119" spans="11:19" x14ac:dyDescent="0.3">
      <c r="K2119" s="16">
        <f t="shared" si="32"/>
        <v>44104</v>
      </c>
      <c r="L2119" s="17">
        <v>0.20833333333333334</v>
      </c>
      <c r="M2119" s="14">
        <v>468</v>
      </c>
      <c r="N2119" s="14">
        <v>0</v>
      </c>
      <c r="O2119" s="14">
        <v>0</v>
      </c>
      <c r="P2119" s="14">
        <v>468</v>
      </c>
      <c r="Q2119">
        <v>7375</v>
      </c>
      <c r="R2119">
        <v>1073</v>
      </c>
      <c r="S2119">
        <v>0</v>
      </c>
    </row>
    <row r="2120" spans="11:19" x14ac:dyDescent="0.3">
      <c r="K2120" s="16">
        <f t="shared" si="32"/>
        <v>44104</v>
      </c>
      <c r="L2120" s="17">
        <v>0.25</v>
      </c>
      <c r="M2120" s="14">
        <v>468</v>
      </c>
      <c r="N2120" s="14">
        <v>1219</v>
      </c>
      <c r="O2120" s="14">
        <v>0</v>
      </c>
      <c r="P2120" s="14">
        <v>1687</v>
      </c>
      <c r="Q2120">
        <v>8378</v>
      </c>
      <c r="R2120">
        <v>1162</v>
      </c>
      <c r="S2120">
        <v>0</v>
      </c>
    </row>
    <row r="2121" spans="11:19" x14ac:dyDescent="0.3">
      <c r="K2121" s="16">
        <f t="shared" si="32"/>
        <v>44104</v>
      </c>
      <c r="L2121" s="17">
        <v>0.29166666666666669</v>
      </c>
      <c r="M2121" s="14">
        <v>468</v>
      </c>
      <c r="N2121" s="14">
        <v>0</v>
      </c>
      <c r="O2121" s="14">
        <v>0</v>
      </c>
      <c r="P2121" s="14">
        <v>468</v>
      </c>
      <c r="Q2121">
        <v>9231</v>
      </c>
      <c r="R2121">
        <v>1199</v>
      </c>
      <c r="S2121">
        <v>7</v>
      </c>
    </row>
    <row r="2122" spans="11:19" x14ac:dyDescent="0.3">
      <c r="K2122" s="16">
        <f t="shared" si="32"/>
        <v>44104</v>
      </c>
      <c r="L2122" s="17">
        <v>0.33333333333333331</v>
      </c>
      <c r="M2122" s="14">
        <v>468</v>
      </c>
      <c r="N2122" s="14">
        <v>1323</v>
      </c>
      <c r="O2122" s="14">
        <v>0</v>
      </c>
      <c r="P2122" s="14">
        <v>1791</v>
      </c>
      <c r="Q2122">
        <v>9569</v>
      </c>
      <c r="R2122">
        <v>1208</v>
      </c>
      <c r="S2122">
        <v>124</v>
      </c>
    </row>
    <row r="2123" spans="11:19" x14ac:dyDescent="0.3">
      <c r="K2123" s="16">
        <f t="shared" si="32"/>
        <v>44104</v>
      </c>
      <c r="L2123" s="17">
        <v>0.375</v>
      </c>
      <c r="M2123" s="14">
        <v>468</v>
      </c>
      <c r="N2123" s="14">
        <v>1323</v>
      </c>
      <c r="O2123" s="14">
        <v>0</v>
      </c>
      <c r="P2123" s="14">
        <v>1791</v>
      </c>
      <c r="Q2123">
        <v>9881</v>
      </c>
      <c r="R2123">
        <v>1393</v>
      </c>
      <c r="S2123">
        <v>554</v>
      </c>
    </row>
    <row r="2124" spans="11:19" x14ac:dyDescent="0.3">
      <c r="K2124" s="16">
        <f t="shared" si="32"/>
        <v>44104</v>
      </c>
      <c r="L2124" s="17">
        <v>0.41666666666666669</v>
      </c>
      <c r="M2124" s="14">
        <v>468</v>
      </c>
      <c r="N2124" s="14">
        <v>0</v>
      </c>
      <c r="O2124" s="14">
        <v>0</v>
      </c>
      <c r="P2124" s="14">
        <v>468</v>
      </c>
      <c r="Q2124">
        <v>10036</v>
      </c>
      <c r="R2124">
        <v>1651</v>
      </c>
      <c r="S2124">
        <v>1037</v>
      </c>
    </row>
    <row r="2125" spans="11:19" x14ac:dyDescent="0.3">
      <c r="K2125" s="16">
        <f t="shared" si="32"/>
        <v>44104</v>
      </c>
      <c r="L2125" s="17">
        <v>0.45833333333333331</v>
      </c>
      <c r="M2125" s="14">
        <v>468</v>
      </c>
      <c r="N2125" s="14">
        <v>1204</v>
      </c>
      <c r="O2125" s="14">
        <v>0</v>
      </c>
      <c r="P2125" s="14">
        <v>1672</v>
      </c>
      <c r="Q2125">
        <v>10211</v>
      </c>
      <c r="R2125">
        <v>1803</v>
      </c>
      <c r="S2125">
        <v>1357</v>
      </c>
    </row>
    <row r="2126" spans="11:19" x14ac:dyDescent="0.3">
      <c r="K2126" s="16">
        <f t="shared" si="32"/>
        <v>44104</v>
      </c>
      <c r="L2126" s="17">
        <v>0.5</v>
      </c>
      <c r="M2126" s="14">
        <v>468</v>
      </c>
      <c r="N2126" s="14">
        <v>0</v>
      </c>
      <c r="O2126" s="14">
        <v>0</v>
      </c>
      <c r="P2126" s="14">
        <v>468</v>
      </c>
      <c r="Q2126">
        <v>10285</v>
      </c>
      <c r="R2126">
        <v>2101</v>
      </c>
      <c r="S2126">
        <v>1443</v>
      </c>
    </row>
    <row r="2127" spans="11:19" x14ac:dyDescent="0.3">
      <c r="K2127" s="16">
        <f t="shared" si="32"/>
        <v>44104</v>
      </c>
      <c r="L2127" s="17">
        <v>0.54166666666666663</v>
      </c>
      <c r="M2127" s="14">
        <v>468</v>
      </c>
      <c r="N2127" s="14">
        <v>596</v>
      </c>
      <c r="O2127" s="14">
        <v>0</v>
      </c>
      <c r="P2127" s="14">
        <v>1064</v>
      </c>
      <c r="Q2127">
        <v>10159</v>
      </c>
      <c r="R2127">
        <v>2236</v>
      </c>
      <c r="S2127">
        <v>1482</v>
      </c>
    </row>
    <row r="2128" spans="11:19" x14ac:dyDescent="0.3">
      <c r="K2128" s="16">
        <f t="shared" si="32"/>
        <v>44104</v>
      </c>
      <c r="L2128" s="17">
        <v>0.58333333333333337</v>
      </c>
      <c r="M2128" s="14">
        <v>468</v>
      </c>
      <c r="N2128" s="14">
        <v>0</v>
      </c>
      <c r="O2128" s="14">
        <v>0</v>
      </c>
      <c r="P2128" s="14">
        <v>468</v>
      </c>
      <c r="Q2128">
        <v>10166</v>
      </c>
      <c r="R2128">
        <v>2342</v>
      </c>
      <c r="S2128">
        <v>1382</v>
      </c>
    </row>
    <row r="2129" spans="11:19" x14ac:dyDescent="0.3">
      <c r="K2129" s="16">
        <f t="shared" si="32"/>
        <v>44104</v>
      </c>
      <c r="L2129" s="17">
        <v>0.625</v>
      </c>
      <c r="M2129" s="14">
        <v>468</v>
      </c>
      <c r="N2129" s="14">
        <v>0</v>
      </c>
      <c r="O2129" s="14">
        <v>0</v>
      </c>
      <c r="P2129" s="14">
        <v>468</v>
      </c>
      <c r="Q2129">
        <v>9993</v>
      </c>
      <c r="R2129">
        <v>2252</v>
      </c>
      <c r="S2129">
        <v>1209</v>
      </c>
    </row>
    <row r="2130" spans="11:19" x14ac:dyDescent="0.3">
      <c r="K2130" s="16">
        <f t="shared" si="32"/>
        <v>44104</v>
      </c>
      <c r="L2130" s="17">
        <v>0.66666666666666663</v>
      </c>
      <c r="M2130" s="14">
        <v>468</v>
      </c>
      <c r="N2130" s="14">
        <v>0</v>
      </c>
      <c r="O2130" s="14">
        <v>0</v>
      </c>
      <c r="P2130" s="14">
        <v>468</v>
      </c>
      <c r="Q2130">
        <v>9808</v>
      </c>
      <c r="R2130">
        <v>2158</v>
      </c>
      <c r="S2130">
        <v>926</v>
      </c>
    </row>
    <row r="2131" spans="11:19" x14ac:dyDescent="0.3">
      <c r="K2131" s="16">
        <f t="shared" si="32"/>
        <v>44104</v>
      </c>
      <c r="L2131" s="17">
        <v>0.70833333333333337</v>
      </c>
      <c r="M2131" s="14">
        <v>468</v>
      </c>
      <c r="N2131" s="14">
        <v>1323</v>
      </c>
      <c r="O2131" s="14">
        <v>0</v>
      </c>
      <c r="P2131" s="14">
        <v>1791</v>
      </c>
      <c r="Q2131">
        <v>9686</v>
      </c>
      <c r="R2131">
        <v>1981</v>
      </c>
      <c r="S2131">
        <v>520</v>
      </c>
    </row>
    <row r="2132" spans="11:19" x14ac:dyDescent="0.3">
      <c r="K2132" s="16">
        <f t="shared" si="32"/>
        <v>44104</v>
      </c>
      <c r="L2132" s="17">
        <v>0.75</v>
      </c>
      <c r="M2132" s="14">
        <v>468</v>
      </c>
      <c r="N2132" s="14">
        <v>1323</v>
      </c>
      <c r="O2132" s="14">
        <v>0</v>
      </c>
      <c r="P2132" s="14">
        <v>1791</v>
      </c>
      <c r="Q2132">
        <v>9796</v>
      </c>
      <c r="R2132">
        <v>1784</v>
      </c>
      <c r="S2132">
        <v>165</v>
      </c>
    </row>
    <row r="2133" spans="11:19" x14ac:dyDescent="0.3">
      <c r="K2133" s="16">
        <f t="shared" si="32"/>
        <v>44104</v>
      </c>
      <c r="L2133" s="17">
        <v>0.79166666666666663</v>
      </c>
      <c r="M2133" s="14">
        <v>468</v>
      </c>
      <c r="N2133" s="14">
        <v>1323</v>
      </c>
      <c r="O2133" s="14">
        <v>0</v>
      </c>
      <c r="P2133" s="14">
        <v>1791</v>
      </c>
      <c r="Q2133">
        <v>9902</v>
      </c>
      <c r="R2133">
        <v>1571</v>
      </c>
      <c r="S2133">
        <v>20</v>
      </c>
    </row>
    <row r="2134" spans="11:19" x14ac:dyDescent="0.3">
      <c r="K2134" s="16">
        <f t="shared" si="32"/>
        <v>44104</v>
      </c>
      <c r="L2134" s="17">
        <v>0.83333333333333337</v>
      </c>
      <c r="M2134" s="14">
        <v>468</v>
      </c>
      <c r="N2134" s="14">
        <v>1323</v>
      </c>
      <c r="O2134" s="14">
        <v>0</v>
      </c>
      <c r="P2134" s="14">
        <v>1791</v>
      </c>
      <c r="Q2134">
        <v>9485</v>
      </c>
      <c r="R2134">
        <v>1407</v>
      </c>
      <c r="S2134">
        <v>0</v>
      </c>
    </row>
    <row r="2135" spans="11:19" x14ac:dyDescent="0.3">
      <c r="K2135" s="16">
        <f t="shared" si="32"/>
        <v>44104</v>
      </c>
      <c r="L2135" s="17">
        <v>0.875</v>
      </c>
      <c r="M2135" s="14">
        <v>468</v>
      </c>
      <c r="N2135" s="14">
        <v>0</v>
      </c>
      <c r="O2135" s="14">
        <v>0</v>
      </c>
      <c r="P2135" s="14">
        <v>468</v>
      </c>
      <c r="Q2135">
        <v>8786</v>
      </c>
      <c r="R2135">
        <v>1507</v>
      </c>
      <c r="S2135">
        <v>0</v>
      </c>
    </row>
    <row r="2136" spans="11:19" x14ac:dyDescent="0.3">
      <c r="K2136" s="16">
        <f t="shared" si="32"/>
        <v>44104</v>
      </c>
      <c r="L2136" s="17">
        <v>0.91666666666666663</v>
      </c>
      <c r="M2136" s="14">
        <v>468</v>
      </c>
      <c r="N2136" s="14">
        <v>1323</v>
      </c>
      <c r="O2136" s="14">
        <v>0</v>
      </c>
      <c r="P2136" s="14">
        <v>1791</v>
      </c>
      <c r="Q2136">
        <v>8905</v>
      </c>
      <c r="R2136">
        <v>1404</v>
      </c>
      <c r="S2136">
        <v>0</v>
      </c>
    </row>
    <row r="2137" spans="11:19" x14ac:dyDescent="0.3">
      <c r="K2137" s="16">
        <f t="shared" si="32"/>
        <v>44104</v>
      </c>
      <c r="L2137" s="17">
        <v>0.95833333333333337</v>
      </c>
      <c r="M2137" s="14">
        <v>468</v>
      </c>
      <c r="N2137" s="14">
        <v>1323</v>
      </c>
      <c r="O2137" s="14">
        <v>0</v>
      </c>
      <c r="P2137" s="14">
        <v>1791</v>
      </c>
      <c r="Q2137">
        <v>8891</v>
      </c>
      <c r="R2137">
        <v>1305</v>
      </c>
      <c r="S2137">
        <v>0</v>
      </c>
    </row>
    <row r="2138" spans="11:19" x14ac:dyDescent="0.3">
      <c r="K2138" s="16">
        <f t="shared" si="32"/>
        <v>44105</v>
      </c>
      <c r="L2138" s="17">
        <v>0</v>
      </c>
      <c r="M2138" s="14">
        <v>468</v>
      </c>
      <c r="N2138" s="14">
        <v>1335</v>
      </c>
      <c r="O2138" s="14">
        <v>0</v>
      </c>
      <c r="P2138" s="14">
        <v>1803</v>
      </c>
      <c r="Q2138">
        <v>8089</v>
      </c>
      <c r="R2138">
        <v>1221</v>
      </c>
      <c r="S2138">
        <v>0</v>
      </c>
    </row>
    <row r="2139" spans="11:19" x14ac:dyDescent="0.3">
      <c r="K2139" s="16">
        <f t="shared" ref="K2139:K2202" si="33">K2115+1</f>
        <v>44105</v>
      </c>
      <c r="L2139" s="17">
        <v>4.1666666666666664E-2</v>
      </c>
      <c r="M2139" s="14">
        <v>468</v>
      </c>
      <c r="N2139" s="14">
        <v>882</v>
      </c>
      <c r="O2139" s="14">
        <v>0</v>
      </c>
      <c r="P2139" s="14">
        <v>1350</v>
      </c>
      <c r="Q2139">
        <v>7698</v>
      </c>
      <c r="R2139">
        <v>1285</v>
      </c>
      <c r="S2139">
        <v>0</v>
      </c>
    </row>
    <row r="2140" spans="11:19" x14ac:dyDescent="0.3">
      <c r="K2140" s="16">
        <f t="shared" si="33"/>
        <v>44105</v>
      </c>
      <c r="L2140" s="17">
        <v>8.3333333333333329E-2</v>
      </c>
      <c r="M2140" s="14">
        <v>468</v>
      </c>
      <c r="N2140" s="14">
        <v>461</v>
      </c>
      <c r="O2140" s="14">
        <v>0</v>
      </c>
      <c r="P2140" s="14">
        <v>929</v>
      </c>
      <c r="Q2140">
        <v>7400</v>
      </c>
      <c r="R2140">
        <v>1408</v>
      </c>
      <c r="S2140">
        <v>0</v>
      </c>
    </row>
    <row r="2141" spans="11:19" x14ac:dyDescent="0.3">
      <c r="K2141" s="16">
        <f t="shared" si="33"/>
        <v>44105</v>
      </c>
      <c r="L2141" s="17">
        <v>0.125</v>
      </c>
      <c r="M2141" s="14">
        <v>468</v>
      </c>
      <c r="N2141" s="14">
        <v>0</v>
      </c>
      <c r="O2141" s="14">
        <v>-23</v>
      </c>
      <c r="P2141" s="14">
        <v>445</v>
      </c>
      <c r="Q2141">
        <v>7055</v>
      </c>
      <c r="R2141">
        <v>1546</v>
      </c>
      <c r="S2141">
        <v>0</v>
      </c>
    </row>
    <row r="2142" spans="11:19" x14ac:dyDescent="0.3">
      <c r="K2142" s="16">
        <f t="shared" si="33"/>
        <v>44105</v>
      </c>
      <c r="L2142" s="17">
        <v>0.16666666666666666</v>
      </c>
      <c r="M2142" s="14">
        <v>468</v>
      </c>
      <c r="N2142" s="14">
        <v>0</v>
      </c>
      <c r="O2142" s="14">
        <v>-52</v>
      </c>
      <c r="P2142" s="14">
        <v>416</v>
      </c>
      <c r="Q2142">
        <v>7007</v>
      </c>
      <c r="R2142">
        <v>1522</v>
      </c>
      <c r="S2142">
        <v>0</v>
      </c>
    </row>
    <row r="2143" spans="11:19" x14ac:dyDescent="0.3">
      <c r="K2143" s="16">
        <f t="shared" si="33"/>
        <v>44105</v>
      </c>
      <c r="L2143" s="17">
        <v>0.20833333333333334</v>
      </c>
      <c r="M2143" s="14">
        <v>468</v>
      </c>
      <c r="N2143" s="14">
        <v>0</v>
      </c>
      <c r="O2143" s="14">
        <v>-179</v>
      </c>
      <c r="P2143" s="14">
        <v>289</v>
      </c>
      <c r="Q2143">
        <v>7379</v>
      </c>
      <c r="R2143">
        <v>1600</v>
      </c>
      <c r="S2143">
        <v>0</v>
      </c>
    </row>
    <row r="2144" spans="11:19" x14ac:dyDescent="0.3">
      <c r="K2144" s="16">
        <f t="shared" si="33"/>
        <v>44105</v>
      </c>
      <c r="L2144" s="17">
        <v>0.25</v>
      </c>
      <c r="M2144" s="14">
        <v>468</v>
      </c>
      <c r="N2144" s="14">
        <v>861</v>
      </c>
      <c r="O2144" s="14">
        <v>0</v>
      </c>
      <c r="P2144" s="14">
        <v>1329</v>
      </c>
      <c r="Q2144">
        <v>8379</v>
      </c>
      <c r="R2144">
        <v>1520</v>
      </c>
      <c r="S2144">
        <v>0</v>
      </c>
    </row>
    <row r="2145" spans="11:19" x14ac:dyDescent="0.3">
      <c r="K2145" s="16">
        <f t="shared" si="33"/>
        <v>44105</v>
      </c>
      <c r="L2145" s="17">
        <v>0.29166666666666669</v>
      </c>
      <c r="M2145" s="14">
        <v>468</v>
      </c>
      <c r="N2145" s="14">
        <v>1445</v>
      </c>
      <c r="O2145" s="14">
        <v>0</v>
      </c>
      <c r="P2145" s="14">
        <v>1913</v>
      </c>
      <c r="Q2145">
        <v>9228</v>
      </c>
      <c r="R2145">
        <v>1363</v>
      </c>
      <c r="S2145">
        <v>1</v>
      </c>
    </row>
    <row r="2146" spans="11:19" x14ac:dyDescent="0.3">
      <c r="K2146" s="16">
        <f t="shared" si="33"/>
        <v>44105</v>
      </c>
      <c r="L2146" s="17">
        <v>0.33333333333333331</v>
      </c>
      <c r="M2146" s="14">
        <v>468</v>
      </c>
      <c r="N2146" s="14">
        <v>0</v>
      </c>
      <c r="O2146" s="14">
        <v>204</v>
      </c>
      <c r="P2146" s="14">
        <v>672</v>
      </c>
      <c r="Q2146">
        <v>9562</v>
      </c>
      <c r="R2146">
        <v>993</v>
      </c>
      <c r="S2146">
        <v>84</v>
      </c>
    </row>
    <row r="2147" spans="11:19" x14ac:dyDescent="0.3">
      <c r="K2147" s="16">
        <f t="shared" si="33"/>
        <v>44105</v>
      </c>
      <c r="L2147" s="17">
        <v>0.375</v>
      </c>
      <c r="M2147" s="14">
        <v>468</v>
      </c>
      <c r="N2147" s="14">
        <v>0</v>
      </c>
      <c r="O2147" s="14">
        <v>0</v>
      </c>
      <c r="P2147" s="14">
        <v>468</v>
      </c>
      <c r="Q2147">
        <v>9866</v>
      </c>
      <c r="R2147">
        <v>983</v>
      </c>
      <c r="S2147">
        <v>472</v>
      </c>
    </row>
    <row r="2148" spans="11:19" x14ac:dyDescent="0.3">
      <c r="K2148" s="16">
        <f t="shared" si="33"/>
        <v>44105</v>
      </c>
      <c r="L2148" s="17">
        <v>0.41666666666666669</v>
      </c>
      <c r="M2148" s="14">
        <v>468</v>
      </c>
      <c r="N2148" s="14">
        <v>0</v>
      </c>
      <c r="O2148" s="14">
        <v>0</v>
      </c>
      <c r="P2148" s="14">
        <v>468</v>
      </c>
      <c r="Q2148">
        <v>10011</v>
      </c>
      <c r="R2148">
        <v>817</v>
      </c>
      <c r="S2148">
        <v>893</v>
      </c>
    </row>
    <row r="2149" spans="11:19" x14ac:dyDescent="0.3">
      <c r="K2149" s="16">
        <f t="shared" si="33"/>
        <v>44105</v>
      </c>
      <c r="L2149" s="17">
        <v>0.45833333333333331</v>
      </c>
      <c r="M2149" s="14">
        <v>468</v>
      </c>
      <c r="N2149" s="14">
        <v>0</v>
      </c>
      <c r="O2149" s="14">
        <v>0</v>
      </c>
      <c r="P2149" s="14">
        <v>468</v>
      </c>
      <c r="Q2149">
        <v>10177</v>
      </c>
      <c r="R2149">
        <v>706</v>
      </c>
      <c r="S2149">
        <v>1164</v>
      </c>
    </row>
    <row r="2150" spans="11:19" x14ac:dyDescent="0.3">
      <c r="K2150" s="16">
        <f t="shared" si="33"/>
        <v>44105</v>
      </c>
      <c r="L2150" s="17">
        <v>0.5</v>
      </c>
      <c r="M2150" s="14">
        <v>468</v>
      </c>
      <c r="N2150" s="14">
        <v>1445</v>
      </c>
      <c r="O2150" s="14">
        <v>0</v>
      </c>
      <c r="P2150" s="14">
        <v>1913</v>
      </c>
      <c r="Q2150">
        <v>10243</v>
      </c>
      <c r="R2150">
        <v>570</v>
      </c>
      <c r="S2150">
        <v>1323</v>
      </c>
    </row>
    <row r="2151" spans="11:19" x14ac:dyDescent="0.3">
      <c r="K2151" s="16">
        <f t="shared" si="33"/>
        <v>44105</v>
      </c>
      <c r="L2151" s="17">
        <v>0.54166666666666663</v>
      </c>
      <c r="M2151" s="14">
        <v>468</v>
      </c>
      <c r="N2151" s="14">
        <v>0</v>
      </c>
      <c r="O2151" s="14">
        <v>0</v>
      </c>
      <c r="P2151" s="14">
        <v>468</v>
      </c>
      <c r="Q2151">
        <v>10110</v>
      </c>
      <c r="R2151">
        <v>567</v>
      </c>
      <c r="S2151">
        <v>1436</v>
      </c>
    </row>
    <row r="2152" spans="11:19" x14ac:dyDescent="0.3">
      <c r="K2152" s="16">
        <f t="shared" si="33"/>
        <v>44105</v>
      </c>
      <c r="L2152" s="17">
        <v>0.58333333333333337</v>
      </c>
      <c r="M2152" s="14">
        <v>468</v>
      </c>
      <c r="N2152" s="14">
        <v>1445</v>
      </c>
      <c r="O2152" s="14">
        <v>0</v>
      </c>
      <c r="P2152" s="14">
        <v>1913</v>
      </c>
      <c r="Q2152">
        <v>10109</v>
      </c>
      <c r="R2152">
        <v>703</v>
      </c>
      <c r="S2152">
        <v>1574</v>
      </c>
    </row>
    <row r="2153" spans="11:19" x14ac:dyDescent="0.3">
      <c r="K2153" s="16">
        <f t="shared" si="33"/>
        <v>44105</v>
      </c>
      <c r="L2153" s="17">
        <v>0.625</v>
      </c>
      <c r="M2153" s="14">
        <v>468</v>
      </c>
      <c r="N2153" s="14">
        <v>0</v>
      </c>
      <c r="O2153" s="14">
        <v>0</v>
      </c>
      <c r="P2153" s="14">
        <v>468</v>
      </c>
      <c r="Q2153">
        <v>9933</v>
      </c>
      <c r="R2153">
        <v>755</v>
      </c>
      <c r="S2153">
        <v>1474</v>
      </c>
    </row>
    <row r="2154" spans="11:19" x14ac:dyDescent="0.3">
      <c r="K2154" s="16">
        <f t="shared" si="33"/>
        <v>44105</v>
      </c>
      <c r="L2154" s="17">
        <v>0.66666666666666663</v>
      </c>
      <c r="M2154" s="14">
        <v>468</v>
      </c>
      <c r="N2154" s="14">
        <v>1445</v>
      </c>
      <c r="O2154" s="14">
        <v>0</v>
      </c>
      <c r="P2154" s="14">
        <v>1913</v>
      </c>
      <c r="Q2154">
        <v>9751</v>
      </c>
      <c r="R2154">
        <v>973</v>
      </c>
      <c r="S2154">
        <v>1234</v>
      </c>
    </row>
    <row r="2155" spans="11:19" x14ac:dyDescent="0.3">
      <c r="K2155" s="16">
        <f t="shared" si="33"/>
        <v>44105</v>
      </c>
      <c r="L2155" s="17">
        <v>0.70833333333333337</v>
      </c>
      <c r="M2155" s="14">
        <v>468</v>
      </c>
      <c r="N2155" s="14">
        <v>1445</v>
      </c>
      <c r="O2155" s="14">
        <v>0</v>
      </c>
      <c r="P2155" s="14">
        <v>1913</v>
      </c>
      <c r="Q2155">
        <v>9637</v>
      </c>
      <c r="R2155">
        <v>1216</v>
      </c>
      <c r="S2155">
        <v>719</v>
      </c>
    </row>
    <row r="2156" spans="11:19" x14ac:dyDescent="0.3">
      <c r="K2156" s="16">
        <f t="shared" si="33"/>
        <v>44105</v>
      </c>
      <c r="L2156" s="17">
        <v>0.75</v>
      </c>
      <c r="M2156" s="14">
        <v>468</v>
      </c>
      <c r="N2156" s="14">
        <v>1445</v>
      </c>
      <c r="O2156" s="14">
        <v>0</v>
      </c>
      <c r="P2156" s="14">
        <v>1913</v>
      </c>
      <c r="Q2156">
        <v>9762</v>
      </c>
      <c r="R2156">
        <v>1308</v>
      </c>
      <c r="S2156">
        <v>236</v>
      </c>
    </row>
    <row r="2157" spans="11:19" x14ac:dyDescent="0.3">
      <c r="K2157" s="16">
        <f t="shared" si="33"/>
        <v>44105</v>
      </c>
      <c r="L2157" s="17">
        <v>0.79166666666666663</v>
      </c>
      <c r="M2157" s="14">
        <v>468</v>
      </c>
      <c r="N2157" s="14">
        <v>0</v>
      </c>
      <c r="O2157" s="14">
        <v>0</v>
      </c>
      <c r="P2157" s="14">
        <v>468</v>
      </c>
      <c r="Q2157">
        <v>9878</v>
      </c>
      <c r="R2157">
        <v>1610</v>
      </c>
      <c r="S2157">
        <v>24</v>
      </c>
    </row>
    <row r="2158" spans="11:19" x14ac:dyDescent="0.3">
      <c r="K2158" s="16">
        <f t="shared" si="33"/>
        <v>44105</v>
      </c>
      <c r="L2158" s="17">
        <v>0.83333333333333337</v>
      </c>
      <c r="M2158" s="14">
        <v>468</v>
      </c>
      <c r="N2158" s="14">
        <v>1445</v>
      </c>
      <c r="O2158" s="14">
        <v>0</v>
      </c>
      <c r="P2158" s="14">
        <v>1913</v>
      </c>
      <c r="Q2158">
        <v>9466</v>
      </c>
      <c r="R2158">
        <v>1848</v>
      </c>
      <c r="S2158">
        <v>0</v>
      </c>
    </row>
    <row r="2159" spans="11:19" x14ac:dyDescent="0.3">
      <c r="K2159" s="16">
        <f t="shared" si="33"/>
        <v>44105</v>
      </c>
      <c r="L2159" s="17">
        <v>0.875</v>
      </c>
      <c r="M2159" s="14">
        <v>468</v>
      </c>
      <c r="N2159" s="14">
        <v>1252</v>
      </c>
      <c r="O2159" s="14">
        <v>0</v>
      </c>
      <c r="P2159" s="14">
        <v>1720</v>
      </c>
      <c r="Q2159">
        <v>8770</v>
      </c>
      <c r="R2159">
        <v>1869</v>
      </c>
      <c r="S2159">
        <v>0</v>
      </c>
    </row>
    <row r="2160" spans="11:19" x14ac:dyDescent="0.3">
      <c r="K2160" s="16">
        <f t="shared" si="33"/>
        <v>44105</v>
      </c>
      <c r="L2160" s="17">
        <v>0.91666666666666663</v>
      </c>
      <c r="M2160" s="14">
        <v>468</v>
      </c>
      <c r="N2160" s="14">
        <v>1279</v>
      </c>
      <c r="O2160" s="14">
        <v>0</v>
      </c>
      <c r="P2160" s="14">
        <v>1747</v>
      </c>
      <c r="Q2160">
        <v>8889</v>
      </c>
      <c r="R2160">
        <v>1968</v>
      </c>
      <c r="S2160">
        <v>0</v>
      </c>
    </row>
    <row r="2161" spans="11:19" x14ac:dyDescent="0.3">
      <c r="K2161" s="16">
        <f t="shared" si="33"/>
        <v>44105</v>
      </c>
      <c r="L2161" s="17">
        <v>0.95833333333333337</v>
      </c>
      <c r="M2161" s="14">
        <v>468</v>
      </c>
      <c r="N2161" s="14">
        <v>1243</v>
      </c>
      <c r="O2161" s="14">
        <v>0</v>
      </c>
      <c r="P2161" s="14">
        <v>1711</v>
      </c>
      <c r="Q2161">
        <v>8876</v>
      </c>
      <c r="R2161">
        <v>2012</v>
      </c>
      <c r="S2161">
        <v>0</v>
      </c>
    </row>
    <row r="2162" spans="11:19" x14ac:dyDescent="0.3">
      <c r="K2162" s="16">
        <f t="shared" si="33"/>
        <v>44106</v>
      </c>
      <c r="L2162" s="17">
        <v>0</v>
      </c>
      <c r="M2162" s="14">
        <v>468</v>
      </c>
      <c r="N2162" s="14">
        <v>0</v>
      </c>
      <c r="O2162" s="14">
        <v>0</v>
      </c>
      <c r="P2162" s="14">
        <v>468</v>
      </c>
      <c r="Q2162">
        <v>8116</v>
      </c>
      <c r="R2162">
        <v>2029</v>
      </c>
      <c r="S2162">
        <v>0</v>
      </c>
    </row>
    <row r="2163" spans="11:19" x14ac:dyDescent="0.3">
      <c r="K2163" s="16">
        <f t="shared" si="33"/>
        <v>44106</v>
      </c>
      <c r="L2163" s="17">
        <v>4.1666666666666664E-2</v>
      </c>
      <c r="M2163" s="14">
        <v>468</v>
      </c>
      <c r="N2163" s="14">
        <v>0</v>
      </c>
      <c r="O2163" s="14">
        <v>455</v>
      </c>
      <c r="P2163" s="14">
        <v>923</v>
      </c>
      <c r="Q2163">
        <v>7721</v>
      </c>
      <c r="R2163">
        <v>1655</v>
      </c>
      <c r="S2163">
        <v>0</v>
      </c>
    </row>
    <row r="2164" spans="11:19" x14ac:dyDescent="0.3">
      <c r="K2164" s="16">
        <f t="shared" si="33"/>
        <v>44106</v>
      </c>
      <c r="L2164" s="17">
        <v>8.3333333333333329E-2</v>
      </c>
      <c r="M2164" s="14">
        <v>468</v>
      </c>
      <c r="N2164" s="14">
        <v>156</v>
      </c>
      <c r="O2164" s="14">
        <v>0</v>
      </c>
      <c r="P2164" s="14">
        <v>624</v>
      </c>
      <c r="Q2164">
        <v>7423</v>
      </c>
      <c r="R2164">
        <v>1656</v>
      </c>
      <c r="S2164">
        <v>0</v>
      </c>
    </row>
    <row r="2165" spans="11:19" x14ac:dyDescent="0.3">
      <c r="K2165" s="16">
        <f t="shared" si="33"/>
        <v>44106</v>
      </c>
      <c r="L2165" s="17">
        <v>0.125</v>
      </c>
      <c r="M2165" s="14">
        <v>468</v>
      </c>
      <c r="N2165" s="14">
        <v>0</v>
      </c>
      <c r="O2165" s="14">
        <v>-160</v>
      </c>
      <c r="P2165" s="14">
        <v>308</v>
      </c>
      <c r="Q2165">
        <v>7060</v>
      </c>
      <c r="R2165">
        <v>1608</v>
      </c>
      <c r="S2165">
        <v>0</v>
      </c>
    </row>
    <row r="2166" spans="11:19" x14ac:dyDescent="0.3">
      <c r="K2166" s="16">
        <f t="shared" si="33"/>
        <v>44106</v>
      </c>
      <c r="L2166" s="17">
        <v>0.16666666666666666</v>
      </c>
      <c r="M2166" s="14">
        <v>468</v>
      </c>
      <c r="N2166" s="14">
        <v>0</v>
      </c>
      <c r="O2166" s="14">
        <v>-213</v>
      </c>
      <c r="P2166" s="14">
        <v>255</v>
      </c>
      <c r="Q2166">
        <v>6990</v>
      </c>
      <c r="R2166">
        <v>1586</v>
      </c>
      <c r="S2166">
        <v>0</v>
      </c>
    </row>
    <row r="2167" spans="11:19" x14ac:dyDescent="0.3">
      <c r="K2167" s="16">
        <f t="shared" si="33"/>
        <v>44106</v>
      </c>
      <c r="L2167" s="17">
        <v>0.20833333333333334</v>
      </c>
      <c r="M2167" s="14">
        <v>468</v>
      </c>
      <c r="N2167" s="14">
        <v>240</v>
      </c>
      <c r="O2167" s="14">
        <v>0</v>
      </c>
      <c r="P2167" s="14">
        <v>708</v>
      </c>
      <c r="Q2167">
        <v>7350</v>
      </c>
      <c r="R2167">
        <v>1472</v>
      </c>
      <c r="S2167">
        <v>0</v>
      </c>
    </row>
    <row r="2168" spans="11:19" x14ac:dyDescent="0.3">
      <c r="K2168" s="16">
        <f t="shared" si="33"/>
        <v>44106</v>
      </c>
      <c r="L2168" s="17">
        <v>0.25</v>
      </c>
      <c r="M2168" s="14">
        <v>468</v>
      </c>
      <c r="N2168" s="14">
        <v>0</v>
      </c>
      <c r="O2168" s="14">
        <v>0</v>
      </c>
      <c r="P2168" s="14">
        <v>468</v>
      </c>
      <c r="Q2168">
        <v>8346</v>
      </c>
      <c r="R2168">
        <v>1780</v>
      </c>
      <c r="S2168">
        <v>0</v>
      </c>
    </row>
    <row r="2169" spans="11:19" x14ac:dyDescent="0.3">
      <c r="K2169" s="16">
        <f t="shared" si="33"/>
        <v>44106</v>
      </c>
      <c r="L2169" s="17">
        <v>0.29166666666666669</v>
      </c>
      <c r="M2169" s="14">
        <v>468</v>
      </c>
      <c r="N2169" s="14">
        <v>0</v>
      </c>
      <c r="O2169" s="14">
        <v>49</v>
      </c>
      <c r="P2169" s="14">
        <v>517</v>
      </c>
      <c r="Q2169">
        <v>9187</v>
      </c>
      <c r="R2169">
        <v>1864</v>
      </c>
      <c r="S2169">
        <v>6</v>
      </c>
    </row>
    <row r="2170" spans="11:19" x14ac:dyDescent="0.3">
      <c r="K2170" s="16">
        <f t="shared" si="33"/>
        <v>44106</v>
      </c>
      <c r="L2170" s="17">
        <v>0.33333333333333331</v>
      </c>
      <c r="M2170" s="14">
        <v>468</v>
      </c>
      <c r="N2170" s="14">
        <v>0</v>
      </c>
      <c r="O2170" s="14">
        <v>0</v>
      </c>
      <c r="P2170" s="14">
        <v>468</v>
      </c>
      <c r="Q2170">
        <v>9482</v>
      </c>
      <c r="R2170">
        <v>2013</v>
      </c>
      <c r="S2170">
        <v>143</v>
      </c>
    </row>
    <row r="2171" spans="11:19" x14ac:dyDescent="0.3">
      <c r="K2171" s="16">
        <f t="shared" si="33"/>
        <v>44106</v>
      </c>
      <c r="L2171" s="17">
        <v>0.375</v>
      </c>
      <c r="M2171" s="14">
        <v>468</v>
      </c>
      <c r="N2171" s="14">
        <v>0</v>
      </c>
      <c r="O2171" s="14">
        <v>0</v>
      </c>
      <c r="P2171" s="14">
        <v>468</v>
      </c>
      <c r="Q2171">
        <v>9803</v>
      </c>
      <c r="R2171">
        <v>1964</v>
      </c>
      <c r="S2171">
        <v>593</v>
      </c>
    </row>
    <row r="2172" spans="11:19" x14ac:dyDescent="0.3">
      <c r="K2172" s="16">
        <f t="shared" si="33"/>
        <v>44106</v>
      </c>
      <c r="L2172" s="17">
        <v>0.41666666666666669</v>
      </c>
      <c r="M2172" s="14">
        <v>468</v>
      </c>
      <c r="N2172" s="14">
        <v>0</v>
      </c>
      <c r="O2172" s="14">
        <v>0</v>
      </c>
      <c r="P2172" s="14">
        <v>468</v>
      </c>
      <c r="Q2172">
        <v>9946</v>
      </c>
      <c r="R2172">
        <v>1778</v>
      </c>
      <c r="S2172">
        <v>1214</v>
      </c>
    </row>
    <row r="2173" spans="11:19" x14ac:dyDescent="0.3">
      <c r="K2173" s="16">
        <f t="shared" si="33"/>
        <v>44106</v>
      </c>
      <c r="L2173" s="17">
        <v>0.45833333333333331</v>
      </c>
      <c r="M2173" s="14">
        <v>468</v>
      </c>
      <c r="N2173" s="14">
        <v>0</v>
      </c>
      <c r="O2173" s="14">
        <v>0</v>
      </c>
      <c r="P2173" s="14">
        <v>468</v>
      </c>
      <c r="Q2173">
        <v>10094</v>
      </c>
      <c r="R2173">
        <v>1626</v>
      </c>
      <c r="S2173">
        <v>1675</v>
      </c>
    </row>
    <row r="2174" spans="11:19" x14ac:dyDescent="0.3">
      <c r="K2174" s="16">
        <f t="shared" si="33"/>
        <v>44106</v>
      </c>
      <c r="L2174" s="17">
        <v>0.5</v>
      </c>
      <c r="M2174" s="14">
        <v>468</v>
      </c>
      <c r="N2174" s="14">
        <v>673</v>
      </c>
      <c r="O2174" s="14">
        <v>0</v>
      </c>
      <c r="P2174" s="14">
        <v>1141</v>
      </c>
      <c r="Q2174">
        <v>10183</v>
      </c>
      <c r="R2174">
        <v>1754</v>
      </c>
      <c r="S2174">
        <v>1910</v>
      </c>
    </row>
    <row r="2175" spans="11:19" x14ac:dyDescent="0.3">
      <c r="K2175" s="16">
        <f t="shared" si="33"/>
        <v>44106</v>
      </c>
      <c r="L2175" s="17">
        <v>0.54166666666666663</v>
      </c>
      <c r="M2175" s="14">
        <v>468</v>
      </c>
      <c r="N2175" s="14">
        <v>542</v>
      </c>
      <c r="O2175" s="14">
        <v>0</v>
      </c>
      <c r="P2175" s="14">
        <v>1010</v>
      </c>
      <c r="Q2175">
        <v>10026</v>
      </c>
      <c r="R2175">
        <v>1623</v>
      </c>
      <c r="S2175">
        <v>2015</v>
      </c>
    </row>
    <row r="2176" spans="11:19" x14ac:dyDescent="0.3">
      <c r="K2176" s="16">
        <f t="shared" si="33"/>
        <v>44106</v>
      </c>
      <c r="L2176" s="17">
        <v>0.58333333333333337</v>
      </c>
      <c r="M2176" s="14">
        <v>468</v>
      </c>
      <c r="N2176" s="14">
        <v>418</v>
      </c>
      <c r="O2176" s="14">
        <v>0</v>
      </c>
      <c r="P2176" s="14">
        <v>886</v>
      </c>
      <c r="Q2176">
        <v>10031</v>
      </c>
      <c r="R2176">
        <v>1786</v>
      </c>
      <c r="S2176">
        <v>1981</v>
      </c>
    </row>
    <row r="2177" spans="11:19" x14ac:dyDescent="0.3">
      <c r="K2177" s="16">
        <f t="shared" si="33"/>
        <v>44106</v>
      </c>
      <c r="L2177" s="17">
        <v>0.625</v>
      </c>
      <c r="M2177" s="14">
        <v>468</v>
      </c>
      <c r="N2177" s="14">
        <v>0</v>
      </c>
      <c r="O2177" s="14">
        <v>0</v>
      </c>
      <c r="P2177" s="14">
        <v>468</v>
      </c>
      <c r="Q2177">
        <v>9871</v>
      </c>
      <c r="R2177">
        <v>1904</v>
      </c>
      <c r="S2177">
        <v>1802</v>
      </c>
    </row>
    <row r="2178" spans="11:19" x14ac:dyDescent="0.3">
      <c r="K2178" s="16">
        <f t="shared" si="33"/>
        <v>44106</v>
      </c>
      <c r="L2178" s="17">
        <v>0.66666666666666663</v>
      </c>
      <c r="M2178" s="14">
        <v>468</v>
      </c>
      <c r="N2178" s="14">
        <v>0</v>
      </c>
      <c r="O2178" s="14">
        <v>0</v>
      </c>
      <c r="P2178" s="14">
        <v>468</v>
      </c>
      <c r="Q2178">
        <v>9693</v>
      </c>
      <c r="R2178">
        <v>2019</v>
      </c>
      <c r="S2178">
        <v>1445</v>
      </c>
    </row>
    <row r="2179" spans="11:19" x14ac:dyDescent="0.3">
      <c r="K2179" s="16">
        <f t="shared" si="33"/>
        <v>44106</v>
      </c>
      <c r="L2179" s="17">
        <v>0.70833333333333337</v>
      </c>
      <c r="M2179" s="14">
        <v>468</v>
      </c>
      <c r="N2179" s="14">
        <v>0</v>
      </c>
      <c r="O2179" s="14">
        <v>0</v>
      </c>
      <c r="P2179" s="14">
        <v>468</v>
      </c>
      <c r="Q2179">
        <v>9632</v>
      </c>
      <c r="R2179">
        <v>2198</v>
      </c>
      <c r="S2179">
        <v>861</v>
      </c>
    </row>
    <row r="2180" spans="11:19" x14ac:dyDescent="0.3">
      <c r="K2180" s="16">
        <f t="shared" si="33"/>
        <v>44106</v>
      </c>
      <c r="L2180" s="17">
        <v>0.75</v>
      </c>
      <c r="M2180" s="14">
        <v>468</v>
      </c>
      <c r="N2180" s="14">
        <v>0</v>
      </c>
      <c r="O2180" s="14">
        <v>0</v>
      </c>
      <c r="P2180" s="14">
        <v>468</v>
      </c>
      <c r="Q2180">
        <v>9684</v>
      </c>
      <c r="R2180">
        <v>2801</v>
      </c>
      <c r="S2180">
        <v>273</v>
      </c>
    </row>
    <row r="2181" spans="11:19" x14ac:dyDescent="0.3">
      <c r="K2181" s="16">
        <f t="shared" si="33"/>
        <v>44106</v>
      </c>
      <c r="L2181" s="17">
        <v>0.79166666666666663</v>
      </c>
      <c r="M2181" s="14">
        <v>468</v>
      </c>
      <c r="N2181" s="14">
        <v>862</v>
      </c>
      <c r="O2181" s="14">
        <v>0</v>
      </c>
      <c r="P2181" s="14">
        <v>1330</v>
      </c>
      <c r="Q2181">
        <v>9789</v>
      </c>
      <c r="R2181">
        <v>3092</v>
      </c>
      <c r="S2181">
        <v>34</v>
      </c>
    </row>
    <row r="2182" spans="11:19" x14ac:dyDescent="0.3">
      <c r="K2182" s="16">
        <f t="shared" si="33"/>
        <v>44106</v>
      </c>
      <c r="L2182" s="17">
        <v>0.83333333333333337</v>
      </c>
      <c r="M2182" s="14">
        <v>468</v>
      </c>
      <c r="N2182" s="14">
        <v>455</v>
      </c>
      <c r="O2182" s="14">
        <v>46</v>
      </c>
      <c r="P2182" s="14">
        <v>969</v>
      </c>
      <c r="Q2182">
        <v>9417</v>
      </c>
      <c r="R2182">
        <v>3247</v>
      </c>
      <c r="S2182">
        <v>0</v>
      </c>
    </row>
    <row r="2183" spans="11:19" x14ac:dyDescent="0.3">
      <c r="K2183" s="16">
        <f t="shared" si="33"/>
        <v>44106</v>
      </c>
      <c r="L2183" s="17">
        <v>0.875</v>
      </c>
      <c r="M2183" s="14">
        <v>468</v>
      </c>
      <c r="N2183" s="14">
        <v>0</v>
      </c>
      <c r="O2183" s="14">
        <v>-299</v>
      </c>
      <c r="P2183" s="14">
        <v>169</v>
      </c>
      <c r="Q2183">
        <v>8819</v>
      </c>
      <c r="R2183">
        <v>3469</v>
      </c>
      <c r="S2183">
        <v>0</v>
      </c>
    </row>
    <row r="2184" spans="11:19" x14ac:dyDescent="0.3">
      <c r="K2184" s="16">
        <f t="shared" si="33"/>
        <v>44106</v>
      </c>
      <c r="L2184" s="17">
        <v>0.91666666666666663</v>
      </c>
      <c r="M2184" s="14">
        <v>468</v>
      </c>
      <c r="N2184" s="14">
        <v>0</v>
      </c>
      <c r="O2184" s="14">
        <v>-14</v>
      </c>
      <c r="P2184" s="14">
        <v>454</v>
      </c>
      <c r="Q2184">
        <v>9017</v>
      </c>
      <c r="R2184">
        <v>3389</v>
      </c>
      <c r="S2184">
        <v>0</v>
      </c>
    </row>
    <row r="2185" spans="11:19" x14ac:dyDescent="0.3">
      <c r="K2185" s="16">
        <f t="shared" si="33"/>
        <v>44106</v>
      </c>
      <c r="L2185" s="17">
        <v>0.95833333333333337</v>
      </c>
      <c r="M2185" s="14">
        <v>468</v>
      </c>
      <c r="N2185" s="14">
        <v>0</v>
      </c>
      <c r="O2185" s="14">
        <v>0</v>
      </c>
      <c r="P2185" s="14">
        <v>468</v>
      </c>
      <c r="Q2185">
        <v>8967</v>
      </c>
      <c r="R2185">
        <v>3335</v>
      </c>
      <c r="S2185">
        <v>0</v>
      </c>
    </row>
    <row r="2186" spans="11:19" x14ac:dyDescent="0.3">
      <c r="K2186" s="16">
        <f t="shared" si="33"/>
        <v>44107</v>
      </c>
      <c r="L2186" s="17">
        <v>0</v>
      </c>
      <c r="M2186" s="14">
        <v>468</v>
      </c>
      <c r="N2186" s="14">
        <v>0</v>
      </c>
      <c r="O2186" s="14">
        <v>-1075</v>
      </c>
      <c r="P2186" s="14">
        <v>-607</v>
      </c>
      <c r="Q2186">
        <v>8112</v>
      </c>
      <c r="R2186">
        <v>3260</v>
      </c>
      <c r="S2186">
        <v>0</v>
      </c>
    </row>
    <row r="2187" spans="11:19" x14ac:dyDescent="0.3">
      <c r="K2187" s="16">
        <f t="shared" si="33"/>
        <v>44107</v>
      </c>
      <c r="L2187" s="17">
        <v>4.1666666666666664E-2</v>
      </c>
      <c r="M2187" s="14">
        <v>468</v>
      </c>
      <c r="N2187" s="14">
        <v>0</v>
      </c>
      <c r="O2187" s="14">
        <v>-974</v>
      </c>
      <c r="P2187" s="14">
        <v>-506</v>
      </c>
      <c r="Q2187">
        <v>7648</v>
      </c>
      <c r="R2187">
        <v>3095</v>
      </c>
      <c r="S2187">
        <v>0</v>
      </c>
    </row>
    <row r="2188" spans="11:19" x14ac:dyDescent="0.3">
      <c r="K2188" s="16">
        <f t="shared" si="33"/>
        <v>44107</v>
      </c>
      <c r="L2188" s="17">
        <v>8.3333333333333329E-2</v>
      </c>
      <c r="M2188" s="14">
        <v>468</v>
      </c>
      <c r="N2188" s="14">
        <v>0</v>
      </c>
      <c r="O2188" s="14">
        <v>-1200</v>
      </c>
      <c r="P2188" s="14">
        <v>-732</v>
      </c>
      <c r="Q2188">
        <v>7302</v>
      </c>
      <c r="R2188">
        <v>3208</v>
      </c>
      <c r="S2188">
        <v>0</v>
      </c>
    </row>
    <row r="2189" spans="11:19" x14ac:dyDescent="0.3">
      <c r="K2189" s="16">
        <f t="shared" si="33"/>
        <v>44107</v>
      </c>
      <c r="L2189" s="17">
        <v>0.125</v>
      </c>
      <c r="M2189" s="14">
        <v>468</v>
      </c>
      <c r="N2189" s="14">
        <v>0</v>
      </c>
      <c r="O2189" s="14">
        <v>-1200</v>
      </c>
      <c r="P2189" s="14">
        <v>-732</v>
      </c>
      <c r="Q2189">
        <v>6890</v>
      </c>
      <c r="R2189">
        <v>3155</v>
      </c>
      <c r="S2189">
        <v>0</v>
      </c>
    </row>
    <row r="2190" spans="11:19" x14ac:dyDescent="0.3">
      <c r="K2190" s="16">
        <f t="shared" si="33"/>
        <v>44107</v>
      </c>
      <c r="L2190" s="17">
        <v>0.16666666666666666</v>
      </c>
      <c r="M2190" s="14">
        <v>468</v>
      </c>
      <c r="N2190" s="14">
        <v>0</v>
      </c>
      <c r="O2190" s="14">
        <v>-1200</v>
      </c>
      <c r="P2190" s="14">
        <v>-732</v>
      </c>
      <c r="Q2190">
        <v>6727</v>
      </c>
      <c r="R2190">
        <v>3157</v>
      </c>
      <c r="S2190">
        <v>0</v>
      </c>
    </row>
    <row r="2191" spans="11:19" x14ac:dyDescent="0.3">
      <c r="K2191" s="16">
        <f t="shared" si="33"/>
        <v>44107</v>
      </c>
      <c r="L2191" s="17">
        <v>0.20833333333333334</v>
      </c>
      <c r="M2191" s="14">
        <v>468</v>
      </c>
      <c r="N2191" s="14">
        <v>0</v>
      </c>
      <c r="O2191" s="14">
        <v>-1200</v>
      </c>
      <c r="P2191" s="14">
        <v>-732</v>
      </c>
      <c r="Q2191">
        <v>6763</v>
      </c>
      <c r="R2191">
        <v>2815</v>
      </c>
      <c r="S2191">
        <v>0</v>
      </c>
    </row>
    <row r="2192" spans="11:19" x14ac:dyDescent="0.3">
      <c r="K2192" s="16">
        <f t="shared" si="33"/>
        <v>44107</v>
      </c>
      <c r="L2192" s="17">
        <v>0.25</v>
      </c>
      <c r="M2192" s="14">
        <v>468</v>
      </c>
      <c r="N2192" s="14">
        <v>0</v>
      </c>
      <c r="O2192" s="14">
        <v>-1182</v>
      </c>
      <c r="P2192" s="14">
        <v>-714</v>
      </c>
      <c r="Q2192">
        <v>7052</v>
      </c>
      <c r="R2192">
        <v>2663</v>
      </c>
      <c r="S2192">
        <v>0</v>
      </c>
    </row>
    <row r="2193" spans="11:19" x14ac:dyDescent="0.3">
      <c r="K2193" s="16">
        <f t="shared" si="33"/>
        <v>44107</v>
      </c>
      <c r="L2193" s="17">
        <v>0.29166666666666669</v>
      </c>
      <c r="M2193" s="14">
        <v>468</v>
      </c>
      <c r="N2193" s="14">
        <v>0</v>
      </c>
      <c r="O2193" s="14">
        <v>-791</v>
      </c>
      <c r="P2193" s="14">
        <v>-323</v>
      </c>
      <c r="Q2193">
        <v>7350</v>
      </c>
      <c r="R2193">
        <v>2549</v>
      </c>
      <c r="S2193">
        <v>1</v>
      </c>
    </row>
    <row r="2194" spans="11:19" x14ac:dyDescent="0.3">
      <c r="K2194" s="16">
        <f t="shared" si="33"/>
        <v>44107</v>
      </c>
      <c r="L2194" s="17">
        <v>0.33333333333333331</v>
      </c>
      <c r="M2194" s="14">
        <v>468</v>
      </c>
      <c r="N2194" s="14">
        <v>0</v>
      </c>
      <c r="O2194" s="14">
        <v>-292</v>
      </c>
      <c r="P2194" s="14">
        <v>176</v>
      </c>
      <c r="Q2194">
        <v>7844</v>
      </c>
      <c r="R2194">
        <v>2439</v>
      </c>
      <c r="S2194">
        <v>94</v>
      </c>
    </row>
    <row r="2195" spans="11:19" x14ac:dyDescent="0.3">
      <c r="K2195" s="16">
        <f t="shared" si="33"/>
        <v>44107</v>
      </c>
      <c r="L2195" s="17">
        <v>0.375</v>
      </c>
      <c r="M2195" s="14">
        <v>468</v>
      </c>
      <c r="N2195" s="14">
        <v>0</v>
      </c>
      <c r="O2195" s="14">
        <v>0</v>
      </c>
      <c r="P2195" s="14">
        <v>468</v>
      </c>
      <c r="Q2195">
        <v>8482</v>
      </c>
      <c r="R2195">
        <v>2370</v>
      </c>
      <c r="S2195">
        <v>504</v>
      </c>
    </row>
    <row r="2196" spans="11:19" x14ac:dyDescent="0.3">
      <c r="K2196" s="16">
        <f t="shared" si="33"/>
        <v>44107</v>
      </c>
      <c r="L2196" s="17">
        <v>0.41666666666666669</v>
      </c>
      <c r="M2196" s="14">
        <v>468</v>
      </c>
      <c r="N2196" s="14">
        <v>0</v>
      </c>
      <c r="O2196" s="14">
        <v>-57</v>
      </c>
      <c r="P2196" s="14">
        <v>411</v>
      </c>
      <c r="Q2196">
        <v>8806</v>
      </c>
      <c r="R2196">
        <v>2305</v>
      </c>
      <c r="S2196">
        <v>953</v>
      </c>
    </row>
    <row r="2197" spans="11:19" x14ac:dyDescent="0.3">
      <c r="K2197" s="16">
        <f t="shared" si="33"/>
        <v>44107</v>
      </c>
      <c r="L2197" s="17">
        <v>0.45833333333333331</v>
      </c>
      <c r="M2197" s="14">
        <v>468</v>
      </c>
      <c r="N2197" s="14">
        <v>0</v>
      </c>
      <c r="O2197" s="14">
        <v>106</v>
      </c>
      <c r="P2197" s="14">
        <v>574</v>
      </c>
      <c r="Q2197">
        <v>9070</v>
      </c>
      <c r="R2197">
        <v>2023</v>
      </c>
      <c r="S2197">
        <v>1341</v>
      </c>
    </row>
    <row r="2198" spans="11:19" x14ac:dyDescent="0.3">
      <c r="K2198" s="16">
        <f t="shared" si="33"/>
        <v>44107</v>
      </c>
      <c r="L2198" s="17">
        <v>0.5</v>
      </c>
      <c r="M2198" s="14">
        <v>468</v>
      </c>
      <c r="N2198" s="14">
        <v>0</v>
      </c>
      <c r="O2198" s="14">
        <v>565</v>
      </c>
      <c r="P2198" s="14">
        <v>1033</v>
      </c>
      <c r="Q2198">
        <v>9450</v>
      </c>
      <c r="R2198">
        <v>1830</v>
      </c>
      <c r="S2198">
        <v>1457</v>
      </c>
    </row>
    <row r="2199" spans="11:19" x14ac:dyDescent="0.3">
      <c r="K2199" s="16">
        <f t="shared" si="33"/>
        <v>44107</v>
      </c>
      <c r="L2199" s="17">
        <v>0.54166666666666663</v>
      </c>
      <c r="M2199" s="14">
        <v>468</v>
      </c>
      <c r="N2199" s="14">
        <v>0</v>
      </c>
      <c r="O2199" s="14">
        <v>136</v>
      </c>
      <c r="P2199" s="14">
        <v>604</v>
      </c>
      <c r="Q2199">
        <v>9161</v>
      </c>
      <c r="R2199">
        <v>1889</v>
      </c>
      <c r="S2199">
        <v>1543</v>
      </c>
    </row>
    <row r="2200" spans="11:19" x14ac:dyDescent="0.3">
      <c r="K2200" s="16">
        <f t="shared" si="33"/>
        <v>44107</v>
      </c>
      <c r="L2200" s="17">
        <v>0.58333333333333337</v>
      </c>
      <c r="M2200" s="14">
        <v>468</v>
      </c>
      <c r="N2200" s="14">
        <v>0</v>
      </c>
      <c r="O2200" s="14">
        <v>31</v>
      </c>
      <c r="P2200" s="14">
        <v>499</v>
      </c>
      <c r="Q2200">
        <v>9019</v>
      </c>
      <c r="R2200">
        <v>1883</v>
      </c>
      <c r="S2200">
        <v>1518</v>
      </c>
    </row>
    <row r="2201" spans="11:19" x14ac:dyDescent="0.3">
      <c r="K2201" s="16">
        <f t="shared" si="33"/>
        <v>44107</v>
      </c>
      <c r="L2201" s="17">
        <v>0.625</v>
      </c>
      <c r="M2201" s="14">
        <v>468</v>
      </c>
      <c r="N2201" s="14">
        <v>0</v>
      </c>
      <c r="O2201" s="14">
        <v>-337</v>
      </c>
      <c r="P2201" s="14">
        <v>131</v>
      </c>
      <c r="Q2201">
        <v>8787</v>
      </c>
      <c r="R2201">
        <v>2177</v>
      </c>
      <c r="S2201">
        <v>1362</v>
      </c>
    </row>
    <row r="2202" spans="11:19" x14ac:dyDescent="0.3">
      <c r="K2202" s="16">
        <f t="shared" si="33"/>
        <v>44107</v>
      </c>
      <c r="L2202" s="17">
        <v>0.66666666666666663</v>
      </c>
      <c r="M2202" s="14">
        <v>468</v>
      </c>
      <c r="N2202" s="14">
        <v>0</v>
      </c>
      <c r="O2202" s="14">
        <v>-108</v>
      </c>
      <c r="P2202" s="14">
        <v>360</v>
      </c>
      <c r="Q2202">
        <v>8577</v>
      </c>
      <c r="R2202">
        <v>1922</v>
      </c>
      <c r="S2202">
        <v>1097</v>
      </c>
    </row>
    <row r="2203" spans="11:19" x14ac:dyDescent="0.3">
      <c r="K2203" s="16">
        <f t="shared" ref="K2203:K2266" si="34">K2179+1</f>
        <v>44107</v>
      </c>
      <c r="L2203" s="17">
        <v>0.70833333333333337</v>
      </c>
      <c r="M2203" s="14">
        <v>468</v>
      </c>
      <c r="N2203" s="14">
        <v>413</v>
      </c>
      <c r="O2203" s="14">
        <v>0</v>
      </c>
      <c r="P2203" s="14">
        <v>881</v>
      </c>
      <c r="Q2203">
        <v>8460</v>
      </c>
      <c r="R2203">
        <v>1756</v>
      </c>
      <c r="S2203">
        <v>620</v>
      </c>
    </row>
    <row r="2204" spans="11:19" x14ac:dyDescent="0.3">
      <c r="K2204" s="16">
        <f t="shared" si="34"/>
        <v>44107</v>
      </c>
      <c r="L2204" s="17">
        <v>0.75</v>
      </c>
      <c r="M2204" s="14">
        <v>468</v>
      </c>
      <c r="N2204" s="14">
        <v>0</v>
      </c>
      <c r="O2204" s="14">
        <v>1116</v>
      </c>
      <c r="P2204" s="14">
        <v>1584</v>
      </c>
      <c r="Q2204">
        <v>8459</v>
      </c>
      <c r="R2204">
        <v>1495</v>
      </c>
      <c r="S2204">
        <v>178</v>
      </c>
    </row>
    <row r="2205" spans="11:19" x14ac:dyDescent="0.3">
      <c r="K2205" s="16">
        <f t="shared" si="34"/>
        <v>44107</v>
      </c>
      <c r="L2205" s="17">
        <v>0.79166666666666663</v>
      </c>
      <c r="M2205" s="14">
        <v>468</v>
      </c>
      <c r="N2205" s="14">
        <v>548</v>
      </c>
      <c r="O2205" s="14">
        <v>1200</v>
      </c>
      <c r="P2205" s="14">
        <v>2216</v>
      </c>
      <c r="Q2205">
        <v>8700</v>
      </c>
      <c r="R2205">
        <v>1284</v>
      </c>
      <c r="S2205">
        <v>13</v>
      </c>
    </row>
    <row r="2206" spans="11:19" x14ac:dyDescent="0.3">
      <c r="K2206" s="16">
        <f t="shared" si="34"/>
        <v>44107</v>
      </c>
      <c r="L2206" s="17">
        <v>0.83333333333333337</v>
      </c>
      <c r="M2206" s="14">
        <v>468</v>
      </c>
      <c r="N2206" s="14">
        <v>0</v>
      </c>
      <c r="O2206" s="14">
        <v>1200</v>
      </c>
      <c r="P2206" s="14">
        <v>1668</v>
      </c>
      <c r="Q2206">
        <v>8567</v>
      </c>
      <c r="R2206">
        <v>1411</v>
      </c>
      <c r="S2206">
        <v>0</v>
      </c>
    </row>
    <row r="2207" spans="11:19" x14ac:dyDescent="0.3">
      <c r="K2207" s="16">
        <f t="shared" si="34"/>
        <v>44107</v>
      </c>
      <c r="L2207" s="17">
        <v>0.875</v>
      </c>
      <c r="M2207" s="14">
        <v>468</v>
      </c>
      <c r="N2207" s="14">
        <v>0</v>
      </c>
      <c r="O2207" s="14">
        <v>1171</v>
      </c>
      <c r="P2207" s="14">
        <v>1639</v>
      </c>
      <c r="Q2207">
        <v>8126</v>
      </c>
      <c r="R2207">
        <v>1401</v>
      </c>
      <c r="S2207">
        <v>0</v>
      </c>
    </row>
    <row r="2208" spans="11:19" x14ac:dyDescent="0.3">
      <c r="K2208" s="16">
        <f t="shared" si="34"/>
        <v>44107</v>
      </c>
      <c r="L2208" s="17">
        <v>0.91666666666666663</v>
      </c>
      <c r="M2208" s="14">
        <v>468</v>
      </c>
      <c r="N2208" s="14">
        <v>478</v>
      </c>
      <c r="O2208" s="14">
        <v>972</v>
      </c>
      <c r="P2208" s="14">
        <v>1918</v>
      </c>
      <c r="Q2208">
        <v>8400</v>
      </c>
      <c r="R2208">
        <v>1398</v>
      </c>
      <c r="S2208">
        <v>0</v>
      </c>
    </row>
    <row r="2209" spans="11:19" x14ac:dyDescent="0.3">
      <c r="K2209" s="16">
        <f t="shared" si="34"/>
        <v>44107</v>
      </c>
      <c r="L2209" s="17">
        <v>0.95833333333333337</v>
      </c>
      <c r="M2209" s="14">
        <v>468</v>
      </c>
      <c r="N2209" s="14">
        <v>469</v>
      </c>
      <c r="O2209" s="14">
        <v>1200</v>
      </c>
      <c r="P2209" s="14">
        <v>2137</v>
      </c>
      <c r="Q2209">
        <v>8478</v>
      </c>
      <c r="R2209">
        <v>1278</v>
      </c>
      <c r="S2209">
        <v>0</v>
      </c>
    </row>
    <row r="2210" spans="11:19" x14ac:dyDescent="0.3">
      <c r="K2210" s="16">
        <f t="shared" si="34"/>
        <v>44108</v>
      </c>
      <c r="L2210" s="17">
        <v>0</v>
      </c>
      <c r="M2210" s="14">
        <v>396</v>
      </c>
      <c r="N2210" s="14">
        <v>539</v>
      </c>
      <c r="O2210" s="14">
        <v>241</v>
      </c>
      <c r="P2210" s="14">
        <v>1176</v>
      </c>
      <c r="Q2210">
        <v>7754</v>
      </c>
      <c r="R2210">
        <v>1217</v>
      </c>
      <c r="S2210">
        <v>0</v>
      </c>
    </row>
    <row r="2211" spans="11:19" x14ac:dyDescent="0.3">
      <c r="K2211" s="16">
        <f t="shared" si="34"/>
        <v>44108</v>
      </c>
      <c r="L2211" s="17">
        <v>4.1666666666666664E-2</v>
      </c>
      <c r="M2211" s="14">
        <v>396</v>
      </c>
      <c r="N2211" s="14">
        <v>0</v>
      </c>
      <c r="O2211" s="14">
        <v>398</v>
      </c>
      <c r="P2211" s="14">
        <v>794</v>
      </c>
      <c r="Q2211">
        <v>7332</v>
      </c>
      <c r="R2211">
        <v>1178</v>
      </c>
      <c r="S2211">
        <v>0</v>
      </c>
    </row>
    <row r="2212" spans="11:19" x14ac:dyDescent="0.3">
      <c r="K2212" s="16">
        <f t="shared" si="34"/>
        <v>44108</v>
      </c>
      <c r="L2212" s="17">
        <v>8.3333333333333329E-2</v>
      </c>
      <c r="M2212" s="14">
        <v>396</v>
      </c>
      <c r="N2212" s="14">
        <v>0</v>
      </c>
      <c r="O2212" s="14">
        <v>8</v>
      </c>
      <c r="P2212" s="14">
        <v>404</v>
      </c>
      <c r="Q2212">
        <v>6925</v>
      </c>
      <c r="R2212">
        <v>1160</v>
      </c>
      <c r="S2212">
        <v>0</v>
      </c>
    </row>
    <row r="2213" spans="11:19" x14ac:dyDescent="0.3">
      <c r="K2213" s="16">
        <f t="shared" si="34"/>
        <v>44108</v>
      </c>
      <c r="L2213" s="17">
        <v>0.125</v>
      </c>
      <c r="M2213" s="14">
        <v>396</v>
      </c>
      <c r="N2213" s="14">
        <v>0</v>
      </c>
      <c r="O2213" s="14">
        <v>-257</v>
      </c>
      <c r="P2213" s="14">
        <v>139</v>
      </c>
      <c r="Q2213">
        <v>6464</v>
      </c>
      <c r="R2213">
        <v>963</v>
      </c>
      <c r="S2213">
        <v>0</v>
      </c>
    </row>
    <row r="2214" spans="11:19" x14ac:dyDescent="0.3">
      <c r="K2214" s="16">
        <f t="shared" si="34"/>
        <v>44108</v>
      </c>
      <c r="L2214" s="17">
        <v>0.16666666666666666</v>
      </c>
      <c r="M2214" s="14">
        <v>396</v>
      </c>
      <c r="N2214" s="14">
        <v>0</v>
      </c>
      <c r="O2214" s="14">
        <v>-430</v>
      </c>
      <c r="P2214" s="14">
        <v>-34</v>
      </c>
      <c r="Q2214">
        <v>6240</v>
      </c>
      <c r="R2214">
        <v>908</v>
      </c>
      <c r="S2214">
        <v>0</v>
      </c>
    </row>
    <row r="2215" spans="11:19" x14ac:dyDescent="0.3">
      <c r="K2215" s="16">
        <f t="shared" si="34"/>
        <v>44108</v>
      </c>
      <c r="L2215" s="17">
        <v>0.20833333333333334</v>
      </c>
      <c r="M2215" s="14">
        <v>396</v>
      </c>
      <c r="N2215" s="14">
        <v>0</v>
      </c>
      <c r="O2215" s="14">
        <v>-540</v>
      </c>
      <c r="P2215" s="14">
        <v>-144</v>
      </c>
      <c r="Q2215">
        <v>6179</v>
      </c>
      <c r="R2215">
        <v>945</v>
      </c>
      <c r="S2215">
        <v>0</v>
      </c>
    </row>
    <row r="2216" spans="11:19" x14ac:dyDescent="0.3">
      <c r="K2216" s="16">
        <f t="shared" si="34"/>
        <v>44108</v>
      </c>
      <c r="L2216" s="17">
        <v>0.25</v>
      </c>
      <c r="M2216" s="14">
        <v>396</v>
      </c>
      <c r="N2216" s="14">
        <v>0</v>
      </c>
      <c r="O2216" s="14">
        <v>-417</v>
      </c>
      <c r="P2216" s="14">
        <v>-21</v>
      </c>
      <c r="Q2216">
        <v>6270</v>
      </c>
      <c r="R2216">
        <v>886</v>
      </c>
      <c r="S2216">
        <v>0</v>
      </c>
    </row>
    <row r="2217" spans="11:19" x14ac:dyDescent="0.3">
      <c r="K2217" s="16">
        <f t="shared" si="34"/>
        <v>44108</v>
      </c>
      <c r="L2217" s="17">
        <v>0.29166666666666669</v>
      </c>
      <c r="M2217" s="14">
        <v>396</v>
      </c>
      <c r="N2217" s="14">
        <v>0</v>
      </c>
      <c r="O2217" s="14">
        <v>-246</v>
      </c>
      <c r="P2217" s="14">
        <v>150</v>
      </c>
      <c r="Q2217">
        <v>6355</v>
      </c>
      <c r="R2217">
        <v>778</v>
      </c>
      <c r="S2217">
        <v>3</v>
      </c>
    </row>
    <row r="2218" spans="11:19" x14ac:dyDescent="0.3">
      <c r="K2218" s="16">
        <f t="shared" si="34"/>
        <v>44108</v>
      </c>
      <c r="L2218" s="17">
        <v>0.33333333333333331</v>
      </c>
      <c r="M2218" s="14">
        <v>396</v>
      </c>
      <c r="N2218" s="14">
        <v>0</v>
      </c>
      <c r="O2218" s="14">
        <v>37</v>
      </c>
      <c r="P2218" s="14">
        <v>433</v>
      </c>
      <c r="Q2218">
        <v>6734</v>
      </c>
      <c r="R2218">
        <v>755</v>
      </c>
      <c r="S2218">
        <v>110</v>
      </c>
    </row>
    <row r="2219" spans="11:19" x14ac:dyDescent="0.3">
      <c r="K2219" s="16">
        <f t="shared" si="34"/>
        <v>44108</v>
      </c>
      <c r="L2219" s="17">
        <v>0.375</v>
      </c>
      <c r="M2219" s="14">
        <v>396</v>
      </c>
      <c r="N2219" s="14">
        <v>194</v>
      </c>
      <c r="O2219" s="14">
        <v>0</v>
      </c>
      <c r="P2219" s="14">
        <v>590</v>
      </c>
      <c r="Q2219">
        <v>7339</v>
      </c>
      <c r="R2219">
        <v>751</v>
      </c>
      <c r="S2219">
        <v>556</v>
      </c>
    </row>
    <row r="2220" spans="11:19" x14ac:dyDescent="0.3">
      <c r="K2220" s="16">
        <f t="shared" si="34"/>
        <v>44108</v>
      </c>
      <c r="L2220" s="17">
        <v>0.41666666666666669</v>
      </c>
      <c r="M2220" s="14">
        <v>396</v>
      </c>
      <c r="N2220" s="14">
        <v>243</v>
      </c>
      <c r="O2220" s="14">
        <v>0</v>
      </c>
      <c r="P2220" s="14">
        <v>639</v>
      </c>
      <c r="Q2220">
        <v>7789</v>
      </c>
      <c r="R2220">
        <v>704</v>
      </c>
      <c r="S2220">
        <v>1008</v>
      </c>
    </row>
    <row r="2221" spans="11:19" x14ac:dyDescent="0.3">
      <c r="K2221" s="16">
        <f t="shared" si="34"/>
        <v>44108</v>
      </c>
      <c r="L2221" s="17">
        <v>0.45833333333333331</v>
      </c>
      <c r="M2221" s="14">
        <v>396</v>
      </c>
      <c r="N2221" s="14">
        <v>0</v>
      </c>
      <c r="O2221" s="14">
        <v>179</v>
      </c>
      <c r="P2221" s="14">
        <v>575</v>
      </c>
      <c r="Q2221">
        <v>8139</v>
      </c>
      <c r="R2221">
        <v>831</v>
      </c>
      <c r="S2221">
        <v>1300</v>
      </c>
    </row>
    <row r="2222" spans="11:19" x14ac:dyDescent="0.3">
      <c r="K2222" s="16">
        <f t="shared" si="34"/>
        <v>44108</v>
      </c>
      <c r="L2222" s="17">
        <v>0.5</v>
      </c>
      <c r="M2222" s="14">
        <v>396</v>
      </c>
      <c r="N2222" s="14">
        <v>184</v>
      </c>
      <c r="O2222" s="14">
        <v>0</v>
      </c>
      <c r="P2222" s="14">
        <v>580</v>
      </c>
      <c r="Q2222">
        <v>8547</v>
      </c>
      <c r="R2222">
        <v>1271</v>
      </c>
      <c r="S2222">
        <v>1264</v>
      </c>
    </row>
    <row r="2223" spans="11:19" x14ac:dyDescent="0.3">
      <c r="K2223" s="16">
        <f t="shared" si="34"/>
        <v>44108</v>
      </c>
      <c r="L2223" s="17">
        <v>0.54166666666666663</v>
      </c>
      <c r="M2223" s="14">
        <v>396</v>
      </c>
      <c r="N2223" s="14">
        <v>0</v>
      </c>
      <c r="O2223" s="14">
        <v>-430</v>
      </c>
      <c r="P2223" s="14">
        <v>-34</v>
      </c>
      <c r="Q2223">
        <v>8129</v>
      </c>
      <c r="R2223">
        <v>1418</v>
      </c>
      <c r="S2223">
        <v>1319</v>
      </c>
    </row>
    <row r="2224" spans="11:19" x14ac:dyDescent="0.3">
      <c r="K2224" s="16">
        <f t="shared" si="34"/>
        <v>44108</v>
      </c>
      <c r="L2224" s="17">
        <v>0.58333333333333337</v>
      </c>
      <c r="M2224" s="14">
        <v>396</v>
      </c>
      <c r="N2224" s="14">
        <v>0</v>
      </c>
      <c r="O2224" s="14">
        <v>-881</v>
      </c>
      <c r="P2224" s="14">
        <v>-485</v>
      </c>
      <c r="Q2224">
        <v>7809</v>
      </c>
      <c r="R2224">
        <v>1473</v>
      </c>
      <c r="S2224">
        <v>1400</v>
      </c>
    </row>
    <row r="2225" spans="11:19" x14ac:dyDescent="0.3">
      <c r="K2225" s="16">
        <f t="shared" si="34"/>
        <v>44108</v>
      </c>
      <c r="L2225" s="17">
        <v>0.625</v>
      </c>
      <c r="M2225" s="14">
        <v>396</v>
      </c>
      <c r="N2225" s="14">
        <v>0</v>
      </c>
      <c r="O2225" s="14">
        <v>-1200</v>
      </c>
      <c r="P2225" s="14">
        <v>-804</v>
      </c>
      <c r="Q2225">
        <v>7516</v>
      </c>
      <c r="R2225">
        <v>1616</v>
      </c>
      <c r="S2225">
        <v>1343</v>
      </c>
    </row>
    <row r="2226" spans="11:19" x14ac:dyDescent="0.3">
      <c r="K2226" s="16">
        <f t="shared" si="34"/>
        <v>44108</v>
      </c>
      <c r="L2226" s="17">
        <v>0.66666666666666663</v>
      </c>
      <c r="M2226" s="14">
        <v>396</v>
      </c>
      <c r="N2226" s="14">
        <v>0</v>
      </c>
      <c r="O2226" s="14">
        <v>-1200</v>
      </c>
      <c r="P2226" s="14">
        <v>-804</v>
      </c>
      <c r="Q2226">
        <v>7311</v>
      </c>
      <c r="R2226">
        <v>1679</v>
      </c>
      <c r="S2226">
        <v>1140</v>
      </c>
    </row>
    <row r="2227" spans="11:19" x14ac:dyDescent="0.3">
      <c r="K2227" s="16">
        <f t="shared" si="34"/>
        <v>44108</v>
      </c>
      <c r="L2227" s="17">
        <v>0.70833333333333337</v>
      </c>
      <c r="M2227" s="14">
        <v>396</v>
      </c>
      <c r="N2227" s="14">
        <v>0</v>
      </c>
      <c r="O2227" s="14">
        <v>-926</v>
      </c>
      <c r="P2227" s="14">
        <v>-530</v>
      </c>
      <c r="Q2227">
        <v>7281</v>
      </c>
      <c r="R2227">
        <v>1574</v>
      </c>
      <c r="S2227">
        <v>733</v>
      </c>
    </row>
    <row r="2228" spans="11:19" x14ac:dyDescent="0.3">
      <c r="K2228" s="16">
        <f t="shared" si="34"/>
        <v>44108</v>
      </c>
      <c r="L2228" s="17">
        <v>0.75</v>
      </c>
      <c r="M2228" s="14">
        <v>396</v>
      </c>
      <c r="N2228" s="14">
        <v>0</v>
      </c>
      <c r="O2228" s="14">
        <v>324</v>
      </c>
      <c r="P2228" s="14">
        <v>720</v>
      </c>
      <c r="Q2228">
        <v>7547</v>
      </c>
      <c r="R2228">
        <v>1088</v>
      </c>
      <c r="S2228">
        <v>236</v>
      </c>
    </row>
    <row r="2229" spans="11:19" x14ac:dyDescent="0.3">
      <c r="K2229" s="16">
        <f t="shared" si="34"/>
        <v>44108</v>
      </c>
      <c r="L2229" s="17">
        <v>0.79166666666666663</v>
      </c>
      <c r="M2229" s="14">
        <v>396</v>
      </c>
      <c r="N2229" s="14">
        <v>0</v>
      </c>
      <c r="O2229" s="14">
        <v>1200</v>
      </c>
      <c r="P2229" s="14">
        <v>1596</v>
      </c>
      <c r="Q2229">
        <v>8133</v>
      </c>
      <c r="R2229">
        <v>889</v>
      </c>
      <c r="S2229">
        <v>12</v>
      </c>
    </row>
    <row r="2230" spans="11:19" x14ac:dyDescent="0.3">
      <c r="K2230" s="16">
        <f t="shared" si="34"/>
        <v>44108</v>
      </c>
      <c r="L2230" s="17">
        <v>0.83333333333333337</v>
      </c>
      <c r="M2230" s="14">
        <v>396</v>
      </c>
      <c r="N2230" s="14">
        <v>178</v>
      </c>
      <c r="O2230" s="14">
        <v>1200</v>
      </c>
      <c r="P2230" s="14">
        <v>1774</v>
      </c>
      <c r="Q2230">
        <v>8201</v>
      </c>
      <c r="R2230">
        <v>951</v>
      </c>
      <c r="S2230">
        <v>0</v>
      </c>
    </row>
    <row r="2231" spans="11:19" x14ac:dyDescent="0.3">
      <c r="K2231" s="16">
        <f t="shared" si="34"/>
        <v>44108</v>
      </c>
      <c r="L2231" s="17">
        <v>0.875</v>
      </c>
      <c r="M2231" s="14">
        <v>396</v>
      </c>
      <c r="N2231" s="14">
        <v>266</v>
      </c>
      <c r="O2231" s="14">
        <v>587</v>
      </c>
      <c r="P2231" s="14">
        <v>1249</v>
      </c>
      <c r="Q2231">
        <v>7740</v>
      </c>
      <c r="R2231">
        <v>1024</v>
      </c>
      <c r="S2231">
        <v>0</v>
      </c>
    </row>
    <row r="2232" spans="11:19" x14ac:dyDescent="0.3">
      <c r="K2232" s="16">
        <f t="shared" si="34"/>
        <v>44108</v>
      </c>
      <c r="L2232" s="17">
        <v>0.91666666666666663</v>
      </c>
      <c r="M2232" s="14">
        <v>396</v>
      </c>
      <c r="N2232" s="14">
        <v>0</v>
      </c>
      <c r="O2232" s="14">
        <v>779</v>
      </c>
      <c r="P2232" s="14">
        <v>1175</v>
      </c>
      <c r="Q2232">
        <v>7911</v>
      </c>
      <c r="R2232">
        <v>1351</v>
      </c>
      <c r="S2232">
        <v>0</v>
      </c>
    </row>
    <row r="2233" spans="11:19" x14ac:dyDescent="0.3">
      <c r="K2233" s="16">
        <f t="shared" si="34"/>
        <v>44108</v>
      </c>
      <c r="L2233" s="17">
        <v>0.95833333333333337</v>
      </c>
      <c r="M2233" s="14">
        <v>396</v>
      </c>
      <c r="N2233" s="14">
        <v>539</v>
      </c>
      <c r="O2233" s="14">
        <v>271</v>
      </c>
      <c r="P2233" s="14">
        <v>1206</v>
      </c>
      <c r="Q2233">
        <v>8011</v>
      </c>
      <c r="R2233">
        <v>1441</v>
      </c>
      <c r="S2233">
        <v>0</v>
      </c>
    </row>
    <row r="2234" spans="11:19" x14ac:dyDescent="0.3">
      <c r="K2234" s="16">
        <f t="shared" si="34"/>
        <v>44109</v>
      </c>
      <c r="L2234" s="17">
        <v>0</v>
      </c>
      <c r="M2234" s="14">
        <v>396</v>
      </c>
      <c r="N2234" s="14">
        <v>0</v>
      </c>
      <c r="O2234" s="14">
        <v>280</v>
      </c>
      <c r="P2234" s="14">
        <v>676</v>
      </c>
      <c r="Q2234">
        <v>7390</v>
      </c>
      <c r="R2234">
        <v>1349</v>
      </c>
      <c r="S2234">
        <v>0</v>
      </c>
    </row>
    <row r="2235" spans="11:19" x14ac:dyDescent="0.3">
      <c r="K2235" s="16">
        <f t="shared" si="34"/>
        <v>44109</v>
      </c>
      <c r="L2235" s="17">
        <v>4.1666666666666664E-2</v>
      </c>
      <c r="M2235" s="14">
        <v>396</v>
      </c>
      <c r="N2235" s="14">
        <v>0</v>
      </c>
      <c r="O2235" s="14">
        <v>0</v>
      </c>
      <c r="P2235" s="14">
        <v>396</v>
      </c>
      <c r="Q2235">
        <v>7029</v>
      </c>
      <c r="R2235">
        <v>1270</v>
      </c>
      <c r="S2235">
        <v>0</v>
      </c>
    </row>
    <row r="2236" spans="11:19" x14ac:dyDescent="0.3">
      <c r="K2236" s="16">
        <f t="shared" si="34"/>
        <v>44109</v>
      </c>
      <c r="L2236" s="17">
        <v>8.3333333333333329E-2</v>
      </c>
      <c r="M2236" s="14">
        <v>396</v>
      </c>
      <c r="N2236" s="14">
        <v>0</v>
      </c>
      <c r="O2236" s="14">
        <v>-462</v>
      </c>
      <c r="P2236" s="14">
        <v>-66</v>
      </c>
      <c r="Q2236">
        <v>6725</v>
      </c>
      <c r="R2236">
        <v>1428</v>
      </c>
      <c r="S2236">
        <v>0</v>
      </c>
    </row>
    <row r="2237" spans="11:19" x14ac:dyDescent="0.3">
      <c r="K2237" s="16">
        <f t="shared" si="34"/>
        <v>44109</v>
      </c>
      <c r="L2237" s="17">
        <v>0.125</v>
      </c>
      <c r="M2237" s="14">
        <v>396</v>
      </c>
      <c r="N2237" s="14">
        <v>0</v>
      </c>
      <c r="O2237" s="14">
        <v>-793</v>
      </c>
      <c r="P2237" s="14">
        <v>-397</v>
      </c>
      <c r="Q2237">
        <v>6369</v>
      </c>
      <c r="R2237">
        <v>1403</v>
      </c>
      <c r="S2237">
        <v>0</v>
      </c>
    </row>
    <row r="2238" spans="11:19" x14ac:dyDescent="0.3">
      <c r="K2238" s="16">
        <f t="shared" si="34"/>
        <v>44109</v>
      </c>
      <c r="L2238" s="17">
        <v>0.16666666666666666</v>
      </c>
      <c r="M2238" s="14">
        <v>396</v>
      </c>
      <c r="N2238" s="14">
        <v>0</v>
      </c>
      <c r="O2238" s="14">
        <v>-941</v>
      </c>
      <c r="P2238" s="14">
        <v>-545</v>
      </c>
      <c r="Q2238">
        <v>6353</v>
      </c>
      <c r="R2238">
        <v>1531</v>
      </c>
      <c r="S2238">
        <v>0</v>
      </c>
    </row>
    <row r="2239" spans="11:19" x14ac:dyDescent="0.3">
      <c r="K2239" s="16">
        <f t="shared" si="34"/>
        <v>44109</v>
      </c>
      <c r="L2239" s="17">
        <v>0.20833333333333334</v>
      </c>
      <c r="M2239" s="14">
        <v>396</v>
      </c>
      <c r="N2239" s="14">
        <v>0</v>
      </c>
      <c r="O2239" s="14">
        <v>-428</v>
      </c>
      <c r="P2239" s="14">
        <v>-32</v>
      </c>
      <c r="Q2239">
        <v>6838</v>
      </c>
      <c r="R2239">
        <v>1483</v>
      </c>
      <c r="S2239">
        <v>0</v>
      </c>
    </row>
    <row r="2240" spans="11:19" x14ac:dyDescent="0.3">
      <c r="K2240" s="16">
        <f t="shared" si="34"/>
        <v>44109</v>
      </c>
      <c r="L2240" s="17">
        <v>0.25</v>
      </c>
      <c r="M2240" s="14">
        <v>396</v>
      </c>
      <c r="N2240" s="14">
        <v>0</v>
      </c>
      <c r="O2240" s="14">
        <v>552</v>
      </c>
      <c r="P2240" s="14">
        <v>948</v>
      </c>
      <c r="Q2240">
        <v>7939</v>
      </c>
      <c r="R2240">
        <v>1568</v>
      </c>
      <c r="S2240">
        <v>0</v>
      </c>
    </row>
    <row r="2241" spans="11:19" x14ac:dyDescent="0.3">
      <c r="K2241" s="16">
        <f t="shared" si="34"/>
        <v>44109</v>
      </c>
      <c r="L2241" s="17">
        <v>0.29166666666666669</v>
      </c>
      <c r="M2241" s="14">
        <v>396</v>
      </c>
      <c r="N2241" s="14">
        <v>188</v>
      </c>
      <c r="O2241" s="14">
        <v>1200</v>
      </c>
      <c r="P2241" s="14">
        <v>1784</v>
      </c>
      <c r="Q2241">
        <v>8811</v>
      </c>
      <c r="R2241">
        <v>1588</v>
      </c>
      <c r="S2241">
        <v>6</v>
      </c>
    </row>
    <row r="2242" spans="11:19" x14ac:dyDescent="0.3">
      <c r="K2242" s="16">
        <f t="shared" si="34"/>
        <v>44109</v>
      </c>
      <c r="L2242" s="17">
        <v>0.33333333333333331</v>
      </c>
      <c r="M2242" s="14">
        <v>396</v>
      </c>
      <c r="N2242" s="14">
        <v>186</v>
      </c>
      <c r="O2242" s="14">
        <v>1200</v>
      </c>
      <c r="P2242" s="14">
        <v>1782</v>
      </c>
      <c r="Q2242">
        <v>9155</v>
      </c>
      <c r="R2242">
        <v>1808</v>
      </c>
      <c r="S2242">
        <v>135</v>
      </c>
    </row>
    <row r="2243" spans="11:19" x14ac:dyDescent="0.3">
      <c r="K2243" s="16">
        <f t="shared" si="34"/>
        <v>44109</v>
      </c>
      <c r="L2243" s="17">
        <v>0.375</v>
      </c>
      <c r="M2243" s="14">
        <v>396</v>
      </c>
      <c r="N2243" s="14">
        <v>0</v>
      </c>
      <c r="O2243" s="14">
        <v>1177</v>
      </c>
      <c r="P2243" s="14">
        <v>1573</v>
      </c>
      <c r="Q2243">
        <v>9466</v>
      </c>
      <c r="R2243">
        <v>1836</v>
      </c>
      <c r="S2243">
        <v>627</v>
      </c>
    </row>
    <row r="2244" spans="11:19" x14ac:dyDescent="0.3">
      <c r="K2244" s="16">
        <f t="shared" si="34"/>
        <v>44109</v>
      </c>
      <c r="L2244" s="17">
        <v>0.41666666666666669</v>
      </c>
      <c r="M2244" s="14">
        <v>396</v>
      </c>
      <c r="N2244" s="14">
        <v>0</v>
      </c>
      <c r="O2244" s="14">
        <v>769</v>
      </c>
      <c r="P2244" s="14">
        <v>1165</v>
      </c>
      <c r="Q2244">
        <v>9606</v>
      </c>
      <c r="R2244">
        <v>1810</v>
      </c>
      <c r="S2244">
        <v>1200</v>
      </c>
    </row>
    <row r="2245" spans="11:19" x14ac:dyDescent="0.3">
      <c r="K2245" s="16">
        <f t="shared" si="34"/>
        <v>44109</v>
      </c>
      <c r="L2245" s="17">
        <v>0.45833333333333331</v>
      </c>
      <c r="M2245" s="14">
        <v>396</v>
      </c>
      <c r="N2245" s="14">
        <v>0</v>
      </c>
      <c r="O2245" s="14">
        <v>285</v>
      </c>
      <c r="P2245" s="14">
        <v>681</v>
      </c>
      <c r="Q2245">
        <v>9760</v>
      </c>
      <c r="R2245">
        <v>2070</v>
      </c>
      <c r="S2245">
        <v>1580</v>
      </c>
    </row>
    <row r="2246" spans="11:19" x14ac:dyDescent="0.3">
      <c r="K2246" s="16">
        <f t="shared" si="34"/>
        <v>44109</v>
      </c>
      <c r="L2246" s="17">
        <v>0.5</v>
      </c>
      <c r="M2246" s="14">
        <v>396</v>
      </c>
      <c r="N2246" s="14">
        <v>0</v>
      </c>
      <c r="O2246" s="14">
        <v>207</v>
      </c>
      <c r="P2246" s="14">
        <v>603</v>
      </c>
      <c r="Q2246">
        <v>9812</v>
      </c>
      <c r="R2246">
        <v>2101</v>
      </c>
      <c r="S2246">
        <v>1680</v>
      </c>
    </row>
    <row r="2247" spans="11:19" x14ac:dyDescent="0.3">
      <c r="K2247" s="16">
        <f t="shared" si="34"/>
        <v>44109</v>
      </c>
      <c r="L2247" s="17">
        <v>0.54166666666666663</v>
      </c>
      <c r="M2247" s="14">
        <v>396</v>
      </c>
      <c r="N2247" s="14">
        <v>0</v>
      </c>
      <c r="O2247" s="14">
        <v>-610</v>
      </c>
      <c r="P2247" s="14">
        <v>-214</v>
      </c>
      <c r="Q2247">
        <v>9662</v>
      </c>
      <c r="R2247">
        <v>2644</v>
      </c>
      <c r="S2247">
        <v>1806</v>
      </c>
    </row>
    <row r="2248" spans="11:19" x14ac:dyDescent="0.3">
      <c r="K2248" s="16">
        <f t="shared" si="34"/>
        <v>44109</v>
      </c>
      <c r="L2248" s="17">
        <v>0.58333333333333337</v>
      </c>
      <c r="M2248" s="14">
        <v>396</v>
      </c>
      <c r="N2248" s="14">
        <v>0</v>
      </c>
      <c r="O2248" s="14">
        <v>-815</v>
      </c>
      <c r="P2248" s="14">
        <v>-419</v>
      </c>
      <c r="Q2248">
        <v>9561</v>
      </c>
      <c r="R2248">
        <v>2875</v>
      </c>
      <c r="S2248">
        <v>1678</v>
      </c>
    </row>
    <row r="2249" spans="11:19" x14ac:dyDescent="0.3">
      <c r="K2249" s="16">
        <f t="shared" si="34"/>
        <v>44109</v>
      </c>
      <c r="L2249" s="17">
        <v>0.625</v>
      </c>
      <c r="M2249" s="14">
        <v>396</v>
      </c>
      <c r="N2249" s="14">
        <v>0</v>
      </c>
      <c r="O2249" s="14">
        <v>-662</v>
      </c>
      <c r="P2249" s="14">
        <v>-266</v>
      </c>
      <c r="Q2249">
        <v>9325</v>
      </c>
      <c r="R2249">
        <v>3263</v>
      </c>
      <c r="S2249">
        <v>1519</v>
      </c>
    </row>
    <row r="2250" spans="11:19" x14ac:dyDescent="0.3">
      <c r="K2250" s="16">
        <f t="shared" si="34"/>
        <v>44109</v>
      </c>
      <c r="L2250" s="17">
        <v>0.66666666666666663</v>
      </c>
      <c r="M2250" s="14">
        <v>396</v>
      </c>
      <c r="N2250" s="14">
        <v>0</v>
      </c>
      <c r="O2250" s="14">
        <v>-1076</v>
      </c>
      <c r="P2250" s="14">
        <v>-680</v>
      </c>
      <c r="Q2250">
        <v>9109</v>
      </c>
      <c r="R2250">
        <v>3354</v>
      </c>
      <c r="S2250">
        <v>1139</v>
      </c>
    </row>
    <row r="2251" spans="11:19" x14ac:dyDescent="0.3">
      <c r="K2251" s="16">
        <f t="shared" si="34"/>
        <v>44109</v>
      </c>
      <c r="L2251" s="17">
        <v>0.70833333333333337</v>
      </c>
      <c r="M2251" s="14">
        <v>396</v>
      </c>
      <c r="N2251" s="14">
        <v>0</v>
      </c>
      <c r="O2251" s="14">
        <v>-916</v>
      </c>
      <c r="P2251" s="14">
        <v>-520</v>
      </c>
      <c r="Q2251">
        <v>8989</v>
      </c>
      <c r="R2251">
        <v>3433</v>
      </c>
      <c r="S2251">
        <v>642</v>
      </c>
    </row>
    <row r="2252" spans="11:19" x14ac:dyDescent="0.3">
      <c r="K2252" s="16">
        <f t="shared" si="34"/>
        <v>44109</v>
      </c>
      <c r="L2252" s="17">
        <v>0.75</v>
      </c>
      <c r="M2252" s="14">
        <v>396</v>
      </c>
      <c r="N2252" s="14">
        <v>0</v>
      </c>
      <c r="O2252" s="14">
        <v>17</v>
      </c>
      <c r="P2252" s="14">
        <v>413</v>
      </c>
      <c r="Q2252">
        <v>9284</v>
      </c>
      <c r="R2252">
        <v>3272</v>
      </c>
      <c r="S2252">
        <v>164</v>
      </c>
    </row>
    <row r="2253" spans="11:19" x14ac:dyDescent="0.3">
      <c r="K2253" s="16">
        <f t="shared" si="34"/>
        <v>44109</v>
      </c>
      <c r="L2253" s="17">
        <v>0.79166666666666663</v>
      </c>
      <c r="M2253" s="14">
        <v>396</v>
      </c>
      <c r="N2253" s="14">
        <v>0</v>
      </c>
      <c r="O2253" s="14">
        <v>638</v>
      </c>
      <c r="P2253" s="14">
        <v>1034</v>
      </c>
      <c r="Q2253">
        <v>9603</v>
      </c>
      <c r="R2253">
        <v>3138</v>
      </c>
      <c r="S2253">
        <v>4</v>
      </c>
    </row>
    <row r="2254" spans="11:19" x14ac:dyDescent="0.3">
      <c r="K2254" s="16">
        <f t="shared" si="34"/>
        <v>44109</v>
      </c>
      <c r="L2254" s="17">
        <v>0.83333333333333337</v>
      </c>
      <c r="M2254" s="14">
        <v>396</v>
      </c>
      <c r="N2254" s="14">
        <v>0</v>
      </c>
      <c r="O2254" s="14">
        <v>166</v>
      </c>
      <c r="P2254" s="14">
        <v>562</v>
      </c>
      <c r="Q2254">
        <v>9094</v>
      </c>
      <c r="R2254">
        <v>3118</v>
      </c>
      <c r="S2254">
        <v>0</v>
      </c>
    </row>
    <row r="2255" spans="11:19" x14ac:dyDescent="0.3">
      <c r="K2255" s="16">
        <f t="shared" si="34"/>
        <v>44109</v>
      </c>
      <c r="L2255" s="17">
        <v>0.875</v>
      </c>
      <c r="M2255" s="14">
        <v>396</v>
      </c>
      <c r="N2255" s="14">
        <v>0</v>
      </c>
      <c r="O2255" s="14">
        <v>-726</v>
      </c>
      <c r="P2255" s="14">
        <v>-330</v>
      </c>
      <c r="Q2255">
        <v>8378</v>
      </c>
      <c r="R2255">
        <v>3308</v>
      </c>
      <c r="S2255">
        <v>0</v>
      </c>
    </row>
    <row r="2256" spans="11:19" x14ac:dyDescent="0.3">
      <c r="K2256" s="16">
        <f t="shared" si="34"/>
        <v>44109</v>
      </c>
      <c r="L2256" s="17">
        <v>0.91666666666666663</v>
      </c>
      <c r="M2256" s="14">
        <v>396</v>
      </c>
      <c r="N2256" s="14">
        <v>0</v>
      </c>
      <c r="O2256" s="14">
        <v>-61</v>
      </c>
      <c r="P2256" s="14">
        <v>335</v>
      </c>
      <c r="Q2256">
        <v>8498</v>
      </c>
      <c r="R2256">
        <v>3388</v>
      </c>
      <c r="S2256">
        <v>0</v>
      </c>
    </row>
    <row r="2257" spans="11:19" x14ac:dyDescent="0.3">
      <c r="K2257" s="16">
        <f t="shared" si="34"/>
        <v>44109</v>
      </c>
      <c r="L2257" s="17">
        <v>0.95833333333333337</v>
      </c>
      <c r="M2257" s="14">
        <v>396</v>
      </c>
      <c r="N2257" s="14">
        <v>0</v>
      </c>
      <c r="O2257" s="14">
        <v>-619</v>
      </c>
      <c r="P2257" s="14">
        <v>-223</v>
      </c>
      <c r="Q2257">
        <v>8556</v>
      </c>
      <c r="R2257">
        <v>3408</v>
      </c>
      <c r="S2257">
        <v>0</v>
      </c>
    </row>
    <row r="2258" spans="11:19" x14ac:dyDescent="0.3">
      <c r="K2258" s="16">
        <f t="shared" si="34"/>
        <v>44110</v>
      </c>
      <c r="L2258" s="17">
        <v>0</v>
      </c>
      <c r="M2258" s="14">
        <v>396</v>
      </c>
      <c r="N2258" s="14">
        <v>0</v>
      </c>
      <c r="O2258" s="14">
        <v>-699</v>
      </c>
      <c r="P2258" s="14">
        <v>-303</v>
      </c>
      <c r="Q2258">
        <v>7988</v>
      </c>
      <c r="R2258">
        <v>2925</v>
      </c>
      <c r="S2258">
        <v>0</v>
      </c>
    </row>
    <row r="2259" spans="11:19" x14ac:dyDescent="0.3">
      <c r="K2259" s="16">
        <f t="shared" si="34"/>
        <v>44110</v>
      </c>
      <c r="L2259" s="17">
        <v>4.1666666666666664E-2</v>
      </c>
      <c r="M2259" s="14">
        <v>396</v>
      </c>
      <c r="N2259" s="14">
        <v>0</v>
      </c>
      <c r="O2259" s="14">
        <v>-1005</v>
      </c>
      <c r="P2259" s="14">
        <v>-609</v>
      </c>
      <c r="Q2259">
        <v>7607</v>
      </c>
      <c r="R2259">
        <v>2852</v>
      </c>
      <c r="S2259">
        <v>0</v>
      </c>
    </row>
    <row r="2260" spans="11:19" x14ac:dyDescent="0.3">
      <c r="K2260" s="16">
        <f t="shared" si="34"/>
        <v>44110</v>
      </c>
      <c r="L2260" s="17">
        <v>8.3333333333333329E-2</v>
      </c>
      <c r="M2260" s="14">
        <v>396</v>
      </c>
      <c r="N2260" s="14">
        <v>0</v>
      </c>
      <c r="O2260" s="14">
        <v>-1200</v>
      </c>
      <c r="P2260" s="14">
        <v>-804</v>
      </c>
      <c r="Q2260">
        <v>7320</v>
      </c>
      <c r="R2260">
        <v>2918</v>
      </c>
      <c r="S2260">
        <v>0</v>
      </c>
    </row>
    <row r="2261" spans="11:19" x14ac:dyDescent="0.3">
      <c r="K2261" s="16">
        <f t="shared" si="34"/>
        <v>44110</v>
      </c>
      <c r="L2261" s="17">
        <v>0.125</v>
      </c>
      <c r="M2261" s="14">
        <v>396</v>
      </c>
      <c r="N2261" s="14">
        <v>0</v>
      </c>
      <c r="O2261" s="14">
        <v>-1200</v>
      </c>
      <c r="P2261" s="14">
        <v>-804</v>
      </c>
      <c r="Q2261">
        <v>6969</v>
      </c>
      <c r="R2261">
        <v>2817</v>
      </c>
      <c r="S2261">
        <v>0</v>
      </c>
    </row>
    <row r="2262" spans="11:19" x14ac:dyDescent="0.3">
      <c r="K2262" s="16">
        <f t="shared" si="34"/>
        <v>44110</v>
      </c>
      <c r="L2262" s="17">
        <v>0.16666666666666666</v>
      </c>
      <c r="M2262" s="14">
        <v>396</v>
      </c>
      <c r="N2262" s="14">
        <v>0</v>
      </c>
      <c r="O2262" s="14">
        <v>-1200</v>
      </c>
      <c r="P2262" s="14">
        <v>-804</v>
      </c>
      <c r="Q2262">
        <v>6917</v>
      </c>
      <c r="R2262">
        <v>2660</v>
      </c>
      <c r="S2262">
        <v>0</v>
      </c>
    </row>
    <row r="2263" spans="11:19" x14ac:dyDescent="0.3">
      <c r="K2263" s="16">
        <f t="shared" si="34"/>
        <v>44110</v>
      </c>
      <c r="L2263" s="17">
        <v>0.20833333333333334</v>
      </c>
      <c r="M2263" s="14">
        <v>396</v>
      </c>
      <c r="N2263" s="14">
        <v>0</v>
      </c>
      <c r="O2263" s="14">
        <v>-876</v>
      </c>
      <c r="P2263" s="14">
        <v>-480</v>
      </c>
      <c r="Q2263">
        <v>7298</v>
      </c>
      <c r="R2263">
        <v>2390</v>
      </c>
      <c r="S2263">
        <v>0</v>
      </c>
    </row>
    <row r="2264" spans="11:19" x14ac:dyDescent="0.3">
      <c r="K2264" s="16">
        <f t="shared" si="34"/>
        <v>44110</v>
      </c>
      <c r="L2264" s="17">
        <v>0.25</v>
      </c>
      <c r="M2264" s="14">
        <v>396</v>
      </c>
      <c r="N2264" s="14">
        <v>176</v>
      </c>
      <c r="O2264" s="14">
        <v>0</v>
      </c>
      <c r="P2264" s="14">
        <v>572</v>
      </c>
      <c r="Q2264">
        <v>8345</v>
      </c>
      <c r="R2264">
        <v>2349</v>
      </c>
      <c r="S2264">
        <v>0</v>
      </c>
    </row>
    <row r="2265" spans="11:19" x14ac:dyDescent="0.3">
      <c r="K2265" s="16">
        <f t="shared" si="34"/>
        <v>44110</v>
      </c>
      <c r="L2265" s="17">
        <v>0.29166666666666669</v>
      </c>
      <c r="M2265" s="14">
        <v>396</v>
      </c>
      <c r="N2265" s="14">
        <v>639</v>
      </c>
      <c r="O2265" s="14">
        <v>487</v>
      </c>
      <c r="P2265" s="14">
        <v>1522</v>
      </c>
      <c r="Q2265">
        <v>9235</v>
      </c>
      <c r="R2265">
        <v>2277</v>
      </c>
      <c r="S2265">
        <v>1</v>
      </c>
    </row>
    <row r="2266" spans="11:19" x14ac:dyDescent="0.3">
      <c r="K2266" s="16">
        <f t="shared" si="34"/>
        <v>44110</v>
      </c>
      <c r="L2266" s="17">
        <v>0.33333333333333331</v>
      </c>
      <c r="M2266" s="14">
        <v>396</v>
      </c>
      <c r="N2266" s="14">
        <v>639</v>
      </c>
      <c r="O2266" s="14">
        <v>849</v>
      </c>
      <c r="P2266" s="14">
        <v>1884</v>
      </c>
      <c r="Q2266">
        <v>9524</v>
      </c>
      <c r="R2266">
        <v>2132</v>
      </c>
      <c r="S2266">
        <v>76</v>
      </c>
    </row>
    <row r="2267" spans="11:19" x14ac:dyDescent="0.3">
      <c r="K2267" s="16">
        <f t="shared" ref="K2267:K2330" si="35">K2243+1</f>
        <v>44110</v>
      </c>
      <c r="L2267" s="17">
        <v>0.375</v>
      </c>
      <c r="M2267" s="14">
        <v>396</v>
      </c>
      <c r="N2267" s="14">
        <v>639</v>
      </c>
      <c r="O2267" s="14">
        <v>812</v>
      </c>
      <c r="P2267" s="14">
        <v>1847</v>
      </c>
      <c r="Q2267">
        <v>9783</v>
      </c>
      <c r="R2267">
        <v>1943</v>
      </c>
      <c r="S2267">
        <v>402</v>
      </c>
    </row>
    <row r="2268" spans="11:19" x14ac:dyDescent="0.3">
      <c r="K2268" s="16">
        <f t="shared" si="35"/>
        <v>44110</v>
      </c>
      <c r="L2268" s="17">
        <v>0.41666666666666669</v>
      </c>
      <c r="M2268" s="14">
        <v>396</v>
      </c>
      <c r="N2268" s="14">
        <v>639</v>
      </c>
      <c r="O2268" s="14">
        <v>220</v>
      </c>
      <c r="P2268" s="14">
        <v>1255</v>
      </c>
      <c r="Q2268">
        <v>9899</v>
      </c>
      <c r="R2268">
        <v>1898</v>
      </c>
      <c r="S2268">
        <v>777</v>
      </c>
    </row>
    <row r="2269" spans="11:19" x14ac:dyDescent="0.3">
      <c r="K2269" s="16">
        <f t="shared" si="35"/>
        <v>44110</v>
      </c>
      <c r="L2269" s="17">
        <v>0.45833333333333331</v>
      </c>
      <c r="M2269" s="14">
        <v>396</v>
      </c>
      <c r="N2269" s="14">
        <v>639</v>
      </c>
      <c r="O2269" s="14">
        <v>0</v>
      </c>
      <c r="P2269" s="14">
        <v>1035</v>
      </c>
      <c r="Q2269">
        <v>10055</v>
      </c>
      <c r="R2269">
        <v>2037</v>
      </c>
      <c r="S2269">
        <v>1037</v>
      </c>
    </row>
    <row r="2270" spans="11:19" x14ac:dyDescent="0.3">
      <c r="K2270" s="16">
        <f t="shared" si="35"/>
        <v>44110</v>
      </c>
      <c r="L2270" s="17">
        <v>0.5</v>
      </c>
      <c r="M2270" s="14">
        <v>396</v>
      </c>
      <c r="N2270" s="14">
        <v>639</v>
      </c>
      <c r="O2270" s="14">
        <v>0</v>
      </c>
      <c r="P2270" s="14">
        <v>1035</v>
      </c>
      <c r="Q2270">
        <v>10118</v>
      </c>
      <c r="R2270">
        <v>1978</v>
      </c>
      <c r="S2270">
        <v>1195</v>
      </c>
    </row>
    <row r="2271" spans="11:19" x14ac:dyDescent="0.3">
      <c r="K2271" s="16">
        <f t="shared" si="35"/>
        <v>44110</v>
      </c>
      <c r="L2271" s="17">
        <v>0.54166666666666663</v>
      </c>
      <c r="M2271" s="14">
        <v>396</v>
      </c>
      <c r="N2271" s="14">
        <v>570</v>
      </c>
      <c r="O2271" s="14">
        <v>0</v>
      </c>
      <c r="P2271" s="14">
        <v>966</v>
      </c>
      <c r="Q2271">
        <v>9976</v>
      </c>
      <c r="R2271">
        <v>2125</v>
      </c>
      <c r="S2271">
        <v>1298</v>
      </c>
    </row>
    <row r="2272" spans="11:19" x14ac:dyDescent="0.3">
      <c r="K2272" s="16">
        <f t="shared" si="35"/>
        <v>44110</v>
      </c>
      <c r="L2272" s="17">
        <v>0.58333333333333337</v>
      </c>
      <c r="M2272" s="14">
        <v>396</v>
      </c>
      <c r="N2272" s="14">
        <v>0</v>
      </c>
      <c r="O2272" s="14">
        <v>318</v>
      </c>
      <c r="P2272" s="14">
        <v>714</v>
      </c>
      <c r="Q2272">
        <v>9921</v>
      </c>
      <c r="R2272">
        <v>2235</v>
      </c>
      <c r="S2272">
        <v>1384</v>
      </c>
    </row>
    <row r="2273" spans="11:19" x14ac:dyDescent="0.3">
      <c r="K2273" s="16">
        <f t="shared" si="35"/>
        <v>44110</v>
      </c>
      <c r="L2273" s="17">
        <v>0.625</v>
      </c>
      <c r="M2273" s="14">
        <v>396</v>
      </c>
      <c r="N2273" s="14">
        <v>0</v>
      </c>
      <c r="O2273" s="14">
        <v>-159</v>
      </c>
      <c r="P2273" s="14">
        <v>237</v>
      </c>
      <c r="Q2273">
        <v>9698</v>
      </c>
      <c r="R2273">
        <v>2576</v>
      </c>
      <c r="S2273">
        <v>1300</v>
      </c>
    </row>
    <row r="2274" spans="11:19" x14ac:dyDescent="0.3">
      <c r="K2274" s="16">
        <f t="shared" si="35"/>
        <v>44110</v>
      </c>
      <c r="L2274" s="17">
        <v>0.66666666666666663</v>
      </c>
      <c r="M2274" s="14">
        <v>396</v>
      </c>
      <c r="N2274" s="14">
        <v>0</v>
      </c>
      <c r="O2274" s="14">
        <v>-266</v>
      </c>
      <c r="P2274" s="14">
        <v>130</v>
      </c>
      <c r="Q2274">
        <v>9507</v>
      </c>
      <c r="R2274">
        <v>2692</v>
      </c>
      <c r="S2274">
        <v>1094</v>
      </c>
    </row>
    <row r="2275" spans="11:19" x14ac:dyDescent="0.3">
      <c r="K2275" s="16">
        <f t="shared" si="35"/>
        <v>44110</v>
      </c>
      <c r="L2275" s="17">
        <v>0.70833333333333337</v>
      </c>
      <c r="M2275" s="14">
        <v>396</v>
      </c>
      <c r="N2275" s="14">
        <v>290</v>
      </c>
      <c r="O2275" s="14">
        <v>0</v>
      </c>
      <c r="P2275" s="14">
        <v>686</v>
      </c>
      <c r="Q2275">
        <v>9401</v>
      </c>
      <c r="R2275">
        <v>2417</v>
      </c>
      <c r="S2275">
        <v>703</v>
      </c>
    </row>
    <row r="2276" spans="11:19" x14ac:dyDescent="0.3">
      <c r="K2276" s="16">
        <f t="shared" si="35"/>
        <v>44110</v>
      </c>
      <c r="L2276" s="17">
        <v>0.75</v>
      </c>
      <c r="M2276" s="14">
        <v>396</v>
      </c>
      <c r="N2276" s="14">
        <v>0</v>
      </c>
      <c r="O2276" s="14">
        <v>915</v>
      </c>
      <c r="P2276" s="14">
        <v>1311</v>
      </c>
      <c r="Q2276">
        <v>9618</v>
      </c>
      <c r="R2276">
        <v>2519</v>
      </c>
      <c r="S2276">
        <v>192</v>
      </c>
    </row>
    <row r="2277" spans="11:19" x14ac:dyDescent="0.3">
      <c r="K2277" s="16">
        <f t="shared" si="35"/>
        <v>44110</v>
      </c>
      <c r="L2277" s="17">
        <v>0.79166666666666663</v>
      </c>
      <c r="M2277" s="14">
        <v>396</v>
      </c>
      <c r="N2277" s="14">
        <v>639</v>
      </c>
      <c r="O2277" s="14">
        <v>835</v>
      </c>
      <c r="P2277" s="14">
        <v>1870</v>
      </c>
      <c r="Q2277">
        <v>9949</v>
      </c>
      <c r="R2277">
        <v>2567</v>
      </c>
      <c r="S2277">
        <v>4</v>
      </c>
    </row>
    <row r="2278" spans="11:19" x14ac:dyDescent="0.3">
      <c r="K2278" s="16">
        <f t="shared" si="35"/>
        <v>44110</v>
      </c>
      <c r="L2278" s="17">
        <v>0.83333333333333337</v>
      </c>
      <c r="M2278" s="14">
        <v>396</v>
      </c>
      <c r="N2278" s="14">
        <v>639</v>
      </c>
      <c r="O2278" s="14">
        <v>0</v>
      </c>
      <c r="P2278" s="14">
        <v>1035</v>
      </c>
      <c r="Q2278">
        <v>9391</v>
      </c>
      <c r="R2278">
        <v>2468</v>
      </c>
      <c r="S2278">
        <v>0</v>
      </c>
    </row>
    <row r="2279" spans="11:19" x14ac:dyDescent="0.3">
      <c r="K2279" s="16">
        <f t="shared" si="35"/>
        <v>44110</v>
      </c>
      <c r="L2279" s="17">
        <v>0.875</v>
      </c>
      <c r="M2279" s="14">
        <v>396</v>
      </c>
      <c r="N2279" s="14">
        <v>540</v>
      </c>
      <c r="O2279" s="14">
        <v>0</v>
      </c>
      <c r="P2279" s="14">
        <v>936</v>
      </c>
      <c r="Q2279">
        <v>8691</v>
      </c>
      <c r="R2279">
        <v>2274</v>
      </c>
      <c r="S2279">
        <v>0</v>
      </c>
    </row>
    <row r="2280" spans="11:19" x14ac:dyDescent="0.3">
      <c r="K2280" s="16">
        <f t="shared" si="35"/>
        <v>44110</v>
      </c>
      <c r="L2280" s="17">
        <v>0.91666666666666663</v>
      </c>
      <c r="M2280" s="14">
        <v>396</v>
      </c>
      <c r="N2280" s="14">
        <v>605</v>
      </c>
      <c r="O2280" s="14">
        <v>0</v>
      </c>
      <c r="P2280" s="14">
        <v>1001</v>
      </c>
      <c r="Q2280">
        <v>8799</v>
      </c>
      <c r="R2280">
        <v>2327</v>
      </c>
      <c r="S2280">
        <v>0</v>
      </c>
    </row>
    <row r="2281" spans="11:19" x14ac:dyDescent="0.3">
      <c r="K2281" s="16">
        <f t="shared" si="35"/>
        <v>44110</v>
      </c>
      <c r="L2281" s="17">
        <v>0.95833333333333337</v>
      </c>
      <c r="M2281" s="14">
        <v>396</v>
      </c>
      <c r="N2281" s="14">
        <v>0</v>
      </c>
      <c r="O2281" s="14">
        <v>850</v>
      </c>
      <c r="P2281" s="14">
        <v>1246</v>
      </c>
      <c r="Q2281">
        <v>8829</v>
      </c>
      <c r="R2281">
        <v>2131</v>
      </c>
      <c r="S2281">
        <v>0</v>
      </c>
    </row>
    <row r="2282" spans="11:19" x14ac:dyDescent="0.3">
      <c r="K2282" s="16">
        <f t="shared" si="35"/>
        <v>44111</v>
      </c>
      <c r="L2282" s="17">
        <v>0</v>
      </c>
      <c r="M2282" s="14">
        <v>396</v>
      </c>
      <c r="N2282" s="14">
        <v>0</v>
      </c>
      <c r="O2282" s="14">
        <v>170</v>
      </c>
      <c r="P2282" s="14">
        <v>566</v>
      </c>
      <c r="Q2282">
        <v>8094</v>
      </c>
      <c r="R2282">
        <v>2162</v>
      </c>
      <c r="S2282">
        <v>0</v>
      </c>
    </row>
    <row r="2283" spans="11:19" x14ac:dyDescent="0.3">
      <c r="K2283" s="16">
        <f t="shared" si="35"/>
        <v>44111</v>
      </c>
      <c r="L2283" s="17">
        <v>4.1666666666666664E-2</v>
      </c>
      <c r="M2283" s="14">
        <v>396</v>
      </c>
      <c r="N2283" s="14">
        <v>0</v>
      </c>
      <c r="O2283" s="14">
        <v>-179</v>
      </c>
      <c r="P2283" s="14">
        <v>217</v>
      </c>
      <c r="Q2283">
        <v>7712</v>
      </c>
      <c r="R2283">
        <v>2131</v>
      </c>
      <c r="S2283">
        <v>0</v>
      </c>
    </row>
    <row r="2284" spans="11:19" x14ac:dyDescent="0.3">
      <c r="K2284" s="16">
        <f t="shared" si="35"/>
        <v>44111</v>
      </c>
      <c r="L2284" s="17">
        <v>8.3333333333333329E-2</v>
      </c>
      <c r="M2284" s="14">
        <v>396</v>
      </c>
      <c r="N2284" s="14">
        <v>0</v>
      </c>
      <c r="O2284" s="14">
        <v>-635</v>
      </c>
      <c r="P2284" s="14">
        <v>-239</v>
      </c>
      <c r="Q2284">
        <v>7426</v>
      </c>
      <c r="R2284">
        <v>2301</v>
      </c>
      <c r="S2284">
        <v>0</v>
      </c>
    </row>
    <row r="2285" spans="11:19" x14ac:dyDescent="0.3">
      <c r="K2285" s="16">
        <f t="shared" si="35"/>
        <v>44111</v>
      </c>
      <c r="L2285" s="17">
        <v>0.125</v>
      </c>
      <c r="M2285" s="14">
        <v>396</v>
      </c>
      <c r="N2285" s="14">
        <v>0</v>
      </c>
      <c r="O2285" s="14">
        <v>-979</v>
      </c>
      <c r="P2285" s="14">
        <v>-583</v>
      </c>
      <c r="Q2285">
        <v>7078</v>
      </c>
      <c r="R2285">
        <v>2297</v>
      </c>
      <c r="S2285">
        <v>0</v>
      </c>
    </row>
    <row r="2286" spans="11:19" x14ac:dyDescent="0.3">
      <c r="K2286" s="16">
        <f t="shared" si="35"/>
        <v>44111</v>
      </c>
      <c r="L2286" s="17">
        <v>0.16666666666666666</v>
      </c>
      <c r="M2286" s="14">
        <v>396</v>
      </c>
      <c r="N2286" s="14">
        <v>0</v>
      </c>
      <c r="O2286" s="14">
        <v>-1200</v>
      </c>
      <c r="P2286" s="14">
        <v>-804</v>
      </c>
      <c r="Q2286">
        <v>7031</v>
      </c>
      <c r="R2286">
        <v>2467</v>
      </c>
      <c r="S2286">
        <v>0</v>
      </c>
    </row>
    <row r="2287" spans="11:19" x14ac:dyDescent="0.3">
      <c r="K2287" s="16">
        <f t="shared" si="35"/>
        <v>44111</v>
      </c>
      <c r="L2287" s="17">
        <v>0.20833333333333334</v>
      </c>
      <c r="M2287" s="14">
        <v>396</v>
      </c>
      <c r="N2287" s="14">
        <v>0</v>
      </c>
      <c r="O2287" s="14">
        <v>-1195</v>
      </c>
      <c r="P2287" s="14">
        <v>-799</v>
      </c>
      <c r="Q2287">
        <v>7405</v>
      </c>
      <c r="R2287">
        <v>2576</v>
      </c>
      <c r="S2287">
        <v>0</v>
      </c>
    </row>
    <row r="2288" spans="11:19" x14ac:dyDescent="0.3">
      <c r="K2288" s="16">
        <f t="shared" si="35"/>
        <v>44111</v>
      </c>
      <c r="L2288" s="17">
        <v>0.25</v>
      </c>
      <c r="M2288" s="14">
        <v>396</v>
      </c>
      <c r="N2288" s="14">
        <v>0</v>
      </c>
      <c r="O2288" s="14">
        <v>-164</v>
      </c>
      <c r="P2288" s="14">
        <v>232</v>
      </c>
      <c r="Q2288">
        <v>8445</v>
      </c>
      <c r="R2288">
        <v>2550</v>
      </c>
      <c r="S2288">
        <v>0</v>
      </c>
    </row>
    <row r="2289" spans="11:19" x14ac:dyDescent="0.3">
      <c r="K2289" s="16">
        <f t="shared" si="35"/>
        <v>44111</v>
      </c>
      <c r="L2289" s="17">
        <v>0.29166666666666669</v>
      </c>
      <c r="M2289" s="14">
        <v>396</v>
      </c>
      <c r="N2289" s="14">
        <v>700</v>
      </c>
      <c r="O2289" s="14">
        <v>0</v>
      </c>
      <c r="P2289" s="14">
        <v>1096</v>
      </c>
      <c r="Q2289">
        <v>9354</v>
      </c>
      <c r="R2289">
        <v>2491</v>
      </c>
      <c r="S2289">
        <v>3</v>
      </c>
    </row>
    <row r="2290" spans="11:19" x14ac:dyDescent="0.3">
      <c r="K2290" s="16">
        <f t="shared" si="35"/>
        <v>44111</v>
      </c>
      <c r="L2290" s="17">
        <v>0.33333333333333331</v>
      </c>
      <c r="M2290" s="14">
        <v>396</v>
      </c>
      <c r="N2290" s="14">
        <v>0</v>
      </c>
      <c r="O2290" s="14">
        <v>0</v>
      </c>
      <c r="P2290" s="14">
        <v>396</v>
      </c>
      <c r="Q2290">
        <v>9648</v>
      </c>
      <c r="R2290">
        <v>2324</v>
      </c>
      <c r="S2290">
        <v>108</v>
      </c>
    </row>
    <row r="2291" spans="11:19" x14ac:dyDescent="0.3">
      <c r="K2291" s="16">
        <f t="shared" si="35"/>
        <v>44111</v>
      </c>
      <c r="L2291" s="17">
        <v>0.375</v>
      </c>
      <c r="M2291" s="14">
        <v>396</v>
      </c>
      <c r="N2291" s="14">
        <v>700</v>
      </c>
      <c r="O2291" s="14">
        <v>346</v>
      </c>
      <c r="P2291" s="14">
        <v>1442</v>
      </c>
      <c r="Q2291">
        <v>9928</v>
      </c>
      <c r="R2291">
        <v>2281</v>
      </c>
      <c r="S2291">
        <v>534</v>
      </c>
    </row>
    <row r="2292" spans="11:19" x14ac:dyDescent="0.3">
      <c r="K2292" s="16">
        <f t="shared" si="35"/>
        <v>44111</v>
      </c>
      <c r="L2292" s="17">
        <v>0.41666666666666669</v>
      </c>
      <c r="M2292" s="14">
        <v>396</v>
      </c>
      <c r="N2292" s="14">
        <v>700</v>
      </c>
      <c r="O2292" s="14">
        <v>0</v>
      </c>
      <c r="P2292" s="14">
        <v>1096</v>
      </c>
      <c r="Q2292">
        <v>10072</v>
      </c>
      <c r="R2292">
        <v>2418</v>
      </c>
      <c r="S2292">
        <v>980</v>
      </c>
    </row>
    <row r="2293" spans="11:19" x14ac:dyDescent="0.3">
      <c r="K2293" s="16">
        <f t="shared" si="35"/>
        <v>44111</v>
      </c>
      <c r="L2293" s="17">
        <v>0.45833333333333331</v>
      </c>
      <c r="M2293" s="14">
        <v>396</v>
      </c>
      <c r="N2293" s="14">
        <v>266</v>
      </c>
      <c r="O2293" s="14">
        <v>0</v>
      </c>
      <c r="P2293" s="14">
        <v>662</v>
      </c>
      <c r="Q2293">
        <v>10245</v>
      </c>
      <c r="R2293">
        <v>2783</v>
      </c>
      <c r="S2293">
        <v>1290</v>
      </c>
    </row>
    <row r="2294" spans="11:19" x14ac:dyDescent="0.3">
      <c r="K2294" s="16">
        <f t="shared" si="35"/>
        <v>44111</v>
      </c>
      <c r="L2294" s="17">
        <v>0.5</v>
      </c>
      <c r="M2294" s="14">
        <v>396</v>
      </c>
      <c r="N2294" s="14">
        <v>151</v>
      </c>
      <c r="O2294" s="14">
        <v>0</v>
      </c>
      <c r="P2294" s="14">
        <v>547</v>
      </c>
      <c r="Q2294">
        <v>10321</v>
      </c>
      <c r="R2294">
        <v>2794</v>
      </c>
      <c r="S2294">
        <v>1472</v>
      </c>
    </row>
    <row r="2295" spans="11:19" x14ac:dyDescent="0.3">
      <c r="K2295" s="16">
        <f t="shared" si="35"/>
        <v>44111</v>
      </c>
      <c r="L2295" s="17">
        <v>0.54166666666666663</v>
      </c>
      <c r="M2295" s="14">
        <v>396</v>
      </c>
      <c r="N2295" s="14">
        <v>0</v>
      </c>
      <c r="O2295" s="14">
        <v>-40</v>
      </c>
      <c r="P2295" s="14">
        <v>356</v>
      </c>
      <c r="Q2295">
        <v>10197</v>
      </c>
      <c r="R2295">
        <v>2795</v>
      </c>
      <c r="S2295">
        <v>1539</v>
      </c>
    </row>
    <row r="2296" spans="11:19" x14ac:dyDescent="0.3">
      <c r="K2296" s="16">
        <f t="shared" si="35"/>
        <v>44111</v>
      </c>
      <c r="L2296" s="17">
        <v>0.58333333333333337</v>
      </c>
      <c r="M2296" s="14">
        <v>396</v>
      </c>
      <c r="N2296" s="14">
        <v>119</v>
      </c>
      <c r="O2296" s="14">
        <v>0</v>
      </c>
      <c r="P2296" s="14">
        <v>515</v>
      </c>
      <c r="Q2296">
        <v>10178</v>
      </c>
      <c r="R2296">
        <v>2564</v>
      </c>
      <c r="S2296">
        <v>1591</v>
      </c>
    </row>
    <row r="2297" spans="11:19" x14ac:dyDescent="0.3">
      <c r="K2297" s="16">
        <f t="shared" si="35"/>
        <v>44111</v>
      </c>
      <c r="L2297" s="17">
        <v>0.625</v>
      </c>
      <c r="M2297" s="14">
        <v>396</v>
      </c>
      <c r="N2297" s="14">
        <v>0</v>
      </c>
      <c r="O2297" s="14">
        <v>-202</v>
      </c>
      <c r="P2297" s="14">
        <v>194</v>
      </c>
      <c r="Q2297">
        <v>9974</v>
      </c>
      <c r="R2297">
        <v>2632</v>
      </c>
      <c r="S2297">
        <v>1483</v>
      </c>
    </row>
    <row r="2298" spans="11:19" x14ac:dyDescent="0.3">
      <c r="K2298" s="16">
        <f t="shared" si="35"/>
        <v>44111</v>
      </c>
      <c r="L2298" s="17">
        <v>0.66666666666666663</v>
      </c>
      <c r="M2298" s="14">
        <v>396</v>
      </c>
      <c r="N2298" s="14">
        <v>0</v>
      </c>
      <c r="O2298" s="14">
        <v>-40</v>
      </c>
      <c r="P2298" s="14">
        <v>356</v>
      </c>
      <c r="Q2298">
        <v>9786</v>
      </c>
      <c r="R2298">
        <v>2535</v>
      </c>
      <c r="S2298">
        <v>1225</v>
      </c>
    </row>
    <row r="2299" spans="11:19" x14ac:dyDescent="0.3">
      <c r="K2299" s="16">
        <f t="shared" si="35"/>
        <v>44111</v>
      </c>
      <c r="L2299" s="17">
        <v>0.70833333333333337</v>
      </c>
      <c r="M2299" s="14">
        <v>396</v>
      </c>
      <c r="N2299" s="14">
        <v>414</v>
      </c>
      <c r="O2299" s="14">
        <v>0</v>
      </c>
      <c r="P2299" s="14">
        <v>810</v>
      </c>
      <c r="Q2299">
        <v>9667</v>
      </c>
      <c r="R2299">
        <v>2421</v>
      </c>
      <c r="S2299">
        <v>761</v>
      </c>
    </row>
    <row r="2300" spans="11:19" x14ac:dyDescent="0.3">
      <c r="K2300" s="16">
        <f t="shared" si="35"/>
        <v>44111</v>
      </c>
      <c r="L2300" s="17">
        <v>0.75</v>
      </c>
      <c r="M2300" s="14">
        <v>396</v>
      </c>
      <c r="N2300" s="14">
        <v>700</v>
      </c>
      <c r="O2300" s="14">
        <v>66</v>
      </c>
      <c r="P2300" s="14">
        <v>1162</v>
      </c>
      <c r="Q2300">
        <v>9829</v>
      </c>
      <c r="R2300">
        <v>1741</v>
      </c>
      <c r="S2300">
        <v>209</v>
      </c>
    </row>
    <row r="2301" spans="11:19" x14ac:dyDescent="0.3">
      <c r="K2301" s="16">
        <f t="shared" si="35"/>
        <v>44111</v>
      </c>
      <c r="L2301" s="17">
        <v>0.79166666666666663</v>
      </c>
      <c r="M2301" s="14">
        <v>396</v>
      </c>
      <c r="N2301" s="14">
        <v>700</v>
      </c>
      <c r="O2301" s="14">
        <v>1200</v>
      </c>
      <c r="P2301" s="14">
        <v>2296</v>
      </c>
      <c r="Q2301">
        <v>10120</v>
      </c>
      <c r="R2301">
        <v>1734</v>
      </c>
      <c r="S2301">
        <v>6</v>
      </c>
    </row>
    <row r="2302" spans="11:19" x14ac:dyDescent="0.3">
      <c r="K2302" s="16">
        <f t="shared" si="35"/>
        <v>44111</v>
      </c>
      <c r="L2302" s="17">
        <v>0.83333333333333337</v>
      </c>
      <c r="M2302" s="14">
        <v>396</v>
      </c>
      <c r="N2302" s="14">
        <v>700</v>
      </c>
      <c r="O2302" s="14">
        <v>849</v>
      </c>
      <c r="P2302" s="14">
        <v>1945</v>
      </c>
      <c r="Q2302">
        <v>9541</v>
      </c>
      <c r="R2302">
        <v>2021</v>
      </c>
      <c r="S2302">
        <v>0</v>
      </c>
    </row>
    <row r="2303" spans="11:19" x14ac:dyDescent="0.3">
      <c r="K2303" s="16">
        <f t="shared" si="35"/>
        <v>44111</v>
      </c>
      <c r="L2303" s="17">
        <v>0.875</v>
      </c>
      <c r="M2303" s="14">
        <v>396</v>
      </c>
      <c r="N2303" s="14">
        <v>700</v>
      </c>
      <c r="O2303" s="14">
        <v>0</v>
      </c>
      <c r="P2303" s="14">
        <v>1096</v>
      </c>
      <c r="Q2303">
        <v>8832</v>
      </c>
      <c r="R2303">
        <v>2039</v>
      </c>
      <c r="S2303">
        <v>0</v>
      </c>
    </row>
    <row r="2304" spans="11:19" x14ac:dyDescent="0.3">
      <c r="K2304" s="16">
        <f t="shared" si="35"/>
        <v>44111</v>
      </c>
      <c r="L2304" s="17">
        <v>0.91666666666666663</v>
      </c>
      <c r="M2304" s="14">
        <v>396</v>
      </c>
      <c r="N2304" s="14">
        <v>700</v>
      </c>
      <c r="O2304" s="14">
        <v>460</v>
      </c>
      <c r="P2304" s="14">
        <v>1556</v>
      </c>
      <c r="Q2304">
        <v>8936</v>
      </c>
      <c r="R2304">
        <v>1829</v>
      </c>
      <c r="S2304">
        <v>0</v>
      </c>
    </row>
    <row r="2305" spans="11:19" x14ac:dyDescent="0.3">
      <c r="K2305" s="16">
        <f t="shared" si="35"/>
        <v>44111</v>
      </c>
      <c r="L2305" s="17">
        <v>0.95833333333333337</v>
      </c>
      <c r="M2305" s="14">
        <v>396</v>
      </c>
      <c r="N2305" s="14">
        <v>700</v>
      </c>
      <c r="O2305" s="14">
        <v>619</v>
      </c>
      <c r="P2305" s="14">
        <v>1715</v>
      </c>
      <c r="Q2305">
        <v>8928</v>
      </c>
      <c r="R2305">
        <v>1681</v>
      </c>
      <c r="S2305">
        <v>0</v>
      </c>
    </row>
    <row r="2306" spans="11:19" x14ac:dyDescent="0.3">
      <c r="K2306" s="16">
        <f t="shared" si="35"/>
        <v>44112</v>
      </c>
      <c r="L2306" s="17">
        <v>0</v>
      </c>
      <c r="M2306" s="14">
        <v>396</v>
      </c>
      <c r="N2306" s="14">
        <v>549</v>
      </c>
      <c r="O2306" s="14">
        <v>0</v>
      </c>
      <c r="P2306" s="14">
        <v>945</v>
      </c>
      <c r="Q2306">
        <v>8161</v>
      </c>
      <c r="R2306">
        <v>1689</v>
      </c>
      <c r="S2306">
        <v>0</v>
      </c>
    </row>
    <row r="2307" spans="11:19" x14ac:dyDescent="0.3">
      <c r="K2307" s="16">
        <f t="shared" si="35"/>
        <v>44112</v>
      </c>
      <c r="L2307" s="17">
        <v>4.1666666666666664E-2</v>
      </c>
      <c r="M2307" s="14">
        <v>396</v>
      </c>
      <c r="N2307" s="14">
        <v>24</v>
      </c>
      <c r="O2307" s="14">
        <v>0</v>
      </c>
      <c r="P2307" s="14">
        <v>420</v>
      </c>
      <c r="Q2307">
        <v>7769</v>
      </c>
      <c r="R2307">
        <v>1904</v>
      </c>
      <c r="S2307">
        <v>0</v>
      </c>
    </row>
    <row r="2308" spans="11:19" x14ac:dyDescent="0.3">
      <c r="K2308" s="16">
        <f t="shared" si="35"/>
        <v>44112</v>
      </c>
      <c r="L2308" s="17">
        <v>8.3333333333333329E-2</v>
      </c>
      <c r="M2308" s="14">
        <v>396</v>
      </c>
      <c r="N2308" s="14">
        <v>0</v>
      </c>
      <c r="O2308" s="14">
        <v>-298</v>
      </c>
      <c r="P2308" s="14">
        <v>98</v>
      </c>
      <c r="Q2308">
        <v>7474</v>
      </c>
      <c r="R2308">
        <v>1931</v>
      </c>
      <c r="S2308">
        <v>0</v>
      </c>
    </row>
    <row r="2309" spans="11:19" x14ac:dyDescent="0.3">
      <c r="K2309" s="16">
        <f t="shared" si="35"/>
        <v>44112</v>
      </c>
      <c r="L2309" s="17">
        <v>0.125</v>
      </c>
      <c r="M2309" s="14">
        <v>396</v>
      </c>
      <c r="N2309" s="14">
        <v>0</v>
      </c>
      <c r="O2309" s="14">
        <v>-538</v>
      </c>
      <c r="P2309" s="14">
        <v>-142</v>
      </c>
      <c r="Q2309">
        <v>7119</v>
      </c>
      <c r="R2309">
        <v>1816</v>
      </c>
      <c r="S2309">
        <v>0</v>
      </c>
    </row>
    <row r="2310" spans="11:19" x14ac:dyDescent="0.3">
      <c r="K2310" s="16">
        <f t="shared" si="35"/>
        <v>44112</v>
      </c>
      <c r="L2310" s="17">
        <v>0.16666666666666666</v>
      </c>
      <c r="M2310" s="14">
        <v>396</v>
      </c>
      <c r="N2310" s="14">
        <v>0</v>
      </c>
      <c r="O2310" s="14">
        <v>-581</v>
      </c>
      <c r="P2310" s="14">
        <v>-185</v>
      </c>
      <c r="Q2310">
        <v>7063</v>
      </c>
      <c r="R2310">
        <v>1799</v>
      </c>
      <c r="S2310">
        <v>0</v>
      </c>
    </row>
    <row r="2311" spans="11:19" x14ac:dyDescent="0.3">
      <c r="K2311" s="16">
        <f t="shared" si="35"/>
        <v>44112</v>
      </c>
      <c r="L2311" s="17">
        <v>0.20833333333333334</v>
      </c>
      <c r="M2311" s="14">
        <v>396</v>
      </c>
      <c r="N2311" s="14">
        <v>0</v>
      </c>
      <c r="O2311" s="14">
        <v>-309</v>
      </c>
      <c r="P2311" s="14">
        <v>87</v>
      </c>
      <c r="Q2311">
        <v>7426</v>
      </c>
      <c r="R2311">
        <v>1869</v>
      </c>
      <c r="S2311">
        <v>0</v>
      </c>
    </row>
    <row r="2312" spans="11:19" x14ac:dyDescent="0.3">
      <c r="K2312" s="16">
        <f t="shared" si="35"/>
        <v>44112</v>
      </c>
      <c r="L2312" s="17">
        <v>0.25</v>
      </c>
      <c r="M2312" s="14">
        <v>396</v>
      </c>
      <c r="N2312" s="14">
        <v>541</v>
      </c>
      <c r="O2312" s="14">
        <v>0</v>
      </c>
      <c r="P2312" s="14">
        <v>937</v>
      </c>
      <c r="Q2312">
        <v>8455</v>
      </c>
      <c r="R2312">
        <v>1693</v>
      </c>
      <c r="S2312">
        <v>0</v>
      </c>
    </row>
    <row r="2313" spans="11:19" x14ac:dyDescent="0.3">
      <c r="K2313" s="16">
        <f t="shared" si="35"/>
        <v>44112</v>
      </c>
      <c r="L2313" s="17">
        <v>0.29166666666666669</v>
      </c>
      <c r="M2313" s="14">
        <v>396</v>
      </c>
      <c r="N2313" s="14">
        <v>1018</v>
      </c>
      <c r="O2313" s="14">
        <v>0</v>
      </c>
      <c r="P2313" s="14">
        <v>1414</v>
      </c>
      <c r="Q2313">
        <v>9355</v>
      </c>
      <c r="R2313">
        <v>1575</v>
      </c>
      <c r="S2313">
        <v>4</v>
      </c>
    </row>
    <row r="2314" spans="11:19" x14ac:dyDescent="0.3">
      <c r="K2314" s="16">
        <f t="shared" si="35"/>
        <v>44112</v>
      </c>
      <c r="L2314" s="17">
        <v>0.33333333333333331</v>
      </c>
      <c r="M2314" s="14">
        <v>396</v>
      </c>
      <c r="N2314" s="14">
        <v>0</v>
      </c>
      <c r="O2314" s="14">
        <v>0</v>
      </c>
      <c r="P2314" s="14">
        <v>396</v>
      </c>
      <c r="Q2314">
        <v>9637</v>
      </c>
      <c r="R2314">
        <v>1256</v>
      </c>
      <c r="S2314">
        <v>118</v>
      </c>
    </row>
    <row r="2315" spans="11:19" x14ac:dyDescent="0.3">
      <c r="K2315" s="16">
        <f t="shared" si="35"/>
        <v>44112</v>
      </c>
      <c r="L2315" s="17">
        <v>0.375</v>
      </c>
      <c r="M2315" s="14">
        <v>396</v>
      </c>
      <c r="N2315" s="14">
        <v>0</v>
      </c>
      <c r="O2315" s="14">
        <v>0</v>
      </c>
      <c r="P2315" s="14">
        <v>396</v>
      </c>
      <c r="Q2315">
        <v>9901</v>
      </c>
      <c r="R2315">
        <v>1206</v>
      </c>
      <c r="S2315">
        <v>572</v>
      </c>
    </row>
    <row r="2316" spans="11:19" x14ac:dyDescent="0.3">
      <c r="K2316" s="16">
        <f t="shared" si="35"/>
        <v>44112</v>
      </c>
      <c r="L2316" s="17">
        <v>0.41666666666666669</v>
      </c>
      <c r="M2316" s="14">
        <v>396</v>
      </c>
      <c r="N2316" s="14">
        <v>1018</v>
      </c>
      <c r="O2316" s="14">
        <v>0</v>
      </c>
      <c r="P2316" s="14">
        <v>1414</v>
      </c>
      <c r="Q2316">
        <v>10021</v>
      </c>
      <c r="R2316">
        <v>1199</v>
      </c>
      <c r="S2316">
        <v>1028</v>
      </c>
    </row>
    <row r="2317" spans="11:19" x14ac:dyDescent="0.3">
      <c r="K2317" s="16">
        <f t="shared" si="35"/>
        <v>44112</v>
      </c>
      <c r="L2317" s="17">
        <v>0.45833333333333331</v>
      </c>
      <c r="M2317" s="14">
        <v>396</v>
      </c>
      <c r="N2317" s="14">
        <v>1018</v>
      </c>
      <c r="O2317" s="14">
        <v>0</v>
      </c>
      <c r="P2317" s="14">
        <v>1414</v>
      </c>
      <c r="Q2317">
        <v>10169</v>
      </c>
      <c r="R2317">
        <v>1370</v>
      </c>
      <c r="S2317">
        <v>1350</v>
      </c>
    </row>
    <row r="2318" spans="11:19" x14ac:dyDescent="0.3">
      <c r="K2318" s="16">
        <f t="shared" si="35"/>
        <v>44112</v>
      </c>
      <c r="L2318" s="17">
        <v>0.5</v>
      </c>
      <c r="M2318" s="14">
        <v>396</v>
      </c>
      <c r="N2318" s="14">
        <v>1018</v>
      </c>
      <c r="O2318" s="14">
        <v>0</v>
      </c>
      <c r="P2318" s="14">
        <v>1414</v>
      </c>
      <c r="Q2318">
        <v>10218</v>
      </c>
      <c r="R2318">
        <v>1557</v>
      </c>
      <c r="S2318">
        <v>1510</v>
      </c>
    </row>
    <row r="2319" spans="11:19" x14ac:dyDescent="0.3">
      <c r="K2319" s="16">
        <f t="shared" si="35"/>
        <v>44112</v>
      </c>
      <c r="L2319" s="17">
        <v>0.54166666666666663</v>
      </c>
      <c r="M2319" s="14">
        <v>396</v>
      </c>
      <c r="N2319" s="14">
        <v>0</v>
      </c>
      <c r="O2319" s="14">
        <v>181</v>
      </c>
      <c r="P2319" s="14">
        <v>577</v>
      </c>
      <c r="Q2319">
        <v>10062</v>
      </c>
      <c r="R2319">
        <v>1619</v>
      </c>
      <c r="S2319">
        <v>1578</v>
      </c>
    </row>
    <row r="2320" spans="11:19" x14ac:dyDescent="0.3">
      <c r="K2320" s="16">
        <f t="shared" si="35"/>
        <v>44112</v>
      </c>
      <c r="L2320" s="17">
        <v>0.58333333333333337</v>
      </c>
      <c r="M2320" s="14">
        <v>396</v>
      </c>
      <c r="N2320" s="14">
        <v>698</v>
      </c>
      <c r="O2320" s="14">
        <v>0</v>
      </c>
      <c r="P2320" s="14">
        <v>1094</v>
      </c>
      <c r="Q2320">
        <v>9995</v>
      </c>
      <c r="R2320">
        <v>1699</v>
      </c>
      <c r="S2320">
        <v>1613</v>
      </c>
    </row>
    <row r="2321" spans="11:19" x14ac:dyDescent="0.3">
      <c r="K2321" s="16">
        <f t="shared" si="35"/>
        <v>44112</v>
      </c>
      <c r="L2321" s="17">
        <v>0.625</v>
      </c>
      <c r="M2321" s="14">
        <v>396</v>
      </c>
      <c r="N2321" s="14">
        <v>473</v>
      </c>
      <c r="O2321" s="14">
        <v>0</v>
      </c>
      <c r="P2321" s="14">
        <v>869</v>
      </c>
      <c r="Q2321">
        <v>9748</v>
      </c>
      <c r="R2321">
        <v>1782</v>
      </c>
      <c r="S2321">
        <v>1510</v>
      </c>
    </row>
    <row r="2322" spans="11:19" x14ac:dyDescent="0.3">
      <c r="K2322" s="16">
        <f t="shared" si="35"/>
        <v>44112</v>
      </c>
      <c r="L2322" s="17">
        <v>0.66666666666666663</v>
      </c>
      <c r="M2322" s="14">
        <v>396</v>
      </c>
      <c r="N2322" s="14">
        <v>477</v>
      </c>
      <c r="O2322" s="14">
        <v>0</v>
      </c>
      <c r="P2322" s="14">
        <v>873</v>
      </c>
      <c r="Q2322">
        <v>9527</v>
      </c>
      <c r="R2322">
        <v>1689</v>
      </c>
      <c r="S2322">
        <v>1213</v>
      </c>
    </row>
    <row r="2323" spans="11:19" x14ac:dyDescent="0.3">
      <c r="K2323" s="16">
        <f t="shared" si="35"/>
        <v>44112</v>
      </c>
      <c r="L2323" s="17">
        <v>0.70833333333333337</v>
      </c>
      <c r="M2323" s="14">
        <v>396</v>
      </c>
      <c r="N2323" s="14">
        <v>918</v>
      </c>
      <c r="O2323" s="14">
        <v>0</v>
      </c>
      <c r="P2323" s="14">
        <v>1314</v>
      </c>
      <c r="Q2323">
        <v>9390</v>
      </c>
      <c r="R2323">
        <v>1561</v>
      </c>
      <c r="S2323">
        <v>758</v>
      </c>
    </row>
    <row r="2324" spans="11:19" x14ac:dyDescent="0.3">
      <c r="K2324" s="16">
        <f t="shared" si="35"/>
        <v>44112</v>
      </c>
      <c r="L2324" s="17">
        <v>0.75</v>
      </c>
      <c r="M2324" s="14">
        <v>396</v>
      </c>
      <c r="N2324" s="14">
        <v>1018</v>
      </c>
      <c r="O2324" s="14">
        <v>0</v>
      </c>
      <c r="P2324" s="14">
        <v>1414</v>
      </c>
      <c r="Q2324">
        <v>9582</v>
      </c>
      <c r="R2324">
        <v>1368</v>
      </c>
      <c r="S2324">
        <v>225</v>
      </c>
    </row>
    <row r="2325" spans="11:19" x14ac:dyDescent="0.3">
      <c r="K2325" s="16">
        <f t="shared" si="35"/>
        <v>44112</v>
      </c>
      <c r="L2325" s="17">
        <v>0.79166666666666663</v>
      </c>
      <c r="M2325" s="14">
        <v>396</v>
      </c>
      <c r="N2325" s="14">
        <v>1018</v>
      </c>
      <c r="O2325" s="14">
        <v>0</v>
      </c>
      <c r="P2325" s="14">
        <v>1414</v>
      </c>
      <c r="Q2325">
        <v>9896</v>
      </c>
      <c r="R2325">
        <v>1098</v>
      </c>
      <c r="S2325">
        <v>11</v>
      </c>
    </row>
    <row r="2326" spans="11:19" x14ac:dyDescent="0.3">
      <c r="K2326" s="16">
        <f t="shared" si="35"/>
        <v>44112</v>
      </c>
      <c r="L2326" s="17">
        <v>0.83333333333333337</v>
      </c>
      <c r="M2326" s="14">
        <v>396</v>
      </c>
      <c r="N2326" s="14">
        <v>1018</v>
      </c>
      <c r="O2326" s="14">
        <v>1200</v>
      </c>
      <c r="P2326" s="14">
        <v>2614</v>
      </c>
      <c r="Q2326">
        <v>9321</v>
      </c>
      <c r="R2326">
        <v>964</v>
      </c>
      <c r="S2326">
        <v>0</v>
      </c>
    </row>
    <row r="2327" spans="11:19" x14ac:dyDescent="0.3">
      <c r="K2327" s="16">
        <f t="shared" si="35"/>
        <v>44112</v>
      </c>
      <c r="L2327" s="17">
        <v>0.875</v>
      </c>
      <c r="M2327" s="14">
        <v>396</v>
      </c>
      <c r="N2327" s="14">
        <v>0</v>
      </c>
      <c r="O2327" s="14">
        <v>0</v>
      </c>
      <c r="P2327" s="14">
        <v>396</v>
      </c>
      <c r="Q2327">
        <v>8597</v>
      </c>
      <c r="R2327">
        <v>695</v>
      </c>
      <c r="S2327">
        <v>0</v>
      </c>
    </row>
    <row r="2328" spans="11:19" x14ac:dyDescent="0.3">
      <c r="K2328" s="16">
        <f t="shared" si="35"/>
        <v>44112</v>
      </c>
      <c r="L2328" s="17">
        <v>0.91666666666666663</v>
      </c>
      <c r="M2328" s="14">
        <v>396</v>
      </c>
      <c r="N2328" s="14">
        <v>1018</v>
      </c>
      <c r="O2328" s="14">
        <v>0</v>
      </c>
      <c r="P2328" s="14">
        <v>1414</v>
      </c>
      <c r="Q2328">
        <v>8677</v>
      </c>
      <c r="R2328">
        <v>590</v>
      </c>
      <c r="S2328">
        <v>0</v>
      </c>
    </row>
    <row r="2329" spans="11:19" x14ac:dyDescent="0.3">
      <c r="K2329" s="16">
        <f t="shared" si="35"/>
        <v>44112</v>
      </c>
      <c r="L2329" s="17">
        <v>0.95833333333333337</v>
      </c>
      <c r="M2329" s="14">
        <v>396</v>
      </c>
      <c r="N2329" s="14">
        <v>0</v>
      </c>
      <c r="O2329" s="14">
        <v>0</v>
      </c>
      <c r="P2329" s="14">
        <v>396</v>
      </c>
      <c r="Q2329">
        <v>8713</v>
      </c>
      <c r="R2329">
        <v>653</v>
      </c>
      <c r="S2329">
        <v>0</v>
      </c>
    </row>
    <row r="2330" spans="11:19" x14ac:dyDescent="0.3">
      <c r="K2330" s="16">
        <f t="shared" si="35"/>
        <v>44113</v>
      </c>
      <c r="L2330" s="17">
        <v>0</v>
      </c>
      <c r="M2330" s="14">
        <v>396</v>
      </c>
      <c r="N2330" s="14">
        <v>954</v>
      </c>
      <c r="O2330" s="14">
        <v>0</v>
      </c>
      <c r="P2330" s="14">
        <v>1350</v>
      </c>
      <c r="Q2330">
        <v>7971</v>
      </c>
      <c r="R2330">
        <v>840</v>
      </c>
      <c r="S2330">
        <v>0</v>
      </c>
    </row>
    <row r="2331" spans="11:19" x14ac:dyDescent="0.3">
      <c r="K2331" s="16">
        <f t="shared" ref="K2331:K2394" si="36">K2307+1</f>
        <v>44113</v>
      </c>
      <c r="L2331" s="17">
        <v>4.1666666666666664E-2</v>
      </c>
      <c r="M2331" s="14">
        <v>396</v>
      </c>
      <c r="N2331" s="14">
        <v>413</v>
      </c>
      <c r="O2331" s="14">
        <v>0</v>
      </c>
      <c r="P2331" s="14">
        <v>809</v>
      </c>
      <c r="Q2331">
        <v>7565</v>
      </c>
      <c r="R2331">
        <v>1070</v>
      </c>
      <c r="S2331">
        <v>0</v>
      </c>
    </row>
    <row r="2332" spans="11:19" x14ac:dyDescent="0.3">
      <c r="K2332" s="16">
        <f t="shared" si="36"/>
        <v>44113</v>
      </c>
      <c r="L2332" s="17">
        <v>8.3333333333333329E-2</v>
      </c>
      <c r="M2332" s="14">
        <v>396</v>
      </c>
      <c r="N2332" s="14">
        <v>154</v>
      </c>
      <c r="O2332" s="14">
        <v>0</v>
      </c>
      <c r="P2332" s="14">
        <v>550</v>
      </c>
      <c r="Q2332">
        <v>7264</v>
      </c>
      <c r="R2332">
        <v>1187</v>
      </c>
      <c r="S2332">
        <v>0</v>
      </c>
    </row>
    <row r="2333" spans="11:19" x14ac:dyDescent="0.3">
      <c r="K2333" s="16">
        <f t="shared" si="36"/>
        <v>44113</v>
      </c>
      <c r="L2333" s="17">
        <v>0.125</v>
      </c>
      <c r="M2333" s="14">
        <v>396</v>
      </c>
      <c r="N2333" s="14">
        <v>0</v>
      </c>
      <c r="O2333" s="14">
        <v>-263</v>
      </c>
      <c r="P2333" s="14">
        <v>133</v>
      </c>
      <c r="Q2333">
        <v>6895</v>
      </c>
      <c r="R2333">
        <v>1235</v>
      </c>
      <c r="S2333">
        <v>0</v>
      </c>
    </row>
    <row r="2334" spans="11:19" x14ac:dyDescent="0.3">
      <c r="K2334" s="16">
        <f t="shared" si="36"/>
        <v>44113</v>
      </c>
      <c r="L2334" s="17">
        <v>0.16666666666666666</v>
      </c>
      <c r="M2334" s="14">
        <v>396</v>
      </c>
      <c r="N2334" s="14">
        <v>0</v>
      </c>
      <c r="O2334" s="14">
        <v>-453</v>
      </c>
      <c r="P2334" s="14">
        <v>-57</v>
      </c>
      <c r="Q2334">
        <v>6818</v>
      </c>
      <c r="R2334">
        <v>1345</v>
      </c>
      <c r="S2334">
        <v>0</v>
      </c>
    </row>
    <row r="2335" spans="11:19" x14ac:dyDescent="0.3">
      <c r="K2335" s="16">
        <f t="shared" si="36"/>
        <v>44113</v>
      </c>
      <c r="L2335" s="17">
        <v>0.20833333333333334</v>
      </c>
      <c r="M2335" s="14">
        <v>396</v>
      </c>
      <c r="N2335" s="14">
        <v>0</v>
      </c>
      <c r="O2335" s="14">
        <v>-122</v>
      </c>
      <c r="P2335" s="14">
        <v>274</v>
      </c>
      <c r="Q2335">
        <v>7208</v>
      </c>
      <c r="R2335">
        <v>1383</v>
      </c>
      <c r="S2335">
        <v>0</v>
      </c>
    </row>
    <row r="2336" spans="11:19" x14ac:dyDescent="0.3">
      <c r="K2336" s="16">
        <f t="shared" si="36"/>
        <v>44113</v>
      </c>
      <c r="L2336" s="17">
        <v>0.25</v>
      </c>
      <c r="M2336" s="14">
        <v>396</v>
      </c>
      <c r="N2336" s="14">
        <v>0</v>
      </c>
      <c r="O2336" s="14">
        <v>743</v>
      </c>
      <c r="P2336" s="14">
        <v>1139</v>
      </c>
      <c r="Q2336">
        <v>8240</v>
      </c>
      <c r="R2336">
        <v>1324</v>
      </c>
      <c r="S2336">
        <v>0</v>
      </c>
    </row>
    <row r="2337" spans="11:19" x14ac:dyDescent="0.3">
      <c r="K2337" s="16">
        <f t="shared" si="36"/>
        <v>44113</v>
      </c>
      <c r="L2337" s="17">
        <v>0.29166666666666669</v>
      </c>
      <c r="M2337" s="14">
        <v>396</v>
      </c>
      <c r="N2337" s="14">
        <v>0</v>
      </c>
      <c r="O2337" s="14">
        <v>0</v>
      </c>
      <c r="P2337" s="14">
        <v>396</v>
      </c>
      <c r="Q2337">
        <v>9151</v>
      </c>
      <c r="R2337">
        <v>1340</v>
      </c>
      <c r="S2337">
        <v>4</v>
      </c>
    </row>
    <row r="2338" spans="11:19" x14ac:dyDescent="0.3">
      <c r="K2338" s="16">
        <f t="shared" si="36"/>
        <v>44113</v>
      </c>
      <c r="L2338" s="17">
        <v>0.33333333333333331</v>
      </c>
      <c r="M2338" s="14">
        <v>396</v>
      </c>
      <c r="N2338" s="14">
        <v>954</v>
      </c>
      <c r="O2338" s="14">
        <v>0</v>
      </c>
      <c r="P2338" s="14">
        <v>1350</v>
      </c>
      <c r="Q2338">
        <v>9420</v>
      </c>
      <c r="R2338">
        <v>1472</v>
      </c>
      <c r="S2338">
        <v>152</v>
      </c>
    </row>
    <row r="2339" spans="11:19" x14ac:dyDescent="0.3">
      <c r="K2339" s="16">
        <f t="shared" si="36"/>
        <v>44113</v>
      </c>
      <c r="L2339" s="17">
        <v>0.375</v>
      </c>
      <c r="M2339" s="14">
        <v>396</v>
      </c>
      <c r="N2339" s="14">
        <v>867</v>
      </c>
      <c r="O2339" s="14">
        <v>0</v>
      </c>
      <c r="P2339" s="14">
        <v>1263</v>
      </c>
      <c r="Q2339">
        <v>9656</v>
      </c>
      <c r="R2339">
        <v>1497</v>
      </c>
      <c r="S2339">
        <v>683</v>
      </c>
    </row>
    <row r="2340" spans="11:19" x14ac:dyDescent="0.3">
      <c r="K2340" s="16">
        <f t="shared" si="36"/>
        <v>44113</v>
      </c>
      <c r="L2340" s="17">
        <v>0.41666666666666669</v>
      </c>
      <c r="M2340" s="14">
        <v>396</v>
      </c>
      <c r="N2340" s="14">
        <v>0</v>
      </c>
      <c r="O2340" s="14">
        <v>0</v>
      </c>
      <c r="P2340" s="14">
        <v>396</v>
      </c>
      <c r="Q2340">
        <v>9738</v>
      </c>
      <c r="R2340">
        <v>1295</v>
      </c>
      <c r="S2340">
        <v>1355</v>
      </c>
    </row>
    <row r="2341" spans="11:19" x14ac:dyDescent="0.3">
      <c r="K2341" s="16">
        <f t="shared" si="36"/>
        <v>44113</v>
      </c>
      <c r="L2341" s="17">
        <v>0.45833333333333331</v>
      </c>
      <c r="M2341" s="14">
        <v>396</v>
      </c>
      <c r="N2341" s="14">
        <v>701</v>
      </c>
      <c r="O2341" s="14">
        <v>0</v>
      </c>
      <c r="P2341" s="14">
        <v>1097</v>
      </c>
      <c r="Q2341">
        <v>9842</v>
      </c>
      <c r="R2341">
        <v>1208</v>
      </c>
      <c r="S2341">
        <v>1863</v>
      </c>
    </row>
    <row r="2342" spans="11:19" x14ac:dyDescent="0.3">
      <c r="K2342" s="16">
        <f t="shared" si="36"/>
        <v>44113</v>
      </c>
      <c r="L2342" s="17">
        <v>0.5</v>
      </c>
      <c r="M2342" s="14">
        <v>396</v>
      </c>
      <c r="N2342" s="14">
        <v>0</v>
      </c>
      <c r="O2342" s="14">
        <v>0</v>
      </c>
      <c r="P2342" s="14">
        <v>396</v>
      </c>
      <c r="Q2342">
        <v>9874</v>
      </c>
      <c r="R2342">
        <v>1167</v>
      </c>
      <c r="S2342">
        <v>2123</v>
      </c>
    </row>
    <row r="2343" spans="11:19" x14ac:dyDescent="0.3">
      <c r="K2343" s="16">
        <f t="shared" si="36"/>
        <v>44113</v>
      </c>
      <c r="L2343" s="17">
        <v>0.54166666666666663</v>
      </c>
      <c r="M2343" s="14">
        <v>396</v>
      </c>
      <c r="N2343" s="14">
        <v>217</v>
      </c>
      <c r="O2343" s="14">
        <v>0</v>
      </c>
      <c r="P2343" s="14">
        <v>613</v>
      </c>
      <c r="Q2343">
        <v>9648</v>
      </c>
      <c r="R2343">
        <v>1215</v>
      </c>
      <c r="S2343">
        <v>2229</v>
      </c>
    </row>
    <row r="2344" spans="11:19" x14ac:dyDescent="0.3">
      <c r="K2344" s="16">
        <f t="shared" si="36"/>
        <v>44113</v>
      </c>
      <c r="L2344" s="17">
        <v>0.58333333333333337</v>
      </c>
      <c r="M2344" s="14">
        <v>396</v>
      </c>
      <c r="N2344" s="14">
        <v>92</v>
      </c>
      <c r="O2344" s="14">
        <v>0</v>
      </c>
      <c r="P2344" s="14">
        <v>488</v>
      </c>
      <c r="Q2344">
        <v>9478</v>
      </c>
      <c r="R2344">
        <v>1247</v>
      </c>
      <c r="S2344">
        <v>2151</v>
      </c>
    </row>
    <row r="2345" spans="11:19" x14ac:dyDescent="0.3">
      <c r="K2345" s="16">
        <f t="shared" si="36"/>
        <v>44113</v>
      </c>
      <c r="L2345" s="17">
        <v>0.625</v>
      </c>
      <c r="M2345" s="14">
        <v>396</v>
      </c>
      <c r="N2345" s="14">
        <v>0</v>
      </c>
      <c r="O2345" s="14">
        <v>-90</v>
      </c>
      <c r="P2345" s="14">
        <v>306</v>
      </c>
      <c r="Q2345">
        <v>9180</v>
      </c>
      <c r="R2345">
        <v>1356</v>
      </c>
      <c r="S2345">
        <v>1929</v>
      </c>
    </row>
    <row r="2346" spans="11:19" x14ac:dyDescent="0.3">
      <c r="K2346" s="16">
        <f t="shared" si="36"/>
        <v>44113</v>
      </c>
      <c r="L2346" s="17">
        <v>0.66666666666666663</v>
      </c>
      <c r="M2346" s="14">
        <v>396</v>
      </c>
      <c r="N2346" s="14">
        <v>254</v>
      </c>
      <c r="O2346" s="14">
        <v>0</v>
      </c>
      <c r="P2346" s="14">
        <v>650</v>
      </c>
      <c r="Q2346">
        <v>8930</v>
      </c>
      <c r="R2346">
        <v>1195</v>
      </c>
      <c r="S2346">
        <v>1491</v>
      </c>
    </row>
    <row r="2347" spans="11:19" x14ac:dyDescent="0.3">
      <c r="K2347" s="16">
        <f t="shared" si="36"/>
        <v>44113</v>
      </c>
      <c r="L2347" s="17">
        <v>0.70833333333333337</v>
      </c>
      <c r="M2347" s="14">
        <v>396</v>
      </c>
      <c r="N2347" s="14">
        <v>0</v>
      </c>
      <c r="O2347" s="14">
        <v>0</v>
      </c>
      <c r="P2347" s="14">
        <v>396</v>
      </c>
      <c r="Q2347">
        <v>8858</v>
      </c>
      <c r="R2347">
        <v>1106</v>
      </c>
      <c r="S2347">
        <v>883</v>
      </c>
    </row>
    <row r="2348" spans="11:19" x14ac:dyDescent="0.3">
      <c r="K2348" s="16">
        <f t="shared" si="36"/>
        <v>44113</v>
      </c>
      <c r="L2348" s="17">
        <v>0.75</v>
      </c>
      <c r="M2348" s="14">
        <v>396</v>
      </c>
      <c r="N2348" s="14">
        <v>0</v>
      </c>
      <c r="O2348" s="14">
        <v>0</v>
      </c>
      <c r="P2348" s="14">
        <v>396</v>
      </c>
      <c r="Q2348">
        <v>9075</v>
      </c>
      <c r="R2348">
        <v>885</v>
      </c>
      <c r="S2348">
        <v>218</v>
      </c>
    </row>
    <row r="2349" spans="11:19" x14ac:dyDescent="0.3">
      <c r="K2349" s="16">
        <f t="shared" si="36"/>
        <v>44113</v>
      </c>
      <c r="L2349" s="17">
        <v>0.79166666666666663</v>
      </c>
      <c r="M2349" s="14">
        <v>396</v>
      </c>
      <c r="N2349" s="14">
        <v>954</v>
      </c>
      <c r="O2349" s="14">
        <v>0</v>
      </c>
      <c r="P2349" s="14">
        <v>1350</v>
      </c>
      <c r="Q2349">
        <v>9376</v>
      </c>
      <c r="R2349">
        <v>678</v>
      </c>
      <c r="S2349">
        <v>6</v>
      </c>
    </row>
    <row r="2350" spans="11:19" x14ac:dyDescent="0.3">
      <c r="K2350" s="16">
        <f t="shared" si="36"/>
        <v>44113</v>
      </c>
      <c r="L2350" s="17">
        <v>0.83333333333333337</v>
      </c>
      <c r="M2350" s="14">
        <v>396</v>
      </c>
      <c r="N2350" s="14">
        <v>954</v>
      </c>
      <c r="O2350" s="14">
        <v>0</v>
      </c>
      <c r="P2350" s="14">
        <v>1350</v>
      </c>
      <c r="Q2350">
        <v>8870</v>
      </c>
      <c r="R2350">
        <v>647</v>
      </c>
      <c r="S2350">
        <v>0</v>
      </c>
    </row>
    <row r="2351" spans="11:19" x14ac:dyDescent="0.3">
      <c r="K2351" s="16">
        <f t="shared" si="36"/>
        <v>44113</v>
      </c>
      <c r="L2351" s="17">
        <v>0.875</v>
      </c>
      <c r="M2351" s="14">
        <v>396</v>
      </c>
      <c r="N2351" s="14">
        <v>0</v>
      </c>
      <c r="O2351" s="14">
        <v>0</v>
      </c>
      <c r="P2351" s="14">
        <v>396</v>
      </c>
      <c r="Q2351">
        <v>8247</v>
      </c>
      <c r="R2351">
        <v>524</v>
      </c>
      <c r="S2351">
        <v>0</v>
      </c>
    </row>
    <row r="2352" spans="11:19" x14ac:dyDescent="0.3">
      <c r="K2352" s="16">
        <f t="shared" si="36"/>
        <v>44113</v>
      </c>
      <c r="L2352" s="17">
        <v>0.91666666666666663</v>
      </c>
      <c r="M2352" s="14">
        <v>396</v>
      </c>
      <c r="N2352" s="14">
        <v>954</v>
      </c>
      <c r="O2352" s="14">
        <v>0</v>
      </c>
      <c r="P2352" s="14">
        <v>1350</v>
      </c>
      <c r="Q2352">
        <v>8403</v>
      </c>
      <c r="R2352">
        <v>493</v>
      </c>
      <c r="S2352">
        <v>0</v>
      </c>
    </row>
    <row r="2353" spans="11:19" x14ac:dyDescent="0.3">
      <c r="K2353" s="16">
        <f t="shared" si="36"/>
        <v>44113</v>
      </c>
      <c r="L2353" s="17">
        <v>0.95833333333333337</v>
      </c>
      <c r="M2353" s="14">
        <v>396</v>
      </c>
      <c r="N2353" s="14">
        <v>954</v>
      </c>
      <c r="O2353" s="14">
        <v>0</v>
      </c>
      <c r="P2353" s="14">
        <v>1350</v>
      </c>
      <c r="Q2353">
        <v>8479</v>
      </c>
      <c r="R2353">
        <v>448</v>
      </c>
      <c r="S2353">
        <v>0</v>
      </c>
    </row>
    <row r="2354" spans="11:19" x14ac:dyDescent="0.3">
      <c r="K2354" s="16">
        <f t="shared" si="36"/>
        <v>44114</v>
      </c>
      <c r="L2354" s="17">
        <v>0</v>
      </c>
      <c r="M2354" s="14">
        <v>396</v>
      </c>
      <c r="N2354" s="14">
        <v>0</v>
      </c>
      <c r="O2354" s="14">
        <v>1200</v>
      </c>
      <c r="P2354" s="14">
        <v>1596</v>
      </c>
      <c r="Q2354">
        <v>7762</v>
      </c>
      <c r="R2354">
        <v>453</v>
      </c>
      <c r="S2354">
        <v>0</v>
      </c>
    </row>
    <row r="2355" spans="11:19" x14ac:dyDescent="0.3">
      <c r="K2355" s="16">
        <f t="shared" si="36"/>
        <v>44114</v>
      </c>
      <c r="L2355" s="17">
        <v>4.1666666666666664E-2</v>
      </c>
      <c r="M2355" s="14">
        <v>396</v>
      </c>
      <c r="N2355" s="14">
        <v>600</v>
      </c>
      <c r="O2355" s="14">
        <v>522</v>
      </c>
      <c r="P2355" s="14">
        <v>1518</v>
      </c>
      <c r="Q2355">
        <v>7309</v>
      </c>
      <c r="R2355">
        <v>427</v>
      </c>
      <c r="S2355">
        <v>0</v>
      </c>
    </row>
    <row r="2356" spans="11:19" x14ac:dyDescent="0.3">
      <c r="K2356" s="16">
        <f t="shared" si="36"/>
        <v>44114</v>
      </c>
      <c r="L2356" s="17">
        <v>8.3333333333333329E-2</v>
      </c>
      <c r="M2356" s="14">
        <v>396</v>
      </c>
      <c r="N2356" s="14">
        <v>600</v>
      </c>
      <c r="O2356" s="14">
        <v>122</v>
      </c>
      <c r="P2356" s="14">
        <v>1118</v>
      </c>
      <c r="Q2356">
        <v>6960</v>
      </c>
      <c r="R2356">
        <v>483</v>
      </c>
      <c r="S2356">
        <v>0</v>
      </c>
    </row>
    <row r="2357" spans="11:19" x14ac:dyDescent="0.3">
      <c r="K2357" s="16">
        <f t="shared" si="36"/>
        <v>44114</v>
      </c>
      <c r="L2357" s="17">
        <v>0.125</v>
      </c>
      <c r="M2357" s="14">
        <v>396</v>
      </c>
      <c r="N2357" s="14">
        <v>236</v>
      </c>
      <c r="O2357" s="14">
        <v>0</v>
      </c>
      <c r="P2357" s="14">
        <v>632</v>
      </c>
      <c r="Q2357">
        <v>6532</v>
      </c>
      <c r="R2357">
        <v>541</v>
      </c>
      <c r="S2357">
        <v>0</v>
      </c>
    </row>
    <row r="2358" spans="11:19" x14ac:dyDescent="0.3">
      <c r="K2358" s="16">
        <f t="shared" si="36"/>
        <v>44114</v>
      </c>
      <c r="L2358" s="17">
        <v>0.16666666666666666</v>
      </c>
      <c r="M2358" s="14">
        <v>396</v>
      </c>
      <c r="N2358" s="14">
        <v>80</v>
      </c>
      <c r="O2358" s="14">
        <v>0</v>
      </c>
      <c r="P2358" s="14">
        <v>476</v>
      </c>
      <c r="Q2358">
        <v>6346</v>
      </c>
      <c r="R2358">
        <v>508</v>
      </c>
      <c r="S2358">
        <v>0</v>
      </c>
    </row>
    <row r="2359" spans="11:19" x14ac:dyDescent="0.3">
      <c r="K2359" s="16">
        <f t="shared" si="36"/>
        <v>44114</v>
      </c>
      <c r="L2359" s="17">
        <v>0.20833333333333334</v>
      </c>
      <c r="M2359" s="14">
        <v>396</v>
      </c>
      <c r="N2359" s="14">
        <v>108</v>
      </c>
      <c r="O2359" s="14">
        <v>0</v>
      </c>
      <c r="P2359" s="14">
        <v>504</v>
      </c>
      <c r="Q2359">
        <v>6429</v>
      </c>
      <c r="R2359">
        <v>552</v>
      </c>
      <c r="S2359">
        <v>0</v>
      </c>
    </row>
    <row r="2360" spans="11:19" x14ac:dyDescent="0.3">
      <c r="K2360" s="16">
        <f t="shared" si="36"/>
        <v>44114</v>
      </c>
      <c r="L2360" s="17">
        <v>0.25</v>
      </c>
      <c r="M2360" s="14">
        <v>396</v>
      </c>
      <c r="N2360" s="14">
        <v>0</v>
      </c>
      <c r="O2360" s="14">
        <v>120</v>
      </c>
      <c r="P2360" s="14">
        <v>516</v>
      </c>
      <c r="Q2360">
        <v>6753</v>
      </c>
      <c r="R2360">
        <v>768</v>
      </c>
      <c r="S2360">
        <v>0</v>
      </c>
    </row>
    <row r="2361" spans="11:19" x14ac:dyDescent="0.3">
      <c r="K2361" s="16">
        <f t="shared" si="36"/>
        <v>44114</v>
      </c>
      <c r="L2361" s="17">
        <v>0.29166666666666669</v>
      </c>
      <c r="M2361" s="14">
        <v>396</v>
      </c>
      <c r="N2361" s="14">
        <v>0</v>
      </c>
      <c r="O2361" s="14">
        <v>338</v>
      </c>
      <c r="P2361" s="14">
        <v>734</v>
      </c>
      <c r="Q2361">
        <v>7060</v>
      </c>
      <c r="R2361">
        <v>830</v>
      </c>
      <c r="S2361">
        <v>6</v>
      </c>
    </row>
    <row r="2362" spans="11:19" x14ac:dyDescent="0.3">
      <c r="K2362" s="16">
        <f t="shared" si="36"/>
        <v>44114</v>
      </c>
      <c r="L2362" s="17">
        <v>0.33333333333333331</v>
      </c>
      <c r="M2362" s="14">
        <v>396</v>
      </c>
      <c r="N2362" s="14">
        <v>598</v>
      </c>
      <c r="O2362" s="14">
        <v>0</v>
      </c>
      <c r="P2362" s="14">
        <v>994</v>
      </c>
      <c r="Q2362">
        <v>7521</v>
      </c>
      <c r="R2362">
        <v>918</v>
      </c>
      <c r="S2362">
        <v>105</v>
      </c>
    </row>
    <row r="2363" spans="11:19" x14ac:dyDescent="0.3">
      <c r="K2363" s="16">
        <f t="shared" si="36"/>
        <v>44114</v>
      </c>
      <c r="L2363" s="17">
        <v>0.375</v>
      </c>
      <c r="M2363" s="14">
        <v>396</v>
      </c>
      <c r="N2363" s="14">
        <v>0</v>
      </c>
      <c r="O2363" s="14">
        <v>570</v>
      </c>
      <c r="P2363" s="14">
        <v>966</v>
      </c>
      <c r="Q2363">
        <v>8050</v>
      </c>
      <c r="R2363">
        <v>1040</v>
      </c>
      <c r="S2363">
        <v>533</v>
      </c>
    </row>
    <row r="2364" spans="11:19" x14ac:dyDescent="0.3">
      <c r="K2364" s="16">
        <f t="shared" si="36"/>
        <v>44114</v>
      </c>
      <c r="L2364" s="17">
        <v>0.41666666666666669</v>
      </c>
      <c r="M2364" s="14">
        <v>396</v>
      </c>
      <c r="N2364" s="14">
        <v>0</v>
      </c>
      <c r="O2364" s="14">
        <v>0</v>
      </c>
      <c r="P2364" s="14">
        <v>396</v>
      </c>
      <c r="Q2364">
        <v>8257</v>
      </c>
      <c r="R2364">
        <v>1288</v>
      </c>
      <c r="S2364">
        <v>964</v>
      </c>
    </row>
    <row r="2365" spans="11:19" x14ac:dyDescent="0.3">
      <c r="K2365" s="16">
        <f t="shared" si="36"/>
        <v>44114</v>
      </c>
      <c r="L2365" s="17">
        <v>0.45833333333333331</v>
      </c>
      <c r="M2365" s="14">
        <v>396</v>
      </c>
      <c r="N2365" s="14">
        <v>0</v>
      </c>
      <c r="O2365" s="14">
        <v>-203</v>
      </c>
      <c r="P2365" s="14">
        <v>193</v>
      </c>
      <c r="Q2365">
        <v>8458</v>
      </c>
      <c r="R2365">
        <v>1607</v>
      </c>
      <c r="S2365">
        <v>1232</v>
      </c>
    </row>
    <row r="2366" spans="11:19" x14ac:dyDescent="0.3">
      <c r="K2366" s="16">
        <f t="shared" si="36"/>
        <v>44114</v>
      </c>
      <c r="L2366" s="17">
        <v>0.5</v>
      </c>
      <c r="M2366" s="14">
        <v>396</v>
      </c>
      <c r="N2366" s="14">
        <v>0</v>
      </c>
      <c r="O2366" s="14">
        <v>-68</v>
      </c>
      <c r="P2366" s="14">
        <v>328</v>
      </c>
      <c r="Q2366">
        <v>8796</v>
      </c>
      <c r="R2366">
        <v>1698</v>
      </c>
      <c r="S2366">
        <v>1347</v>
      </c>
    </row>
    <row r="2367" spans="11:19" x14ac:dyDescent="0.3">
      <c r="K2367" s="16">
        <f t="shared" si="36"/>
        <v>44114</v>
      </c>
      <c r="L2367" s="17">
        <v>0.54166666666666663</v>
      </c>
      <c r="M2367" s="14">
        <v>396</v>
      </c>
      <c r="N2367" s="14">
        <v>0</v>
      </c>
      <c r="O2367" s="14">
        <v>-578</v>
      </c>
      <c r="P2367" s="14">
        <v>-182</v>
      </c>
      <c r="Q2367">
        <v>8442</v>
      </c>
      <c r="R2367">
        <v>1790</v>
      </c>
      <c r="S2367">
        <v>1415</v>
      </c>
    </row>
    <row r="2368" spans="11:19" x14ac:dyDescent="0.3">
      <c r="K2368" s="16">
        <f t="shared" si="36"/>
        <v>44114</v>
      </c>
      <c r="L2368" s="17">
        <v>0.58333333333333337</v>
      </c>
      <c r="M2368" s="14">
        <v>396</v>
      </c>
      <c r="N2368" s="14">
        <v>0</v>
      </c>
      <c r="O2368" s="14">
        <v>-1032</v>
      </c>
      <c r="P2368" s="14">
        <v>-636</v>
      </c>
      <c r="Q2368">
        <v>8161</v>
      </c>
      <c r="R2368">
        <v>2014</v>
      </c>
      <c r="S2368">
        <v>1366</v>
      </c>
    </row>
    <row r="2369" spans="11:19" x14ac:dyDescent="0.3">
      <c r="K2369" s="16">
        <f t="shared" si="36"/>
        <v>44114</v>
      </c>
      <c r="L2369" s="17">
        <v>0.625</v>
      </c>
      <c r="M2369" s="14">
        <v>396</v>
      </c>
      <c r="N2369" s="14">
        <v>0</v>
      </c>
      <c r="O2369" s="14">
        <v>-1200</v>
      </c>
      <c r="P2369" s="14">
        <v>-804</v>
      </c>
      <c r="Q2369">
        <v>7855</v>
      </c>
      <c r="R2369">
        <v>2008</v>
      </c>
      <c r="S2369">
        <v>1253</v>
      </c>
    </row>
    <row r="2370" spans="11:19" x14ac:dyDescent="0.3">
      <c r="K2370" s="16">
        <f t="shared" si="36"/>
        <v>44114</v>
      </c>
      <c r="L2370" s="17">
        <v>0.66666666666666663</v>
      </c>
      <c r="M2370" s="14">
        <v>396</v>
      </c>
      <c r="N2370" s="14">
        <v>0</v>
      </c>
      <c r="O2370" s="14">
        <v>-940</v>
      </c>
      <c r="P2370" s="14">
        <v>-544</v>
      </c>
      <c r="Q2370">
        <v>7656</v>
      </c>
      <c r="R2370">
        <v>1746</v>
      </c>
      <c r="S2370">
        <v>948</v>
      </c>
    </row>
    <row r="2371" spans="11:19" x14ac:dyDescent="0.3">
      <c r="K2371" s="16">
        <f t="shared" si="36"/>
        <v>44114</v>
      </c>
      <c r="L2371" s="17">
        <v>0.70833333333333337</v>
      </c>
      <c r="M2371" s="14">
        <v>396</v>
      </c>
      <c r="N2371" s="14">
        <v>0</v>
      </c>
      <c r="O2371" s="14">
        <v>-519</v>
      </c>
      <c r="P2371" s="14">
        <v>-123</v>
      </c>
      <c r="Q2371">
        <v>7625</v>
      </c>
      <c r="R2371">
        <v>1745</v>
      </c>
      <c r="S2371">
        <v>490</v>
      </c>
    </row>
    <row r="2372" spans="11:19" x14ac:dyDescent="0.3">
      <c r="K2372" s="16">
        <f t="shared" si="36"/>
        <v>44114</v>
      </c>
      <c r="L2372" s="17">
        <v>0.75</v>
      </c>
      <c r="M2372" s="14">
        <v>396</v>
      </c>
      <c r="N2372" s="14">
        <v>293</v>
      </c>
      <c r="O2372" s="14">
        <v>0</v>
      </c>
      <c r="P2372" s="14">
        <v>689</v>
      </c>
      <c r="Q2372">
        <v>7827</v>
      </c>
      <c r="R2372">
        <v>1507</v>
      </c>
      <c r="S2372">
        <v>117</v>
      </c>
    </row>
    <row r="2373" spans="11:19" x14ac:dyDescent="0.3">
      <c r="K2373" s="16">
        <f t="shared" si="36"/>
        <v>44114</v>
      </c>
      <c r="L2373" s="17">
        <v>0.79166666666666663</v>
      </c>
      <c r="M2373" s="14">
        <v>396</v>
      </c>
      <c r="N2373" s="14">
        <v>600</v>
      </c>
      <c r="O2373" s="14">
        <v>389</v>
      </c>
      <c r="P2373" s="14">
        <v>1385</v>
      </c>
      <c r="Q2373">
        <v>8284</v>
      </c>
      <c r="R2373">
        <v>1365</v>
      </c>
      <c r="S2373">
        <v>13</v>
      </c>
    </row>
    <row r="2374" spans="11:19" x14ac:dyDescent="0.3">
      <c r="K2374" s="16">
        <f t="shared" si="36"/>
        <v>44114</v>
      </c>
      <c r="L2374" s="17">
        <v>0.83333333333333337</v>
      </c>
      <c r="M2374" s="14">
        <v>396</v>
      </c>
      <c r="N2374" s="14">
        <v>600</v>
      </c>
      <c r="O2374" s="14">
        <v>191</v>
      </c>
      <c r="P2374" s="14">
        <v>1187</v>
      </c>
      <c r="Q2374">
        <v>8042</v>
      </c>
      <c r="R2374">
        <v>1362</v>
      </c>
      <c r="S2374">
        <v>0</v>
      </c>
    </row>
    <row r="2375" spans="11:19" x14ac:dyDescent="0.3">
      <c r="K2375" s="16">
        <f t="shared" si="36"/>
        <v>44114</v>
      </c>
      <c r="L2375" s="17">
        <v>0.875</v>
      </c>
      <c r="M2375" s="14">
        <v>396</v>
      </c>
      <c r="N2375" s="14">
        <v>344</v>
      </c>
      <c r="O2375" s="14">
        <v>0</v>
      </c>
      <c r="P2375" s="14">
        <v>740</v>
      </c>
      <c r="Q2375">
        <v>7594</v>
      </c>
      <c r="R2375">
        <v>1377</v>
      </c>
      <c r="S2375">
        <v>0</v>
      </c>
    </row>
    <row r="2376" spans="11:19" x14ac:dyDescent="0.3">
      <c r="K2376" s="16">
        <f t="shared" si="36"/>
        <v>44114</v>
      </c>
      <c r="L2376" s="17">
        <v>0.91666666666666663</v>
      </c>
      <c r="M2376" s="14">
        <v>396</v>
      </c>
      <c r="N2376" s="14">
        <v>590</v>
      </c>
      <c r="O2376" s="14">
        <v>0</v>
      </c>
      <c r="P2376" s="14">
        <v>986</v>
      </c>
      <c r="Q2376">
        <v>7856</v>
      </c>
      <c r="R2376">
        <v>1400</v>
      </c>
      <c r="S2376">
        <v>0</v>
      </c>
    </row>
    <row r="2377" spans="11:19" x14ac:dyDescent="0.3">
      <c r="K2377" s="16">
        <f t="shared" si="36"/>
        <v>44114</v>
      </c>
      <c r="L2377" s="17">
        <v>0.95833333333333337</v>
      </c>
      <c r="M2377" s="14">
        <v>396</v>
      </c>
      <c r="N2377" s="14">
        <v>600</v>
      </c>
      <c r="O2377" s="14">
        <v>180</v>
      </c>
      <c r="P2377" s="14">
        <v>1176</v>
      </c>
      <c r="Q2377">
        <v>8089</v>
      </c>
      <c r="R2377">
        <v>1461</v>
      </c>
      <c r="S2377">
        <v>0</v>
      </c>
    </row>
    <row r="2378" spans="11:19" x14ac:dyDescent="0.3">
      <c r="K2378" s="16">
        <f t="shared" si="36"/>
        <v>44115</v>
      </c>
      <c r="L2378" s="17">
        <v>0</v>
      </c>
      <c r="M2378" s="14">
        <v>396</v>
      </c>
      <c r="N2378" s="14">
        <v>0</v>
      </c>
      <c r="O2378" s="14">
        <v>230</v>
      </c>
      <c r="P2378" s="14">
        <v>626</v>
      </c>
      <c r="Q2378">
        <v>7514</v>
      </c>
      <c r="R2378">
        <v>1440</v>
      </c>
      <c r="S2378">
        <v>0</v>
      </c>
    </row>
    <row r="2379" spans="11:19" x14ac:dyDescent="0.3">
      <c r="K2379" s="16">
        <f t="shared" si="36"/>
        <v>44115</v>
      </c>
      <c r="L2379" s="17">
        <v>4.1666666666666664E-2</v>
      </c>
      <c r="M2379" s="14">
        <v>396</v>
      </c>
      <c r="N2379" s="14">
        <v>0</v>
      </c>
      <c r="O2379" s="14">
        <v>0</v>
      </c>
      <c r="P2379" s="14">
        <v>396</v>
      </c>
      <c r="Q2379">
        <v>7084</v>
      </c>
      <c r="R2379">
        <v>1813</v>
      </c>
      <c r="S2379">
        <v>0</v>
      </c>
    </row>
    <row r="2380" spans="11:19" x14ac:dyDescent="0.3">
      <c r="K2380" s="16">
        <f t="shared" si="36"/>
        <v>44115</v>
      </c>
      <c r="L2380" s="17">
        <v>8.3333333333333329E-2</v>
      </c>
      <c r="M2380" s="14">
        <v>396</v>
      </c>
      <c r="N2380" s="14">
        <v>0</v>
      </c>
      <c r="O2380" s="14">
        <v>-220</v>
      </c>
      <c r="P2380" s="14">
        <v>176</v>
      </c>
      <c r="Q2380">
        <v>6696</v>
      </c>
      <c r="R2380">
        <v>1717</v>
      </c>
      <c r="S2380">
        <v>0</v>
      </c>
    </row>
    <row r="2381" spans="11:19" x14ac:dyDescent="0.3">
      <c r="K2381" s="16">
        <f t="shared" si="36"/>
        <v>44115</v>
      </c>
      <c r="L2381" s="17">
        <v>0.125</v>
      </c>
      <c r="M2381" s="14">
        <v>396</v>
      </c>
      <c r="N2381" s="14">
        <v>0</v>
      </c>
      <c r="O2381" s="14">
        <v>-799</v>
      </c>
      <c r="P2381" s="14">
        <v>-403</v>
      </c>
      <c r="Q2381">
        <v>6243</v>
      </c>
      <c r="R2381">
        <v>1900</v>
      </c>
      <c r="S2381">
        <v>0</v>
      </c>
    </row>
    <row r="2382" spans="11:19" x14ac:dyDescent="0.3">
      <c r="K2382" s="16">
        <f t="shared" si="36"/>
        <v>44115</v>
      </c>
      <c r="L2382" s="17">
        <v>0.16666666666666666</v>
      </c>
      <c r="M2382" s="14">
        <v>396</v>
      </c>
      <c r="N2382" s="14">
        <v>0</v>
      </c>
      <c r="O2382" s="14">
        <v>-1068</v>
      </c>
      <c r="P2382" s="14">
        <v>-672</v>
      </c>
      <c r="Q2382">
        <v>6009</v>
      </c>
      <c r="R2382">
        <v>1932</v>
      </c>
      <c r="S2382">
        <v>0</v>
      </c>
    </row>
    <row r="2383" spans="11:19" x14ac:dyDescent="0.3">
      <c r="K2383" s="16">
        <f t="shared" si="36"/>
        <v>44115</v>
      </c>
      <c r="L2383" s="17">
        <v>0.20833333333333334</v>
      </c>
      <c r="M2383" s="14">
        <v>396</v>
      </c>
      <c r="N2383" s="14">
        <v>0</v>
      </c>
      <c r="O2383" s="14">
        <v>-1200</v>
      </c>
      <c r="P2383" s="14">
        <v>-804</v>
      </c>
      <c r="Q2383">
        <v>5966</v>
      </c>
      <c r="R2383">
        <v>2056</v>
      </c>
      <c r="S2383">
        <v>0</v>
      </c>
    </row>
    <row r="2384" spans="11:19" x14ac:dyDescent="0.3">
      <c r="K2384" s="16">
        <f t="shared" si="36"/>
        <v>44115</v>
      </c>
      <c r="L2384" s="17">
        <v>0.25</v>
      </c>
      <c r="M2384" s="14">
        <v>396</v>
      </c>
      <c r="N2384" s="14">
        <v>0</v>
      </c>
      <c r="O2384" s="14">
        <v>-1063</v>
      </c>
      <c r="P2384" s="14">
        <v>-667</v>
      </c>
      <c r="Q2384">
        <v>6107</v>
      </c>
      <c r="R2384">
        <v>1997</v>
      </c>
      <c r="S2384">
        <v>0</v>
      </c>
    </row>
    <row r="2385" spans="11:19" x14ac:dyDescent="0.3">
      <c r="K2385" s="16">
        <f t="shared" si="36"/>
        <v>44115</v>
      </c>
      <c r="L2385" s="17">
        <v>0.29166666666666669</v>
      </c>
      <c r="M2385" s="14">
        <v>396</v>
      </c>
      <c r="N2385" s="14">
        <v>0</v>
      </c>
      <c r="O2385" s="14">
        <v>-781</v>
      </c>
      <c r="P2385" s="14">
        <v>-385</v>
      </c>
      <c r="Q2385">
        <v>6219</v>
      </c>
      <c r="R2385">
        <v>1807</v>
      </c>
      <c r="S2385">
        <v>0</v>
      </c>
    </row>
    <row r="2386" spans="11:19" x14ac:dyDescent="0.3">
      <c r="K2386" s="16">
        <f t="shared" si="36"/>
        <v>44115</v>
      </c>
      <c r="L2386" s="17">
        <v>0.33333333333333331</v>
      </c>
      <c r="M2386" s="14">
        <v>396</v>
      </c>
      <c r="N2386" s="14">
        <v>0</v>
      </c>
      <c r="O2386" s="14">
        <v>-573</v>
      </c>
      <c r="P2386" s="14">
        <v>-177</v>
      </c>
      <c r="Q2386">
        <v>6581</v>
      </c>
      <c r="R2386">
        <v>1886</v>
      </c>
      <c r="S2386">
        <v>59</v>
      </c>
    </row>
    <row r="2387" spans="11:19" x14ac:dyDescent="0.3">
      <c r="K2387" s="16">
        <f t="shared" si="36"/>
        <v>44115</v>
      </c>
      <c r="L2387" s="17">
        <v>0.375</v>
      </c>
      <c r="M2387" s="14">
        <v>396</v>
      </c>
      <c r="N2387" s="14">
        <v>0</v>
      </c>
      <c r="O2387" s="14">
        <v>-86</v>
      </c>
      <c r="P2387" s="14">
        <v>310</v>
      </c>
      <c r="Q2387">
        <v>7169</v>
      </c>
      <c r="R2387">
        <v>1670</v>
      </c>
      <c r="S2387">
        <v>370</v>
      </c>
    </row>
    <row r="2388" spans="11:19" x14ac:dyDescent="0.3">
      <c r="K2388" s="16">
        <f t="shared" si="36"/>
        <v>44115</v>
      </c>
      <c r="L2388" s="17">
        <v>0.41666666666666669</v>
      </c>
      <c r="M2388" s="14">
        <v>396</v>
      </c>
      <c r="N2388" s="14">
        <v>0</v>
      </c>
      <c r="O2388" s="14">
        <v>0</v>
      </c>
      <c r="P2388" s="14">
        <v>396</v>
      </c>
      <c r="Q2388">
        <v>7593</v>
      </c>
      <c r="R2388">
        <v>1606</v>
      </c>
      <c r="S2388">
        <v>708</v>
      </c>
    </row>
    <row r="2389" spans="11:19" x14ac:dyDescent="0.3">
      <c r="K2389" s="16">
        <f t="shared" si="36"/>
        <v>44115</v>
      </c>
      <c r="L2389" s="17">
        <v>0.45833333333333331</v>
      </c>
      <c r="M2389" s="14">
        <v>396</v>
      </c>
      <c r="N2389" s="14">
        <v>0</v>
      </c>
      <c r="O2389" s="14">
        <v>0</v>
      </c>
      <c r="P2389" s="14">
        <v>396</v>
      </c>
      <c r="Q2389">
        <v>7940</v>
      </c>
      <c r="R2389">
        <v>1441</v>
      </c>
      <c r="S2389">
        <v>955</v>
      </c>
    </row>
    <row r="2390" spans="11:19" x14ac:dyDescent="0.3">
      <c r="K2390" s="16">
        <f t="shared" si="36"/>
        <v>44115</v>
      </c>
      <c r="L2390" s="17">
        <v>0.5</v>
      </c>
      <c r="M2390" s="14">
        <v>396</v>
      </c>
      <c r="N2390" s="14">
        <v>0</v>
      </c>
      <c r="O2390" s="14">
        <v>220</v>
      </c>
      <c r="P2390" s="14">
        <v>616</v>
      </c>
      <c r="Q2390">
        <v>8340</v>
      </c>
      <c r="R2390">
        <v>1363</v>
      </c>
      <c r="S2390">
        <v>935</v>
      </c>
    </row>
    <row r="2391" spans="11:19" x14ac:dyDescent="0.3">
      <c r="K2391" s="16">
        <f t="shared" si="36"/>
        <v>44115</v>
      </c>
      <c r="L2391" s="17">
        <v>0.54166666666666663</v>
      </c>
      <c r="M2391" s="14">
        <v>396</v>
      </c>
      <c r="N2391" s="14">
        <v>0</v>
      </c>
      <c r="O2391" s="14">
        <v>0</v>
      </c>
      <c r="P2391" s="14">
        <v>396</v>
      </c>
      <c r="Q2391">
        <v>7916</v>
      </c>
      <c r="R2391">
        <v>1355</v>
      </c>
      <c r="S2391">
        <v>1022</v>
      </c>
    </row>
    <row r="2392" spans="11:19" x14ac:dyDescent="0.3">
      <c r="K2392" s="16">
        <f t="shared" si="36"/>
        <v>44115</v>
      </c>
      <c r="L2392" s="17">
        <v>0.58333333333333337</v>
      </c>
      <c r="M2392" s="14">
        <v>396</v>
      </c>
      <c r="N2392" s="14">
        <v>0</v>
      </c>
      <c r="O2392" s="14">
        <v>-173</v>
      </c>
      <c r="P2392" s="14">
        <v>223</v>
      </c>
      <c r="Q2392">
        <v>7517</v>
      </c>
      <c r="R2392">
        <v>1449</v>
      </c>
      <c r="S2392">
        <v>1040</v>
      </c>
    </row>
    <row r="2393" spans="11:19" x14ac:dyDescent="0.3">
      <c r="K2393" s="16">
        <f t="shared" si="36"/>
        <v>44115</v>
      </c>
      <c r="L2393" s="17">
        <v>0.625</v>
      </c>
      <c r="M2393" s="14">
        <v>396</v>
      </c>
      <c r="N2393" s="14">
        <v>0</v>
      </c>
      <c r="O2393" s="14">
        <v>-514</v>
      </c>
      <c r="P2393" s="14">
        <v>-118</v>
      </c>
      <c r="Q2393">
        <v>7209</v>
      </c>
      <c r="R2393">
        <v>1537</v>
      </c>
      <c r="S2393">
        <v>982</v>
      </c>
    </row>
    <row r="2394" spans="11:19" x14ac:dyDescent="0.3">
      <c r="K2394" s="16">
        <f t="shared" si="36"/>
        <v>44115</v>
      </c>
      <c r="L2394" s="17">
        <v>0.66666666666666663</v>
      </c>
      <c r="M2394" s="14">
        <v>396</v>
      </c>
      <c r="N2394" s="14">
        <v>0</v>
      </c>
      <c r="O2394" s="14">
        <v>-556</v>
      </c>
      <c r="P2394" s="14">
        <v>-160</v>
      </c>
      <c r="Q2394">
        <v>7031</v>
      </c>
      <c r="R2394">
        <v>1576</v>
      </c>
      <c r="S2394">
        <v>801</v>
      </c>
    </row>
    <row r="2395" spans="11:19" x14ac:dyDescent="0.3">
      <c r="K2395" s="16">
        <f t="shared" ref="K2395:K2458" si="37">K2371+1</f>
        <v>44115</v>
      </c>
      <c r="L2395" s="17">
        <v>0.70833333333333337</v>
      </c>
      <c r="M2395" s="14">
        <v>396</v>
      </c>
      <c r="N2395" s="14">
        <v>0</v>
      </c>
      <c r="O2395" s="14">
        <v>-190</v>
      </c>
      <c r="P2395" s="14">
        <v>206</v>
      </c>
      <c r="Q2395">
        <v>7059</v>
      </c>
      <c r="R2395">
        <v>1557</v>
      </c>
      <c r="S2395">
        <v>475</v>
      </c>
    </row>
    <row r="2396" spans="11:19" x14ac:dyDescent="0.3">
      <c r="K2396" s="16">
        <f t="shared" si="37"/>
        <v>44115</v>
      </c>
      <c r="L2396" s="17">
        <v>0.75</v>
      </c>
      <c r="M2396" s="14">
        <v>396</v>
      </c>
      <c r="N2396" s="14">
        <v>0</v>
      </c>
      <c r="O2396" s="14">
        <v>120</v>
      </c>
      <c r="P2396" s="14">
        <v>516</v>
      </c>
      <c r="Q2396">
        <v>7425</v>
      </c>
      <c r="R2396">
        <v>1350</v>
      </c>
      <c r="S2396">
        <v>121</v>
      </c>
    </row>
    <row r="2397" spans="11:19" x14ac:dyDescent="0.3">
      <c r="K2397" s="16">
        <f t="shared" si="37"/>
        <v>44115</v>
      </c>
      <c r="L2397" s="17">
        <v>0.79166666666666663</v>
      </c>
      <c r="M2397" s="14">
        <v>396</v>
      </c>
      <c r="N2397" s="14">
        <v>0</v>
      </c>
      <c r="O2397" s="14">
        <v>1038</v>
      </c>
      <c r="P2397" s="14">
        <v>1434</v>
      </c>
      <c r="Q2397">
        <v>8119</v>
      </c>
      <c r="R2397">
        <v>1247</v>
      </c>
      <c r="S2397">
        <v>7</v>
      </c>
    </row>
    <row r="2398" spans="11:19" x14ac:dyDescent="0.3">
      <c r="K2398" s="16">
        <f t="shared" si="37"/>
        <v>44115</v>
      </c>
      <c r="L2398" s="17">
        <v>0.83333333333333337</v>
      </c>
      <c r="M2398" s="14">
        <v>396</v>
      </c>
      <c r="N2398" s="14">
        <v>0</v>
      </c>
      <c r="O2398" s="14">
        <v>1097</v>
      </c>
      <c r="P2398" s="14">
        <v>1493</v>
      </c>
      <c r="Q2398">
        <v>8016</v>
      </c>
      <c r="R2398">
        <v>1108</v>
      </c>
      <c r="S2398">
        <v>0</v>
      </c>
    </row>
    <row r="2399" spans="11:19" x14ac:dyDescent="0.3">
      <c r="K2399" s="16">
        <f t="shared" si="37"/>
        <v>44115</v>
      </c>
      <c r="L2399" s="17">
        <v>0.875</v>
      </c>
      <c r="M2399" s="14">
        <v>396</v>
      </c>
      <c r="N2399" s="14">
        <v>0</v>
      </c>
      <c r="O2399" s="14">
        <v>820</v>
      </c>
      <c r="P2399" s="14">
        <v>1216</v>
      </c>
      <c r="Q2399">
        <v>7557</v>
      </c>
      <c r="R2399">
        <v>941</v>
      </c>
      <c r="S2399">
        <v>0</v>
      </c>
    </row>
    <row r="2400" spans="11:19" x14ac:dyDescent="0.3">
      <c r="K2400" s="16">
        <f t="shared" si="37"/>
        <v>44115</v>
      </c>
      <c r="L2400" s="17">
        <v>0.91666666666666663</v>
      </c>
      <c r="M2400" s="14">
        <v>396</v>
      </c>
      <c r="N2400" s="14">
        <v>0</v>
      </c>
      <c r="O2400" s="14">
        <v>1058</v>
      </c>
      <c r="P2400" s="14">
        <v>1454</v>
      </c>
      <c r="Q2400">
        <v>7731</v>
      </c>
      <c r="R2400">
        <v>884</v>
      </c>
      <c r="S2400">
        <v>0</v>
      </c>
    </row>
    <row r="2401" spans="11:19" x14ac:dyDescent="0.3">
      <c r="K2401" s="16">
        <f t="shared" si="37"/>
        <v>44115</v>
      </c>
      <c r="L2401" s="17">
        <v>0.95833333333333337</v>
      </c>
      <c r="M2401" s="14">
        <v>396</v>
      </c>
      <c r="N2401" s="14">
        <v>147</v>
      </c>
      <c r="O2401" s="14">
        <v>1200</v>
      </c>
      <c r="P2401" s="14">
        <v>1743</v>
      </c>
      <c r="Q2401">
        <v>7889</v>
      </c>
      <c r="R2401">
        <v>773</v>
      </c>
      <c r="S2401">
        <v>0</v>
      </c>
    </row>
    <row r="2402" spans="11:19" x14ac:dyDescent="0.3">
      <c r="K2402" s="16">
        <f t="shared" si="37"/>
        <v>44116</v>
      </c>
      <c r="L2402" s="17">
        <v>0</v>
      </c>
      <c r="M2402" s="14">
        <v>396</v>
      </c>
      <c r="N2402" s="14">
        <v>742</v>
      </c>
      <c r="O2402" s="14">
        <v>0</v>
      </c>
      <c r="P2402" s="14">
        <v>1138</v>
      </c>
      <c r="Q2402">
        <v>7338</v>
      </c>
      <c r="R2402">
        <v>828</v>
      </c>
      <c r="S2402">
        <v>0</v>
      </c>
    </row>
    <row r="2403" spans="11:19" x14ac:dyDescent="0.3">
      <c r="K2403" s="16">
        <f t="shared" si="37"/>
        <v>44116</v>
      </c>
      <c r="L2403" s="17">
        <v>4.1666666666666664E-2</v>
      </c>
      <c r="M2403" s="14">
        <v>396</v>
      </c>
      <c r="N2403" s="14">
        <v>364</v>
      </c>
      <c r="O2403" s="14">
        <v>0</v>
      </c>
      <c r="P2403" s="14">
        <v>760</v>
      </c>
      <c r="Q2403">
        <v>6997</v>
      </c>
      <c r="R2403">
        <v>868</v>
      </c>
      <c r="S2403">
        <v>0</v>
      </c>
    </row>
    <row r="2404" spans="11:19" x14ac:dyDescent="0.3">
      <c r="K2404" s="16">
        <f t="shared" si="37"/>
        <v>44116</v>
      </c>
      <c r="L2404" s="17">
        <v>8.3333333333333329E-2</v>
      </c>
      <c r="M2404" s="14">
        <v>396</v>
      </c>
      <c r="N2404" s="14">
        <v>6</v>
      </c>
      <c r="O2404" s="14">
        <v>0</v>
      </c>
      <c r="P2404" s="14">
        <v>402</v>
      </c>
      <c r="Q2404">
        <v>6709</v>
      </c>
      <c r="R2404">
        <v>937</v>
      </c>
      <c r="S2404">
        <v>0</v>
      </c>
    </row>
    <row r="2405" spans="11:19" x14ac:dyDescent="0.3">
      <c r="K2405" s="16">
        <f t="shared" si="37"/>
        <v>44116</v>
      </c>
      <c r="L2405" s="17">
        <v>0.125</v>
      </c>
      <c r="M2405" s="14">
        <v>396</v>
      </c>
      <c r="N2405" s="14">
        <v>0</v>
      </c>
      <c r="O2405" s="14">
        <v>-636</v>
      </c>
      <c r="P2405" s="14">
        <v>-240</v>
      </c>
      <c r="Q2405">
        <v>6357</v>
      </c>
      <c r="R2405">
        <v>827</v>
      </c>
      <c r="S2405">
        <v>0</v>
      </c>
    </row>
    <row r="2406" spans="11:19" x14ac:dyDescent="0.3">
      <c r="K2406" s="16">
        <f t="shared" si="37"/>
        <v>44116</v>
      </c>
      <c r="L2406" s="17">
        <v>0.16666666666666666</v>
      </c>
      <c r="M2406" s="14">
        <v>396</v>
      </c>
      <c r="N2406" s="14">
        <v>0</v>
      </c>
      <c r="O2406" s="14">
        <v>-550</v>
      </c>
      <c r="P2406" s="14">
        <v>-154</v>
      </c>
      <c r="Q2406">
        <v>6362</v>
      </c>
      <c r="R2406">
        <v>742</v>
      </c>
      <c r="S2406">
        <v>0</v>
      </c>
    </row>
    <row r="2407" spans="11:19" x14ac:dyDescent="0.3">
      <c r="K2407" s="16">
        <f t="shared" si="37"/>
        <v>44116</v>
      </c>
      <c r="L2407" s="17">
        <v>0.20833333333333334</v>
      </c>
      <c r="M2407" s="14">
        <v>396</v>
      </c>
      <c r="N2407" s="14">
        <v>22</v>
      </c>
      <c r="O2407" s="14">
        <v>0</v>
      </c>
      <c r="P2407" s="14">
        <v>418</v>
      </c>
      <c r="Q2407">
        <v>6887</v>
      </c>
      <c r="R2407">
        <v>674</v>
      </c>
      <c r="S2407">
        <v>0</v>
      </c>
    </row>
    <row r="2408" spans="11:19" x14ac:dyDescent="0.3">
      <c r="K2408" s="16">
        <f t="shared" si="37"/>
        <v>44116</v>
      </c>
      <c r="L2408" s="17">
        <v>0.25</v>
      </c>
      <c r="M2408" s="14">
        <v>396</v>
      </c>
      <c r="N2408" s="14">
        <v>1089</v>
      </c>
      <c r="O2408" s="14">
        <v>0</v>
      </c>
      <c r="P2408" s="14">
        <v>1485</v>
      </c>
      <c r="Q2408">
        <v>8058</v>
      </c>
      <c r="R2408">
        <v>668</v>
      </c>
      <c r="S2408">
        <v>0</v>
      </c>
    </row>
    <row r="2409" spans="11:19" x14ac:dyDescent="0.3">
      <c r="K2409" s="16">
        <f t="shared" si="37"/>
        <v>44116</v>
      </c>
      <c r="L2409" s="17">
        <v>0.29166666666666669</v>
      </c>
      <c r="M2409" s="14">
        <v>396</v>
      </c>
      <c r="N2409" s="14">
        <v>0</v>
      </c>
      <c r="O2409" s="14">
        <v>0</v>
      </c>
      <c r="P2409" s="14">
        <v>396</v>
      </c>
      <c r="Q2409">
        <v>9021</v>
      </c>
      <c r="R2409">
        <v>726</v>
      </c>
      <c r="S2409">
        <v>4</v>
      </c>
    </row>
    <row r="2410" spans="11:19" x14ac:dyDescent="0.3">
      <c r="K2410" s="16">
        <f t="shared" si="37"/>
        <v>44116</v>
      </c>
      <c r="L2410" s="17">
        <v>0.33333333333333331</v>
      </c>
      <c r="M2410" s="14">
        <v>396</v>
      </c>
      <c r="N2410" s="14">
        <v>1089</v>
      </c>
      <c r="O2410" s="14">
        <v>0</v>
      </c>
      <c r="P2410" s="14">
        <v>1485</v>
      </c>
      <c r="Q2410">
        <v>9353</v>
      </c>
      <c r="R2410">
        <v>680</v>
      </c>
      <c r="S2410">
        <v>131</v>
      </c>
    </row>
    <row r="2411" spans="11:19" x14ac:dyDescent="0.3">
      <c r="K2411" s="16">
        <f t="shared" si="37"/>
        <v>44116</v>
      </c>
      <c r="L2411" s="17">
        <v>0.375</v>
      </c>
      <c r="M2411" s="14">
        <v>396</v>
      </c>
      <c r="N2411" s="14">
        <v>0</v>
      </c>
      <c r="O2411" s="14">
        <v>0</v>
      </c>
      <c r="P2411" s="14">
        <v>396</v>
      </c>
      <c r="Q2411">
        <v>9643</v>
      </c>
      <c r="R2411">
        <v>704</v>
      </c>
      <c r="S2411">
        <v>610</v>
      </c>
    </row>
    <row r="2412" spans="11:19" x14ac:dyDescent="0.3">
      <c r="K2412" s="16">
        <f t="shared" si="37"/>
        <v>44116</v>
      </c>
      <c r="L2412" s="17">
        <v>0.41666666666666669</v>
      </c>
      <c r="M2412" s="14">
        <v>396</v>
      </c>
      <c r="N2412" s="14">
        <v>0</v>
      </c>
      <c r="O2412" s="14">
        <v>0</v>
      </c>
      <c r="P2412" s="14">
        <v>396</v>
      </c>
      <c r="Q2412">
        <v>9723</v>
      </c>
      <c r="R2412">
        <v>694</v>
      </c>
      <c r="S2412">
        <v>1260</v>
      </c>
    </row>
    <row r="2413" spans="11:19" x14ac:dyDescent="0.3">
      <c r="K2413" s="16">
        <f t="shared" si="37"/>
        <v>44116</v>
      </c>
      <c r="L2413" s="17">
        <v>0.45833333333333331</v>
      </c>
      <c r="M2413" s="14">
        <v>396</v>
      </c>
      <c r="N2413" s="14">
        <v>1089</v>
      </c>
      <c r="O2413" s="14">
        <v>0</v>
      </c>
      <c r="P2413" s="14">
        <v>1485</v>
      </c>
      <c r="Q2413">
        <v>9856</v>
      </c>
      <c r="R2413">
        <v>710</v>
      </c>
      <c r="S2413">
        <v>1774</v>
      </c>
    </row>
    <row r="2414" spans="11:19" x14ac:dyDescent="0.3">
      <c r="K2414" s="16">
        <f t="shared" si="37"/>
        <v>44116</v>
      </c>
      <c r="L2414" s="17">
        <v>0.5</v>
      </c>
      <c r="M2414" s="14">
        <v>396</v>
      </c>
      <c r="N2414" s="14">
        <v>0</v>
      </c>
      <c r="O2414" s="14">
        <v>0</v>
      </c>
      <c r="P2414" s="14">
        <v>396</v>
      </c>
      <c r="Q2414">
        <v>9887</v>
      </c>
      <c r="R2414">
        <v>795</v>
      </c>
      <c r="S2414">
        <v>2061</v>
      </c>
    </row>
    <row r="2415" spans="11:19" x14ac:dyDescent="0.3">
      <c r="K2415" s="16">
        <f t="shared" si="37"/>
        <v>44116</v>
      </c>
      <c r="L2415" s="17">
        <v>0.54166666666666663</v>
      </c>
      <c r="M2415" s="14">
        <v>396</v>
      </c>
      <c r="N2415" s="14">
        <v>662</v>
      </c>
      <c r="O2415" s="14">
        <v>0</v>
      </c>
      <c r="P2415" s="14">
        <v>1058</v>
      </c>
      <c r="Q2415">
        <v>9723</v>
      </c>
      <c r="R2415">
        <v>801</v>
      </c>
      <c r="S2415">
        <v>2189</v>
      </c>
    </row>
    <row r="2416" spans="11:19" x14ac:dyDescent="0.3">
      <c r="K2416" s="16">
        <f t="shared" si="37"/>
        <v>44116</v>
      </c>
      <c r="L2416" s="17">
        <v>0.58333333333333337</v>
      </c>
      <c r="M2416" s="14">
        <v>396</v>
      </c>
      <c r="N2416" s="14">
        <v>0</v>
      </c>
      <c r="O2416" s="14">
        <v>0</v>
      </c>
      <c r="P2416" s="14">
        <v>396</v>
      </c>
      <c r="Q2416">
        <v>9561</v>
      </c>
      <c r="R2416">
        <v>781</v>
      </c>
      <c r="S2416">
        <v>2134</v>
      </c>
    </row>
    <row r="2417" spans="11:19" x14ac:dyDescent="0.3">
      <c r="K2417" s="16">
        <f t="shared" si="37"/>
        <v>44116</v>
      </c>
      <c r="L2417" s="17">
        <v>0.625</v>
      </c>
      <c r="M2417" s="14">
        <v>396</v>
      </c>
      <c r="N2417" s="14">
        <v>0</v>
      </c>
      <c r="O2417" s="14">
        <v>0</v>
      </c>
      <c r="P2417" s="14">
        <v>396</v>
      </c>
      <c r="Q2417">
        <v>9279</v>
      </c>
      <c r="R2417">
        <v>810</v>
      </c>
      <c r="S2417">
        <v>1901</v>
      </c>
    </row>
    <row r="2418" spans="11:19" x14ac:dyDescent="0.3">
      <c r="K2418" s="16">
        <f t="shared" si="37"/>
        <v>44116</v>
      </c>
      <c r="L2418" s="17">
        <v>0.66666666666666663</v>
      </c>
      <c r="M2418" s="14">
        <v>396</v>
      </c>
      <c r="N2418" s="14">
        <v>784</v>
      </c>
      <c r="O2418" s="14">
        <v>0</v>
      </c>
      <c r="P2418" s="14">
        <v>1180</v>
      </c>
      <c r="Q2418">
        <v>9068</v>
      </c>
      <c r="R2418">
        <v>760</v>
      </c>
      <c r="S2418">
        <v>1449</v>
      </c>
    </row>
    <row r="2419" spans="11:19" x14ac:dyDescent="0.3">
      <c r="K2419" s="16">
        <f t="shared" si="37"/>
        <v>44116</v>
      </c>
      <c r="L2419" s="17">
        <v>0.70833333333333337</v>
      </c>
      <c r="M2419" s="14">
        <v>396</v>
      </c>
      <c r="N2419" s="14">
        <v>0</v>
      </c>
      <c r="O2419" s="14">
        <v>0</v>
      </c>
      <c r="P2419" s="14">
        <v>396</v>
      </c>
      <c r="Q2419">
        <v>8984</v>
      </c>
      <c r="R2419">
        <v>898</v>
      </c>
      <c r="S2419">
        <v>833</v>
      </c>
    </row>
    <row r="2420" spans="11:19" x14ac:dyDescent="0.3">
      <c r="K2420" s="16">
        <f t="shared" si="37"/>
        <v>44116</v>
      </c>
      <c r="L2420" s="17">
        <v>0.75</v>
      </c>
      <c r="M2420" s="14">
        <v>396</v>
      </c>
      <c r="N2420" s="14">
        <v>0</v>
      </c>
      <c r="O2420" s="14">
        <v>690</v>
      </c>
      <c r="P2420" s="14">
        <v>1086</v>
      </c>
      <c r="Q2420">
        <v>9359</v>
      </c>
      <c r="R2420">
        <v>859</v>
      </c>
      <c r="S2420">
        <v>177</v>
      </c>
    </row>
    <row r="2421" spans="11:19" x14ac:dyDescent="0.3">
      <c r="K2421" s="16">
        <f t="shared" si="37"/>
        <v>44116</v>
      </c>
      <c r="L2421" s="17">
        <v>0.79166666666666663</v>
      </c>
      <c r="M2421" s="14">
        <v>396</v>
      </c>
      <c r="N2421" s="14">
        <v>0</v>
      </c>
      <c r="O2421" s="14">
        <v>259</v>
      </c>
      <c r="P2421" s="14">
        <v>655</v>
      </c>
      <c r="Q2421">
        <v>9850</v>
      </c>
      <c r="R2421">
        <v>807</v>
      </c>
      <c r="S2421">
        <v>12</v>
      </c>
    </row>
    <row r="2422" spans="11:19" x14ac:dyDescent="0.3">
      <c r="K2422" s="16">
        <f t="shared" si="37"/>
        <v>44116</v>
      </c>
      <c r="L2422" s="17">
        <v>0.83333333333333337</v>
      </c>
      <c r="M2422" s="14">
        <v>396</v>
      </c>
      <c r="N2422" s="14">
        <v>1089</v>
      </c>
      <c r="O2422" s="14">
        <v>0</v>
      </c>
      <c r="P2422" s="14">
        <v>1485</v>
      </c>
      <c r="Q2422">
        <v>9249</v>
      </c>
      <c r="R2422">
        <v>833</v>
      </c>
      <c r="S2422">
        <v>0</v>
      </c>
    </row>
    <row r="2423" spans="11:19" x14ac:dyDescent="0.3">
      <c r="K2423" s="16">
        <f t="shared" si="37"/>
        <v>44116</v>
      </c>
      <c r="L2423" s="17">
        <v>0.875</v>
      </c>
      <c r="M2423" s="14">
        <v>396</v>
      </c>
      <c r="N2423" s="14">
        <v>0</v>
      </c>
      <c r="O2423" s="14">
        <v>0</v>
      </c>
      <c r="P2423" s="14">
        <v>396</v>
      </c>
      <c r="Q2423">
        <v>8559</v>
      </c>
      <c r="R2423">
        <v>876</v>
      </c>
      <c r="S2423">
        <v>0</v>
      </c>
    </row>
    <row r="2424" spans="11:19" x14ac:dyDescent="0.3">
      <c r="K2424" s="16">
        <f t="shared" si="37"/>
        <v>44116</v>
      </c>
      <c r="L2424" s="17">
        <v>0.91666666666666663</v>
      </c>
      <c r="M2424" s="14">
        <v>396</v>
      </c>
      <c r="N2424" s="14">
        <v>1089</v>
      </c>
      <c r="O2424" s="14">
        <v>0</v>
      </c>
      <c r="P2424" s="14">
        <v>1485</v>
      </c>
      <c r="Q2424">
        <v>8670</v>
      </c>
      <c r="R2424">
        <v>773</v>
      </c>
      <c r="S2424">
        <v>0</v>
      </c>
    </row>
    <row r="2425" spans="11:19" x14ac:dyDescent="0.3">
      <c r="K2425" s="16">
        <f t="shared" si="37"/>
        <v>44116</v>
      </c>
      <c r="L2425" s="17">
        <v>0.95833333333333337</v>
      </c>
      <c r="M2425" s="14">
        <v>396</v>
      </c>
      <c r="N2425" s="14">
        <v>1089</v>
      </c>
      <c r="O2425" s="14">
        <v>0</v>
      </c>
      <c r="P2425" s="14">
        <v>1485</v>
      </c>
      <c r="Q2425">
        <v>8762</v>
      </c>
      <c r="R2425">
        <v>808</v>
      </c>
      <c r="S2425">
        <v>0</v>
      </c>
    </row>
    <row r="2426" spans="11:19" x14ac:dyDescent="0.3">
      <c r="K2426" s="16">
        <f t="shared" si="37"/>
        <v>44117</v>
      </c>
      <c r="L2426" s="17">
        <v>0</v>
      </c>
      <c r="M2426" s="14">
        <v>396</v>
      </c>
      <c r="N2426" s="14">
        <v>0</v>
      </c>
      <c r="O2426" s="14">
        <v>0</v>
      </c>
      <c r="P2426" s="14">
        <v>396</v>
      </c>
      <c r="Q2426">
        <v>8219</v>
      </c>
      <c r="R2426">
        <v>821</v>
      </c>
      <c r="S2426">
        <v>0</v>
      </c>
    </row>
    <row r="2427" spans="11:19" x14ac:dyDescent="0.3">
      <c r="K2427" s="16">
        <f t="shared" si="37"/>
        <v>44117</v>
      </c>
      <c r="L2427" s="17">
        <v>4.1666666666666664E-2</v>
      </c>
      <c r="M2427" s="14">
        <v>396</v>
      </c>
      <c r="N2427" s="14">
        <v>1000</v>
      </c>
      <c r="O2427" s="14">
        <v>0</v>
      </c>
      <c r="P2427" s="14">
        <v>1396</v>
      </c>
      <c r="Q2427">
        <v>7831</v>
      </c>
      <c r="R2427">
        <v>827</v>
      </c>
      <c r="S2427">
        <v>0</v>
      </c>
    </row>
    <row r="2428" spans="11:19" x14ac:dyDescent="0.3">
      <c r="K2428" s="16">
        <f t="shared" si="37"/>
        <v>44117</v>
      </c>
      <c r="L2428" s="17">
        <v>8.3333333333333329E-2</v>
      </c>
      <c r="M2428" s="14">
        <v>396</v>
      </c>
      <c r="N2428" s="14">
        <v>808</v>
      </c>
      <c r="O2428" s="14">
        <v>0</v>
      </c>
      <c r="P2428" s="14">
        <v>1204</v>
      </c>
      <c r="Q2428">
        <v>7561</v>
      </c>
      <c r="R2428">
        <v>749</v>
      </c>
      <c r="S2428">
        <v>0</v>
      </c>
    </row>
    <row r="2429" spans="11:19" x14ac:dyDescent="0.3">
      <c r="K2429" s="16">
        <f t="shared" si="37"/>
        <v>44117</v>
      </c>
      <c r="L2429" s="17">
        <v>0.125</v>
      </c>
      <c r="M2429" s="14">
        <v>396</v>
      </c>
      <c r="N2429" s="14">
        <v>0</v>
      </c>
      <c r="O2429" s="14">
        <v>0</v>
      </c>
      <c r="P2429" s="14">
        <v>396</v>
      </c>
      <c r="Q2429">
        <v>7216</v>
      </c>
      <c r="R2429">
        <v>743</v>
      </c>
      <c r="S2429">
        <v>0</v>
      </c>
    </row>
    <row r="2430" spans="11:19" x14ac:dyDescent="0.3">
      <c r="K2430" s="16">
        <f t="shared" si="37"/>
        <v>44117</v>
      </c>
      <c r="L2430" s="17">
        <v>0.16666666666666666</v>
      </c>
      <c r="M2430" s="14">
        <v>396</v>
      </c>
      <c r="N2430" s="14">
        <v>0</v>
      </c>
      <c r="O2430" s="14">
        <v>0</v>
      </c>
      <c r="P2430" s="14">
        <v>396</v>
      </c>
      <c r="Q2430">
        <v>7197</v>
      </c>
      <c r="R2430">
        <v>833</v>
      </c>
      <c r="S2430">
        <v>0</v>
      </c>
    </row>
    <row r="2431" spans="11:19" x14ac:dyDescent="0.3">
      <c r="K2431" s="16">
        <f t="shared" si="37"/>
        <v>44117</v>
      </c>
      <c r="L2431" s="17">
        <v>0.20833333333333334</v>
      </c>
      <c r="M2431" s="14">
        <v>396</v>
      </c>
      <c r="N2431" s="14">
        <v>0</v>
      </c>
      <c r="O2431" s="14">
        <v>0</v>
      </c>
      <c r="P2431" s="14">
        <v>396</v>
      </c>
      <c r="Q2431">
        <v>7672</v>
      </c>
      <c r="R2431">
        <v>977</v>
      </c>
      <c r="S2431">
        <v>0</v>
      </c>
    </row>
    <row r="2432" spans="11:19" x14ac:dyDescent="0.3">
      <c r="K2432" s="16">
        <f t="shared" si="37"/>
        <v>44117</v>
      </c>
      <c r="L2432" s="17">
        <v>0.25</v>
      </c>
      <c r="M2432" s="14">
        <v>396</v>
      </c>
      <c r="N2432" s="14">
        <v>0</v>
      </c>
      <c r="O2432" s="14">
        <v>0</v>
      </c>
      <c r="P2432" s="14">
        <v>396</v>
      </c>
      <c r="Q2432">
        <v>8833</v>
      </c>
      <c r="R2432">
        <v>899</v>
      </c>
      <c r="S2432">
        <v>0</v>
      </c>
    </row>
    <row r="2433" spans="11:19" x14ac:dyDescent="0.3">
      <c r="K2433" s="16">
        <f t="shared" si="37"/>
        <v>44117</v>
      </c>
      <c r="L2433" s="17">
        <v>0.29166666666666669</v>
      </c>
      <c r="M2433" s="14">
        <v>396</v>
      </c>
      <c r="N2433" s="14">
        <v>109</v>
      </c>
      <c r="O2433" s="14">
        <v>0</v>
      </c>
      <c r="P2433" s="14">
        <v>505</v>
      </c>
      <c r="Q2433">
        <v>9829</v>
      </c>
      <c r="R2433">
        <v>942</v>
      </c>
      <c r="S2433">
        <v>0</v>
      </c>
    </row>
    <row r="2434" spans="11:19" x14ac:dyDescent="0.3">
      <c r="K2434" s="16">
        <f t="shared" si="37"/>
        <v>44117</v>
      </c>
      <c r="L2434" s="17">
        <v>0.33333333333333331</v>
      </c>
      <c r="M2434" s="14">
        <v>396</v>
      </c>
      <c r="N2434" s="14">
        <v>237</v>
      </c>
      <c r="O2434" s="14">
        <v>19</v>
      </c>
      <c r="P2434" s="14">
        <v>652</v>
      </c>
      <c r="Q2434">
        <v>10046</v>
      </c>
      <c r="R2434">
        <v>892</v>
      </c>
      <c r="S2434">
        <v>124</v>
      </c>
    </row>
    <row r="2435" spans="11:19" x14ac:dyDescent="0.3">
      <c r="K2435" s="16">
        <f t="shared" si="37"/>
        <v>44117</v>
      </c>
      <c r="L2435" s="17">
        <v>0.375</v>
      </c>
      <c r="M2435" s="14">
        <v>396</v>
      </c>
      <c r="N2435" s="14">
        <v>1132</v>
      </c>
      <c r="O2435" s="14">
        <v>0</v>
      </c>
      <c r="P2435" s="14">
        <v>1528</v>
      </c>
      <c r="Q2435">
        <v>10165</v>
      </c>
      <c r="R2435">
        <v>906</v>
      </c>
      <c r="S2435">
        <v>597</v>
      </c>
    </row>
    <row r="2436" spans="11:19" x14ac:dyDescent="0.3">
      <c r="K2436" s="16">
        <f t="shared" si="37"/>
        <v>44117</v>
      </c>
      <c r="L2436" s="17">
        <v>0.41666666666666669</v>
      </c>
      <c r="M2436" s="14">
        <v>396</v>
      </c>
      <c r="N2436" s="14">
        <v>1132</v>
      </c>
      <c r="O2436" s="14">
        <v>0</v>
      </c>
      <c r="P2436" s="14">
        <v>1528</v>
      </c>
      <c r="Q2436">
        <v>10118</v>
      </c>
      <c r="R2436">
        <v>1049</v>
      </c>
      <c r="S2436">
        <v>1302</v>
      </c>
    </row>
    <row r="2437" spans="11:19" x14ac:dyDescent="0.3">
      <c r="K2437" s="16">
        <f t="shared" si="37"/>
        <v>44117</v>
      </c>
      <c r="L2437" s="17">
        <v>0.45833333333333331</v>
      </c>
      <c r="M2437" s="14">
        <v>396</v>
      </c>
      <c r="N2437" s="14">
        <v>1038</v>
      </c>
      <c r="O2437" s="14">
        <v>0</v>
      </c>
      <c r="P2437" s="14">
        <v>1434</v>
      </c>
      <c r="Q2437">
        <v>10154</v>
      </c>
      <c r="R2437">
        <v>1156</v>
      </c>
      <c r="S2437">
        <v>1887</v>
      </c>
    </row>
    <row r="2438" spans="11:19" x14ac:dyDescent="0.3">
      <c r="K2438" s="16">
        <f t="shared" si="37"/>
        <v>44117</v>
      </c>
      <c r="L2438" s="17">
        <v>0.5</v>
      </c>
      <c r="M2438" s="14">
        <v>396</v>
      </c>
      <c r="N2438" s="14">
        <v>541</v>
      </c>
      <c r="O2438" s="14">
        <v>0</v>
      </c>
      <c r="P2438" s="14">
        <v>937</v>
      </c>
      <c r="Q2438">
        <v>10082</v>
      </c>
      <c r="R2438">
        <v>1265</v>
      </c>
      <c r="S2438">
        <v>2205</v>
      </c>
    </row>
    <row r="2439" spans="11:19" x14ac:dyDescent="0.3">
      <c r="K2439" s="16">
        <f t="shared" si="37"/>
        <v>44117</v>
      </c>
      <c r="L2439" s="17">
        <v>0.54166666666666663</v>
      </c>
      <c r="M2439" s="14">
        <v>396</v>
      </c>
      <c r="N2439" s="14">
        <v>0</v>
      </c>
      <c r="O2439" s="14">
        <v>0</v>
      </c>
      <c r="P2439" s="14">
        <v>396</v>
      </c>
      <c r="Q2439">
        <v>9858</v>
      </c>
      <c r="R2439">
        <v>1339</v>
      </c>
      <c r="S2439">
        <v>2275</v>
      </c>
    </row>
    <row r="2440" spans="11:19" x14ac:dyDescent="0.3">
      <c r="K2440" s="16">
        <f t="shared" si="37"/>
        <v>44117</v>
      </c>
      <c r="L2440" s="17">
        <v>0.58333333333333337</v>
      </c>
      <c r="M2440" s="14">
        <v>396</v>
      </c>
      <c r="N2440" s="14">
        <v>0</v>
      </c>
      <c r="O2440" s="14">
        <v>0</v>
      </c>
      <c r="P2440" s="14">
        <v>396</v>
      </c>
      <c r="Q2440">
        <v>9691</v>
      </c>
      <c r="R2440">
        <v>1259</v>
      </c>
      <c r="S2440">
        <v>2154</v>
      </c>
    </row>
    <row r="2441" spans="11:19" x14ac:dyDescent="0.3">
      <c r="K2441" s="16">
        <f t="shared" si="37"/>
        <v>44117</v>
      </c>
      <c r="L2441" s="17">
        <v>0.625</v>
      </c>
      <c r="M2441" s="14">
        <v>396</v>
      </c>
      <c r="N2441" s="14">
        <v>0</v>
      </c>
      <c r="O2441" s="14">
        <v>-23</v>
      </c>
      <c r="P2441" s="14">
        <v>373</v>
      </c>
      <c r="Q2441">
        <v>9406</v>
      </c>
      <c r="R2441">
        <v>1397</v>
      </c>
      <c r="S2441">
        <v>1884</v>
      </c>
    </row>
    <row r="2442" spans="11:19" x14ac:dyDescent="0.3">
      <c r="K2442" s="16">
        <f t="shared" si="37"/>
        <v>44117</v>
      </c>
      <c r="L2442" s="17">
        <v>0.66666666666666663</v>
      </c>
      <c r="M2442" s="14">
        <v>396</v>
      </c>
      <c r="N2442" s="14">
        <v>0</v>
      </c>
      <c r="O2442" s="14">
        <v>0</v>
      </c>
      <c r="P2442" s="14">
        <v>396</v>
      </c>
      <c r="Q2442">
        <v>9180</v>
      </c>
      <c r="R2442">
        <v>1393</v>
      </c>
      <c r="S2442">
        <v>1365</v>
      </c>
    </row>
    <row r="2443" spans="11:19" x14ac:dyDescent="0.3">
      <c r="K2443" s="16">
        <f t="shared" si="37"/>
        <v>44117</v>
      </c>
      <c r="L2443" s="17">
        <v>0.70833333333333337</v>
      </c>
      <c r="M2443" s="14">
        <v>396</v>
      </c>
      <c r="N2443" s="14">
        <v>0</v>
      </c>
      <c r="O2443" s="14">
        <v>0</v>
      </c>
      <c r="P2443" s="14">
        <v>396</v>
      </c>
      <c r="Q2443">
        <v>9096</v>
      </c>
      <c r="R2443">
        <v>1406</v>
      </c>
      <c r="S2443">
        <v>688</v>
      </c>
    </row>
    <row r="2444" spans="11:19" x14ac:dyDescent="0.3">
      <c r="K2444" s="16">
        <f t="shared" si="37"/>
        <v>44117</v>
      </c>
      <c r="L2444" s="17">
        <v>0.75</v>
      </c>
      <c r="M2444" s="14">
        <v>396</v>
      </c>
      <c r="N2444" s="14">
        <v>0</v>
      </c>
      <c r="O2444" s="14">
        <v>0</v>
      </c>
      <c r="P2444" s="14">
        <v>396</v>
      </c>
      <c r="Q2444">
        <v>9496</v>
      </c>
      <c r="R2444">
        <v>1523</v>
      </c>
      <c r="S2444">
        <v>129</v>
      </c>
    </row>
    <row r="2445" spans="11:19" x14ac:dyDescent="0.3">
      <c r="K2445" s="16">
        <f t="shared" si="37"/>
        <v>44117</v>
      </c>
      <c r="L2445" s="17">
        <v>0.79166666666666663</v>
      </c>
      <c r="M2445" s="14">
        <v>396</v>
      </c>
      <c r="N2445" s="14">
        <v>1132</v>
      </c>
      <c r="O2445" s="14">
        <v>0</v>
      </c>
      <c r="P2445" s="14">
        <v>1528</v>
      </c>
      <c r="Q2445">
        <v>10022</v>
      </c>
      <c r="R2445">
        <v>1335</v>
      </c>
      <c r="S2445">
        <v>8</v>
      </c>
    </row>
    <row r="2446" spans="11:19" x14ac:dyDescent="0.3">
      <c r="K2446" s="16">
        <f t="shared" si="37"/>
        <v>44117</v>
      </c>
      <c r="L2446" s="17">
        <v>0.83333333333333337</v>
      </c>
      <c r="M2446" s="14">
        <v>396</v>
      </c>
      <c r="N2446" s="14">
        <v>1132</v>
      </c>
      <c r="O2446" s="14">
        <v>0</v>
      </c>
      <c r="P2446" s="14">
        <v>1528</v>
      </c>
      <c r="Q2446">
        <v>9345</v>
      </c>
      <c r="R2446">
        <v>1235</v>
      </c>
      <c r="S2446">
        <v>0</v>
      </c>
    </row>
    <row r="2447" spans="11:19" x14ac:dyDescent="0.3">
      <c r="K2447" s="16">
        <f t="shared" si="37"/>
        <v>44117</v>
      </c>
      <c r="L2447" s="17">
        <v>0.875</v>
      </c>
      <c r="M2447" s="14">
        <v>396</v>
      </c>
      <c r="N2447" s="14">
        <v>0</v>
      </c>
      <c r="O2447" s="14">
        <v>0</v>
      </c>
      <c r="P2447" s="14">
        <v>396</v>
      </c>
      <c r="Q2447">
        <v>8673</v>
      </c>
      <c r="R2447">
        <v>1243</v>
      </c>
      <c r="S2447">
        <v>0</v>
      </c>
    </row>
    <row r="2448" spans="11:19" x14ac:dyDescent="0.3">
      <c r="K2448" s="16">
        <f t="shared" si="37"/>
        <v>44117</v>
      </c>
      <c r="L2448" s="17">
        <v>0.91666666666666663</v>
      </c>
      <c r="M2448" s="14">
        <v>396</v>
      </c>
      <c r="N2448" s="14">
        <v>1132</v>
      </c>
      <c r="O2448" s="14">
        <v>0</v>
      </c>
      <c r="P2448" s="14">
        <v>1528</v>
      </c>
      <c r="Q2448">
        <v>8774</v>
      </c>
      <c r="R2448">
        <v>1324</v>
      </c>
      <c r="S2448">
        <v>0</v>
      </c>
    </row>
    <row r="2449" spans="11:19" x14ac:dyDescent="0.3">
      <c r="K2449" s="16">
        <f t="shared" si="37"/>
        <v>44117</v>
      </c>
      <c r="L2449" s="17">
        <v>0.95833333333333337</v>
      </c>
      <c r="M2449" s="14">
        <v>396</v>
      </c>
      <c r="N2449" s="14">
        <v>1132</v>
      </c>
      <c r="O2449" s="14">
        <v>0</v>
      </c>
      <c r="P2449" s="14">
        <v>1528</v>
      </c>
      <c r="Q2449">
        <v>8876</v>
      </c>
      <c r="R2449">
        <v>1312</v>
      </c>
      <c r="S2449">
        <v>0</v>
      </c>
    </row>
    <row r="2450" spans="11:19" x14ac:dyDescent="0.3">
      <c r="K2450" s="16">
        <f t="shared" si="37"/>
        <v>44118</v>
      </c>
      <c r="L2450" s="17">
        <v>0</v>
      </c>
      <c r="M2450" s="14">
        <v>396</v>
      </c>
      <c r="N2450" s="14">
        <v>0</v>
      </c>
      <c r="O2450" s="14">
        <v>0</v>
      </c>
      <c r="P2450" s="14">
        <v>396</v>
      </c>
      <c r="Q2450">
        <v>8207</v>
      </c>
      <c r="R2450">
        <v>1290</v>
      </c>
      <c r="S2450">
        <v>0</v>
      </c>
    </row>
    <row r="2451" spans="11:19" x14ac:dyDescent="0.3">
      <c r="K2451" s="16">
        <f t="shared" si="37"/>
        <v>44118</v>
      </c>
      <c r="L2451" s="17">
        <v>4.1666666666666664E-2</v>
      </c>
      <c r="M2451" s="14">
        <v>396</v>
      </c>
      <c r="N2451" s="14">
        <v>769</v>
      </c>
      <c r="O2451" s="14">
        <v>0</v>
      </c>
      <c r="P2451" s="14">
        <v>1165</v>
      </c>
      <c r="Q2451">
        <v>7813</v>
      </c>
      <c r="R2451">
        <v>1121</v>
      </c>
      <c r="S2451">
        <v>0</v>
      </c>
    </row>
    <row r="2452" spans="11:19" x14ac:dyDescent="0.3">
      <c r="K2452" s="16">
        <f t="shared" si="37"/>
        <v>44118</v>
      </c>
      <c r="L2452" s="17">
        <v>8.3333333333333329E-2</v>
      </c>
      <c r="M2452" s="14">
        <v>396</v>
      </c>
      <c r="N2452" s="14">
        <v>0</v>
      </c>
      <c r="O2452" s="14">
        <v>0</v>
      </c>
      <c r="P2452" s="14">
        <v>396</v>
      </c>
      <c r="Q2452">
        <v>7534</v>
      </c>
      <c r="R2452">
        <v>976</v>
      </c>
      <c r="S2452">
        <v>0</v>
      </c>
    </row>
    <row r="2453" spans="11:19" x14ac:dyDescent="0.3">
      <c r="K2453" s="16">
        <f t="shared" si="37"/>
        <v>44118</v>
      </c>
      <c r="L2453" s="17">
        <v>0.125</v>
      </c>
      <c r="M2453" s="14">
        <v>396</v>
      </c>
      <c r="N2453" s="14">
        <v>0</v>
      </c>
      <c r="O2453" s="14">
        <v>0</v>
      </c>
      <c r="P2453" s="14">
        <v>396</v>
      </c>
      <c r="Q2453">
        <v>7178</v>
      </c>
      <c r="R2453">
        <v>911</v>
      </c>
      <c r="S2453">
        <v>0</v>
      </c>
    </row>
    <row r="2454" spans="11:19" x14ac:dyDescent="0.3">
      <c r="K2454" s="16">
        <f t="shared" si="37"/>
        <v>44118</v>
      </c>
      <c r="L2454" s="17">
        <v>0.16666666666666666</v>
      </c>
      <c r="M2454" s="14">
        <v>396</v>
      </c>
      <c r="N2454" s="14">
        <v>308</v>
      </c>
      <c r="O2454" s="14">
        <v>0</v>
      </c>
      <c r="P2454" s="14">
        <v>704</v>
      </c>
      <c r="Q2454">
        <v>7145</v>
      </c>
      <c r="R2454">
        <v>910</v>
      </c>
      <c r="S2454">
        <v>0</v>
      </c>
    </row>
    <row r="2455" spans="11:19" x14ac:dyDescent="0.3">
      <c r="K2455" s="16">
        <f t="shared" si="37"/>
        <v>44118</v>
      </c>
      <c r="L2455" s="17">
        <v>0.20833333333333334</v>
      </c>
      <c r="M2455" s="14">
        <v>396</v>
      </c>
      <c r="N2455" s="14">
        <v>444</v>
      </c>
      <c r="O2455" s="14">
        <v>0</v>
      </c>
      <c r="P2455" s="14">
        <v>840</v>
      </c>
      <c r="Q2455">
        <v>7602</v>
      </c>
      <c r="R2455">
        <v>970</v>
      </c>
      <c r="S2455">
        <v>0</v>
      </c>
    </row>
    <row r="2456" spans="11:19" x14ac:dyDescent="0.3">
      <c r="K2456" s="16">
        <f t="shared" si="37"/>
        <v>44118</v>
      </c>
      <c r="L2456" s="17">
        <v>0.25</v>
      </c>
      <c r="M2456" s="14">
        <v>396</v>
      </c>
      <c r="N2456" s="14">
        <v>0</v>
      </c>
      <c r="O2456" s="14">
        <v>0</v>
      </c>
      <c r="P2456" s="14">
        <v>396</v>
      </c>
      <c r="Q2456">
        <v>8749</v>
      </c>
      <c r="R2456">
        <v>1083</v>
      </c>
      <c r="S2456">
        <v>0</v>
      </c>
    </row>
    <row r="2457" spans="11:19" x14ac:dyDescent="0.3">
      <c r="K2457" s="16">
        <f t="shared" si="37"/>
        <v>44118</v>
      </c>
      <c r="L2457" s="17">
        <v>0.29166666666666669</v>
      </c>
      <c r="M2457" s="14">
        <v>396</v>
      </c>
      <c r="N2457" s="14">
        <v>0</v>
      </c>
      <c r="O2457" s="14">
        <v>0</v>
      </c>
      <c r="P2457" s="14">
        <v>396</v>
      </c>
      <c r="Q2457">
        <v>9733</v>
      </c>
      <c r="R2457">
        <v>1084</v>
      </c>
      <c r="S2457">
        <v>1</v>
      </c>
    </row>
    <row r="2458" spans="11:19" x14ac:dyDescent="0.3">
      <c r="K2458" s="16">
        <f t="shared" si="37"/>
        <v>44118</v>
      </c>
      <c r="L2458" s="17">
        <v>0.33333333333333331</v>
      </c>
      <c r="M2458" s="14">
        <v>396</v>
      </c>
      <c r="N2458" s="14">
        <v>87</v>
      </c>
      <c r="O2458" s="14">
        <v>0</v>
      </c>
      <c r="P2458" s="14">
        <v>483</v>
      </c>
      <c r="Q2458">
        <v>9948</v>
      </c>
      <c r="R2458">
        <v>1015</v>
      </c>
      <c r="S2458">
        <v>74</v>
      </c>
    </row>
    <row r="2459" spans="11:19" x14ac:dyDescent="0.3">
      <c r="K2459" s="16">
        <f t="shared" ref="K2459:K2522" si="38">K2435+1</f>
        <v>44118</v>
      </c>
      <c r="L2459" s="17">
        <v>0.375</v>
      </c>
      <c r="M2459" s="14">
        <v>396</v>
      </c>
      <c r="N2459" s="14">
        <v>0</v>
      </c>
      <c r="O2459" s="14">
        <v>0</v>
      </c>
      <c r="P2459" s="14">
        <v>396</v>
      </c>
      <c r="Q2459">
        <v>10078</v>
      </c>
      <c r="R2459">
        <v>1051</v>
      </c>
      <c r="S2459">
        <v>452</v>
      </c>
    </row>
    <row r="2460" spans="11:19" x14ac:dyDescent="0.3">
      <c r="K2460" s="16">
        <f t="shared" si="38"/>
        <v>44118</v>
      </c>
      <c r="L2460" s="17">
        <v>0.41666666666666669</v>
      </c>
      <c r="M2460" s="14">
        <v>396</v>
      </c>
      <c r="N2460" s="14">
        <v>1257</v>
      </c>
      <c r="O2460" s="14">
        <v>0</v>
      </c>
      <c r="P2460" s="14">
        <v>1653</v>
      </c>
      <c r="Q2460">
        <v>10052</v>
      </c>
      <c r="R2460">
        <v>1044</v>
      </c>
      <c r="S2460">
        <v>1010</v>
      </c>
    </row>
    <row r="2461" spans="11:19" x14ac:dyDescent="0.3">
      <c r="K2461" s="16">
        <f t="shared" si="38"/>
        <v>44118</v>
      </c>
      <c r="L2461" s="17">
        <v>0.45833333333333331</v>
      </c>
      <c r="M2461" s="14">
        <v>396</v>
      </c>
      <c r="N2461" s="14">
        <v>0</v>
      </c>
      <c r="O2461" s="14">
        <v>0</v>
      </c>
      <c r="P2461" s="14">
        <v>396</v>
      </c>
      <c r="Q2461">
        <v>10112</v>
      </c>
      <c r="R2461">
        <v>1093</v>
      </c>
      <c r="S2461">
        <v>1496</v>
      </c>
    </row>
    <row r="2462" spans="11:19" x14ac:dyDescent="0.3">
      <c r="K2462" s="16">
        <f t="shared" si="38"/>
        <v>44118</v>
      </c>
      <c r="L2462" s="17">
        <v>0.5</v>
      </c>
      <c r="M2462" s="14">
        <v>396</v>
      </c>
      <c r="N2462" s="14">
        <v>1226</v>
      </c>
      <c r="O2462" s="14">
        <v>0</v>
      </c>
      <c r="P2462" s="14">
        <v>1622</v>
      </c>
      <c r="Q2462">
        <v>10059</v>
      </c>
      <c r="R2462">
        <v>1064</v>
      </c>
      <c r="S2462">
        <v>1700</v>
      </c>
    </row>
    <row r="2463" spans="11:19" x14ac:dyDescent="0.3">
      <c r="K2463" s="16">
        <f t="shared" si="38"/>
        <v>44118</v>
      </c>
      <c r="L2463" s="17">
        <v>0.54166666666666663</v>
      </c>
      <c r="M2463" s="14">
        <v>396</v>
      </c>
      <c r="N2463" s="14">
        <v>997</v>
      </c>
      <c r="O2463" s="14">
        <v>0</v>
      </c>
      <c r="P2463" s="14">
        <v>1393</v>
      </c>
      <c r="Q2463">
        <v>9848</v>
      </c>
      <c r="R2463">
        <v>993</v>
      </c>
      <c r="S2463">
        <v>1790</v>
      </c>
    </row>
    <row r="2464" spans="11:19" x14ac:dyDescent="0.3">
      <c r="K2464" s="16">
        <f t="shared" si="38"/>
        <v>44118</v>
      </c>
      <c r="L2464" s="17">
        <v>0.58333333333333337</v>
      </c>
      <c r="M2464" s="14">
        <v>396</v>
      </c>
      <c r="N2464" s="14">
        <v>960</v>
      </c>
      <c r="O2464" s="14">
        <v>0</v>
      </c>
      <c r="P2464" s="14">
        <v>1356</v>
      </c>
      <c r="Q2464">
        <v>9686</v>
      </c>
      <c r="R2464">
        <v>925</v>
      </c>
      <c r="S2464">
        <v>1732</v>
      </c>
    </row>
    <row r="2465" spans="11:19" x14ac:dyDescent="0.3">
      <c r="K2465" s="16">
        <f t="shared" si="38"/>
        <v>44118</v>
      </c>
      <c r="L2465" s="17">
        <v>0.625</v>
      </c>
      <c r="M2465" s="14">
        <v>396</v>
      </c>
      <c r="N2465" s="14">
        <v>0</v>
      </c>
      <c r="O2465" s="14">
        <v>0</v>
      </c>
      <c r="P2465" s="14">
        <v>396</v>
      </c>
      <c r="Q2465">
        <v>9406</v>
      </c>
      <c r="R2465">
        <v>828</v>
      </c>
      <c r="S2465">
        <v>1528</v>
      </c>
    </row>
    <row r="2466" spans="11:19" x14ac:dyDescent="0.3">
      <c r="K2466" s="16">
        <f t="shared" si="38"/>
        <v>44118</v>
      </c>
      <c r="L2466" s="17">
        <v>0.66666666666666663</v>
      </c>
      <c r="M2466" s="14">
        <v>396</v>
      </c>
      <c r="N2466" s="14">
        <v>0</v>
      </c>
      <c r="O2466" s="14">
        <v>0</v>
      </c>
      <c r="P2466" s="14">
        <v>396</v>
      </c>
      <c r="Q2466">
        <v>9178</v>
      </c>
      <c r="R2466">
        <v>793</v>
      </c>
      <c r="S2466">
        <v>1139</v>
      </c>
    </row>
    <row r="2467" spans="11:19" x14ac:dyDescent="0.3">
      <c r="K2467" s="16">
        <f t="shared" si="38"/>
        <v>44118</v>
      </c>
      <c r="L2467" s="17">
        <v>0.70833333333333337</v>
      </c>
      <c r="M2467" s="14">
        <v>396</v>
      </c>
      <c r="N2467" s="14">
        <v>1257</v>
      </c>
      <c r="O2467" s="14">
        <v>0</v>
      </c>
      <c r="P2467" s="14">
        <v>1653</v>
      </c>
      <c r="Q2467">
        <v>9083</v>
      </c>
      <c r="R2467">
        <v>788</v>
      </c>
      <c r="S2467">
        <v>583</v>
      </c>
    </row>
    <row r="2468" spans="11:19" x14ac:dyDescent="0.3">
      <c r="K2468" s="16">
        <f t="shared" si="38"/>
        <v>44118</v>
      </c>
      <c r="L2468" s="17">
        <v>0.75</v>
      </c>
      <c r="M2468" s="14">
        <v>396</v>
      </c>
      <c r="N2468" s="14">
        <v>0</v>
      </c>
      <c r="O2468" s="14">
        <v>0</v>
      </c>
      <c r="P2468" s="14">
        <v>396</v>
      </c>
      <c r="Q2468">
        <v>9433</v>
      </c>
      <c r="R2468">
        <v>802</v>
      </c>
      <c r="S2468">
        <v>121</v>
      </c>
    </row>
    <row r="2469" spans="11:19" x14ac:dyDescent="0.3">
      <c r="K2469" s="16">
        <f t="shared" si="38"/>
        <v>44118</v>
      </c>
      <c r="L2469" s="17">
        <v>0.79166666666666663</v>
      </c>
      <c r="M2469" s="14">
        <v>396</v>
      </c>
      <c r="N2469" s="14">
        <v>287</v>
      </c>
      <c r="O2469" s="14">
        <v>0</v>
      </c>
      <c r="P2469" s="14">
        <v>683</v>
      </c>
      <c r="Q2469">
        <v>9856</v>
      </c>
      <c r="R2469">
        <v>799</v>
      </c>
      <c r="S2469">
        <v>1</v>
      </c>
    </row>
    <row r="2470" spans="11:19" x14ac:dyDescent="0.3">
      <c r="K2470" s="16">
        <f t="shared" si="38"/>
        <v>44118</v>
      </c>
      <c r="L2470" s="17">
        <v>0.83333333333333337</v>
      </c>
      <c r="M2470" s="14">
        <v>396</v>
      </c>
      <c r="N2470" s="14">
        <v>0</v>
      </c>
      <c r="O2470" s="14">
        <v>0</v>
      </c>
      <c r="P2470" s="14">
        <v>396</v>
      </c>
      <c r="Q2470">
        <v>9196</v>
      </c>
      <c r="R2470">
        <v>759</v>
      </c>
      <c r="S2470">
        <v>0</v>
      </c>
    </row>
    <row r="2471" spans="11:19" x14ac:dyDescent="0.3">
      <c r="K2471" s="16">
        <f t="shared" si="38"/>
        <v>44118</v>
      </c>
      <c r="L2471" s="17">
        <v>0.875</v>
      </c>
      <c r="M2471" s="14">
        <v>396</v>
      </c>
      <c r="N2471" s="14">
        <v>1257</v>
      </c>
      <c r="O2471" s="14">
        <v>0</v>
      </c>
      <c r="P2471" s="14">
        <v>1653</v>
      </c>
      <c r="Q2471">
        <v>8538</v>
      </c>
      <c r="R2471">
        <v>708</v>
      </c>
      <c r="S2471">
        <v>0</v>
      </c>
    </row>
    <row r="2472" spans="11:19" x14ac:dyDescent="0.3">
      <c r="K2472" s="16">
        <f t="shared" si="38"/>
        <v>44118</v>
      </c>
      <c r="L2472" s="17">
        <v>0.91666666666666663</v>
      </c>
      <c r="M2472" s="14">
        <v>396</v>
      </c>
      <c r="N2472" s="14">
        <v>0</v>
      </c>
      <c r="O2472" s="14">
        <v>0</v>
      </c>
      <c r="P2472" s="14">
        <v>396</v>
      </c>
      <c r="Q2472">
        <v>8637</v>
      </c>
      <c r="R2472">
        <v>751</v>
      </c>
      <c r="S2472">
        <v>0</v>
      </c>
    </row>
    <row r="2473" spans="11:19" x14ac:dyDescent="0.3">
      <c r="K2473" s="16">
        <f t="shared" si="38"/>
        <v>44118</v>
      </c>
      <c r="L2473" s="17">
        <v>0.95833333333333337</v>
      </c>
      <c r="M2473" s="14">
        <v>396</v>
      </c>
      <c r="N2473" s="14">
        <v>0</v>
      </c>
      <c r="O2473" s="14">
        <v>0</v>
      </c>
      <c r="P2473" s="14">
        <v>396</v>
      </c>
      <c r="Q2473">
        <v>8740</v>
      </c>
      <c r="R2473">
        <v>868</v>
      </c>
      <c r="S2473">
        <v>0</v>
      </c>
    </row>
    <row r="2474" spans="11:19" x14ac:dyDescent="0.3">
      <c r="K2474" s="16">
        <f t="shared" si="38"/>
        <v>44119</v>
      </c>
      <c r="L2474" s="17">
        <v>0</v>
      </c>
      <c r="M2474" s="14">
        <v>396</v>
      </c>
      <c r="N2474" s="14">
        <v>988</v>
      </c>
      <c r="O2474" s="14">
        <v>0</v>
      </c>
      <c r="P2474" s="14">
        <v>1384</v>
      </c>
      <c r="Q2474">
        <v>8070</v>
      </c>
      <c r="R2474">
        <v>853</v>
      </c>
      <c r="S2474">
        <v>0</v>
      </c>
    </row>
    <row r="2475" spans="11:19" x14ac:dyDescent="0.3">
      <c r="K2475" s="16">
        <f t="shared" si="38"/>
        <v>44119</v>
      </c>
      <c r="L2475" s="17">
        <v>4.1666666666666664E-2</v>
      </c>
      <c r="M2475" s="14">
        <v>396</v>
      </c>
      <c r="N2475" s="14">
        <v>0</v>
      </c>
      <c r="O2475" s="14">
        <v>0</v>
      </c>
      <c r="P2475" s="14">
        <v>396</v>
      </c>
      <c r="Q2475">
        <v>7674</v>
      </c>
      <c r="R2475">
        <v>878</v>
      </c>
      <c r="S2475">
        <v>0</v>
      </c>
    </row>
    <row r="2476" spans="11:19" x14ac:dyDescent="0.3">
      <c r="K2476" s="16">
        <f t="shared" si="38"/>
        <v>44119</v>
      </c>
      <c r="L2476" s="17">
        <v>8.3333333333333329E-2</v>
      </c>
      <c r="M2476" s="14">
        <v>396</v>
      </c>
      <c r="N2476" s="14">
        <v>536</v>
      </c>
      <c r="O2476" s="14">
        <v>0</v>
      </c>
      <c r="P2476" s="14">
        <v>932</v>
      </c>
      <c r="Q2476">
        <v>7393</v>
      </c>
      <c r="R2476">
        <v>932</v>
      </c>
      <c r="S2476">
        <v>0</v>
      </c>
    </row>
    <row r="2477" spans="11:19" x14ac:dyDescent="0.3">
      <c r="K2477" s="16">
        <f t="shared" si="38"/>
        <v>44119</v>
      </c>
      <c r="L2477" s="17">
        <v>0.125</v>
      </c>
      <c r="M2477" s="14">
        <v>396</v>
      </c>
      <c r="N2477" s="14">
        <v>90</v>
      </c>
      <c r="O2477" s="14">
        <v>0</v>
      </c>
      <c r="P2477" s="14">
        <v>486</v>
      </c>
      <c r="Q2477">
        <v>7033</v>
      </c>
      <c r="R2477">
        <v>1018</v>
      </c>
      <c r="S2477">
        <v>0</v>
      </c>
    </row>
    <row r="2478" spans="11:19" x14ac:dyDescent="0.3">
      <c r="K2478" s="16">
        <f t="shared" si="38"/>
        <v>44119</v>
      </c>
      <c r="L2478" s="17">
        <v>0.16666666666666666</v>
      </c>
      <c r="M2478" s="14">
        <v>396</v>
      </c>
      <c r="N2478" s="14">
        <v>0</v>
      </c>
      <c r="O2478" s="14">
        <v>-29</v>
      </c>
      <c r="P2478" s="14">
        <v>367</v>
      </c>
      <c r="Q2478">
        <v>6986</v>
      </c>
      <c r="R2478">
        <v>1086</v>
      </c>
      <c r="S2478">
        <v>0</v>
      </c>
    </row>
    <row r="2479" spans="11:19" x14ac:dyDescent="0.3">
      <c r="K2479" s="16">
        <f t="shared" si="38"/>
        <v>44119</v>
      </c>
      <c r="L2479" s="17">
        <v>0.20833333333333334</v>
      </c>
      <c r="M2479" s="14">
        <v>396</v>
      </c>
      <c r="N2479" s="14">
        <v>0</v>
      </c>
      <c r="O2479" s="14">
        <v>0</v>
      </c>
      <c r="P2479" s="14">
        <v>396</v>
      </c>
      <c r="Q2479">
        <v>7412</v>
      </c>
      <c r="R2479">
        <v>1054</v>
      </c>
      <c r="S2479">
        <v>0</v>
      </c>
    </row>
    <row r="2480" spans="11:19" x14ac:dyDescent="0.3">
      <c r="K2480" s="16">
        <f t="shared" si="38"/>
        <v>44119</v>
      </c>
      <c r="L2480" s="17">
        <v>0.25</v>
      </c>
      <c r="M2480" s="14">
        <v>396</v>
      </c>
      <c r="N2480" s="14">
        <v>0</v>
      </c>
      <c r="O2480" s="14">
        <v>0</v>
      </c>
      <c r="P2480" s="14">
        <v>396</v>
      </c>
      <c r="Q2480">
        <v>8528</v>
      </c>
      <c r="R2480">
        <v>1118</v>
      </c>
      <c r="S2480">
        <v>0</v>
      </c>
    </row>
    <row r="2481" spans="11:19" x14ac:dyDescent="0.3">
      <c r="K2481" s="16">
        <f t="shared" si="38"/>
        <v>44119</v>
      </c>
      <c r="L2481" s="17">
        <v>0.29166666666666669</v>
      </c>
      <c r="M2481" s="14">
        <v>396</v>
      </c>
      <c r="N2481" s="14">
        <v>0</v>
      </c>
      <c r="O2481" s="14">
        <v>0</v>
      </c>
      <c r="P2481" s="14">
        <v>396</v>
      </c>
      <c r="Q2481">
        <v>9492</v>
      </c>
      <c r="R2481">
        <v>1113</v>
      </c>
      <c r="S2481">
        <v>4</v>
      </c>
    </row>
    <row r="2482" spans="11:19" x14ac:dyDescent="0.3">
      <c r="K2482" s="16">
        <f t="shared" si="38"/>
        <v>44119</v>
      </c>
      <c r="L2482" s="17">
        <v>0.33333333333333331</v>
      </c>
      <c r="M2482" s="14">
        <v>396</v>
      </c>
      <c r="N2482" s="14">
        <v>988</v>
      </c>
      <c r="O2482" s="14">
        <v>0</v>
      </c>
      <c r="P2482" s="14">
        <v>1384</v>
      </c>
      <c r="Q2482">
        <v>9748</v>
      </c>
      <c r="R2482">
        <v>1280</v>
      </c>
      <c r="S2482">
        <v>56</v>
      </c>
    </row>
    <row r="2483" spans="11:19" x14ac:dyDescent="0.3">
      <c r="K2483" s="16">
        <f t="shared" si="38"/>
        <v>44119</v>
      </c>
      <c r="L2483" s="17">
        <v>0.375</v>
      </c>
      <c r="M2483" s="14">
        <v>396</v>
      </c>
      <c r="N2483" s="14">
        <v>988</v>
      </c>
      <c r="O2483" s="14">
        <v>0</v>
      </c>
      <c r="P2483" s="14">
        <v>1384</v>
      </c>
      <c r="Q2483">
        <v>9938</v>
      </c>
      <c r="R2483">
        <v>1469</v>
      </c>
      <c r="S2483">
        <v>382</v>
      </c>
    </row>
    <row r="2484" spans="11:19" x14ac:dyDescent="0.3">
      <c r="K2484" s="16">
        <f t="shared" si="38"/>
        <v>44119</v>
      </c>
      <c r="L2484" s="17">
        <v>0.41666666666666669</v>
      </c>
      <c r="M2484" s="14">
        <v>396</v>
      </c>
      <c r="N2484" s="14">
        <v>988</v>
      </c>
      <c r="O2484" s="14">
        <v>0</v>
      </c>
      <c r="P2484" s="14">
        <v>1384</v>
      </c>
      <c r="Q2484">
        <v>9969</v>
      </c>
      <c r="R2484">
        <v>1826</v>
      </c>
      <c r="S2484">
        <v>733</v>
      </c>
    </row>
    <row r="2485" spans="11:19" x14ac:dyDescent="0.3">
      <c r="K2485" s="16">
        <f t="shared" si="38"/>
        <v>44119</v>
      </c>
      <c r="L2485" s="17">
        <v>0.45833333333333331</v>
      </c>
      <c r="M2485" s="14">
        <v>396</v>
      </c>
      <c r="N2485" s="14">
        <v>988</v>
      </c>
      <c r="O2485" s="14">
        <v>0</v>
      </c>
      <c r="P2485" s="14">
        <v>1384</v>
      </c>
      <c r="Q2485">
        <v>10076</v>
      </c>
      <c r="R2485">
        <v>1821</v>
      </c>
      <c r="S2485">
        <v>965</v>
      </c>
    </row>
    <row r="2486" spans="11:19" x14ac:dyDescent="0.3">
      <c r="K2486" s="16">
        <f t="shared" si="38"/>
        <v>44119</v>
      </c>
      <c r="L2486" s="17">
        <v>0.5</v>
      </c>
      <c r="M2486" s="14">
        <v>396</v>
      </c>
      <c r="N2486" s="14">
        <v>988</v>
      </c>
      <c r="O2486" s="14">
        <v>0</v>
      </c>
      <c r="P2486" s="14">
        <v>1384</v>
      </c>
      <c r="Q2486">
        <v>10049</v>
      </c>
      <c r="R2486">
        <v>1748</v>
      </c>
      <c r="S2486">
        <v>1036</v>
      </c>
    </row>
    <row r="2487" spans="11:19" x14ac:dyDescent="0.3">
      <c r="K2487" s="16">
        <f t="shared" si="38"/>
        <v>44119</v>
      </c>
      <c r="L2487" s="17">
        <v>0.54166666666666663</v>
      </c>
      <c r="M2487" s="14">
        <v>396</v>
      </c>
      <c r="N2487" s="14">
        <v>988</v>
      </c>
      <c r="O2487" s="14">
        <v>0</v>
      </c>
      <c r="P2487" s="14">
        <v>1384</v>
      </c>
      <c r="Q2487">
        <v>9858</v>
      </c>
      <c r="R2487">
        <v>1700</v>
      </c>
      <c r="S2487">
        <v>1080</v>
      </c>
    </row>
    <row r="2488" spans="11:19" x14ac:dyDescent="0.3">
      <c r="K2488" s="16">
        <f t="shared" si="38"/>
        <v>44119</v>
      </c>
      <c r="L2488" s="17">
        <v>0.58333333333333337</v>
      </c>
      <c r="M2488" s="14">
        <v>396</v>
      </c>
      <c r="N2488" s="14">
        <v>988</v>
      </c>
      <c r="O2488" s="14">
        <v>23</v>
      </c>
      <c r="P2488" s="14">
        <v>1407</v>
      </c>
      <c r="Q2488">
        <v>9710</v>
      </c>
      <c r="R2488">
        <v>1701</v>
      </c>
      <c r="S2488">
        <v>909</v>
      </c>
    </row>
    <row r="2489" spans="11:19" x14ac:dyDescent="0.3">
      <c r="K2489" s="16">
        <f t="shared" si="38"/>
        <v>44119</v>
      </c>
      <c r="L2489" s="17">
        <v>0.625</v>
      </c>
      <c r="M2489" s="14">
        <v>396</v>
      </c>
      <c r="N2489" s="14">
        <v>0</v>
      </c>
      <c r="O2489" s="14">
        <v>0</v>
      </c>
      <c r="P2489" s="14">
        <v>396</v>
      </c>
      <c r="Q2489">
        <v>9441</v>
      </c>
      <c r="R2489">
        <v>1790</v>
      </c>
      <c r="S2489">
        <v>808</v>
      </c>
    </row>
    <row r="2490" spans="11:19" x14ac:dyDescent="0.3">
      <c r="K2490" s="16">
        <f t="shared" si="38"/>
        <v>44119</v>
      </c>
      <c r="L2490" s="17">
        <v>0.66666666666666663</v>
      </c>
      <c r="M2490" s="14">
        <v>396</v>
      </c>
      <c r="N2490" s="14">
        <v>988</v>
      </c>
      <c r="O2490" s="14">
        <v>0</v>
      </c>
      <c r="P2490" s="14">
        <v>1384</v>
      </c>
      <c r="Q2490">
        <v>9223</v>
      </c>
      <c r="R2490">
        <v>1642</v>
      </c>
      <c r="S2490">
        <v>487</v>
      </c>
    </row>
    <row r="2491" spans="11:19" x14ac:dyDescent="0.3">
      <c r="K2491" s="16">
        <f t="shared" si="38"/>
        <v>44119</v>
      </c>
      <c r="L2491" s="17">
        <v>0.70833333333333337</v>
      </c>
      <c r="M2491" s="14">
        <v>396</v>
      </c>
      <c r="N2491" s="14">
        <v>0</v>
      </c>
      <c r="O2491" s="14">
        <v>0</v>
      </c>
      <c r="P2491" s="14">
        <v>396</v>
      </c>
      <c r="Q2491">
        <v>9131</v>
      </c>
      <c r="R2491">
        <v>1815</v>
      </c>
      <c r="S2491">
        <v>252</v>
      </c>
    </row>
    <row r="2492" spans="11:19" x14ac:dyDescent="0.3">
      <c r="K2492" s="16">
        <f t="shared" si="38"/>
        <v>44119</v>
      </c>
      <c r="L2492" s="17">
        <v>0.75</v>
      </c>
      <c r="M2492" s="14">
        <v>396</v>
      </c>
      <c r="N2492" s="14">
        <v>988</v>
      </c>
      <c r="O2492" s="14">
        <v>0</v>
      </c>
      <c r="P2492" s="14">
        <v>1384</v>
      </c>
      <c r="Q2492">
        <v>9461</v>
      </c>
      <c r="R2492">
        <v>1967</v>
      </c>
      <c r="S2492">
        <v>60</v>
      </c>
    </row>
    <row r="2493" spans="11:19" x14ac:dyDescent="0.3">
      <c r="K2493" s="16">
        <f t="shared" si="38"/>
        <v>44119</v>
      </c>
      <c r="L2493" s="17">
        <v>0.79166666666666663</v>
      </c>
      <c r="M2493" s="14">
        <v>396</v>
      </c>
      <c r="N2493" s="14">
        <v>988</v>
      </c>
      <c r="O2493" s="14">
        <v>0</v>
      </c>
      <c r="P2493" s="14">
        <v>1384</v>
      </c>
      <c r="Q2493">
        <v>9858</v>
      </c>
      <c r="R2493">
        <v>2144</v>
      </c>
      <c r="S2493">
        <v>0</v>
      </c>
    </row>
    <row r="2494" spans="11:19" x14ac:dyDescent="0.3">
      <c r="K2494" s="16">
        <f t="shared" si="38"/>
        <v>44119</v>
      </c>
      <c r="L2494" s="17">
        <v>0.83333333333333337</v>
      </c>
      <c r="M2494" s="14">
        <v>396</v>
      </c>
      <c r="N2494" s="14">
        <v>0</v>
      </c>
      <c r="O2494" s="14">
        <v>0</v>
      </c>
      <c r="P2494" s="14">
        <v>396</v>
      </c>
      <c r="Q2494">
        <v>9192</v>
      </c>
      <c r="R2494">
        <v>2333</v>
      </c>
      <c r="S2494">
        <v>0</v>
      </c>
    </row>
    <row r="2495" spans="11:19" x14ac:dyDescent="0.3">
      <c r="K2495" s="16">
        <f t="shared" si="38"/>
        <v>44119</v>
      </c>
      <c r="L2495" s="17">
        <v>0.875</v>
      </c>
      <c r="M2495" s="14">
        <v>396</v>
      </c>
      <c r="N2495" s="14">
        <v>0</v>
      </c>
      <c r="O2495" s="14">
        <v>0</v>
      </c>
      <c r="P2495" s="14">
        <v>396</v>
      </c>
      <c r="Q2495">
        <v>8526</v>
      </c>
      <c r="R2495">
        <v>2334</v>
      </c>
      <c r="S2495">
        <v>0</v>
      </c>
    </row>
    <row r="2496" spans="11:19" x14ac:dyDescent="0.3">
      <c r="K2496" s="16">
        <f t="shared" si="38"/>
        <v>44119</v>
      </c>
      <c r="L2496" s="17">
        <v>0.91666666666666663</v>
      </c>
      <c r="M2496" s="14">
        <v>396</v>
      </c>
      <c r="N2496" s="14">
        <v>343</v>
      </c>
      <c r="O2496" s="14">
        <v>0</v>
      </c>
      <c r="P2496" s="14">
        <v>739</v>
      </c>
      <c r="Q2496">
        <v>8626</v>
      </c>
      <c r="R2496">
        <v>2410</v>
      </c>
      <c r="S2496">
        <v>0</v>
      </c>
    </row>
    <row r="2497" spans="11:19" x14ac:dyDescent="0.3">
      <c r="K2497" s="16">
        <f t="shared" si="38"/>
        <v>44119</v>
      </c>
      <c r="L2497" s="17">
        <v>0.95833333333333337</v>
      </c>
      <c r="M2497" s="14">
        <v>396</v>
      </c>
      <c r="N2497" s="14">
        <v>352</v>
      </c>
      <c r="O2497" s="14">
        <v>0</v>
      </c>
      <c r="P2497" s="14">
        <v>748</v>
      </c>
      <c r="Q2497">
        <v>8720</v>
      </c>
      <c r="R2497">
        <v>2514</v>
      </c>
      <c r="S2497">
        <v>0</v>
      </c>
    </row>
    <row r="2498" spans="11:19" x14ac:dyDescent="0.3">
      <c r="K2498" s="16">
        <f t="shared" si="38"/>
        <v>44120</v>
      </c>
      <c r="L2498" s="17">
        <v>0</v>
      </c>
      <c r="M2498" s="14">
        <v>396</v>
      </c>
      <c r="N2498" s="14">
        <v>0</v>
      </c>
      <c r="O2498" s="14">
        <v>-201</v>
      </c>
      <c r="P2498" s="14">
        <v>195</v>
      </c>
      <c r="Q2498">
        <v>8095</v>
      </c>
      <c r="R2498">
        <v>2448</v>
      </c>
      <c r="S2498">
        <v>0</v>
      </c>
    </row>
    <row r="2499" spans="11:19" x14ac:dyDescent="0.3">
      <c r="K2499" s="16">
        <f t="shared" si="38"/>
        <v>44120</v>
      </c>
      <c r="L2499" s="17">
        <v>4.1666666666666664E-2</v>
      </c>
      <c r="M2499" s="14">
        <v>396</v>
      </c>
      <c r="N2499" s="14">
        <v>0</v>
      </c>
      <c r="O2499" s="14">
        <v>-168</v>
      </c>
      <c r="P2499" s="14">
        <v>228</v>
      </c>
      <c r="Q2499">
        <v>7699</v>
      </c>
      <c r="R2499">
        <v>2021</v>
      </c>
      <c r="S2499">
        <v>0</v>
      </c>
    </row>
    <row r="2500" spans="11:19" x14ac:dyDescent="0.3">
      <c r="K2500" s="16">
        <f t="shared" si="38"/>
        <v>44120</v>
      </c>
      <c r="L2500" s="17">
        <v>8.3333333333333329E-2</v>
      </c>
      <c r="M2500" s="14">
        <v>396</v>
      </c>
      <c r="N2500" s="14">
        <v>0</v>
      </c>
      <c r="O2500" s="14">
        <v>-373</v>
      </c>
      <c r="P2500" s="14">
        <v>23</v>
      </c>
      <c r="Q2500">
        <v>7422</v>
      </c>
      <c r="R2500">
        <v>2029</v>
      </c>
      <c r="S2500">
        <v>0</v>
      </c>
    </row>
    <row r="2501" spans="11:19" x14ac:dyDescent="0.3">
      <c r="K2501" s="16">
        <f t="shared" si="38"/>
        <v>44120</v>
      </c>
      <c r="L2501" s="17">
        <v>0.125</v>
      </c>
      <c r="M2501" s="14">
        <v>396</v>
      </c>
      <c r="N2501" s="14">
        <v>0</v>
      </c>
      <c r="O2501" s="14">
        <v>-874</v>
      </c>
      <c r="P2501" s="14">
        <v>-478</v>
      </c>
      <c r="Q2501">
        <v>7049</v>
      </c>
      <c r="R2501">
        <v>2157</v>
      </c>
      <c r="S2501">
        <v>0</v>
      </c>
    </row>
    <row r="2502" spans="11:19" x14ac:dyDescent="0.3">
      <c r="K2502" s="16">
        <f t="shared" si="38"/>
        <v>44120</v>
      </c>
      <c r="L2502" s="17">
        <v>0.16666666666666666</v>
      </c>
      <c r="M2502" s="14">
        <v>396</v>
      </c>
      <c r="N2502" s="14">
        <v>0</v>
      </c>
      <c r="O2502" s="14">
        <v>-1091</v>
      </c>
      <c r="P2502" s="14">
        <v>-695</v>
      </c>
      <c r="Q2502">
        <v>6990</v>
      </c>
      <c r="R2502">
        <v>2311</v>
      </c>
      <c r="S2502">
        <v>0</v>
      </c>
    </row>
    <row r="2503" spans="11:19" x14ac:dyDescent="0.3">
      <c r="K2503" s="16">
        <f t="shared" si="38"/>
        <v>44120</v>
      </c>
      <c r="L2503" s="17">
        <v>0.20833333333333334</v>
      </c>
      <c r="M2503" s="14">
        <v>396</v>
      </c>
      <c r="N2503" s="14">
        <v>0</v>
      </c>
      <c r="O2503" s="14">
        <v>-800</v>
      </c>
      <c r="P2503" s="14">
        <v>-404</v>
      </c>
      <c r="Q2503">
        <v>7383</v>
      </c>
      <c r="R2503">
        <v>2391</v>
      </c>
      <c r="S2503">
        <v>0</v>
      </c>
    </row>
    <row r="2504" spans="11:19" x14ac:dyDescent="0.3">
      <c r="K2504" s="16">
        <f t="shared" si="38"/>
        <v>44120</v>
      </c>
      <c r="L2504" s="17">
        <v>0.25</v>
      </c>
      <c r="M2504" s="14">
        <v>396</v>
      </c>
      <c r="N2504" s="14">
        <v>200</v>
      </c>
      <c r="O2504" s="14">
        <v>279</v>
      </c>
      <c r="P2504" s="14">
        <v>875</v>
      </c>
      <c r="Q2504">
        <v>8452</v>
      </c>
      <c r="R2504">
        <v>2145</v>
      </c>
      <c r="S2504">
        <v>0</v>
      </c>
    </row>
    <row r="2505" spans="11:19" x14ac:dyDescent="0.3">
      <c r="K2505" s="16">
        <f t="shared" si="38"/>
        <v>44120</v>
      </c>
      <c r="L2505" s="17">
        <v>0.29166666666666669</v>
      </c>
      <c r="M2505" s="14">
        <v>396</v>
      </c>
      <c r="N2505" s="14">
        <v>0</v>
      </c>
      <c r="O2505" s="14">
        <v>0</v>
      </c>
      <c r="P2505" s="14">
        <v>396</v>
      </c>
      <c r="Q2505">
        <v>9431</v>
      </c>
      <c r="R2505">
        <v>2313</v>
      </c>
      <c r="S2505">
        <v>0</v>
      </c>
    </row>
    <row r="2506" spans="11:19" x14ac:dyDescent="0.3">
      <c r="K2506" s="16">
        <f t="shared" si="38"/>
        <v>44120</v>
      </c>
      <c r="L2506" s="17">
        <v>0.33333333333333331</v>
      </c>
      <c r="M2506" s="14">
        <v>396</v>
      </c>
      <c r="N2506" s="14">
        <v>598</v>
      </c>
      <c r="O2506" s="14">
        <v>0</v>
      </c>
      <c r="P2506" s="14">
        <v>994</v>
      </c>
      <c r="Q2506">
        <v>9670</v>
      </c>
      <c r="R2506">
        <v>2461</v>
      </c>
      <c r="S2506">
        <v>16</v>
      </c>
    </row>
    <row r="2507" spans="11:19" x14ac:dyDescent="0.3">
      <c r="K2507" s="16">
        <f t="shared" si="38"/>
        <v>44120</v>
      </c>
      <c r="L2507" s="17">
        <v>0.375</v>
      </c>
      <c r="M2507" s="14">
        <v>396</v>
      </c>
      <c r="N2507" s="14">
        <v>0</v>
      </c>
      <c r="O2507" s="14">
        <v>834</v>
      </c>
      <c r="P2507" s="14">
        <v>1230</v>
      </c>
      <c r="Q2507">
        <v>9909</v>
      </c>
      <c r="R2507">
        <v>2561</v>
      </c>
      <c r="S2507">
        <v>174</v>
      </c>
    </row>
    <row r="2508" spans="11:19" x14ac:dyDescent="0.3">
      <c r="K2508" s="16">
        <f t="shared" si="38"/>
        <v>44120</v>
      </c>
      <c r="L2508" s="17">
        <v>0.41666666666666669</v>
      </c>
      <c r="M2508" s="14">
        <v>396</v>
      </c>
      <c r="N2508" s="14">
        <v>0</v>
      </c>
      <c r="O2508" s="14">
        <v>766</v>
      </c>
      <c r="P2508" s="14">
        <v>1162</v>
      </c>
      <c r="Q2508">
        <v>9976</v>
      </c>
      <c r="R2508">
        <v>2777</v>
      </c>
      <c r="S2508">
        <v>356</v>
      </c>
    </row>
    <row r="2509" spans="11:19" x14ac:dyDescent="0.3">
      <c r="K2509" s="16">
        <f t="shared" si="38"/>
        <v>44120</v>
      </c>
      <c r="L2509" s="17">
        <v>0.45833333333333331</v>
      </c>
      <c r="M2509" s="14">
        <v>396</v>
      </c>
      <c r="N2509" s="14">
        <v>598</v>
      </c>
      <c r="O2509" s="14">
        <v>146</v>
      </c>
      <c r="P2509" s="14">
        <v>1140</v>
      </c>
      <c r="Q2509">
        <v>10050</v>
      </c>
      <c r="R2509">
        <v>2759</v>
      </c>
      <c r="S2509">
        <v>472</v>
      </c>
    </row>
    <row r="2510" spans="11:19" x14ac:dyDescent="0.3">
      <c r="K2510" s="16">
        <f t="shared" si="38"/>
        <v>44120</v>
      </c>
      <c r="L2510" s="17">
        <v>0.5</v>
      </c>
      <c r="M2510" s="14">
        <v>396</v>
      </c>
      <c r="N2510" s="14">
        <v>0</v>
      </c>
      <c r="O2510" s="14">
        <v>942</v>
      </c>
      <c r="P2510" s="14">
        <v>1338</v>
      </c>
      <c r="Q2510">
        <v>10056</v>
      </c>
      <c r="R2510">
        <v>2661</v>
      </c>
      <c r="S2510">
        <v>459</v>
      </c>
    </row>
    <row r="2511" spans="11:19" x14ac:dyDescent="0.3">
      <c r="K2511" s="16">
        <f t="shared" si="38"/>
        <v>44120</v>
      </c>
      <c r="L2511" s="17">
        <v>0.54166666666666663</v>
      </c>
      <c r="M2511" s="14">
        <v>396</v>
      </c>
      <c r="N2511" s="14">
        <v>0</v>
      </c>
      <c r="O2511" s="14">
        <v>823</v>
      </c>
      <c r="P2511" s="14">
        <v>1219</v>
      </c>
      <c r="Q2511">
        <v>9813</v>
      </c>
      <c r="R2511">
        <v>2528</v>
      </c>
      <c r="S2511">
        <v>471</v>
      </c>
    </row>
    <row r="2512" spans="11:19" x14ac:dyDescent="0.3">
      <c r="K2512" s="16">
        <f t="shared" si="38"/>
        <v>44120</v>
      </c>
      <c r="L2512" s="17">
        <v>0.58333333333333337</v>
      </c>
      <c r="M2512" s="14">
        <v>396</v>
      </c>
      <c r="N2512" s="14">
        <v>598</v>
      </c>
      <c r="O2512" s="14">
        <v>93</v>
      </c>
      <c r="P2512" s="14">
        <v>1087</v>
      </c>
      <c r="Q2512">
        <v>9616</v>
      </c>
      <c r="R2512">
        <v>2427</v>
      </c>
      <c r="S2512">
        <v>505</v>
      </c>
    </row>
    <row r="2513" spans="11:19" x14ac:dyDescent="0.3">
      <c r="K2513" s="16">
        <f t="shared" si="38"/>
        <v>44120</v>
      </c>
      <c r="L2513" s="17">
        <v>0.625</v>
      </c>
      <c r="M2513" s="14">
        <v>396</v>
      </c>
      <c r="N2513" s="14">
        <v>0</v>
      </c>
      <c r="O2513" s="14">
        <v>357</v>
      </c>
      <c r="P2513" s="14">
        <v>753</v>
      </c>
      <c r="Q2513">
        <v>9315</v>
      </c>
      <c r="R2513">
        <v>2504</v>
      </c>
      <c r="S2513">
        <v>464</v>
      </c>
    </row>
    <row r="2514" spans="11:19" x14ac:dyDescent="0.3">
      <c r="K2514" s="16">
        <f t="shared" si="38"/>
        <v>44120</v>
      </c>
      <c r="L2514" s="17">
        <v>0.66666666666666663</v>
      </c>
      <c r="M2514" s="14">
        <v>396</v>
      </c>
      <c r="N2514" s="14">
        <v>0</v>
      </c>
      <c r="O2514" s="14">
        <v>-58</v>
      </c>
      <c r="P2514" s="14">
        <v>338</v>
      </c>
      <c r="Q2514">
        <v>9055</v>
      </c>
      <c r="R2514">
        <v>2728</v>
      </c>
      <c r="S2514">
        <v>390</v>
      </c>
    </row>
    <row r="2515" spans="11:19" x14ac:dyDescent="0.3">
      <c r="K2515" s="16">
        <f t="shared" si="38"/>
        <v>44120</v>
      </c>
      <c r="L2515" s="17">
        <v>0.70833333333333337</v>
      </c>
      <c r="M2515" s="14">
        <v>396</v>
      </c>
      <c r="N2515" s="14">
        <v>0</v>
      </c>
      <c r="O2515" s="14">
        <v>67</v>
      </c>
      <c r="P2515" s="14">
        <v>463</v>
      </c>
      <c r="Q2515">
        <v>8972</v>
      </c>
      <c r="R2515">
        <v>2865</v>
      </c>
      <c r="S2515">
        <v>200</v>
      </c>
    </row>
    <row r="2516" spans="11:19" x14ac:dyDescent="0.3">
      <c r="K2516" s="16">
        <f t="shared" si="38"/>
        <v>44120</v>
      </c>
      <c r="L2516" s="17">
        <v>0.75</v>
      </c>
      <c r="M2516" s="14">
        <v>396</v>
      </c>
      <c r="N2516" s="14">
        <v>0</v>
      </c>
      <c r="O2516" s="14">
        <v>261</v>
      </c>
      <c r="P2516" s="14">
        <v>657</v>
      </c>
      <c r="Q2516">
        <v>9188</v>
      </c>
      <c r="R2516">
        <v>3044</v>
      </c>
      <c r="S2516">
        <v>42</v>
      </c>
    </row>
    <row r="2517" spans="11:19" x14ac:dyDescent="0.3">
      <c r="K2517" s="16">
        <f t="shared" si="38"/>
        <v>44120</v>
      </c>
      <c r="L2517" s="17">
        <v>0.79166666666666663</v>
      </c>
      <c r="M2517" s="14">
        <v>396</v>
      </c>
      <c r="N2517" s="14">
        <v>488</v>
      </c>
      <c r="O2517" s="14">
        <v>0</v>
      </c>
      <c r="P2517" s="14">
        <v>884</v>
      </c>
      <c r="Q2517">
        <v>9554</v>
      </c>
      <c r="R2517">
        <v>3230</v>
      </c>
      <c r="S2517">
        <v>3</v>
      </c>
    </row>
    <row r="2518" spans="11:19" x14ac:dyDescent="0.3">
      <c r="K2518" s="16">
        <f t="shared" si="38"/>
        <v>44120</v>
      </c>
      <c r="L2518" s="17">
        <v>0.83333333333333337</v>
      </c>
      <c r="M2518" s="14">
        <v>396</v>
      </c>
      <c r="N2518" s="14">
        <v>0</v>
      </c>
      <c r="O2518" s="14">
        <v>-195</v>
      </c>
      <c r="P2518" s="14">
        <v>201</v>
      </c>
      <c r="Q2518">
        <v>8980</v>
      </c>
      <c r="R2518">
        <v>3275</v>
      </c>
      <c r="S2518">
        <v>0</v>
      </c>
    </row>
    <row r="2519" spans="11:19" x14ac:dyDescent="0.3">
      <c r="K2519" s="16">
        <f t="shared" si="38"/>
        <v>44120</v>
      </c>
      <c r="L2519" s="17">
        <v>0.875</v>
      </c>
      <c r="M2519" s="14">
        <v>396</v>
      </c>
      <c r="N2519" s="14">
        <v>0</v>
      </c>
      <c r="O2519" s="14">
        <v>-799</v>
      </c>
      <c r="P2519" s="14">
        <v>-403</v>
      </c>
      <c r="Q2519">
        <v>8415</v>
      </c>
      <c r="R2519">
        <v>3329</v>
      </c>
      <c r="S2519">
        <v>0</v>
      </c>
    </row>
    <row r="2520" spans="11:19" x14ac:dyDescent="0.3">
      <c r="K2520" s="16">
        <f t="shared" si="38"/>
        <v>44120</v>
      </c>
      <c r="L2520" s="17">
        <v>0.91666666666666663</v>
      </c>
      <c r="M2520" s="14">
        <v>396</v>
      </c>
      <c r="N2520" s="14">
        <v>0</v>
      </c>
      <c r="O2520" s="14">
        <v>-534</v>
      </c>
      <c r="P2520" s="14">
        <v>-138</v>
      </c>
      <c r="Q2520">
        <v>8565</v>
      </c>
      <c r="R2520">
        <v>3225</v>
      </c>
      <c r="S2520">
        <v>0</v>
      </c>
    </row>
    <row r="2521" spans="11:19" x14ac:dyDescent="0.3">
      <c r="K2521" s="16">
        <f t="shared" si="38"/>
        <v>44120</v>
      </c>
      <c r="L2521" s="17">
        <v>0.95833333333333337</v>
      </c>
      <c r="M2521" s="14">
        <v>396</v>
      </c>
      <c r="N2521" s="14">
        <v>0</v>
      </c>
      <c r="O2521" s="14">
        <v>-613</v>
      </c>
      <c r="P2521" s="14">
        <v>-217</v>
      </c>
      <c r="Q2521">
        <v>8658</v>
      </c>
      <c r="R2521">
        <v>3416</v>
      </c>
      <c r="S2521">
        <v>0</v>
      </c>
    </row>
    <row r="2522" spans="11:19" x14ac:dyDescent="0.3">
      <c r="K2522" s="16">
        <f t="shared" si="38"/>
        <v>44121</v>
      </c>
      <c r="L2522" s="17">
        <v>0</v>
      </c>
      <c r="M2522" s="14">
        <v>396</v>
      </c>
      <c r="N2522" s="14">
        <v>0</v>
      </c>
      <c r="O2522" s="14">
        <v>0</v>
      </c>
      <c r="P2522" s="14">
        <v>396</v>
      </c>
      <c r="Q2522">
        <v>7951</v>
      </c>
      <c r="R2522">
        <v>3386</v>
      </c>
      <c r="S2522">
        <v>0</v>
      </c>
    </row>
    <row r="2523" spans="11:19" x14ac:dyDescent="0.3">
      <c r="K2523" s="16">
        <f t="shared" ref="K2523:K2586" si="39">K2499+1</f>
        <v>44121</v>
      </c>
      <c r="L2523" s="17">
        <v>4.1666666666666664E-2</v>
      </c>
      <c r="M2523" s="14">
        <v>396</v>
      </c>
      <c r="N2523" s="14">
        <v>0</v>
      </c>
      <c r="O2523" s="14">
        <v>-1200</v>
      </c>
      <c r="P2523" s="14">
        <v>-804</v>
      </c>
      <c r="Q2523">
        <v>7486</v>
      </c>
      <c r="R2523">
        <v>3581</v>
      </c>
      <c r="S2523">
        <v>0</v>
      </c>
    </row>
    <row r="2524" spans="11:19" x14ac:dyDescent="0.3">
      <c r="K2524" s="16">
        <f t="shared" si="39"/>
        <v>44121</v>
      </c>
      <c r="L2524" s="17">
        <v>8.3333333333333329E-2</v>
      </c>
      <c r="M2524" s="14">
        <v>396</v>
      </c>
      <c r="N2524" s="14">
        <v>0</v>
      </c>
      <c r="O2524" s="14">
        <v>-1200</v>
      </c>
      <c r="P2524" s="14">
        <v>-804</v>
      </c>
      <c r="Q2524">
        <v>7128</v>
      </c>
      <c r="R2524">
        <v>3576</v>
      </c>
      <c r="S2524">
        <v>0</v>
      </c>
    </row>
    <row r="2525" spans="11:19" x14ac:dyDescent="0.3">
      <c r="K2525" s="16">
        <f t="shared" si="39"/>
        <v>44121</v>
      </c>
      <c r="L2525" s="17">
        <v>0.125</v>
      </c>
      <c r="M2525" s="14">
        <v>396</v>
      </c>
      <c r="N2525" s="14">
        <v>0</v>
      </c>
      <c r="O2525" s="14">
        <v>-828</v>
      </c>
      <c r="P2525" s="14">
        <v>-432</v>
      </c>
      <c r="Q2525">
        <v>6695</v>
      </c>
      <c r="R2525">
        <v>3513</v>
      </c>
      <c r="S2525">
        <v>0</v>
      </c>
    </row>
    <row r="2526" spans="11:19" x14ac:dyDescent="0.3">
      <c r="K2526" s="16">
        <f t="shared" si="39"/>
        <v>44121</v>
      </c>
      <c r="L2526" s="17">
        <v>0.16666666666666666</v>
      </c>
      <c r="M2526" s="14">
        <v>396</v>
      </c>
      <c r="N2526" s="14">
        <v>0</v>
      </c>
      <c r="O2526" s="14">
        <v>-1035</v>
      </c>
      <c r="P2526" s="14">
        <v>-639</v>
      </c>
      <c r="Q2526">
        <v>6509</v>
      </c>
      <c r="R2526">
        <v>3530</v>
      </c>
      <c r="S2526">
        <v>0</v>
      </c>
    </row>
    <row r="2527" spans="11:19" x14ac:dyDescent="0.3">
      <c r="K2527" s="16">
        <f t="shared" si="39"/>
        <v>44121</v>
      </c>
      <c r="L2527" s="17">
        <v>0.20833333333333334</v>
      </c>
      <c r="M2527" s="14">
        <v>396</v>
      </c>
      <c r="N2527" s="14">
        <v>0</v>
      </c>
      <c r="O2527" s="14">
        <v>-1061</v>
      </c>
      <c r="P2527" s="14">
        <v>-665</v>
      </c>
      <c r="Q2527">
        <v>6579</v>
      </c>
      <c r="R2527">
        <v>3615</v>
      </c>
      <c r="S2527">
        <v>0</v>
      </c>
    </row>
    <row r="2528" spans="11:19" x14ac:dyDescent="0.3">
      <c r="K2528" s="16">
        <f t="shared" si="39"/>
        <v>44121</v>
      </c>
      <c r="L2528" s="17">
        <v>0.25</v>
      </c>
      <c r="M2528" s="14">
        <v>396</v>
      </c>
      <c r="N2528" s="14">
        <v>0</v>
      </c>
      <c r="O2528" s="14">
        <v>-856</v>
      </c>
      <c r="P2528" s="14">
        <v>-460</v>
      </c>
      <c r="Q2528">
        <v>6892</v>
      </c>
      <c r="R2528">
        <v>3707</v>
      </c>
      <c r="S2528">
        <v>0</v>
      </c>
    </row>
    <row r="2529" spans="11:19" x14ac:dyDescent="0.3">
      <c r="K2529" s="16">
        <f t="shared" si="39"/>
        <v>44121</v>
      </c>
      <c r="L2529" s="17">
        <v>0.29166666666666669</v>
      </c>
      <c r="M2529" s="14">
        <v>396</v>
      </c>
      <c r="N2529" s="14">
        <v>0</v>
      </c>
      <c r="O2529" s="14">
        <v>-1200</v>
      </c>
      <c r="P2529" s="14">
        <v>-804</v>
      </c>
      <c r="Q2529">
        <v>7232</v>
      </c>
      <c r="R2529">
        <v>3727</v>
      </c>
      <c r="S2529">
        <v>0</v>
      </c>
    </row>
    <row r="2530" spans="11:19" x14ac:dyDescent="0.3">
      <c r="K2530" s="16">
        <f t="shared" si="39"/>
        <v>44121</v>
      </c>
      <c r="L2530" s="17">
        <v>0.33333333333333331</v>
      </c>
      <c r="M2530" s="14">
        <v>396</v>
      </c>
      <c r="N2530" s="14">
        <v>0</v>
      </c>
      <c r="O2530" s="14">
        <v>0</v>
      </c>
      <c r="P2530" s="14">
        <v>396</v>
      </c>
      <c r="Q2530">
        <v>7724</v>
      </c>
      <c r="R2530">
        <v>3583</v>
      </c>
      <c r="S2530">
        <v>41</v>
      </c>
    </row>
    <row r="2531" spans="11:19" x14ac:dyDescent="0.3">
      <c r="K2531" s="16">
        <f t="shared" si="39"/>
        <v>44121</v>
      </c>
      <c r="L2531" s="17">
        <v>0.375</v>
      </c>
      <c r="M2531" s="14">
        <v>396</v>
      </c>
      <c r="N2531" s="14">
        <v>0</v>
      </c>
      <c r="O2531" s="14">
        <v>0</v>
      </c>
      <c r="P2531" s="14">
        <v>396</v>
      </c>
      <c r="Q2531">
        <v>8290</v>
      </c>
      <c r="R2531">
        <v>3360</v>
      </c>
      <c r="S2531">
        <v>294</v>
      </c>
    </row>
    <row r="2532" spans="11:19" x14ac:dyDescent="0.3">
      <c r="K2532" s="16">
        <f t="shared" si="39"/>
        <v>44121</v>
      </c>
      <c r="L2532" s="17">
        <v>0.41666666666666669</v>
      </c>
      <c r="M2532" s="14">
        <v>396</v>
      </c>
      <c r="N2532" s="14">
        <v>0</v>
      </c>
      <c r="O2532" s="14">
        <v>0</v>
      </c>
      <c r="P2532" s="14">
        <v>396</v>
      </c>
      <c r="Q2532">
        <v>8505</v>
      </c>
      <c r="R2532">
        <v>3219</v>
      </c>
      <c r="S2532">
        <v>703</v>
      </c>
    </row>
    <row r="2533" spans="11:19" x14ac:dyDescent="0.3">
      <c r="K2533" s="16">
        <f t="shared" si="39"/>
        <v>44121</v>
      </c>
      <c r="L2533" s="17">
        <v>0.45833333333333331</v>
      </c>
      <c r="M2533" s="14">
        <v>396</v>
      </c>
      <c r="N2533" s="14">
        <v>0</v>
      </c>
      <c r="O2533" s="14">
        <v>0</v>
      </c>
      <c r="P2533" s="14">
        <v>396</v>
      </c>
      <c r="Q2533">
        <v>8713</v>
      </c>
      <c r="R2533">
        <v>3047</v>
      </c>
      <c r="S2533">
        <v>1034</v>
      </c>
    </row>
    <row r="2534" spans="11:19" x14ac:dyDescent="0.3">
      <c r="K2534" s="16">
        <f t="shared" si="39"/>
        <v>44121</v>
      </c>
      <c r="L2534" s="17">
        <v>0.5</v>
      </c>
      <c r="M2534" s="14">
        <v>396</v>
      </c>
      <c r="N2534" s="14">
        <v>0</v>
      </c>
      <c r="O2534" s="14">
        <v>0</v>
      </c>
      <c r="P2534" s="14">
        <v>396</v>
      </c>
      <c r="Q2534">
        <v>9057</v>
      </c>
      <c r="R2534">
        <v>3040</v>
      </c>
      <c r="S2534">
        <v>1252</v>
      </c>
    </row>
    <row r="2535" spans="11:19" x14ac:dyDescent="0.3">
      <c r="K2535" s="16">
        <f t="shared" si="39"/>
        <v>44121</v>
      </c>
      <c r="L2535" s="17">
        <v>0.54166666666666663</v>
      </c>
      <c r="M2535" s="14">
        <v>396</v>
      </c>
      <c r="N2535" s="14">
        <v>0</v>
      </c>
      <c r="O2535" s="14">
        <v>0</v>
      </c>
      <c r="P2535" s="14">
        <v>396</v>
      </c>
      <c r="Q2535">
        <v>8712</v>
      </c>
      <c r="R2535">
        <v>2624</v>
      </c>
      <c r="S2535">
        <v>1371</v>
      </c>
    </row>
    <row r="2536" spans="11:19" x14ac:dyDescent="0.3">
      <c r="K2536" s="16">
        <f t="shared" si="39"/>
        <v>44121</v>
      </c>
      <c r="L2536" s="17">
        <v>0.58333333333333337</v>
      </c>
      <c r="M2536" s="14">
        <v>396</v>
      </c>
      <c r="N2536" s="14">
        <v>0</v>
      </c>
      <c r="O2536" s="14">
        <v>0</v>
      </c>
      <c r="P2536" s="14">
        <v>396</v>
      </c>
      <c r="Q2536">
        <v>8394</v>
      </c>
      <c r="R2536">
        <v>2350</v>
      </c>
      <c r="S2536">
        <v>1427</v>
      </c>
    </row>
    <row r="2537" spans="11:19" x14ac:dyDescent="0.3">
      <c r="K2537" s="16">
        <f t="shared" si="39"/>
        <v>44121</v>
      </c>
      <c r="L2537" s="17">
        <v>0.625</v>
      </c>
      <c r="M2537" s="14">
        <v>396</v>
      </c>
      <c r="N2537" s="14">
        <v>0</v>
      </c>
      <c r="O2537" s="14">
        <v>-716</v>
      </c>
      <c r="P2537" s="14">
        <v>-320</v>
      </c>
      <c r="Q2537">
        <v>8040</v>
      </c>
      <c r="R2537">
        <v>2188</v>
      </c>
      <c r="S2537">
        <v>1305</v>
      </c>
    </row>
    <row r="2538" spans="11:19" x14ac:dyDescent="0.3">
      <c r="K2538" s="16">
        <f t="shared" si="39"/>
        <v>44121</v>
      </c>
      <c r="L2538" s="17">
        <v>0.66666666666666663</v>
      </c>
      <c r="M2538" s="14">
        <v>396</v>
      </c>
      <c r="N2538" s="14">
        <v>0</v>
      </c>
      <c r="O2538" s="14">
        <v>0</v>
      </c>
      <c r="P2538" s="14">
        <v>396</v>
      </c>
      <c r="Q2538">
        <v>7793</v>
      </c>
      <c r="R2538">
        <v>1953</v>
      </c>
      <c r="S2538">
        <v>1034</v>
      </c>
    </row>
    <row r="2539" spans="11:19" x14ac:dyDescent="0.3">
      <c r="K2539" s="16">
        <f t="shared" si="39"/>
        <v>44121</v>
      </c>
      <c r="L2539" s="17">
        <v>0.70833333333333337</v>
      </c>
      <c r="M2539" s="14">
        <v>396</v>
      </c>
      <c r="N2539" s="14">
        <v>0</v>
      </c>
      <c r="O2539" s="14">
        <v>0</v>
      </c>
      <c r="P2539" s="14">
        <v>396</v>
      </c>
      <c r="Q2539">
        <v>7728</v>
      </c>
      <c r="R2539">
        <v>1626</v>
      </c>
      <c r="S2539">
        <v>543</v>
      </c>
    </row>
    <row r="2540" spans="11:19" x14ac:dyDescent="0.3">
      <c r="K2540" s="16">
        <f t="shared" si="39"/>
        <v>44121</v>
      </c>
      <c r="L2540" s="17">
        <v>0.75</v>
      </c>
      <c r="M2540" s="14">
        <v>396</v>
      </c>
      <c r="N2540" s="14">
        <v>0</v>
      </c>
      <c r="O2540" s="14">
        <v>562</v>
      </c>
      <c r="P2540" s="14">
        <v>958</v>
      </c>
      <c r="Q2540">
        <v>7967</v>
      </c>
      <c r="R2540">
        <v>1376</v>
      </c>
      <c r="S2540">
        <v>112</v>
      </c>
    </row>
    <row r="2541" spans="11:19" x14ac:dyDescent="0.3">
      <c r="K2541" s="16">
        <f t="shared" si="39"/>
        <v>44121</v>
      </c>
      <c r="L2541" s="17">
        <v>0.79166666666666663</v>
      </c>
      <c r="M2541" s="14">
        <v>396</v>
      </c>
      <c r="N2541" s="14">
        <v>299</v>
      </c>
      <c r="O2541" s="14">
        <v>1200</v>
      </c>
      <c r="P2541" s="14">
        <v>1895</v>
      </c>
      <c r="Q2541">
        <v>8600</v>
      </c>
      <c r="R2541">
        <v>1093</v>
      </c>
      <c r="S2541">
        <v>2</v>
      </c>
    </row>
    <row r="2542" spans="11:19" x14ac:dyDescent="0.3">
      <c r="K2542" s="16">
        <f t="shared" si="39"/>
        <v>44121</v>
      </c>
      <c r="L2542" s="17">
        <v>0.83333333333333337</v>
      </c>
      <c r="M2542" s="14">
        <v>396</v>
      </c>
      <c r="N2542" s="14">
        <v>0</v>
      </c>
      <c r="O2542" s="14">
        <v>1200</v>
      </c>
      <c r="P2542" s="14">
        <v>1596</v>
      </c>
      <c r="Q2542">
        <v>8258</v>
      </c>
      <c r="R2542">
        <v>891</v>
      </c>
      <c r="S2542">
        <v>0</v>
      </c>
    </row>
    <row r="2543" spans="11:19" x14ac:dyDescent="0.3">
      <c r="K2543" s="16">
        <f t="shared" si="39"/>
        <v>44121</v>
      </c>
      <c r="L2543" s="17">
        <v>0.875</v>
      </c>
      <c r="M2543" s="14">
        <v>396</v>
      </c>
      <c r="N2543" s="14">
        <v>0</v>
      </c>
      <c r="O2543" s="14">
        <v>1115</v>
      </c>
      <c r="P2543" s="14">
        <v>1511</v>
      </c>
      <c r="Q2543">
        <v>7804</v>
      </c>
      <c r="R2543">
        <v>730</v>
      </c>
      <c r="S2543">
        <v>0</v>
      </c>
    </row>
    <row r="2544" spans="11:19" x14ac:dyDescent="0.3">
      <c r="K2544" s="16">
        <f t="shared" si="39"/>
        <v>44121</v>
      </c>
      <c r="L2544" s="17">
        <v>0.91666666666666663</v>
      </c>
      <c r="M2544" s="14">
        <v>396</v>
      </c>
      <c r="N2544" s="14">
        <v>0</v>
      </c>
      <c r="O2544" s="14">
        <v>1200</v>
      </c>
      <c r="P2544" s="14">
        <v>1596</v>
      </c>
      <c r="Q2544">
        <v>8083</v>
      </c>
      <c r="R2544">
        <v>768</v>
      </c>
      <c r="S2544">
        <v>0</v>
      </c>
    </row>
    <row r="2545" spans="11:19" x14ac:dyDescent="0.3">
      <c r="K2545" s="16">
        <f t="shared" si="39"/>
        <v>44121</v>
      </c>
      <c r="L2545" s="17">
        <v>0.95833333333333337</v>
      </c>
      <c r="M2545" s="14">
        <v>396</v>
      </c>
      <c r="N2545" s="14">
        <v>0</v>
      </c>
      <c r="O2545" s="14">
        <v>1200</v>
      </c>
      <c r="P2545" s="14">
        <v>1596</v>
      </c>
      <c r="Q2545">
        <v>8347</v>
      </c>
      <c r="R2545">
        <v>746</v>
      </c>
      <c r="S2545">
        <v>0</v>
      </c>
    </row>
    <row r="2546" spans="11:19" x14ac:dyDescent="0.3">
      <c r="K2546" s="16">
        <f t="shared" si="39"/>
        <v>44122</v>
      </c>
      <c r="L2546" s="17">
        <v>0</v>
      </c>
      <c r="M2546" s="14">
        <v>396</v>
      </c>
      <c r="N2546" s="14">
        <v>0</v>
      </c>
      <c r="O2546" s="14">
        <v>1200</v>
      </c>
      <c r="P2546" s="14">
        <v>1596</v>
      </c>
      <c r="Q2546">
        <v>7806</v>
      </c>
      <c r="R2546">
        <v>717</v>
      </c>
      <c r="S2546">
        <v>0</v>
      </c>
    </row>
    <row r="2547" spans="11:19" x14ac:dyDescent="0.3">
      <c r="K2547" s="16">
        <f t="shared" si="39"/>
        <v>44122</v>
      </c>
      <c r="L2547" s="17">
        <v>4.1666666666666664E-2</v>
      </c>
      <c r="M2547" s="14">
        <v>396</v>
      </c>
      <c r="N2547" s="14">
        <v>0</v>
      </c>
      <c r="O2547" s="14">
        <v>1200</v>
      </c>
      <c r="P2547" s="14">
        <v>1596</v>
      </c>
      <c r="Q2547">
        <v>7371</v>
      </c>
      <c r="R2547">
        <v>828</v>
      </c>
      <c r="S2547">
        <v>0</v>
      </c>
    </row>
    <row r="2548" spans="11:19" x14ac:dyDescent="0.3">
      <c r="K2548" s="16">
        <f t="shared" si="39"/>
        <v>44122</v>
      </c>
      <c r="L2548" s="17">
        <v>8.3333333333333329E-2</v>
      </c>
      <c r="M2548" s="14">
        <v>396</v>
      </c>
      <c r="N2548" s="14">
        <v>0</v>
      </c>
      <c r="O2548" s="14">
        <v>893</v>
      </c>
      <c r="P2548" s="14">
        <v>1289</v>
      </c>
      <c r="Q2548">
        <v>6971</v>
      </c>
      <c r="R2548">
        <v>935</v>
      </c>
      <c r="S2548">
        <v>0</v>
      </c>
    </row>
    <row r="2549" spans="11:19" x14ac:dyDescent="0.3">
      <c r="K2549" s="16">
        <f t="shared" si="39"/>
        <v>44122</v>
      </c>
      <c r="L2549" s="17">
        <v>0.125</v>
      </c>
      <c r="M2549" s="14">
        <v>396</v>
      </c>
      <c r="N2549" s="14">
        <v>0</v>
      </c>
      <c r="O2549" s="14">
        <v>1006</v>
      </c>
      <c r="P2549" s="14">
        <v>1402</v>
      </c>
      <c r="Q2549">
        <v>6496</v>
      </c>
      <c r="R2549">
        <v>1173</v>
      </c>
      <c r="S2549">
        <v>0</v>
      </c>
    </row>
    <row r="2550" spans="11:19" x14ac:dyDescent="0.3">
      <c r="K2550" s="16">
        <f t="shared" si="39"/>
        <v>44122</v>
      </c>
      <c r="L2550" s="17">
        <v>0.16666666666666666</v>
      </c>
      <c r="M2550" s="14">
        <v>396</v>
      </c>
      <c r="N2550" s="14">
        <v>0</v>
      </c>
      <c r="O2550" s="14">
        <v>0</v>
      </c>
      <c r="P2550" s="14">
        <v>396</v>
      </c>
      <c r="Q2550">
        <v>6266</v>
      </c>
      <c r="R2550">
        <v>1632</v>
      </c>
      <c r="S2550">
        <v>0</v>
      </c>
    </row>
    <row r="2551" spans="11:19" x14ac:dyDescent="0.3">
      <c r="K2551" s="16">
        <f t="shared" si="39"/>
        <v>44122</v>
      </c>
      <c r="L2551" s="17">
        <v>0.20833333333333334</v>
      </c>
      <c r="M2551" s="14">
        <v>396</v>
      </c>
      <c r="N2551" s="14">
        <v>0</v>
      </c>
      <c r="O2551" s="14">
        <v>0</v>
      </c>
      <c r="P2551" s="14">
        <v>396</v>
      </c>
      <c r="Q2551">
        <v>6224</v>
      </c>
      <c r="R2551">
        <v>1856</v>
      </c>
      <c r="S2551">
        <v>0</v>
      </c>
    </row>
    <row r="2552" spans="11:19" x14ac:dyDescent="0.3">
      <c r="K2552" s="16">
        <f t="shared" si="39"/>
        <v>44122</v>
      </c>
      <c r="L2552" s="17">
        <v>0.25</v>
      </c>
      <c r="M2552" s="14">
        <v>396</v>
      </c>
      <c r="N2552" s="14">
        <v>0</v>
      </c>
      <c r="O2552" s="14">
        <v>0</v>
      </c>
      <c r="P2552" s="14">
        <v>396</v>
      </c>
      <c r="Q2552">
        <v>6366</v>
      </c>
      <c r="R2552">
        <v>2206</v>
      </c>
      <c r="S2552">
        <v>0</v>
      </c>
    </row>
    <row r="2553" spans="11:19" x14ac:dyDescent="0.3">
      <c r="K2553" s="16">
        <f t="shared" si="39"/>
        <v>44122</v>
      </c>
      <c r="L2553" s="17">
        <v>0.29166666666666669</v>
      </c>
      <c r="M2553" s="14">
        <v>396</v>
      </c>
      <c r="N2553" s="14">
        <v>0</v>
      </c>
      <c r="O2553" s="14">
        <v>0</v>
      </c>
      <c r="P2553" s="14">
        <v>396</v>
      </c>
      <c r="Q2553">
        <v>6487</v>
      </c>
      <c r="R2553">
        <v>2422</v>
      </c>
      <c r="S2553">
        <v>0</v>
      </c>
    </row>
    <row r="2554" spans="11:19" x14ac:dyDescent="0.3">
      <c r="K2554" s="16">
        <f t="shared" si="39"/>
        <v>44122</v>
      </c>
      <c r="L2554" s="17">
        <v>0.33333333333333331</v>
      </c>
      <c r="M2554" s="14">
        <v>396</v>
      </c>
      <c r="N2554" s="14">
        <v>0</v>
      </c>
      <c r="O2554" s="14">
        <v>0</v>
      </c>
      <c r="P2554" s="14">
        <v>396</v>
      </c>
      <c r="Q2554">
        <v>6855</v>
      </c>
      <c r="R2554">
        <v>2675</v>
      </c>
      <c r="S2554">
        <v>41</v>
      </c>
    </row>
    <row r="2555" spans="11:19" x14ac:dyDescent="0.3">
      <c r="K2555" s="16">
        <f t="shared" si="39"/>
        <v>44122</v>
      </c>
      <c r="L2555" s="17">
        <v>0.375</v>
      </c>
      <c r="M2555" s="14">
        <v>396</v>
      </c>
      <c r="N2555" s="14">
        <v>0</v>
      </c>
      <c r="O2555" s="14">
        <v>0</v>
      </c>
      <c r="P2555" s="14">
        <v>396</v>
      </c>
      <c r="Q2555">
        <v>7486</v>
      </c>
      <c r="R2555">
        <v>3016</v>
      </c>
      <c r="S2555">
        <v>299</v>
      </c>
    </row>
    <row r="2556" spans="11:19" x14ac:dyDescent="0.3">
      <c r="K2556" s="16">
        <f t="shared" si="39"/>
        <v>44122</v>
      </c>
      <c r="L2556" s="17">
        <v>0.41666666666666669</v>
      </c>
      <c r="M2556" s="14">
        <v>396</v>
      </c>
      <c r="N2556" s="14">
        <v>0</v>
      </c>
      <c r="O2556" s="14">
        <v>0</v>
      </c>
      <c r="P2556" s="14">
        <v>396</v>
      </c>
      <c r="Q2556">
        <v>7936</v>
      </c>
      <c r="R2556">
        <v>3124</v>
      </c>
      <c r="S2556">
        <v>567</v>
      </c>
    </row>
    <row r="2557" spans="11:19" x14ac:dyDescent="0.3">
      <c r="K2557" s="16">
        <f t="shared" si="39"/>
        <v>44122</v>
      </c>
      <c r="L2557" s="17">
        <v>0.45833333333333331</v>
      </c>
      <c r="M2557" s="14">
        <v>396</v>
      </c>
      <c r="N2557" s="14">
        <v>0</v>
      </c>
      <c r="O2557" s="14">
        <v>0</v>
      </c>
      <c r="P2557" s="14">
        <v>396</v>
      </c>
      <c r="Q2557">
        <v>8334</v>
      </c>
      <c r="R2557">
        <v>3352</v>
      </c>
      <c r="S2557">
        <v>776</v>
      </c>
    </row>
    <row r="2558" spans="11:19" x14ac:dyDescent="0.3">
      <c r="K2558" s="16">
        <f t="shared" si="39"/>
        <v>44122</v>
      </c>
      <c r="L2558" s="17">
        <v>0.5</v>
      </c>
      <c r="M2558" s="14">
        <v>396</v>
      </c>
      <c r="N2558" s="14">
        <v>0</v>
      </c>
      <c r="O2558" s="14">
        <v>0</v>
      </c>
      <c r="P2558" s="14">
        <v>396</v>
      </c>
      <c r="Q2558">
        <v>8762</v>
      </c>
      <c r="R2558">
        <v>3442</v>
      </c>
      <c r="S2558">
        <v>787</v>
      </c>
    </row>
    <row r="2559" spans="11:19" x14ac:dyDescent="0.3">
      <c r="K2559" s="16">
        <f t="shared" si="39"/>
        <v>44122</v>
      </c>
      <c r="L2559" s="17">
        <v>0.54166666666666663</v>
      </c>
      <c r="M2559" s="14">
        <v>396</v>
      </c>
      <c r="N2559" s="14">
        <v>0</v>
      </c>
      <c r="O2559" s="14">
        <v>-149</v>
      </c>
      <c r="P2559" s="14">
        <v>247</v>
      </c>
      <c r="Q2559">
        <v>8353</v>
      </c>
      <c r="R2559">
        <v>3565</v>
      </c>
      <c r="S2559">
        <v>864</v>
      </c>
    </row>
    <row r="2560" spans="11:19" x14ac:dyDescent="0.3">
      <c r="K2560" s="16">
        <f t="shared" si="39"/>
        <v>44122</v>
      </c>
      <c r="L2560" s="17">
        <v>0.58333333333333337</v>
      </c>
      <c r="M2560" s="14">
        <v>396</v>
      </c>
      <c r="N2560" s="14">
        <v>0</v>
      </c>
      <c r="O2560" s="14">
        <v>-1084</v>
      </c>
      <c r="P2560" s="14">
        <v>-688</v>
      </c>
      <c r="Q2560">
        <v>7920</v>
      </c>
      <c r="R2560">
        <v>3905</v>
      </c>
      <c r="S2560">
        <v>1029</v>
      </c>
    </row>
    <row r="2561" spans="11:19" x14ac:dyDescent="0.3">
      <c r="K2561" s="16">
        <f t="shared" si="39"/>
        <v>44122</v>
      </c>
      <c r="L2561" s="17">
        <v>0.625</v>
      </c>
      <c r="M2561" s="14">
        <v>396</v>
      </c>
      <c r="N2561" s="14">
        <v>0</v>
      </c>
      <c r="O2561" s="14">
        <v>-1200</v>
      </c>
      <c r="P2561" s="14">
        <v>-804</v>
      </c>
      <c r="Q2561">
        <v>7565</v>
      </c>
      <c r="R2561">
        <v>4003</v>
      </c>
      <c r="S2561">
        <v>957</v>
      </c>
    </row>
    <row r="2562" spans="11:19" x14ac:dyDescent="0.3">
      <c r="K2562" s="16">
        <f t="shared" si="39"/>
        <v>44122</v>
      </c>
      <c r="L2562" s="17">
        <v>0.66666666666666663</v>
      </c>
      <c r="M2562" s="14">
        <v>396</v>
      </c>
      <c r="N2562" s="14">
        <v>0</v>
      </c>
      <c r="O2562" s="14">
        <v>-1200</v>
      </c>
      <c r="P2562" s="14">
        <v>-804</v>
      </c>
      <c r="Q2562">
        <v>7381</v>
      </c>
      <c r="R2562">
        <v>4015</v>
      </c>
      <c r="S2562">
        <v>812</v>
      </c>
    </row>
    <row r="2563" spans="11:19" x14ac:dyDescent="0.3">
      <c r="K2563" s="16">
        <f t="shared" si="39"/>
        <v>44122</v>
      </c>
      <c r="L2563" s="17">
        <v>0.70833333333333337</v>
      </c>
      <c r="M2563" s="14">
        <v>396</v>
      </c>
      <c r="N2563" s="14">
        <v>0</v>
      </c>
      <c r="O2563" s="14">
        <v>-983</v>
      </c>
      <c r="P2563" s="14">
        <v>-587</v>
      </c>
      <c r="Q2563">
        <v>7435</v>
      </c>
      <c r="R2563">
        <v>3938</v>
      </c>
      <c r="S2563">
        <v>393</v>
      </c>
    </row>
    <row r="2564" spans="11:19" x14ac:dyDescent="0.3">
      <c r="K2564" s="16">
        <f t="shared" si="39"/>
        <v>44122</v>
      </c>
      <c r="L2564" s="17">
        <v>0.75</v>
      </c>
      <c r="M2564" s="14">
        <v>396</v>
      </c>
      <c r="N2564" s="14">
        <v>0</v>
      </c>
      <c r="O2564" s="14">
        <v>-376</v>
      </c>
      <c r="P2564" s="14">
        <v>20</v>
      </c>
      <c r="Q2564">
        <v>7831</v>
      </c>
      <c r="R2564">
        <v>4057</v>
      </c>
      <c r="S2564">
        <v>62</v>
      </c>
    </row>
    <row r="2565" spans="11:19" x14ac:dyDescent="0.3">
      <c r="K2565" s="16">
        <f t="shared" si="39"/>
        <v>44122</v>
      </c>
      <c r="L2565" s="17">
        <v>0.79166666666666663</v>
      </c>
      <c r="M2565" s="14">
        <v>396</v>
      </c>
      <c r="N2565" s="14">
        <v>0</v>
      </c>
      <c r="O2565" s="14">
        <v>0</v>
      </c>
      <c r="P2565" s="14">
        <v>396</v>
      </c>
      <c r="Q2565">
        <v>8687</v>
      </c>
      <c r="R2565">
        <v>4063</v>
      </c>
      <c r="S2565">
        <v>2</v>
      </c>
    </row>
    <row r="2566" spans="11:19" x14ac:dyDescent="0.3">
      <c r="K2566" s="16">
        <f t="shared" si="39"/>
        <v>44122</v>
      </c>
      <c r="L2566" s="17">
        <v>0.83333333333333337</v>
      </c>
      <c r="M2566" s="14">
        <v>396</v>
      </c>
      <c r="N2566" s="14">
        <v>0</v>
      </c>
      <c r="O2566" s="14">
        <v>0</v>
      </c>
      <c r="P2566" s="14">
        <v>396</v>
      </c>
      <c r="Q2566">
        <v>8436</v>
      </c>
      <c r="R2566">
        <v>4223</v>
      </c>
      <c r="S2566">
        <v>0</v>
      </c>
    </row>
    <row r="2567" spans="11:19" x14ac:dyDescent="0.3">
      <c r="K2567" s="16">
        <f t="shared" si="39"/>
        <v>44122</v>
      </c>
      <c r="L2567" s="17">
        <v>0.875</v>
      </c>
      <c r="M2567" s="14">
        <v>396</v>
      </c>
      <c r="N2567" s="14">
        <v>0</v>
      </c>
      <c r="O2567" s="14">
        <v>-278</v>
      </c>
      <c r="P2567" s="14">
        <v>118</v>
      </c>
      <c r="Q2567">
        <v>7949</v>
      </c>
      <c r="R2567">
        <v>4177</v>
      </c>
      <c r="S2567">
        <v>0</v>
      </c>
    </row>
    <row r="2568" spans="11:19" x14ac:dyDescent="0.3">
      <c r="K2568" s="16">
        <f t="shared" si="39"/>
        <v>44122</v>
      </c>
      <c r="L2568" s="17">
        <v>0.91666666666666663</v>
      </c>
      <c r="M2568" s="14">
        <v>396</v>
      </c>
      <c r="N2568" s="14">
        <v>0</v>
      </c>
      <c r="O2568" s="14">
        <v>-104</v>
      </c>
      <c r="P2568" s="14">
        <v>292</v>
      </c>
      <c r="Q2568">
        <v>8115</v>
      </c>
      <c r="R2568">
        <v>4176</v>
      </c>
      <c r="S2568">
        <v>0</v>
      </c>
    </row>
    <row r="2569" spans="11:19" x14ac:dyDescent="0.3">
      <c r="K2569" s="16">
        <f t="shared" si="39"/>
        <v>44122</v>
      </c>
      <c r="L2569" s="17">
        <v>0.95833333333333337</v>
      </c>
      <c r="M2569" s="14">
        <v>396</v>
      </c>
      <c r="N2569" s="14">
        <v>0</v>
      </c>
      <c r="O2569" s="14">
        <v>0</v>
      </c>
      <c r="P2569" s="14">
        <v>396</v>
      </c>
      <c r="Q2569">
        <v>8316</v>
      </c>
      <c r="R2569">
        <v>4215</v>
      </c>
      <c r="S2569">
        <v>0</v>
      </c>
    </row>
    <row r="2570" spans="11:19" x14ac:dyDescent="0.3">
      <c r="K2570" s="16">
        <f t="shared" si="39"/>
        <v>44123</v>
      </c>
      <c r="L2570" s="17">
        <v>0</v>
      </c>
      <c r="M2570" s="14">
        <v>396</v>
      </c>
      <c r="N2570" s="14">
        <v>0</v>
      </c>
      <c r="O2570" s="14">
        <v>-1200</v>
      </c>
      <c r="P2570" s="14">
        <v>-804</v>
      </c>
      <c r="Q2570">
        <v>7821</v>
      </c>
      <c r="R2570">
        <v>4147</v>
      </c>
      <c r="S2570">
        <v>0</v>
      </c>
    </row>
    <row r="2571" spans="11:19" x14ac:dyDescent="0.3">
      <c r="K2571" s="16">
        <f t="shared" si="39"/>
        <v>44123</v>
      </c>
      <c r="L2571" s="17">
        <v>4.1666666666666664E-2</v>
      </c>
      <c r="M2571" s="14">
        <v>396</v>
      </c>
      <c r="N2571" s="14">
        <v>0</v>
      </c>
      <c r="O2571" s="14">
        <v>-1200</v>
      </c>
      <c r="P2571" s="14">
        <v>-804</v>
      </c>
      <c r="Q2571">
        <v>7455</v>
      </c>
      <c r="R2571">
        <v>4005</v>
      </c>
      <c r="S2571">
        <v>0</v>
      </c>
    </row>
    <row r="2572" spans="11:19" x14ac:dyDescent="0.3">
      <c r="K2572" s="16">
        <f t="shared" si="39"/>
        <v>44123</v>
      </c>
      <c r="L2572" s="17">
        <v>8.3333333333333329E-2</v>
      </c>
      <c r="M2572" s="14">
        <v>396</v>
      </c>
      <c r="N2572" s="14">
        <v>0</v>
      </c>
      <c r="O2572" s="14">
        <v>-1200</v>
      </c>
      <c r="P2572" s="14">
        <v>-804</v>
      </c>
      <c r="Q2572">
        <v>7156</v>
      </c>
      <c r="R2572">
        <v>4016</v>
      </c>
      <c r="S2572">
        <v>0</v>
      </c>
    </row>
    <row r="2573" spans="11:19" x14ac:dyDescent="0.3">
      <c r="K2573" s="16">
        <f t="shared" si="39"/>
        <v>44123</v>
      </c>
      <c r="L2573" s="17">
        <v>0.125</v>
      </c>
      <c r="M2573" s="14">
        <v>396</v>
      </c>
      <c r="N2573" s="14">
        <v>0</v>
      </c>
      <c r="O2573" s="14">
        <v>-1200</v>
      </c>
      <c r="P2573" s="14">
        <v>-804</v>
      </c>
      <c r="Q2573">
        <v>6785</v>
      </c>
      <c r="R2573">
        <v>3697</v>
      </c>
      <c r="S2573">
        <v>0</v>
      </c>
    </row>
    <row r="2574" spans="11:19" x14ac:dyDescent="0.3">
      <c r="K2574" s="16">
        <f t="shared" si="39"/>
        <v>44123</v>
      </c>
      <c r="L2574" s="17">
        <v>0.16666666666666666</v>
      </c>
      <c r="M2574" s="14">
        <v>396</v>
      </c>
      <c r="N2574" s="14">
        <v>0</v>
      </c>
      <c r="O2574" s="14">
        <v>-1200</v>
      </c>
      <c r="P2574" s="14">
        <v>-804</v>
      </c>
      <c r="Q2574">
        <v>6777</v>
      </c>
      <c r="R2574">
        <v>3717</v>
      </c>
      <c r="S2574">
        <v>0</v>
      </c>
    </row>
    <row r="2575" spans="11:19" x14ac:dyDescent="0.3">
      <c r="K2575" s="16">
        <f t="shared" si="39"/>
        <v>44123</v>
      </c>
      <c r="L2575" s="17">
        <v>0.20833333333333334</v>
      </c>
      <c r="M2575" s="14">
        <v>396</v>
      </c>
      <c r="N2575" s="14">
        <v>0</v>
      </c>
      <c r="O2575" s="14">
        <v>-1200</v>
      </c>
      <c r="P2575" s="14">
        <v>-804</v>
      </c>
      <c r="Q2575">
        <v>7313</v>
      </c>
      <c r="R2575">
        <v>3748</v>
      </c>
      <c r="S2575">
        <v>0</v>
      </c>
    </row>
    <row r="2576" spans="11:19" x14ac:dyDescent="0.3">
      <c r="K2576" s="16">
        <f t="shared" si="39"/>
        <v>44123</v>
      </c>
      <c r="L2576" s="17">
        <v>0.25</v>
      </c>
      <c r="M2576" s="14">
        <v>396</v>
      </c>
      <c r="N2576" s="14">
        <v>0</v>
      </c>
      <c r="O2576" s="14">
        <v>-968</v>
      </c>
      <c r="P2576" s="14">
        <v>-572</v>
      </c>
      <c r="Q2576">
        <v>8486</v>
      </c>
      <c r="R2576">
        <v>3624</v>
      </c>
      <c r="S2576">
        <v>0</v>
      </c>
    </row>
    <row r="2577" spans="11:19" x14ac:dyDescent="0.3">
      <c r="K2577" s="16">
        <f t="shared" si="39"/>
        <v>44123</v>
      </c>
      <c r="L2577" s="17">
        <v>0.29166666666666669</v>
      </c>
      <c r="M2577" s="14">
        <v>396</v>
      </c>
      <c r="N2577" s="14">
        <v>286</v>
      </c>
      <c r="O2577" s="14">
        <v>0</v>
      </c>
      <c r="P2577" s="14">
        <v>682</v>
      </c>
      <c r="Q2577">
        <v>9502</v>
      </c>
      <c r="R2577">
        <v>3374</v>
      </c>
      <c r="S2577">
        <v>0</v>
      </c>
    </row>
    <row r="2578" spans="11:19" x14ac:dyDescent="0.3">
      <c r="K2578" s="16">
        <f t="shared" si="39"/>
        <v>44123</v>
      </c>
      <c r="L2578" s="17">
        <v>0.33333333333333331</v>
      </c>
      <c r="M2578" s="14">
        <v>396</v>
      </c>
      <c r="N2578" s="14">
        <v>0</v>
      </c>
      <c r="O2578" s="14">
        <v>525</v>
      </c>
      <c r="P2578" s="14">
        <v>921</v>
      </c>
      <c r="Q2578">
        <v>9789</v>
      </c>
      <c r="R2578">
        <v>3386</v>
      </c>
      <c r="S2578">
        <v>39</v>
      </c>
    </row>
    <row r="2579" spans="11:19" x14ac:dyDescent="0.3">
      <c r="K2579" s="16">
        <f t="shared" si="39"/>
        <v>44123</v>
      </c>
      <c r="L2579" s="17">
        <v>0.375</v>
      </c>
      <c r="M2579" s="14">
        <v>396</v>
      </c>
      <c r="N2579" s="14">
        <v>482</v>
      </c>
      <c r="O2579" s="14">
        <v>186</v>
      </c>
      <c r="P2579" s="14">
        <v>1064</v>
      </c>
      <c r="Q2579">
        <v>10034</v>
      </c>
      <c r="R2579">
        <v>3251</v>
      </c>
      <c r="S2579">
        <v>276</v>
      </c>
    </row>
    <row r="2580" spans="11:19" x14ac:dyDescent="0.3">
      <c r="K2580" s="16">
        <f t="shared" si="39"/>
        <v>44123</v>
      </c>
      <c r="L2580" s="17">
        <v>0.41666666666666669</v>
      </c>
      <c r="M2580" s="14">
        <v>396</v>
      </c>
      <c r="N2580" s="14">
        <v>482</v>
      </c>
      <c r="O2580" s="14">
        <v>232</v>
      </c>
      <c r="P2580" s="14">
        <v>1110</v>
      </c>
      <c r="Q2580">
        <v>10119</v>
      </c>
      <c r="R2580">
        <v>2980</v>
      </c>
      <c r="S2580">
        <v>586</v>
      </c>
    </row>
    <row r="2581" spans="11:19" x14ac:dyDescent="0.3">
      <c r="K2581" s="16">
        <f t="shared" si="39"/>
        <v>44123</v>
      </c>
      <c r="L2581" s="17">
        <v>0.45833333333333331</v>
      </c>
      <c r="M2581" s="14">
        <v>396</v>
      </c>
      <c r="N2581" s="14">
        <v>0</v>
      </c>
      <c r="O2581" s="14">
        <v>639</v>
      </c>
      <c r="P2581" s="14">
        <v>1035</v>
      </c>
      <c r="Q2581">
        <v>10263</v>
      </c>
      <c r="R2581">
        <v>2974</v>
      </c>
      <c r="S2581">
        <v>812</v>
      </c>
    </row>
    <row r="2582" spans="11:19" x14ac:dyDescent="0.3">
      <c r="K2582" s="16">
        <f t="shared" si="39"/>
        <v>44123</v>
      </c>
      <c r="L2582" s="17">
        <v>0.5</v>
      </c>
      <c r="M2582" s="14">
        <v>396</v>
      </c>
      <c r="N2582" s="14">
        <v>482</v>
      </c>
      <c r="O2582" s="14">
        <v>0</v>
      </c>
      <c r="P2582" s="14">
        <v>878</v>
      </c>
      <c r="Q2582">
        <v>10296</v>
      </c>
      <c r="R2582">
        <v>3050</v>
      </c>
      <c r="S2582">
        <v>794</v>
      </c>
    </row>
    <row r="2583" spans="11:19" x14ac:dyDescent="0.3">
      <c r="K2583" s="16">
        <f t="shared" si="39"/>
        <v>44123</v>
      </c>
      <c r="L2583" s="17">
        <v>0.54166666666666663</v>
      </c>
      <c r="M2583" s="14">
        <v>396</v>
      </c>
      <c r="N2583" s="14">
        <v>199</v>
      </c>
      <c r="O2583" s="14">
        <v>0</v>
      </c>
      <c r="P2583" s="14">
        <v>595</v>
      </c>
      <c r="Q2583">
        <v>10117</v>
      </c>
      <c r="R2583">
        <v>3152</v>
      </c>
      <c r="S2583">
        <v>852</v>
      </c>
    </row>
    <row r="2584" spans="11:19" x14ac:dyDescent="0.3">
      <c r="K2584" s="16">
        <f t="shared" si="39"/>
        <v>44123</v>
      </c>
      <c r="L2584" s="17">
        <v>0.58333333333333337</v>
      </c>
      <c r="M2584" s="14">
        <v>396</v>
      </c>
      <c r="N2584" s="14">
        <v>37</v>
      </c>
      <c r="O2584" s="14">
        <v>0</v>
      </c>
      <c r="P2584" s="14">
        <v>433</v>
      </c>
      <c r="Q2584">
        <v>9926</v>
      </c>
      <c r="R2584">
        <v>3081</v>
      </c>
      <c r="S2584">
        <v>893</v>
      </c>
    </row>
    <row r="2585" spans="11:19" x14ac:dyDescent="0.3">
      <c r="K2585" s="16">
        <f t="shared" si="39"/>
        <v>44123</v>
      </c>
      <c r="L2585" s="17">
        <v>0.625</v>
      </c>
      <c r="M2585" s="14">
        <v>396</v>
      </c>
      <c r="N2585" s="14">
        <v>0</v>
      </c>
      <c r="O2585" s="14">
        <v>-60</v>
      </c>
      <c r="P2585" s="14">
        <v>336</v>
      </c>
      <c r="Q2585">
        <v>9647</v>
      </c>
      <c r="R2585">
        <v>2991</v>
      </c>
      <c r="S2585">
        <v>804</v>
      </c>
    </row>
    <row r="2586" spans="11:19" x14ac:dyDescent="0.3">
      <c r="K2586" s="16">
        <f t="shared" si="39"/>
        <v>44123</v>
      </c>
      <c r="L2586" s="17">
        <v>0.66666666666666663</v>
      </c>
      <c r="M2586" s="14">
        <v>396</v>
      </c>
      <c r="N2586" s="14">
        <v>0</v>
      </c>
      <c r="O2586" s="14">
        <v>24</v>
      </c>
      <c r="P2586" s="14">
        <v>420</v>
      </c>
      <c r="Q2586">
        <v>9446</v>
      </c>
      <c r="R2586">
        <v>2853</v>
      </c>
      <c r="S2586">
        <v>651</v>
      </c>
    </row>
    <row r="2587" spans="11:19" x14ac:dyDescent="0.3">
      <c r="K2587" s="16">
        <f t="shared" ref="K2587:K2650" si="40">K2563+1</f>
        <v>44123</v>
      </c>
      <c r="L2587" s="17">
        <v>0.70833333333333337</v>
      </c>
      <c r="M2587" s="14">
        <v>396</v>
      </c>
      <c r="N2587" s="14">
        <v>0</v>
      </c>
      <c r="O2587" s="14">
        <v>309</v>
      </c>
      <c r="P2587" s="14">
        <v>705</v>
      </c>
      <c r="Q2587">
        <v>9382</v>
      </c>
      <c r="R2587">
        <v>2606</v>
      </c>
      <c r="S2587">
        <v>305</v>
      </c>
    </row>
    <row r="2588" spans="11:19" x14ac:dyDescent="0.3">
      <c r="K2588" s="16">
        <f t="shared" si="40"/>
        <v>44123</v>
      </c>
      <c r="L2588" s="17">
        <v>0.75</v>
      </c>
      <c r="M2588" s="14">
        <v>396</v>
      </c>
      <c r="N2588" s="14">
        <v>0</v>
      </c>
      <c r="O2588" s="14">
        <v>910</v>
      </c>
      <c r="P2588" s="14">
        <v>1306</v>
      </c>
      <c r="Q2588">
        <v>9770</v>
      </c>
      <c r="R2588">
        <v>2640</v>
      </c>
      <c r="S2588">
        <v>57</v>
      </c>
    </row>
    <row r="2589" spans="11:19" x14ac:dyDescent="0.3">
      <c r="K2589" s="16">
        <f t="shared" si="40"/>
        <v>44123</v>
      </c>
      <c r="L2589" s="17">
        <v>0.79166666666666663</v>
      </c>
      <c r="M2589" s="14">
        <v>396</v>
      </c>
      <c r="N2589" s="14">
        <v>0</v>
      </c>
      <c r="O2589" s="14">
        <v>650</v>
      </c>
      <c r="P2589" s="14">
        <v>1046</v>
      </c>
      <c r="Q2589">
        <v>10378</v>
      </c>
      <c r="R2589">
        <v>2634</v>
      </c>
      <c r="S2589">
        <v>1</v>
      </c>
    </row>
    <row r="2590" spans="11:19" x14ac:dyDescent="0.3">
      <c r="K2590" s="16">
        <f t="shared" si="40"/>
        <v>44123</v>
      </c>
      <c r="L2590" s="17">
        <v>0.83333333333333337</v>
      </c>
      <c r="M2590" s="14">
        <v>396</v>
      </c>
      <c r="N2590" s="14">
        <v>482</v>
      </c>
      <c r="O2590" s="14">
        <v>477</v>
      </c>
      <c r="P2590" s="14">
        <v>1355</v>
      </c>
      <c r="Q2590">
        <v>9591</v>
      </c>
      <c r="R2590">
        <v>2490</v>
      </c>
      <c r="S2590">
        <v>0</v>
      </c>
    </row>
    <row r="2591" spans="11:19" x14ac:dyDescent="0.3">
      <c r="K2591" s="16">
        <f t="shared" si="40"/>
        <v>44123</v>
      </c>
      <c r="L2591" s="17">
        <v>0.875</v>
      </c>
      <c r="M2591" s="14">
        <v>396</v>
      </c>
      <c r="N2591" s="14">
        <v>0</v>
      </c>
      <c r="O2591" s="14">
        <v>547</v>
      </c>
      <c r="P2591" s="14">
        <v>943</v>
      </c>
      <c r="Q2591">
        <v>8860</v>
      </c>
      <c r="R2591">
        <v>2186</v>
      </c>
      <c r="S2591">
        <v>0</v>
      </c>
    </row>
    <row r="2592" spans="11:19" x14ac:dyDescent="0.3">
      <c r="K2592" s="16">
        <f t="shared" si="40"/>
        <v>44123</v>
      </c>
      <c r="L2592" s="17">
        <v>0.91666666666666663</v>
      </c>
      <c r="M2592" s="14">
        <v>396</v>
      </c>
      <c r="N2592" s="14">
        <v>0</v>
      </c>
      <c r="O2592" s="14">
        <v>935</v>
      </c>
      <c r="P2592" s="14">
        <v>1331</v>
      </c>
      <c r="Q2592">
        <v>8947</v>
      </c>
      <c r="R2592">
        <v>2056</v>
      </c>
      <c r="S2592">
        <v>0</v>
      </c>
    </row>
    <row r="2593" spans="11:19" x14ac:dyDescent="0.3">
      <c r="K2593" s="16">
        <f t="shared" si="40"/>
        <v>44123</v>
      </c>
      <c r="L2593" s="17">
        <v>0.95833333333333337</v>
      </c>
      <c r="M2593" s="14">
        <v>396</v>
      </c>
      <c r="N2593" s="14">
        <v>0</v>
      </c>
      <c r="O2593" s="14">
        <v>1152</v>
      </c>
      <c r="P2593" s="14">
        <v>1548</v>
      </c>
      <c r="Q2593">
        <v>9051</v>
      </c>
      <c r="R2593">
        <v>1963</v>
      </c>
      <c r="S2593">
        <v>0</v>
      </c>
    </row>
    <row r="2594" spans="11:19" x14ac:dyDescent="0.3">
      <c r="K2594" s="16">
        <f t="shared" si="40"/>
        <v>44124</v>
      </c>
      <c r="L2594" s="17">
        <v>0</v>
      </c>
      <c r="M2594" s="14">
        <v>396</v>
      </c>
      <c r="N2594" s="14">
        <v>0</v>
      </c>
      <c r="O2594" s="14">
        <v>0</v>
      </c>
      <c r="P2594" s="14">
        <v>396</v>
      </c>
      <c r="Q2594">
        <v>8481</v>
      </c>
      <c r="R2594">
        <v>2034</v>
      </c>
      <c r="S2594">
        <v>0</v>
      </c>
    </row>
    <row r="2595" spans="11:19" x14ac:dyDescent="0.3">
      <c r="K2595" s="16">
        <f t="shared" si="40"/>
        <v>44124</v>
      </c>
      <c r="L2595" s="17">
        <v>4.1666666666666664E-2</v>
      </c>
      <c r="M2595" s="14">
        <v>396</v>
      </c>
      <c r="N2595" s="14">
        <v>49</v>
      </c>
      <c r="O2595" s="14">
        <v>0</v>
      </c>
      <c r="P2595" s="14">
        <v>445</v>
      </c>
      <c r="Q2595">
        <v>8077</v>
      </c>
      <c r="R2595">
        <v>2099</v>
      </c>
      <c r="S2595">
        <v>0</v>
      </c>
    </row>
    <row r="2596" spans="11:19" x14ac:dyDescent="0.3">
      <c r="K2596" s="16">
        <f t="shared" si="40"/>
        <v>44124</v>
      </c>
      <c r="L2596" s="17">
        <v>8.3333333333333329E-2</v>
      </c>
      <c r="M2596" s="14">
        <v>396</v>
      </c>
      <c r="N2596" s="14">
        <v>0</v>
      </c>
      <c r="O2596" s="14">
        <v>-151</v>
      </c>
      <c r="P2596" s="14">
        <v>245</v>
      </c>
      <c r="Q2596">
        <v>7782</v>
      </c>
      <c r="R2596">
        <v>2004</v>
      </c>
      <c r="S2596">
        <v>0</v>
      </c>
    </row>
    <row r="2597" spans="11:19" x14ac:dyDescent="0.3">
      <c r="K2597" s="16">
        <f t="shared" si="40"/>
        <v>44124</v>
      </c>
      <c r="L2597" s="17">
        <v>0.125</v>
      </c>
      <c r="M2597" s="14">
        <v>396</v>
      </c>
      <c r="N2597" s="14">
        <v>0</v>
      </c>
      <c r="O2597" s="14">
        <v>-526</v>
      </c>
      <c r="P2597" s="14">
        <v>-130</v>
      </c>
      <c r="Q2597">
        <v>7413</v>
      </c>
      <c r="R2597">
        <v>1850</v>
      </c>
      <c r="S2597">
        <v>0</v>
      </c>
    </row>
    <row r="2598" spans="11:19" x14ac:dyDescent="0.3">
      <c r="K2598" s="16">
        <f t="shared" si="40"/>
        <v>44124</v>
      </c>
      <c r="L2598" s="17">
        <v>0.16666666666666666</v>
      </c>
      <c r="M2598" s="14">
        <v>396</v>
      </c>
      <c r="N2598" s="14">
        <v>0</v>
      </c>
      <c r="O2598" s="14">
        <v>-421</v>
      </c>
      <c r="P2598" s="14">
        <v>-25</v>
      </c>
      <c r="Q2598">
        <v>7359</v>
      </c>
      <c r="R2598">
        <v>1687</v>
      </c>
      <c r="S2598">
        <v>0</v>
      </c>
    </row>
    <row r="2599" spans="11:19" x14ac:dyDescent="0.3">
      <c r="K2599" s="16">
        <f t="shared" si="40"/>
        <v>44124</v>
      </c>
      <c r="L2599" s="17">
        <v>0.20833333333333334</v>
      </c>
      <c r="M2599" s="14">
        <v>396</v>
      </c>
      <c r="N2599" s="14">
        <v>238</v>
      </c>
      <c r="O2599" s="14">
        <v>0</v>
      </c>
      <c r="P2599" s="14">
        <v>634</v>
      </c>
      <c r="Q2599">
        <v>7812</v>
      </c>
      <c r="R2599">
        <v>1459</v>
      </c>
      <c r="S2599">
        <v>0</v>
      </c>
    </row>
    <row r="2600" spans="11:19" x14ac:dyDescent="0.3">
      <c r="K2600" s="16">
        <f t="shared" si="40"/>
        <v>44124</v>
      </c>
      <c r="L2600" s="17">
        <v>0.25</v>
      </c>
      <c r="M2600" s="14">
        <v>396</v>
      </c>
      <c r="N2600" s="14">
        <v>0</v>
      </c>
      <c r="O2600" s="14">
        <v>0</v>
      </c>
      <c r="P2600" s="14">
        <v>396</v>
      </c>
      <c r="Q2600">
        <v>8931</v>
      </c>
      <c r="R2600">
        <v>1265</v>
      </c>
      <c r="S2600">
        <v>0</v>
      </c>
    </row>
    <row r="2601" spans="11:19" x14ac:dyDescent="0.3">
      <c r="K2601" s="16">
        <f t="shared" si="40"/>
        <v>44124</v>
      </c>
      <c r="L2601" s="17">
        <v>0.29166666666666669</v>
      </c>
      <c r="M2601" s="14">
        <v>396</v>
      </c>
      <c r="N2601" s="14">
        <v>1399</v>
      </c>
      <c r="O2601" s="14">
        <v>0</v>
      </c>
      <c r="P2601" s="14">
        <v>1795</v>
      </c>
      <c r="Q2601">
        <v>9944</v>
      </c>
      <c r="R2601">
        <v>1154</v>
      </c>
      <c r="S2601">
        <v>0</v>
      </c>
    </row>
    <row r="2602" spans="11:19" x14ac:dyDescent="0.3">
      <c r="K2602" s="16">
        <f t="shared" si="40"/>
        <v>44124</v>
      </c>
      <c r="L2602" s="17">
        <v>0.33333333333333331</v>
      </c>
      <c r="M2602" s="14">
        <v>396</v>
      </c>
      <c r="N2602" s="14">
        <v>60</v>
      </c>
      <c r="O2602" s="14">
        <v>156</v>
      </c>
      <c r="P2602" s="14">
        <v>612</v>
      </c>
      <c r="Q2602">
        <v>10200</v>
      </c>
      <c r="R2602">
        <v>1150</v>
      </c>
      <c r="S2602">
        <v>53</v>
      </c>
    </row>
    <row r="2603" spans="11:19" x14ac:dyDescent="0.3">
      <c r="K2603" s="16">
        <f t="shared" si="40"/>
        <v>44124</v>
      </c>
      <c r="L2603" s="17">
        <v>0.375</v>
      </c>
      <c r="M2603" s="14">
        <v>396</v>
      </c>
      <c r="N2603" s="14">
        <v>110</v>
      </c>
      <c r="O2603" s="14">
        <v>0</v>
      </c>
      <c r="P2603" s="14">
        <v>506</v>
      </c>
      <c r="Q2603">
        <v>10358</v>
      </c>
      <c r="R2603">
        <v>1111</v>
      </c>
      <c r="S2603">
        <v>356</v>
      </c>
    </row>
    <row r="2604" spans="11:19" x14ac:dyDescent="0.3">
      <c r="K2604" s="16">
        <f t="shared" si="40"/>
        <v>44124</v>
      </c>
      <c r="L2604" s="17">
        <v>0.41666666666666669</v>
      </c>
      <c r="M2604" s="14">
        <v>396</v>
      </c>
      <c r="N2604" s="14">
        <v>0</v>
      </c>
      <c r="O2604" s="14">
        <v>0</v>
      </c>
      <c r="P2604" s="14">
        <v>396</v>
      </c>
      <c r="Q2604">
        <v>10389</v>
      </c>
      <c r="R2604">
        <v>976</v>
      </c>
      <c r="S2604">
        <v>801</v>
      </c>
    </row>
    <row r="2605" spans="11:19" x14ac:dyDescent="0.3">
      <c r="K2605" s="16">
        <f t="shared" si="40"/>
        <v>44124</v>
      </c>
      <c r="L2605" s="17">
        <v>0.45833333333333331</v>
      </c>
      <c r="M2605" s="14">
        <v>396</v>
      </c>
      <c r="N2605" s="14">
        <v>0</v>
      </c>
      <c r="O2605" s="14">
        <v>0</v>
      </c>
      <c r="P2605" s="14">
        <v>396</v>
      </c>
      <c r="Q2605">
        <v>10431</v>
      </c>
      <c r="R2605">
        <v>904</v>
      </c>
      <c r="S2605">
        <v>1164</v>
      </c>
    </row>
    <row r="2606" spans="11:19" x14ac:dyDescent="0.3">
      <c r="K2606" s="16">
        <f t="shared" si="40"/>
        <v>44124</v>
      </c>
      <c r="L2606" s="17">
        <v>0.5</v>
      </c>
      <c r="M2606" s="14">
        <v>396</v>
      </c>
      <c r="N2606" s="14">
        <v>1399</v>
      </c>
      <c r="O2606" s="14">
        <v>0</v>
      </c>
      <c r="P2606" s="14">
        <v>1795</v>
      </c>
      <c r="Q2606">
        <v>10355</v>
      </c>
      <c r="R2606">
        <v>822</v>
      </c>
      <c r="S2606">
        <v>1313</v>
      </c>
    </row>
    <row r="2607" spans="11:19" x14ac:dyDescent="0.3">
      <c r="K2607" s="16">
        <f t="shared" si="40"/>
        <v>44124</v>
      </c>
      <c r="L2607" s="17">
        <v>0.54166666666666663</v>
      </c>
      <c r="M2607" s="14">
        <v>396</v>
      </c>
      <c r="N2607" s="14">
        <v>0</v>
      </c>
      <c r="O2607" s="14">
        <v>0</v>
      </c>
      <c r="P2607" s="14">
        <v>396</v>
      </c>
      <c r="Q2607">
        <v>10138</v>
      </c>
      <c r="R2607">
        <v>721</v>
      </c>
      <c r="S2607">
        <v>1381</v>
      </c>
    </row>
    <row r="2608" spans="11:19" x14ac:dyDescent="0.3">
      <c r="K2608" s="16">
        <f t="shared" si="40"/>
        <v>44124</v>
      </c>
      <c r="L2608" s="17">
        <v>0.58333333333333337</v>
      </c>
      <c r="M2608" s="14">
        <v>396</v>
      </c>
      <c r="N2608" s="14">
        <v>0</v>
      </c>
      <c r="O2608" s="14">
        <v>0</v>
      </c>
      <c r="P2608" s="14">
        <v>396</v>
      </c>
      <c r="Q2608">
        <v>9944</v>
      </c>
      <c r="R2608">
        <v>730</v>
      </c>
      <c r="S2608">
        <v>1361</v>
      </c>
    </row>
    <row r="2609" spans="11:19" x14ac:dyDescent="0.3">
      <c r="K2609" s="16">
        <f t="shared" si="40"/>
        <v>44124</v>
      </c>
      <c r="L2609" s="17">
        <v>0.625</v>
      </c>
      <c r="M2609" s="14">
        <v>396</v>
      </c>
      <c r="N2609" s="14">
        <v>0</v>
      </c>
      <c r="O2609" s="14">
        <v>0</v>
      </c>
      <c r="P2609" s="14">
        <v>396</v>
      </c>
      <c r="Q2609">
        <v>9655</v>
      </c>
      <c r="R2609">
        <v>730</v>
      </c>
      <c r="S2609">
        <v>1184</v>
      </c>
    </row>
    <row r="2610" spans="11:19" x14ac:dyDescent="0.3">
      <c r="K2610" s="16">
        <f t="shared" si="40"/>
        <v>44124</v>
      </c>
      <c r="L2610" s="17">
        <v>0.66666666666666663</v>
      </c>
      <c r="M2610" s="14">
        <v>396</v>
      </c>
      <c r="N2610" s="14">
        <v>0</v>
      </c>
      <c r="O2610" s="14">
        <v>0</v>
      </c>
      <c r="P2610" s="14">
        <v>396</v>
      </c>
      <c r="Q2610">
        <v>9452</v>
      </c>
      <c r="R2610">
        <v>705</v>
      </c>
      <c r="S2610">
        <v>864</v>
      </c>
    </row>
    <row r="2611" spans="11:19" x14ac:dyDescent="0.3">
      <c r="K2611" s="16">
        <f t="shared" si="40"/>
        <v>44124</v>
      </c>
      <c r="L2611" s="17">
        <v>0.70833333333333337</v>
      </c>
      <c r="M2611" s="14">
        <v>396</v>
      </c>
      <c r="N2611" s="14">
        <v>1399</v>
      </c>
      <c r="O2611" s="14">
        <v>0</v>
      </c>
      <c r="P2611" s="14">
        <v>1795</v>
      </c>
      <c r="Q2611">
        <v>9398</v>
      </c>
      <c r="R2611">
        <v>729</v>
      </c>
      <c r="S2611">
        <v>401</v>
      </c>
    </row>
    <row r="2612" spans="11:19" x14ac:dyDescent="0.3">
      <c r="K2612" s="16">
        <f t="shared" si="40"/>
        <v>44124</v>
      </c>
      <c r="L2612" s="17">
        <v>0.75</v>
      </c>
      <c r="M2612" s="14">
        <v>396</v>
      </c>
      <c r="N2612" s="14">
        <v>182</v>
      </c>
      <c r="O2612" s="14">
        <v>0</v>
      </c>
      <c r="P2612" s="14">
        <v>578</v>
      </c>
      <c r="Q2612">
        <v>9847</v>
      </c>
      <c r="R2612">
        <v>808</v>
      </c>
      <c r="S2612">
        <v>71</v>
      </c>
    </row>
    <row r="2613" spans="11:19" x14ac:dyDescent="0.3">
      <c r="K2613" s="16">
        <f t="shared" si="40"/>
        <v>44124</v>
      </c>
      <c r="L2613" s="17">
        <v>0.79166666666666663</v>
      </c>
      <c r="M2613" s="14">
        <v>396</v>
      </c>
      <c r="N2613" s="14">
        <v>0</v>
      </c>
      <c r="O2613" s="14">
        <v>723</v>
      </c>
      <c r="P2613" s="14">
        <v>1119</v>
      </c>
      <c r="Q2613">
        <v>10390</v>
      </c>
      <c r="R2613">
        <v>888</v>
      </c>
      <c r="S2613">
        <v>2</v>
      </c>
    </row>
    <row r="2614" spans="11:19" x14ac:dyDescent="0.3">
      <c r="K2614" s="16">
        <f t="shared" si="40"/>
        <v>44124</v>
      </c>
      <c r="L2614" s="17">
        <v>0.83333333333333337</v>
      </c>
      <c r="M2614" s="14">
        <v>396</v>
      </c>
      <c r="N2614" s="14">
        <v>1399</v>
      </c>
      <c r="O2614" s="14">
        <v>0</v>
      </c>
      <c r="P2614" s="14">
        <v>1795</v>
      </c>
      <c r="Q2614">
        <v>9654</v>
      </c>
      <c r="R2614">
        <v>691</v>
      </c>
      <c r="S2614">
        <v>0</v>
      </c>
    </row>
    <row r="2615" spans="11:19" x14ac:dyDescent="0.3">
      <c r="K2615" s="16">
        <f t="shared" si="40"/>
        <v>44124</v>
      </c>
      <c r="L2615" s="17">
        <v>0.875</v>
      </c>
      <c r="M2615" s="14">
        <v>396</v>
      </c>
      <c r="N2615" s="14">
        <v>1399</v>
      </c>
      <c r="O2615" s="14">
        <v>0</v>
      </c>
      <c r="P2615" s="14">
        <v>1795</v>
      </c>
      <c r="Q2615">
        <v>8999</v>
      </c>
      <c r="R2615">
        <v>707</v>
      </c>
      <c r="S2615">
        <v>0</v>
      </c>
    </row>
    <row r="2616" spans="11:19" x14ac:dyDescent="0.3">
      <c r="K2616" s="16">
        <f t="shared" si="40"/>
        <v>44124</v>
      </c>
      <c r="L2616" s="17">
        <v>0.91666666666666663</v>
      </c>
      <c r="M2616" s="14">
        <v>396</v>
      </c>
      <c r="N2616" s="14">
        <v>0</v>
      </c>
      <c r="O2616" s="14">
        <v>0</v>
      </c>
      <c r="P2616" s="14">
        <v>396</v>
      </c>
      <c r="Q2616">
        <v>9105</v>
      </c>
      <c r="R2616">
        <v>722</v>
      </c>
      <c r="S2616">
        <v>0</v>
      </c>
    </row>
    <row r="2617" spans="11:19" x14ac:dyDescent="0.3">
      <c r="K2617" s="16">
        <f t="shared" si="40"/>
        <v>44124</v>
      </c>
      <c r="L2617" s="17">
        <v>0.95833333333333337</v>
      </c>
      <c r="M2617" s="14">
        <v>396</v>
      </c>
      <c r="N2617" s="14">
        <v>1399</v>
      </c>
      <c r="O2617" s="14">
        <v>0</v>
      </c>
      <c r="P2617" s="14">
        <v>1795</v>
      </c>
      <c r="Q2617">
        <v>9226</v>
      </c>
      <c r="R2617">
        <v>629</v>
      </c>
      <c r="S2617">
        <v>0</v>
      </c>
    </row>
    <row r="2618" spans="11:19" x14ac:dyDescent="0.3">
      <c r="K2618" s="16">
        <f t="shared" si="40"/>
        <v>44125</v>
      </c>
      <c r="L2618" s="17">
        <v>0</v>
      </c>
      <c r="M2618" s="14">
        <v>396</v>
      </c>
      <c r="N2618" s="14">
        <v>1435</v>
      </c>
      <c r="O2618" s="14">
        <v>0</v>
      </c>
      <c r="P2618" s="14">
        <v>1831</v>
      </c>
      <c r="Q2618">
        <v>8569</v>
      </c>
      <c r="R2618">
        <v>549</v>
      </c>
      <c r="S2618">
        <v>0</v>
      </c>
    </row>
    <row r="2619" spans="11:19" x14ac:dyDescent="0.3">
      <c r="K2619" s="16">
        <f t="shared" si="40"/>
        <v>44125</v>
      </c>
      <c r="L2619" s="17">
        <v>4.1666666666666664E-2</v>
      </c>
      <c r="M2619" s="14">
        <v>396</v>
      </c>
      <c r="N2619" s="14">
        <v>0</v>
      </c>
      <c r="O2619" s="14">
        <v>0</v>
      </c>
      <c r="P2619" s="14">
        <v>396</v>
      </c>
      <c r="Q2619">
        <v>8180</v>
      </c>
      <c r="R2619">
        <v>531</v>
      </c>
      <c r="S2619">
        <v>0</v>
      </c>
    </row>
    <row r="2620" spans="11:19" x14ac:dyDescent="0.3">
      <c r="K2620" s="16">
        <f t="shared" si="40"/>
        <v>44125</v>
      </c>
      <c r="L2620" s="17">
        <v>8.3333333333333329E-2</v>
      </c>
      <c r="M2620" s="14">
        <v>396</v>
      </c>
      <c r="N2620" s="14">
        <v>1132</v>
      </c>
      <c r="O2620" s="14">
        <v>0</v>
      </c>
      <c r="P2620" s="14">
        <v>1528</v>
      </c>
      <c r="Q2620">
        <v>7899</v>
      </c>
      <c r="R2620">
        <v>677</v>
      </c>
      <c r="S2620">
        <v>0</v>
      </c>
    </row>
    <row r="2621" spans="11:19" x14ac:dyDescent="0.3">
      <c r="K2621" s="16">
        <f t="shared" si="40"/>
        <v>44125</v>
      </c>
      <c r="L2621" s="17">
        <v>0.125</v>
      </c>
      <c r="M2621" s="14">
        <v>396</v>
      </c>
      <c r="N2621" s="14">
        <v>0</v>
      </c>
      <c r="O2621" s="14">
        <v>0</v>
      </c>
      <c r="P2621" s="14">
        <v>396</v>
      </c>
      <c r="Q2621">
        <v>7545</v>
      </c>
      <c r="R2621">
        <v>680</v>
      </c>
      <c r="S2621">
        <v>0</v>
      </c>
    </row>
    <row r="2622" spans="11:19" x14ac:dyDescent="0.3">
      <c r="K2622" s="16">
        <f t="shared" si="40"/>
        <v>44125</v>
      </c>
      <c r="L2622" s="17">
        <v>0.16666666666666666</v>
      </c>
      <c r="M2622" s="14">
        <v>396</v>
      </c>
      <c r="N2622" s="14">
        <v>0</v>
      </c>
      <c r="O2622" s="14">
        <v>0</v>
      </c>
      <c r="P2622" s="14">
        <v>396</v>
      </c>
      <c r="Q2622">
        <v>7512</v>
      </c>
      <c r="R2622">
        <v>703</v>
      </c>
      <c r="S2622">
        <v>0</v>
      </c>
    </row>
    <row r="2623" spans="11:19" x14ac:dyDescent="0.3">
      <c r="K2623" s="16">
        <f t="shared" si="40"/>
        <v>44125</v>
      </c>
      <c r="L2623" s="17">
        <v>0.20833333333333334</v>
      </c>
      <c r="M2623" s="14">
        <v>396</v>
      </c>
      <c r="N2623" s="14">
        <v>0</v>
      </c>
      <c r="O2623" s="14">
        <v>0</v>
      </c>
      <c r="P2623" s="14">
        <v>396</v>
      </c>
      <c r="Q2623">
        <v>7997</v>
      </c>
      <c r="R2623">
        <v>736</v>
      </c>
      <c r="S2623">
        <v>0</v>
      </c>
    </row>
    <row r="2624" spans="11:19" x14ac:dyDescent="0.3">
      <c r="K2624" s="16">
        <f t="shared" si="40"/>
        <v>44125</v>
      </c>
      <c r="L2624" s="17">
        <v>0.25</v>
      </c>
      <c r="M2624" s="14">
        <v>396</v>
      </c>
      <c r="N2624" s="14">
        <v>0</v>
      </c>
      <c r="O2624" s="14">
        <v>0</v>
      </c>
      <c r="P2624" s="14">
        <v>396</v>
      </c>
      <c r="Q2624">
        <v>9150</v>
      </c>
      <c r="R2624">
        <v>748</v>
      </c>
      <c r="S2624">
        <v>0</v>
      </c>
    </row>
    <row r="2625" spans="11:19" x14ac:dyDescent="0.3">
      <c r="K2625" s="16">
        <f t="shared" si="40"/>
        <v>44125</v>
      </c>
      <c r="L2625" s="17">
        <v>0.29166666666666669</v>
      </c>
      <c r="M2625" s="14">
        <v>396</v>
      </c>
      <c r="N2625" s="14">
        <v>678</v>
      </c>
      <c r="O2625" s="14">
        <v>0</v>
      </c>
      <c r="P2625" s="14">
        <v>1074</v>
      </c>
      <c r="Q2625">
        <v>10184</v>
      </c>
      <c r="R2625">
        <v>719</v>
      </c>
      <c r="S2625">
        <v>0</v>
      </c>
    </row>
    <row r="2626" spans="11:19" x14ac:dyDescent="0.3">
      <c r="K2626" s="16">
        <f t="shared" si="40"/>
        <v>44125</v>
      </c>
      <c r="L2626" s="17">
        <v>0.33333333333333331</v>
      </c>
      <c r="M2626" s="14">
        <v>396</v>
      </c>
      <c r="N2626" s="14">
        <v>1435</v>
      </c>
      <c r="O2626" s="14">
        <v>0</v>
      </c>
      <c r="P2626" s="14">
        <v>1831</v>
      </c>
      <c r="Q2626">
        <v>10424</v>
      </c>
      <c r="R2626">
        <v>789</v>
      </c>
      <c r="S2626">
        <v>72</v>
      </c>
    </row>
    <row r="2627" spans="11:19" x14ac:dyDescent="0.3">
      <c r="K2627" s="16">
        <f t="shared" si="40"/>
        <v>44125</v>
      </c>
      <c r="L2627" s="17">
        <v>0.375</v>
      </c>
      <c r="M2627" s="14">
        <v>396</v>
      </c>
      <c r="N2627" s="14">
        <v>1435</v>
      </c>
      <c r="O2627" s="14">
        <v>0</v>
      </c>
      <c r="P2627" s="14">
        <v>1831</v>
      </c>
      <c r="Q2627">
        <v>10522</v>
      </c>
      <c r="R2627">
        <v>780</v>
      </c>
      <c r="S2627">
        <v>424</v>
      </c>
    </row>
    <row r="2628" spans="11:19" x14ac:dyDescent="0.3">
      <c r="K2628" s="16">
        <f t="shared" si="40"/>
        <v>44125</v>
      </c>
      <c r="L2628" s="17">
        <v>0.41666666666666669</v>
      </c>
      <c r="M2628" s="14">
        <v>396</v>
      </c>
      <c r="N2628" s="14">
        <v>1435</v>
      </c>
      <c r="O2628" s="14">
        <v>0</v>
      </c>
      <c r="P2628" s="14">
        <v>1831</v>
      </c>
      <c r="Q2628">
        <v>10463</v>
      </c>
      <c r="R2628">
        <v>869</v>
      </c>
      <c r="S2628">
        <v>1026</v>
      </c>
    </row>
    <row r="2629" spans="11:19" x14ac:dyDescent="0.3">
      <c r="K2629" s="16">
        <f t="shared" si="40"/>
        <v>44125</v>
      </c>
      <c r="L2629" s="17">
        <v>0.45833333333333331</v>
      </c>
      <c r="M2629" s="14">
        <v>396</v>
      </c>
      <c r="N2629" s="14">
        <v>1435</v>
      </c>
      <c r="O2629" s="14">
        <v>0</v>
      </c>
      <c r="P2629" s="14">
        <v>1831</v>
      </c>
      <c r="Q2629">
        <v>10453</v>
      </c>
      <c r="R2629">
        <v>841</v>
      </c>
      <c r="S2629">
        <v>1569</v>
      </c>
    </row>
    <row r="2630" spans="11:19" x14ac:dyDescent="0.3">
      <c r="K2630" s="16">
        <f t="shared" si="40"/>
        <v>44125</v>
      </c>
      <c r="L2630" s="17">
        <v>0.5</v>
      </c>
      <c r="M2630" s="14">
        <v>396</v>
      </c>
      <c r="N2630" s="14">
        <v>0</v>
      </c>
      <c r="O2630" s="14">
        <v>0</v>
      </c>
      <c r="P2630" s="14">
        <v>396</v>
      </c>
      <c r="Q2630">
        <v>10343</v>
      </c>
      <c r="R2630">
        <v>713</v>
      </c>
      <c r="S2630">
        <v>1895</v>
      </c>
    </row>
    <row r="2631" spans="11:19" x14ac:dyDescent="0.3">
      <c r="K2631" s="16">
        <f t="shared" si="40"/>
        <v>44125</v>
      </c>
      <c r="L2631" s="17">
        <v>0.54166666666666663</v>
      </c>
      <c r="M2631" s="14">
        <v>396</v>
      </c>
      <c r="N2631" s="14">
        <v>0</v>
      </c>
      <c r="O2631" s="14">
        <v>0</v>
      </c>
      <c r="P2631" s="14">
        <v>396</v>
      </c>
      <c r="Q2631">
        <v>10103</v>
      </c>
      <c r="R2631">
        <v>825</v>
      </c>
      <c r="S2631">
        <v>2006</v>
      </c>
    </row>
    <row r="2632" spans="11:19" x14ac:dyDescent="0.3">
      <c r="K2632" s="16">
        <f t="shared" si="40"/>
        <v>44125</v>
      </c>
      <c r="L2632" s="17">
        <v>0.58333333333333337</v>
      </c>
      <c r="M2632" s="14">
        <v>396</v>
      </c>
      <c r="N2632" s="14">
        <v>0</v>
      </c>
      <c r="O2632" s="14">
        <v>0</v>
      </c>
      <c r="P2632" s="14">
        <v>396</v>
      </c>
      <c r="Q2632">
        <v>9904</v>
      </c>
      <c r="R2632">
        <v>888</v>
      </c>
      <c r="S2632">
        <v>1921</v>
      </c>
    </row>
    <row r="2633" spans="11:19" x14ac:dyDescent="0.3">
      <c r="K2633" s="16">
        <f t="shared" si="40"/>
        <v>44125</v>
      </c>
      <c r="L2633" s="17">
        <v>0.625</v>
      </c>
      <c r="M2633" s="14">
        <v>396</v>
      </c>
      <c r="N2633" s="14">
        <v>930</v>
      </c>
      <c r="O2633" s="14">
        <v>0</v>
      </c>
      <c r="P2633" s="14">
        <v>1326</v>
      </c>
      <c r="Q2633">
        <v>9612</v>
      </c>
      <c r="R2633">
        <v>895</v>
      </c>
      <c r="S2633">
        <v>1631</v>
      </c>
    </row>
    <row r="2634" spans="11:19" x14ac:dyDescent="0.3">
      <c r="K2634" s="16">
        <f t="shared" si="40"/>
        <v>44125</v>
      </c>
      <c r="L2634" s="17">
        <v>0.66666666666666663</v>
      </c>
      <c r="M2634" s="14">
        <v>396</v>
      </c>
      <c r="N2634" s="14">
        <v>1035</v>
      </c>
      <c r="O2634" s="14">
        <v>0</v>
      </c>
      <c r="P2634" s="14">
        <v>1431</v>
      </c>
      <c r="Q2634">
        <v>9408</v>
      </c>
      <c r="R2634">
        <v>1091</v>
      </c>
      <c r="S2634">
        <v>1120</v>
      </c>
    </row>
    <row r="2635" spans="11:19" x14ac:dyDescent="0.3">
      <c r="K2635" s="16">
        <f t="shared" si="40"/>
        <v>44125</v>
      </c>
      <c r="L2635" s="17">
        <v>0.70833333333333337</v>
      </c>
      <c r="M2635" s="14">
        <v>396</v>
      </c>
      <c r="N2635" s="14">
        <v>0</v>
      </c>
      <c r="O2635" s="14">
        <v>0</v>
      </c>
      <c r="P2635" s="14">
        <v>396</v>
      </c>
      <c r="Q2635">
        <v>9361</v>
      </c>
      <c r="R2635">
        <v>1145</v>
      </c>
      <c r="S2635">
        <v>546</v>
      </c>
    </row>
    <row r="2636" spans="11:19" x14ac:dyDescent="0.3">
      <c r="K2636" s="16">
        <f t="shared" si="40"/>
        <v>44125</v>
      </c>
      <c r="L2636" s="17">
        <v>0.75</v>
      </c>
      <c r="M2636" s="14">
        <v>396</v>
      </c>
      <c r="N2636" s="14">
        <v>1435</v>
      </c>
      <c r="O2636" s="14">
        <v>0</v>
      </c>
      <c r="P2636" s="14">
        <v>1831</v>
      </c>
      <c r="Q2636">
        <v>9838</v>
      </c>
      <c r="R2636">
        <v>1407</v>
      </c>
      <c r="S2636">
        <v>96</v>
      </c>
    </row>
    <row r="2637" spans="11:19" x14ac:dyDescent="0.3">
      <c r="K2637" s="16">
        <f t="shared" si="40"/>
        <v>44125</v>
      </c>
      <c r="L2637" s="17">
        <v>0.79166666666666663</v>
      </c>
      <c r="M2637" s="14">
        <v>396</v>
      </c>
      <c r="N2637" s="14">
        <v>1435</v>
      </c>
      <c r="O2637" s="14">
        <v>0</v>
      </c>
      <c r="P2637" s="14">
        <v>1831</v>
      </c>
      <c r="Q2637">
        <v>10395</v>
      </c>
      <c r="R2637">
        <v>1471</v>
      </c>
      <c r="S2637">
        <v>0</v>
      </c>
    </row>
    <row r="2638" spans="11:19" x14ac:dyDescent="0.3">
      <c r="K2638" s="16">
        <f t="shared" si="40"/>
        <v>44125</v>
      </c>
      <c r="L2638" s="17">
        <v>0.83333333333333337</v>
      </c>
      <c r="M2638" s="14">
        <v>396</v>
      </c>
      <c r="N2638" s="14">
        <v>0</v>
      </c>
      <c r="O2638" s="14">
        <v>0</v>
      </c>
      <c r="P2638" s="14">
        <v>396</v>
      </c>
      <c r="Q2638">
        <v>9665</v>
      </c>
      <c r="R2638">
        <v>1530</v>
      </c>
      <c r="S2638">
        <v>0</v>
      </c>
    </row>
    <row r="2639" spans="11:19" x14ac:dyDescent="0.3">
      <c r="K2639" s="16">
        <f t="shared" si="40"/>
        <v>44125</v>
      </c>
      <c r="L2639" s="17">
        <v>0.875</v>
      </c>
      <c r="M2639" s="14">
        <v>396</v>
      </c>
      <c r="N2639" s="14">
        <v>0</v>
      </c>
      <c r="O2639" s="14">
        <v>0</v>
      </c>
      <c r="P2639" s="14">
        <v>396</v>
      </c>
      <c r="Q2639">
        <v>9015</v>
      </c>
      <c r="R2639">
        <v>1525</v>
      </c>
      <c r="S2639">
        <v>0</v>
      </c>
    </row>
    <row r="2640" spans="11:19" x14ac:dyDescent="0.3">
      <c r="K2640" s="16">
        <f t="shared" si="40"/>
        <v>44125</v>
      </c>
      <c r="L2640" s="17">
        <v>0.91666666666666663</v>
      </c>
      <c r="M2640" s="14">
        <v>396</v>
      </c>
      <c r="N2640" s="14">
        <v>1435</v>
      </c>
      <c r="O2640" s="14">
        <v>0</v>
      </c>
      <c r="P2640" s="14">
        <v>1831</v>
      </c>
      <c r="Q2640">
        <v>9128</v>
      </c>
      <c r="R2640">
        <v>1561</v>
      </c>
      <c r="S2640">
        <v>0</v>
      </c>
    </row>
    <row r="2641" spans="11:19" x14ac:dyDescent="0.3">
      <c r="K2641" s="16">
        <f t="shared" si="40"/>
        <v>44125</v>
      </c>
      <c r="L2641" s="17">
        <v>0.95833333333333337</v>
      </c>
      <c r="M2641" s="14">
        <v>396</v>
      </c>
      <c r="N2641" s="14">
        <v>1435</v>
      </c>
      <c r="O2641" s="14">
        <v>0</v>
      </c>
      <c r="P2641" s="14">
        <v>1831</v>
      </c>
      <c r="Q2641">
        <v>9251</v>
      </c>
      <c r="R2641">
        <v>1608</v>
      </c>
      <c r="S2641">
        <v>0</v>
      </c>
    </row>
    <row r="2642" spans="11:19" x14ac:dyDescent="0.3">
      <c r="K2642" s="16">
        <f t="shared" si="40"/>
        <v>44126</v>
      </c>
      <c r="L2642" s="17">
        <v>0</v>
      </c>
      <c r="M2642" s="14">
        <v>396</v>
      </c>
      <c r="N2642" s="14">
        <v>1097</v>
      </c>
      <c r="O2642" s="14">
        <v>0</v>
      </c>
      <c r="P2642" s="14">
        <v>1493</v>
      </c>
      <c r="Q2642">
        <v>8594</v>
      </c>
      <c r="R2642">
        <v>1564</v>
      </c>
      <c r="S2642">
        <v>0</v>
      </c>
    </row>
    <row r="2643" spans="11:19" x14ac:dyDescent="0.3">
      <c r="K2643" s="16">
        <f t="shared" si="40"/>
        <v>44126</v>
      </c>
      <c r="L2643" s="17">
        <v>4.1666666666666664E-2</v>
      </c>
      <c r="M2643" s="14">
        <v>396</v>
      </c>
      <c r="N2643" s="14">
        <v>0</v>
      </c>
      <c r="O2643" s="14">
        <v>0</v>
      </c>
      <c r="P2643" s="14">
        <v>396</v>
      </c>
      <c r="Q2643">
        <v>8201</v>
      </c>
      <c r="R2643">
        <v>1577</v>
      </c>
      <c r="S2643">
        <v>0</v>
      </c>
    </row>
    <row r="2644" spans="11:19" x14ac:dyDescent="0.3">
      <c r="K2644" s="16">
        <f t="shared" si="40"/>
        <v>44126</v>
      </c>
      <c r="L2644" s="17">
        <v>8.3333333333333329E-2</v>
      </c>
      <c r="M2644" s="14">
        <v>396</v>
      </c>
      <c r="N2644" s="14">
        <v>412</v>
      </c>
      <c r="O2644" s="14">
        <v>0</v>
      </c>
      <c r="P2644" s="14">
        <v>808</v>
      </c>
      <c r="Q2644">
        <v>7913</v>
      </c>
      <c r="R2644">
        <v>1571</v>
      </c>
      <c r="S2644">
        <v>0</v>
      </c>
    </row>
    <row r="2645" spans="11:19" x14ac:dyDescent="0.3">
      <c r="K2645" s="16">
        <f t="shared" si="40"/>
        <v>44126</v>
      </c>
      <c r="L2645" s="17">
        <v>0.125</v>
      </c>
      <c r="M2645" s="14">
        <v>396</v>
      </c>
      <c r="N2645" s="14">
        <v>0</v>
      </c>
      <c r="O2645" s="14">
        <v>-23</v>
      </c>
      <c r="P2645" s="14">
        <v>373</v>
      </c>
      <c r="Q2645">
        <v>7549</v>
      </c>
      <c r="R2645">
        <v>1642</v>
      </c>
      <c r="S2645">
        <v>0</v>
      </c>
    </row>
    <row r="2646" spans="11:19" x14ac:dyDescent="0.3">
      <c r="K2646" s="16">
        <f t="shared" si="40"/>
        <v>44126</v>
      </c>
      <c r="L2646" s="17">
        <v>0.16666666666666666</v>
      </c>
      <c r="M2646" s="14">
        <v>396</v>
      </c>
      <c r="N2646" s="14">
        <v>0</v>
      </c>
      <c r="O2646" s="14">
        <v>-106</v>
      </c>
      <c r="P2646" s="14">
        <v>290</v>
      </c>
      <c r="Q2646">
        <v>7506</v>
      </c>
      <c r="R2646">
        <v>1677</v>
      </c>
      <c r="S2646">
        <v>0</v>
      </c>
    </row>
    <row r="2647" spans="11:19" x14ac:dyDescent="0.3">
      <c r="K2647" s="16">
        <f t="shared" si="40"/>
        <v>44126</v>
      </c>
      <c r="L2647" s="17">
        <v>0.20833333333333334</v>
      </c>
      <c r="M2647" s="14">
        <v>396</v>
      </c>
      <c r="N2647" s="14">
        <v>264</v>
      </c>
      <c r="O2647" s="14">
        <v>0</v>
      </c>
      <c r="P2647" s="14">
        <v>660</v>
      </c>
      <c r="Q2647">
        <v>7979</v>
      </c>
      <c r="R2647">
        <v>1598</v>
      </c>
      <c r="S2647">
        <v>0</v>
      </c>
    </row>
    <row r="2648" spans="11:19" x14ac:dyDescent="0.3">
      <c r="K2648" s="16">
        <f t="shared" si="40"/>
        <v>44126</v>
      </c>
      <c r="L2648" s="17">
        <v>0.25</v>
      </c>
      <c r="M2648" s="14">
        <v>396</v>
      </c>
      <c r="N2648" s="14">
        <v>0</v>
      </c>
      <c r="O2648" s="14">
        <v>0</v>
      </c>
      <c r="P2648" s="14">
        <v>396</v>
      </c>
      <c r="Q2648">
        <v>9116</v>
      </c>
      <c r="R2648">
        <v>1459</v>
      </c>
      <c r="S2648">
        <v>0</v>
      </c>
    </row>
    <row r="2649" spans="11:19" x14ac:dyDescent="0.3">
      <c r="K2649" s="16">
        <f t="shared" si="40"/>
        <v>44126</v>
      </c>
      <c r="L2649" s="17">
        <v>0.29166666666666669</v>
      </c>
      <c r="M2649" s="14">
        <v>396</v>
      </c>
      <c r="N2649" s="14">
        <v>1110</v>
      </c>
      <c r="O2649" s="14">
        <v>0</v>
      </c>
      <c r="P2649" s="14">
        <v>1506</v>
      </c>
      <c r="Q2649">
        <v>10135</v>
      </c>
      <c r="R2649">
        <v>1434</v>
      </c>
      <c r="S2649">
        <v>0</v>
      </c>
    </row>
    <row r="2650" spans="11:19" x14ac:dyDescent="0.3">
      <c r="K2650" s="16">
        <f t="shared" si="40"/>
        <v>44126</v>
      </c>
      <c r="L2650" s="17">
        <v>0.33333333333333331</v>
      </c>
      <c r="M2650" s="14">
        <v>396</v>
      </c>
      <c r="N2650" s="14">
        <v>1110</v>
      </c>
      <c r="O2650" s="14">
        <v>0</v>
      </c>
      <c r="P2650" s="14">
        <v>1506</v>
      </c>
      <c r="Q2650">
        <v>10349</v>
      </c>
      <c r="R2650">
        <v>1485</v>
      </c>
      <c r="S2650">
        <v>52</v>
      </c>
    </row>
    <row r="2651" spans="11:19" x14ac:dyDescent="0.3">
      <c r="K2651" s="16">
        <f t="shared" ref="K2651:K2714" si="41">K2627+1</f>
        <v>44126</v>
      </c>
      <c r="L2651" s="17">
        <v>0.375</v>
      </c>
      <c r="M2651" s="14">
        <v>396</v>
      </c>
      <c r="N2651" s="14">
        <v>1110</v>
      </c>
      <c r="O2651" s="14">
        <v>0</v>
      </c>
      <c r="P2651" s="14">
        <v>1506</v>
      </c>
      <c r="Q2651">
        <v>10436</v>
      </c>
      <c r="R2651">
        <v>1404</v>
      </c>
      <c r="S2651">
        <v>367</v>
      </c>
    </row>
    <row r="2652" spans="11:19" x14ac:dyDescent="0.3">
      <c r="K2652" s="16">
        <f t="shared" si="41"/>
        <v>44126</v>
      </c>
      <c r="L2652" s="17">
        <v>0.41666666666666669</v>
      </c>
      <c r="M2652" s="14">
        <v>396</v>
      </c>
      <c r="N2652" s="14">
        <v>0</v>
      </c>
      <c r="O2652" s="14">
        <v>0</v>
      </c>
      <c r="P2652" s="14">
        <v>396</v>
      </c>
      <c r="Q2652">
        <v>10374</v>
      </c>
      <c r="R2652">
        <v>1242</v>
      </c>
      <c r="S2652">
        <v>975</v>
      </c>
    </row>
    <row r="2653" spans="11:19" x14ac:dyDescent="0.3">
      <c r="K2653" s="16">
        <f t="shared" si="41"/>
        <v>44126</v>
      </c>
      <c r="L2653" s="17">
        <v>0.45833333333333331</v>
      </c>
      <c r="M2653" s="14">
        <v>396</v>
      </c>
      <c r="N2653" s="14">
        <v>0</v>
      </c>
      <c r="O2653" s="14">
        <v>0</v>
      </c>
      <c r="P2653" s="14">
        <v>396</v>
      </c>
      <c r="Q2653">
        <v>10367</v>
      </c>
      <c r="R2653">
        <v>1370</v>
      </c>
      <c r="S2653">
        <v>1494</v>
      </c>
    </row>
    <row r="2654" spans="11:19" x14ac:dyDescent="0.3">
      <c r="K2654" s="16">
        <f t="shared" si="41"/>
        <v>44126</v>
      </c>
      <c r="L2654" s="17">
        <v>0.5</v>
      </c>
      <c r="M2654" s="14">
        <v>396</v>
      </c>
      <c r="N2654" s="14">
        <v>823</v>
      </c>
      <c r="O2654" s="14">
        <v>0</v>
      </c>
      <c r="P2654" s="14">
        <v>1219</v>
      </c>
      <c r="Q2654">
        <v>10260</v>
      </c>
      <c r="R2654">
        <v>1440</v>
      </c>
      <c r="S2654">
        <v>1837</v>
      </c>
    </row>
    <row r="2655" spans="11:19" x14ac:dyDescent="0.3">
      <c r="K2655" s="16">
        <f t="shared" si="41"/>
        <v>44126</v>
      </c>
      <c r="L2655" s="17">
        <v>0.54166666666666663</v>
      </c>
      <c r="M2655" s="14">
        <v>396</v>
      </c>
      <c r="N2655" s="14">
        <v>0</v>
      </c>
      <c r="O2655" s="14">
        <v>0</v>
      </c>
      <c r="P2655" s="14">
        <v>396</v>
      </c>
      <c r="Q2655">
        <v>10035</v>
      </c>
      <c r="R2655">
        <v>1474</v>
      </c>
      <c r="S2655">
        <v>1997</v>
      </c>
    </row>
    <row r="2656" spans="11:19" x14ac:dyDescent="0.3">
      <c r="K2656" s="16">
        <f t="shared" si="41"/>
        <v>44126</v>
      </c>
      <c r="L2656" s="17">
        <v>0.58333333333333337</v>
      </c>
      <c r="M2656" s="14">
        <v>396</v>
      </c>
      <c r="N2656" s="14">
        <v>0</v>
      </c>
      <c r="O2656" s="14">
        <v>0</v>
      </c>
      <c r="P2656" s="14">
        <v>396</v>
      </c>
      <c r="Q2656">
        <v>9847</v>
      </c>
      <c r="R2656">
        <v>1432</v>
      </c>
      <c r="S2656">
        <v>1916</v>
      </c>
    </row>
    <row r="2657" spans="11:19" x14ac:dyDescent="0.3">
      <c r="K2657" s="16">
        <f t="shared" si="41"/>
        <v>44126</v>
      </c>
      <c r="L2657" s="17">
        <v>0.625</v>
      </c>
      <c r="M2657" s="14">
        <v>396</v>
      </c>
      <c r="N2657" s="14">
        <v>0</v>
      </c>
      <c r="O2657" s="14">
        <v>0</v>
      </c>
      <c r="P2657" s="14">
        <v>396</v>
      </c>
      <c r="Q2657">
        <v>9558</v>
      </c>
      <c r="R2657">
        <v>1303</v>
      </c>
      <c r="S2657">
        <v>1628</v>
      </c>
    </row>
    <row r="2658" spans="11:19" x14ac:dyDescent="0.3">
      <c r="K2658" s="16">
        <f t="shared" si="41"/>
        <v>44126</v>
      </c>
      <c r="L2658" s="17">
        <v>0.66666666666666663</v>
      </c>
      <c r="M2658" s="14">
        <v>396</v>
      </c>
      <c r="N2658" s="14">
        <v>0</v>
      </c>
      <c r="O2658" s="14">
        <v>0</v>
      </c>
      <c r="P2658" s="14">
        <v>396</v>
      </c>
      <c r="Q2658">
        <v>9342</v>
      </c>
      <c r="R2658">
        <v>1383</v>
      </c>
      <c r="S2658">
        <v>1134</v>
      </c>
    </row>
    <row r="2659" spans="11:19" x14ac:dyDescent="0.3">
      <c r="K2659" s="16">
        <f t="shared" si="41"/>
        <v>44126</v>
      </c>
      <c r="L2659" s="17">
        <v>0.70833333333333337</v>
      </c>
      <c r="M2659" s="14">
        <v>396</v>
      </c>
      <c r="N2659" s="14">
        <v>1106</v>
      </c>
      <c r="O2659" s="14">
        <v>0</v>
      </c>
      <c r="P2659" s="14">
        <v>1502</v>
      </c>
      <c r="Q2659">
        <v>9263</v>
      </c>
      <c r="R2659">
        <v>1477</v>
      </c>
      <c r="S2659">
        <v>514</v>
      </c>
    </row>
    <row r="2660" spans="11:19" x14ac:dyDescent="0.3">
      <c r="K2660" s="16">
        <f t="shared" si="41"/>
        <v>44126</v>
      </c>
      <c r="L2660" s="17">
        <v>0.75</v>
      </c>
      <c r="M2660" s="14">
        <v>396</v>
      </c>
      <c r="N2660" s="14">
        <v>0</v>
      </c>
      <c r="O2660" s="14">
        <v>104</v>
      </c>
      <c r="P2660" s="14">
        <v>500</v>
      </c>
      <c r="Q2660">
        <v>9681</v>
      </c>
      <c r="R2660">
        <v>1704</v>
      </c>
      <c r="S2660">
        <v>90</v>
      </c>
    </row>
    <row r="2661" spans="11:19" x14ac:dyDescent="0.3">
      <c r="K2661" s="16">
        <f t="shared" si="41"/>
        <v>44126</v>
      </c>
      <c r="L2661" s="17">
        <v>0.79166666666666663</v>
      </c>
      <c r="M2661" s="14">
        <v>396</v>
      </c>
      <c r="N2661" s="14">
        <v>1110</v>
      </c>
      <c r="O2661" s="14">
        <v>0</v>
      </c>
      <c r="P2661" s="14">
        <v>1506</v>
      </c>
      <c r="Q2661">
        <v>10166</v>
      </c>
      <c r="R2661">
        <v>1815</v>
      </c>
      <c r="S2661">
        <v>0</v>
      </c>
    </row>
    <row r="2662" spans="11:19" x14ac:dyDescent="0.3">
      <c r="K2662" s="16">
        <f t="shared" si="41"/>
        <v>44126</v>
      </c>
      <c r="L2662" s="17">
        <v>0.83333333333333337</v>
      </c>
      <c r="M2662" s="14">
        <v>396</v>
      </c>
      <c r="N2662" s="14">
        <v>1110</v>
      </c>
      <c r="O2662" s="14">
        <v>0</v>
      </c>
      <c r="P2662" s="14">
        <v>1506</v>
      </c>
      <c r="Q2662">
        <v>9433</v>
      </c>
      <c r="R2662">
        <v>1579</v>
      </c>
      <c r="S2662">
        <v>0</v>
      </c>
    </row>
    <row r="2663" spans="11:19" x14ac:dyDescent="0.3">
      <c r="K2663" s="16">
        <f t="shared" si="41"/>
        <v>44126</v>
      </c>
      <c r="L2663" s="17">
        <v>0.875</v>
      </c>
      <c r="M2663" s="14">
        <v>396</v>
      </c>
      <c r="N2663" s="14">
        <v>1110</v>
      </c>
      <c r="O2663" s="14">
        <v>0</v>
      </c>
      <c r="P2663" s="14">
        <v>1506</v>
      </c>
      <c r="Q2663">
        <v>8797</v>
      </c>
      <c r="R2663">
        <v>1416</v>
      </c>
      <c r="S2663">
        <v>0</v>
      </c>
    </row>
    <row r="2664" spans="11:19" x14ac:dyDescent="0.3">
      <c r="K2664" s="16">
        <f t="shared" si="41"/>
        <v>44126</v>
      </c>
      <c r="L2664" s="17">
        <v>0.91666666666666663</v>
      </c>
      <c r="M2664" s="14">
        <v>396</v>
      </c>
      <c r="N2664" s="14">
        <v>1110</v>
      </c>
      <c r="O2664" s="14">
        <v>0</v>
      </c>
      <c r="P2664" s="14">
        <v>1506</v>
      </c>
      <c r="Q2664">
        <v>8910</v>
      </c>
      <c r="R2664">
        <v>1386</v>
      </c>
      <c r="S2664">
        <v>0</v>
      </c>
    </row>
    <row r="2665" spans="11:19" x14ac:dyDescent="0.3">
      <c r="K2665" s="16">
        <f t="shared" si="41"/>
        <v>44126</v>
      </c>
      <c r="L2665" s="17">
        <v>0.95833333333333337</v>
      </c>
      <c r="M2665" s="14">
        <v>396</v>
      </c>
      <c r="N2665" s="14">
        <v>0</v>
      </c>
      <c r="O2665" s="14">
        <v>0</v>
      </c>
      <c r="P2665" s="14">
        <v>396</v>
      </c>
      <c r="Q2665">
        <v>9035</v>
      </c>
      <c r="R2665">
        <v>1394</v>
      </c>
      <c r="S2665">
        <v>0</v>
      </c>
    </row>
    <row r="2666" spans="11:19" x14ac:dyDescent="0.3">
      <c r="K2666" s="16">
        <f t="shared" si="41"/>
        <v>44127</v>
      </c>
      <c r="L2666" s="17">
        <v>0</v>
      </c>
      <c r="M2666" s="14">
        <v>396</v>
      </c>
      <c r="N2666" s="14">
        <v>0</v>
      </c>
      <c r="O2666" s="14">
        <v>0</v>
      </c>
      <c r="P2666" s="14">
        <v>396</v>
      </c>
      <c r="Q2666">
        <v>8404</v>
      </c>
      <c r="R2666">
        <v>1254</v>
      </c>
      <c r="S2666">
        <v>0</v>
      </c>
    </row>
    <row r="2667" spans="11:19" x14ac:dyDescent="0.3">
      <c r="K2667" s="16">
        <f t="shared" si="41"/>
        <v>44127</v>
      </c>
      <c r="L2667" s="17">
        <v>4.1666666666666664E-2</v>
      </c>
      <c r="M2667" s="14">
        <v>396</v>
      </c>
      <c r="N2667" s="14">
        <v>0</v>
      </c>
      <c r="O2667" s="14">
        <v>0</v>
      </c>
      <c r="P2667" s="14">
        <v>396</v>
      </c>
      <c r="Q2667">
        <v>8001</v>
      </c>
      <c r="R2667">
        <v>1158</v>
      </c>
      <c r="S2667">
        <v>0</v>
      </c>
    </row>
    <row r="2668" spans="11:19" x14ac:dyDescent="0.3">
      <c r="K2668" s="16">
        <f t="shared" si="41"/>
        <v>44127</v>
      </c>
      <c r="L2668" s="17">
        <v>8.3333333333333329E-2</v>
      </c>
      <c r="M2668" s="14">
        <v>396</v>
      </c>
      <c r="N2668" s="14">
        <v>612</v>
      </c>
      <c r="O2668" s="14">
        <v>0</v>
      </c>
      <c r="P2668" s="14">
        <v>1008</v>
      </c>
      <c r="Q2668">
        <v>7688</v>
      </c>
      <c r="R2668">
        <v>993</v>
      </c>
      <c r="S2668">
        <v>0</v>
      </c>
    </row>
    <row r="2669" spans="11:19" x14ac:dyDescent="0.3">
      <c r="K2669" s="16">
        <f t="shared" si="41"/>
        <v>44127</v>
      </c>
      <c r="L2669" s="17">
        <v>0.125</v>
      </c>
      <c r="M2669" s="14">
        <v>396</v>
      </c>
      <c r="N2669" s="14">
        <v>0</v>
      </c>
      <c r="O2669" s="14">
        <v>0</v>
      </c>
      <c r="P2669" s="14">
        <v>396</v>
      </c>
      <c r="Q2669">
        <v>7309</v>
      </c>
      <c r="R2669">
        <v>895</v>
      </c>
      <c r="S2669">
        <v>0</v>
      </c>
    </row>
    <row r="2670" spans="11:19" x14ac:dyDescent="0.3">
      <c r="K2670" s="16">
        <f t="shared" si="41"/>
        <v>44127</v>
      </c>
      <c r="L2670" s="17">
        <v>0.16666666666666666</v>
      </c>
      <c r="M2670" s="14">
        <v>396</v>
      </c>
      <c r="N2670" s="14">
        <v>0</v>
      </c>
      <c r="O2670" s="14">
        <v>0</v>
      </c>
      <c r="P2670" s="14">
        <v>396</v>
      </c>
      <c r="Q2670">
        <v>7248</v>
      </c>
      <c r="R2670">
        <v>796</v>
      </c>
      <c r="S2670">
        <v>0</v>
      </c>
    </row>
    <row r="2671" spans="11:19" x14ac:dyDescent="0.3">
      <c r="K2671" s="16">
        <f t="shared" si="41"/>
        <v>44127</v>
      </c>
      <c r="L2671" s="17">
        <v>0.20833333333333334</v>
      </c>
      <c r="M2671" s="14">
        <v>396</v>
      </c>
      <c r="N2671" s="14">
        <v>977</v>
      </c>
      <c r="O2671" s="14">
        <v>0</v>
      </c>
      <c r="P2671" s="14">
        <v>1373</v>
      </c>
      <c r="Q2671">
        <v>7701</v>
      </c>
      <c r="R2671">
        <v>689</v>
      </c>
      <c r="S2671">
        <v>0</v>
      </c>
    </row>
    <row r="2672" spans="11:19" x14ac:dyDescent="0.3">
      <c r="K2672" s="16">
        <f t="shared" si="41"/>
        <v>44127</v>
      </c>
      <c r="L2672" s="17">
        <v>0.25</v>
      </c>
      <c r="M2672" s="14">
        <v>396</v>
      </c>
      <c r="N2672" s="14">
        <v>0</v>
      </c>
      <c r="O2672" s="14">
        <v>0</v>
      </c>
      <c r="P2672" s="14">
        <v>396</v>
      </c>
      <c r="Q2672">
        <v>8769</v>
      </c>
      <c r="R2672">
        <v>633</v>
      </c>
      <c r="S2672">
        <v>0</v>
      </c>
    </row>
    <row r="2673" spans="11:19" x14ac:dyDescent="0.3">
      <c r="K2673" s="16">
        <f t="shared" si="41"/>
        <v>44127</v>
      </c>
      <c r="L2673" s="17">
        <v>0.29166666666666669</v>
      </c>
      <c r="M2673" s="14">
        <v>396</v>
      </c>
      <c r="N2673" s="14">
        <v>1318</v>
      </c>
      <c r="O2673" s="14">
        <v>0</v>
      </c>
      <c r="P2673" s="14">
        <v>1714</v>
      </c>
      <c r="Q2673">
        <v>9731</v>
      </c>
      <c r="R2673">
        <v>539</v>
      </c>
      <c r="S2673">
        <v>0</v>
      </c>
    </row>
    <row r="2674" spans="11:19" x14ac:dyDescent="0.3">
      <c r="K2674" s="16">
        <f t="shared" si="41"/>
        <v>44127</v>
      </c>
      <c r="L2674" s="17">
        <v>0.33333333333333331</v>
      </c>
      <c r="M2674" s="14">
        <v>396</v>
      </c>
      <c r="N2674" s="14">
        <v>641</v>
      </c>
      <c r="O2674" s="14">
        <v>0</v>
      </c>
      <c r="P2674" s="14">
        <v>1037</v>
      </c>
      <c r="Q2674">
        <v>9967</v>
      </c>
      <c r="R2674">
        <v>488</v>
      </c>
      <c r="S2674">
        <v>58</v>
      </c>
    </row>
    <row r="2675" spans="11:19" x14ac:dyDescent="0.3">
      <c r="K2675" s="16">
        <f t="shared" si="41"/>
        <v>44127</v>
      </c>
      <c r="L2675" s="17">
        <v>0.375</v>
      </c>
      <c r="M2675" s="14">
        <v>396</v>
      </c>
      <c r="N2675" s="14">
        <v>356</v>
      </c>
      <c r="O2675" s="14">
        <v>0</v>
      </c>
      <c r="P2675" s="14">
        <v>752</v>
      </c>
      <c r="Q2675">
        <v>10105</v>
      </c>
      <c r="R2675">
        <v>515</v>
      </c>
      <c r="S2675">
        <v>454</v>
      </c>
    </row>
    <row r="2676" spans="11:19" x14ac:dyDescent="0.3">
      <c r="K2676" s="16">
        <f t="shared" si="41"/>
        <v>44127</v>
      </c>
      <c r="L2676" s="17">
        <v>0.41666666666666669</v>
      </c>
      <c r="M2676" s="14">
        <v>396</v>
      </c>
      <c r="N2676" s="14">
        <v>1318</v>
      </c>
      <c r="O2676" s="14">
        <v>0</v>
      </c>
      <c r="P2676" s="14">
        <v>1714</v>
      </c>
      <c r="Q2676">
        <v>10048</v>
      </c>
      <c r="R2676">
        <v>644</v>
      </c>
      <c r="S2676">
        <v>1151</v>
      </c>
    </row>
    <row r="2677" spans="11:19" x14ac:dyDescent="0.3">
      <c r="K2677" s="16">
        <f t="shared" si="41"/>
        <v>44127</v>
      </c>
      <c r="L2677" s="17">
        <v>0.45833333333333331</v>
      </c>
      <c r="M2677" s="14">
        <v>396</v>
      </c>
      <c r="N2677" s="14">
        <v>0</v>
      </c>
      <c r="O2677" s="14">
        <v>0</v>
      </c>
      <c r="P2677" s="14">
        <v>396</v>
      </c>
      <c r="Q2677">
        <v>10095</v>
      </c>
      <c r="R2677">
        <v>800</v>
      </c>
      <c r="S2677">
        <v>1687</v>
      </c>
    </row>
    <row r="2678" spans="11:19" x14ac:dyDescent="0.3">
      <c r="K2678" s="16">
        <f t="shared" si="41"/>
        <v>44127</v>
      </c>
      <c r="L2678" s="17">
        <v>0.5</v>
      </c>
      <c r="M2678" s="14">
        <v>396</v>
      </c>
      <c r="N2678" s="14">
        <v>1192</v>
      </c>
      <c r="O2678" s="14">
        <v>0</v>
      </c>
      <c r="P2678" s="14">
        <v>1588</v>
      </c>
      <c r="Q2678">
        <v>10087</v>
      </c>
      <c r="R2678">
        <v>713</v>
      </c>
      <c r="S2678">
        <v>2024</v>
      </c>
    </row>
    <row r="2679" spans="11:19" x14ac:dyDescent="0.3">
      <c r="K2679" s="16">
        <f t="shared" si="41"/>
        <v>44127</v>
      </c>
      <c r="L2679" s="17">
        <v>0.54166666666666663</v>
      </c>
      <c r="M2679" s="14">
        <v>396</v>
      </c>
      <c r="N2679" s="14">
        <v>0</v>
      </c>
      <c r="O2679" s="14">
        <v>0</v>
      </c>
      <c r="P2679" s="14">
        <v>396</v>
      </c>
      <c r="Q2679">
        <v>9848</v>
      </c>
      <c r="R2679">
        <v>678</v>
      </c>
      <c r="S2679">
        <v>2160</v>
      </c>
    </row>
    <row r="2680" spans="11:19" x14ac:dyDescent="0.3">
      <c r="K2680" s="16">
        <f t="shared" si="41"/>
        <v>44127</v>
      </c>
      <c r="L2680" s="17">
        <v>0.58333333333333337</v>
      </c>
      <c r="M2680" s="14">
        <v>396</v>
      </c>
      <c r="N2680" s="14">
        <v>854</v>
      </c>
      <c r="O2680" s="14">
        <v>0</v>
      </c>
      <c r="P2680" s="14">
        <v>1250</v>
      </c>
      <c r="Q2680">
        <v>9628</v>
      </c>
      <c r="R2680">
        <v>582</v>
      </c>
      <c r="S2680">
        <v>2036</v>
      </c>
    </row>
    <row r="2681" spans="11:19" x14ac:dyDescent="0.3">
      <c r="K2681" s="16">
        <f t="shared" si="41"/>
        <v>44127</v>
      </c>
      <c r="L2681" s="17">
        <v>0.625</v>
      </c>
      <c r="M2681" s="14">
        <v>396</v>
      </c>
      <c r="N2681" s="14">
        <v>0</v>
      </c>
      <c r="O2681" s="14">
        <v>0</v>
      </c>
      <c r="P2681" s="14">
        <v>396</v>
      </c>
      <c r="Q2681">
        <v>9329</v>
      </c>
      <c r="R2681">
        <v>464</v>
      </c>
      <c r="S2681">
        <v>1747</v>
      </c>
    </row>
    <row r="2682" spans="11:19" x14ac:dyDescent="0.3">
      <c r="K2682" s="16">
        <f t="shared" si="41"/>
        <v>44127</v>
      </c>
      <c r="L2682" s="17">
        <v>0.66666666666666663</v>
      </c>
      <c r="M2682" s="14">
        <v>396</v>
      </c>
      <c r="N2682" s="14">
        <v>1120</v>
      </c>
      <c r="O2682" s="14">
        <v>0</v>
      </c>
      <c r="P2682" s="14">
        <v>1516</v>
      </c>
      <c r="Q2682">
        <v>9056</v>
      </c>
      <c r="R2682">
        <v>509</v>
      </c>
      <c r="S2682">
        <v>1187</v>
      </c>
    </row>
    <row r="2683" spans="11:19" x14ac:dyDescent="0.3">
      <c r="K2683" s="16">
        <f t="shared" si="41"/>
        <v>44127</v>
      </c>
      <c r="L2683" s="17">
        <v>0.70833333333333337</v>
      </c>
      <c r="M2683" s="14">
        <v>396</v>
      </c>
      <c r="N2683" s="14">
        <v>0</v>
      </c>
      <c r="O2683" s="14">
        <v>0</v>
      </c>
      <c r="P2683" s="14">
        <v>396</v>
      </c>
      <c r="Q2683">
        <v>8989</v>
      </c>
      <c r="R2683">
        <v>618</v>
      </c>
      <c r="S2683">
        <v>545</v>
      </c>
    </row>
    <row r="2684" spans="11:19" x14ac:dyDescent="0.3">
      <c r="K2684" s="16">
        <f t="shared" si="41"/>
        <v>44127</v>
      </c>
      <c r="L2684" s="17">
        <v>0.75</v>
      </c>
      <c r="M2684" s="14">
        <v>396</v>
      </c>
      <c r="N2684" s="14">
        <v>0</v>
      </c>
      <c r="O2684" s="14">
        <v>0</v>
      </c>
      <c r="P2684" s="14">
        <v>396</v>
      </c>
      <c r="Q2684">
        <v>9278</v>
      </c>
      <c r="R2684">
        <v>662</v>
      </c>
      <c r="S2684">
        <v>83</v>
      </c>
    </row>
    <row r="2685" spans="11:19" x14ac:dyDescent="0.3">
      <c r="K2685" s="16">
        <f t="shared" si="41"/>
        <v>44127</v>
      </c>
      <c r="L2685" s="17">
        <v>0.79166666666666663</v>
      </c>
      <c r="M2685" s="14">
        <v>396</v>
      </c>
      <c r="N2685" s="14">
        <v>185</v>
      </c>
      <c r="O2685" s="14">
        <v>0</v>
      </c>
      <c r="P2685" s="14">
        <v>581</v>
      </c>
      <c r="Q2685">
        <v>9739</v>
      </c>
      <c r="R2685">
        <v>778</v>
      </c>
      <c r="S2685">
        <v>0</v>
      </c>
    </row>
    <row r="2686" spans="11:19" x14ac:dyDescent="0.3">
      <c r="K2686" s="16">
        <f t="shared" si="41"/>
        <v>44127</v>
      </c>
      <c r="L2686" s="17">
        <v>0.83333333333333337</v>
      </c>
      <c r="M2686" s="14">
        <v>396</v>
      </c>
      <c r="N2686" s="14">
        <v>0</v>
      </c>
      <c r="O2686" s="14">
        <v>0</v>
      </c>
      <c r="P2686" s="14">
        <v>396</v>
      </c>
      <c r="Q2686">
        <v>9066</v>
      </c>
      <c r="R2686">
        <v>829</v>
      </c>
      <c r="S2686">
        <v>0</v>
      </c>
    </row>
    <row r="2687" spans="11:19" x14ac:dyDescent="0.3">
      <c r="K2687" s="16">
        <f t="shared" si="41"/>
        <v>44127</v>
      </c>
      <c r="L2687" s="17">
        <v>0.875</v>
      </c>
      <c r="M2687" s="14">
        <v>396</v>
      </c>
      <c r="N2687" s="14">
        <v>0</v>
      </c>
      <c r="O2687" s="14">
        <v>0</v>
      </c>
      <c r="P2687" s="14">
        <v>396</v>
      </c>
      <c r="Q2687">
        <v>8508</v>
      </c>
      <c r="R2687">
        <v>932</v>
      </c>
      <c r="S2687">
        <v>0</v>
      </c>
    </row>
    <row r="2688" spans="11:19" x14ac:dyDescent="0.3">
      <c r="K2688" s="16">
        <f t="shared" si="41"/>
        <v>44127</v>
      </c>
      <c r="L2688" s="17">
        <v>0.91666666666666663</v>
      </c>
      <c r="M2688" s="14">
        <v>396</v>
      </c>
      <c r="N2688" s="14">
        <v>1318</v>
      </c>
      <c r="O2688" s="14">
        <v>0</v>
      </c>
      <c r="P2688" s="14">
        <v>1714</v>
      </c>
      <c r="Q2688">
        <v>8694</v>
      </c>
      <c r="R2688">
        <v>1180</v>
      </c>
      <c r="S2688">
        <v>0</v>
      </c>
    </row>
    <row r="2689" spans="11:19" x14ac:dyDescent="0.3">
      <c r="K2689" s="16">
        <f t="shared" si="41"/>
        <v>44127</v>
      </c>
      <c r="L2689" s="17">
        <v>0.95833333333333337</v>
      </c>
      <c r="M2689" s="14">
        <v>396</v>
      </c>
      <c r="N2689" s="14">
        <v>0</v>
      </c>
      <c r="O2689" s="14">
        <v>0</v>
      </c>
      <c r="P2689" s="14">
        <v>396</v>
      </c>
      <c r="Q2689">
        <v>8834</v>
      </c>
      <c r="R2689">
        <v>1241</v>
      </c>
      <c r="S2689">
        <v>0</v>
      </c>
    </row>
    <row r="2690" spans="11:19" x14ac:dyDescent="0.3">
      <c r="K2690" s="16">
        <f t="shared" si="41"/>
        <v>44128</v>
      </c>
      <c r="L2690" s="17">
        <v>0</v>
      </c>
      <c r="M2690" s="14">
        <v>396</v>
      </c>
      <c r="N2690" s="14">
        <v>0</v>
      </c>
      <c r="O2690" s="14">
        <v>1168</v>
      </c>
      <c r="P2690" s="14">
        <v>1564</v>
      </c>
      <c r="Q2690">
        <v>8131</v>
      </c>
      <c r="R2690">
        <v>1193</v>
      </c>
      <c r="S2690">
        <v>0</v>
      </c>
    </row>
    <row r="2691" spans="11:19" x14ac:dyDescent="0.3">
      <c r="K2691" s="16">
        <f t="shared" si="41"/>
        <v>44128</v>
      </c>
      <c r="L2691" s="17">
        <v>4.1666666666666664E-2</v>
      </c>
      <c r="M2691" s="14">
        <v>396</v>
      </c>
      <c r="N2691" s="14">
        <v>0</v>
      </c>
      <c r="O2691" s="14">
        <v>876</v>
      </c>
      <c r="P2691" s="14">
        <v>1272</v>
      </c>
      <c r="Q2691">
        <v>7668</v>
      </c>
      <c r="R2691">
        <v>1025</v>
      </c>
      <c r="S2691">
        <v>0</v>
      </c>
    </row>
    <row r="2692" spans="11:19" x14ac:dyDescent="0.3">
      <c r="K2692" s="16">
        <f t="shared" si="41"/>
        <v>44128</v>
      </c>
      <c r="L2692" s="17">
        <v>8.3333333333333329E-2</v>
      </c>
      <c r="M2692" s="14">
        <v>396</v>
      </c>
      <c r="N2692" s="14">
        <v>0</v>
      </c>
      <c r="O2692" s="14">
        <v>304</v>
      </c>
      <c r="P2692" s="14">
        <v>700</v>
      </c>
      <c r="Q2692">
        <v>7289</v>
      </c>
      <c r="R2692">
        <v>1224</v>
      </c>
      <c r="S2692">
        <v>0</v>
      </c>
    </row>
    <row r="2693" spans="11:19" x14ac:dyDescent="0.3">
      <c r="K2693" s="16">
        <f t="shared" si="41"/>
        <v>44128</v>
      </c>
      <c r="L2693" s="17">
        <v>0.125</v>
      </c>
      <c r="M2693" s="14">
        <v>396</v>
      </c>
      <c r="N2693" s="14">
        <v>0</v>
      </c>
      <c r="O2693" s="14">
        <v>-278</v>
      </c>
      <c r="P2693" s="14">
        <v>118</v>
      </c>
      <c r="Q2693">
        <v>6848</v>
      </c>
      <c r="R2693">
        <v>1364</v>
      </c>
      <c r="S2693">
        <v>0</v>
      </c>
    </row>
    <row r="2694" spans="11:19" x14ac:dyDescent="0.3">
      <c r="K2694" s="16">
        <f t="shared" si="41"/>
        <v>44128</v>
      </c>
      <c r="L2694" s="17">
        <v>0.16666666666666666</v>
      </c>
      <c r="M2694" s="14">
        <v>396</v>
      </c>
      <c r="N2694" s="14">
        <v>0</v>
      </c>
      <c r="O2694" s="14">
        <v>-566</v>
      </c>
      <c r="P2694" s="14">
        <v>-170</v>
      </c>
      <c r="Q2694">
        <v>6661</v>
      </c>
      <c r="R2694">
        <v>1461</v>
      </c>
      <c r="S2694">
        <v>0</v>
      </c>
    </row>
    <row r="2695" spans="11:19" x14ac:dyDescent="0.3">
      <c r="K2695" s="16">
        <f t="shared" si="41"/>
        <v>44128</v>
      </c>
      <c r="L2695" s="17">
        <v>0.20833333333333334</v>
      </c>
      <c r="M2695" s="14">
        <v>396</v>
      </c>
      <c r="N2695" s="14">
        <v>0</v>
      </c>
      <c r="O2695" s="14">
        <v>-824</v>
      </c>
      <c r="P2695" s="14">
        <v>-428</v>
      </c>
      <c r="Q2695">
        <v>6736</v>
      </c>
      <c r="R2695">
        <v>1783</v>
      </c>
      <c r="S2695">
        <v>0</v>
      </c>
    </row>
    <row r="2696" spans="11:19" x14ac:dyDescent="0.3">
      <c r="K2696" s="16">
        <f t="shared" si="41"/>
        <v>44128</v>
      </c>
      <c r="L2696" s="17">
        <v>0.25</v>
      </c>
      <c r="M2696" s="14">
        <v>396</v>
      </c>
      <c r="N2696" s="14">
        <v>0</v>
      </c>
      <c r="O2696" s="14">
        <v>-603</v>
      </c>
      <c r="P2696" s="14">
        <v>-207</v>
      </c>
      <c r="Q2696">
        <v>7072</v>
      </c>
      <c r="R2696">
        <v>1881</v>
      </c>
      <c r="S2696">
        <v>0</v>
      </c>
    </row>
    <row r="2697" spans="11:19" x14ac:dyDescent="0.3">
      <c r="K2697" s="16">
        <f t="shared" si="41"/>
        <v>44128</v>
      </c>
      <c r="L2697" s="17">
        <v>0.29166666666666669</v>
      </c>
      <c r="M2697" s="14">
        <v>396</v>
      </c>
      <c r="N2697" s="14">
        <v>0</v>
      </c>
      <c r="O2697" s="14">
        <v>-395</v>
      </c>
      <c r="P2697" s="14">
        <v>1</v>
      </c>
      <c r="Q2697">
        <v>7412</v>
      </c>
      <c r="R2697">
        <v>1992</v>
      </c>
      <c r="S2697">
        <v>0</v>
      </c>
    </row>
    <row r="2698" spans="11:19" x14ac:dyDescent="0.3">
      <c r="K2698" s="16">
        <f t="shared" si="41"/>
        <v>44128</v>
      </c>
      <c r="L2698" s="17">
        <v>0.33333333333333331</v>
      </c>
      <c r="M2698" s="14">
        <v>396</v>
      </c>
      <c r="N2698" s="14">
        <v>0</v>
      </c>
      <c r="O2698" s="14">
        <v>-58</v>
      </c>
      <c r="P2698" s="14">
        <v>338</v>
      </c>
      <c r="Q2698">
        <v>7854</v>
      </c>
      <c r="R2698">
        <v>2029</v>
      </c>
      <c r="S2698">
        <v>53</v>
      </c>
    </row>
    <row r="2699" spans="11:19" x14ac:dyDescent="0.3">
      <c r="K2699" s="16">
        <f t="shared" si="41"/>
        <v>44128</v>
      </c>
      <c r="L2699" s="17">
        <v>0.375</v>
      </c>
      <c r="M2699" s="14">
        <v>396</v>
      </c>
      <c r="N2699" s="14">
        <v>0</v>
      </c>
      <c r="O2699" s="14">
        <v>9</v>
      </c>
      <c r="P2699" s="14">
        <v>405</v>
      </c>
      <c r="Q2699">
        <v>8341</v>
      </c>
      <c r="R2699">
        <v>2086</v>
      </c>
      <c r="S2699">
        <v>408</v>
      </c>
    </row>
    <row r="2700" spans="11:19" x14ac:dyDescent="0.3">
      <c r="K2700" s="16">
        <f t="shared" si="41"/>
        <v>44128</v>
      </c>
      <c r="L2700" s="17">
        <v>0.41666666666666669</v>
      </c>
      <c r="M2700" s="14">
        <v>396</v>
      </c>
      <c r="N2700" s="14">
        <v>0</v>
      </c>
      <c r="O2700" s="14">
        <v>-404</v>
      </c>
      <c r="P2700" s="14">
        <v>-8</v>
      </c>
      <c r="Q2700">
        <v>8488</v>
      </c>
      <c r="R2700">
        <v>2052</v>
      </c>
      <c r="S2700">
        <v>1003</v>
      </c>
    </row>
    <row r="2701" spans="11:19" x14ac:dyDescent="0.3">
      <c r="K2701" s="16">
        <f t="shared" si="41"/>
        <v>44128</v>
      </c>
      <c r="L2701" s="17">
        <v>0.45833333333333331</v>
      </c>
      <c r="M2701" s="14">
        <v>396</v>
      </c>
      <c r="N2701" s="14">
        <v>0</v>
      </c>
      <c r="O2701" s="14">
        <v>-587</v>
      </c>
      <c r="P2701" s="14">
        <v>-191</v>
      </c>
      <c r="Q2701">
        <v>8661</v>
      </c>
      <c r="R2701">
        <v>1931</v>
      </c>
      <c r="S2701">
        <v>1485</v>
      </c>
    </row>
    <row r="2702" spans="11:19" x14ac:dyDescent="0.3">
      <c r="K2702" s="16">
        <f t="shared" si="41"/>
        <v>44128</v>
      </c>
      <c r="L2702" s="17">
        <v>0.5</v>
      </c>
      <c r="M2702" s="14">
        <v>396</v>
      </c>
      <c r="N2702" s="14">
        <v>0</v>
      </c>
      <c r="O2702" s="14">
        <v>-298</v>
      </c>
      <c r="P2702" s="14">
        <v>98</v>
      </c>
      <c r="Q2702">
        <v>9008</v>
      </c>
      <c r="R2702">
        <v>1757</v>
      </c>
      <c r="S2702">
        <v>1720</v>
      </c>
    </row>
    <row r="2703" spans="11:19" x14ac:dyDescent="0.3">
      <c r="K2703" s="16">
        <f t="shared" si="41"/>
        <v>44128</v>
      </c>
      <c r="L2703" s="17">
        <v>0.54166666666666663</v>
      </c>
      <c r="M2703" s="14">
        <v>396</v>
      </c>
      <c r="N2703" s="14">
        <v>0</v>
      </c>
      <c r="O2703" s="14">
        <v>-840</v>
      </c>
      <c r="P2703" s="14">
        <v>-444</v>
      </c>
      <c r="Q2703">
        <v>8676</v>
      </c>
      <c r="R2703">
        <v>1861</v>
      </c>
      <c r="S2703">
        <v>1830</v>
      </c>
    </row>
    <row r="2704" spans="11:19" x14ac:dyDescent="0.3">
      <c r="K2704" s="16">
        <f t="shared" si="41"/>
        <v>44128</v>
      </c>
      <c r="L2704" s="17">
        <v>0.58333333333333337</v>
      </c>
      <c r="M2704" s="14">
        <v>396</v>
      </c>
      <c r="N2704" s="14">
        <v>0</v>
      </c>
      <c r="O2704" s="14">
        <v>-350</v>
      </c>
      <c r="P2704" s="14">
        <v>46</v>
      </c>
      <c r="Q2704">
        <v>8378</v>
      </c>
      <c r="R2704">
        <v>1841</v>
      </c>
      <c r="S2704">
        <v>1679</v>
      </c>
    </row>
    <row r="2705" spans="11:19" x14ac:dyDescent="0.3">
      <c r="K2705" s="16">
        <f t="shared" si="41"/>
        <v>44128</v>
      </c>
      <c r="L2705" s="17">
        <v>0.625</v>
      </c>
      <c r="M2705" s="14">
        <v>396</v>
      </c>
      <c r="N2705" s="14">
        <v>0</v>
      </c>
      <c r="O2705" s="14">
        <v>-735</v>
      </c>
      <c r="P2705" s="14">
        <v>-339</v>
      </c>
      <c r="Q2705">
        <v>8067</v>
      </c>
      <c r="R2705">
        <v>1560</v>
      </c>
      <c r="S2705">
        <v>1416</v>
      </c>
    </row>
    <row r="2706" spans="11:19" x14ac:dyDescent="0.3">
      <c r="K2706" s="16">
        <f t="shared" si="41"/>
        <v>44128</v>
      </c>
      <c r="L2706" s="17">
        <v>0.66666666666666663</v>
      </c>
      <c r="M2706" s="14">
        <v>396</v>
      </c>
      <c r="N2706" s="14">
        <v>0</v>
      </c>
      <c r="O2706" s="14">
        <v>-12</v>
      </c>
      <c r="P2706" s="14">
        <v>384</v>
      </c>
      <c r="Q2706">
        <v>7836</v>
      </c>
      <c r="R2706">
        <v>1660</v>
      </c>
      <c r="S2706">
        <v>971</v>
      </c>
    </row>
    <row r="2707" spans="11:19" x14ac:dyDescent="0.3">
      <c r="K2707" s="16">
        <f t="shared" si="41"/>
        <v>44128</v>
      </c>
      <c r="L2707" s="17">
        <v>0.70833333333333337</v>
      </c>
      <c r="M2707" s="14">
        <v>396</v>
      </c>
      <c r="N2707" s="14">
        <v>0</v>
      </c>
      <c r="O2707" s="14">
        <v>-71</v>
      </c>
      <c r="P2707" s="14">
        <v>325</v>
      </c>
      <c r="Q2707">
        <v>7781</v>
      </c>
      <c r="R2707">
        <v>1789</v>
      </c>
      <c r="S2707">
        <v>425</v>
      </c>
    </row>
    <row r="2708" spans="11:19" x14ac:dyDescent="0.3">
      <c r="K2708" s="16">
        <f t="shared" si="41"/>
        <v>44128</v>
      </c>
      <c r="L2708" s="17">
        <v>0.75</v>
      </c>
      <c r="M2708" s="14">
        <v>396</v>
      </c>
      <c r="N2708" s="14">
        <v>0</v>
      </c>
      <c r="O2708" s="14">
        <v>94</v>
      </c>
      <c r="P2708" s="14">
        <v>490</v>
      </c>
      <c r="Q2708">
        <v>8057</v>
      </c>
      <c r="R2708">
        <v>2053</v>
      </c>
      <c r="S2708">
        <v>69</v>
      </c>
    </row>
    <row r="2709" spans="11:19" x14ac:dyDescent="0.3">
      <c r="K2709" s="16">
        <f t="shared" si="41"/>
        <v>44128</v>
      </c>
      <c r="L2709" s="17">
        <v>0.79166666666666663</v>
      </c>
      <c r="M2709" s="14">
        <v>396</v>
      </c>
      <c r="N2709" s="14">
        <v>0</v>
      </c>
      <c r="O2709" s="14">
        <v>662</v>
      </c>
      <c r="P2709" s="14">
        <v>1058</v>
      </c>
      <c r="Q2709">
        <v>8624</v>
      </c>
      <c r="R2709">
        <v>2128</v>
      </c>
      <c r="S2709">
        <v>0</v>
      </c>
    </row>
    <row r="2710" spans="11:19" x14ac:dyDescent="0.3">
      <c r="K2710" s="16">
        <f t="shared" si="41"/>
        <v>44128</v>
      </c>
      <c r="L2710" s="17">
        <v>0.83333333333333337</v>
      </c>
      <c r="M2710" s="14">
        <v>396</v>
      </c>
      <c r="N2710" s="14">
        <v>0</v>
      </c>
      <c r="O2710" s="14">
        <v>160</v>
      </c>
      <c r="P2710" s="14">
        <v>556</v>
      </c>
      <c r="Q2710">
        <v>8141</v>
      </c>
      <c r="R2710">
        <v>2163</v>
      </c>
      <c r="S2710">
        <v>0</v>
      </c>
    </row>
    <row r="2711" spans="11:19" x14ac:dyDescent="0.3">
      <c r="K2711" s="16">
        <f t="shared" si="41"/>
        <v>44128</v>
      </c>
      <c r="L2711" s="17">
        <v>0.875</v>
      </c>
      <c r="M2711" s="14">
        <v>396</v>
      </c>
      <c r="N2711" s="14">
        <v>0</v>
      </c>
      <c r="O2711" s="14">
        <v>0</v>
      </c>
      <c r="P2711" s="14">
        <v>396</v>
      </c>
      <c r="Q2711">
        <v>7715</v>
      </c>
      <c r="R2711">
        <v>1973</v>
      </c>
      <c r="S2711">
        <v>0</v>
      </c>
    </row>
    <row r="2712" spans="11:19" x14ac:dyDescent="0.3">
      <c r="K2712" s="16">
        <f t="shared" si="41"/>
        <v>44128</v>
      </c>
      <c r="L2712" s="17">
        <v>0.91666666666666663</v>
      </c>
      <c r="M2712" s="14">
        <v>396</v>
      </c>
      <c r="N2712" s="14">
        <v>0</v>
      </c>
      <c r="O2712" s="14">
        <v>508</v>
      </c>
      <c r="P2712" s="14">
        <v>904</v>
      </c>
      <c r="Q2712">
        <v>8019</v>
      </c>
      <c r="R2712">
        <v>1716</v>
      </c>
      <c r="S2712">
        <v>0</v>
      </c>
    </row>
    <row r="2713" spans="11:19" x14ac:dyDescent="0.3">
      <c r="K2713" s="16">
        <f t="shared" si="41"/>
        <v>44128</v>
      </c>
      <c r="L2713" s="17">
        <v>0.95833333333333337</v>
      </c>
      <c r="M2713" s="14">
        <v>396</v>
      </c>
      <c r="N2713" s="14">
        <v>0</v>
      </c>
      <c r="O2713" s="14">
        <v>1040</v>
      </c>
      <c r="P2713" s="14">
        <v>1436</v>
      </c>
      <c r="Q2713">
        <v>8289</v>
      </c>
      <c r="R2713">
        <v>1474</v>
      </c>
      <c r="S2713">
        <v>0</v>
      </c>
    </row>
    <row r="2714" spans="11:19" x14ac:dyDescent="0.3">
      <c r="K2714" s="16">
        <f t="shared" si="41"/>
        <v>44129</v>
      </c>
      <c r="L2714" s="17">
        <v>0</v>
      </c>
      <c r="M2714" s="14">
        <v>396</v>
      </c>
      <c r="N2714" s="14">
        <v>553</v>
      </c>
      <c r="O2714" s="14">
        <v>0</v>
      </c>
      <c r="P2714" s="14">
        <v>949</v>
      </c>
      <c r="Q2714">
        <v>7764</v>
      </c>
      <c r="R2714">
        <v>1441</v>
      </c>
      <c r="S2714">
        <v>0</v>
      </c>
    </row>
    <row r="2715" spans="11:19" x14ac:dyDescent="0.3">
      <c r="K2715" s="16">
        <f t="shared" ref="K2715:K2778" si="42">K2691+1</f>
        <v>44129</v>
      </c>
      <c r="L2715" s="17">
        <v>4.1666666666666664E-2</v>
      </c>
      <c r="M2715" s="14">
        <v>396</v>
      </c>
      <c r="N2715" s="14">
        <v>548</v>
      </c>
      <c r="O2715" s="14">
        <v>0</v>
      </c>
      <c r="P2715" s="14">
        <v>944</v>
      </c>
      <c r="Q2715">
        <v>7334</v>
      </c>
      <c r="R2715">
        <v>1019</v>
      </c>
      <c r="S2715">
        <v>0</v>
      </c>
    </row>
    <row r="2716" spans="11:19" x14ac:dyDescent="0.3">
      <c r="K2716" s="16">
        <f t="shared" si="42"/>
        <v>44129</v>
      </c>
      <c r="L2716" s="17">
        <v>8.3333333333333329E-2</v>
      </c>
      <c r="M2716" s="14">
        <v>396</v>
      </c>
      <c r="N2716" s="14">
        <v>320</v>
      </c>
      <c r="O2716" s="14">
        <v>0</v>
      </c>
      <c r="P2716" s="14">
        <v>716</v>
      </c>
      <c r="Q2716">
        <v>6957</v>
      </c>
      <c r="R2716">
        <v>876</v>
      </c>
      <c r="S2716">
        <v>0</v>
      </c>
    </row>
    <row r="2717" spans="11:19" x14ac:dyDescent="0.3">
      <c r="K2717" s="16">
        <f t="shared" si="42"/>
        <v>44129</v>
      </c>
      <c r="L2717" s="17">
        <v>0.125</v>
      </c>
      <c r="M2717" s="14">
        <v>396</v>
      </c>
      <c r="N2717" s="14">
        <v>27</v>
      </c>
      <c r="O2717" s="14">
        <v>0</v>
      </c>
      <c r="P2717" s="14">
        <v>423</v>
      </c>
      <c r="Q2717">
        <v>6475</v>
      </c>
      <c r="R2717">
        <v>685</v>
      </c>
      <c r="S2717">
        <v>0</v>
      </c>
    </row>
    <row r="2718" spans="11:19" x14ac:dyDescent="0.3">
      <c r="K2718" s="16">
        <f t="shared" si="42"/>
        <v>44129</v>
      </c>
      <c r="L2718" s="17">
        <v>0.16666666666666666</v>
      </c>
      <c r="M2718" s="14">
        <v>396</v>
      </c>
      <c r="N2718" s="14">
        <v>0</v>
      </c>
      <c r="O2718" s="14">
        <v>-108</v>
      </c>
      <c r="P2718" s="14">
        <v>288</v>
      </c>
      <c r="Q2718">
        <v>6228</v>
      </c>
      <c r="R2718">
        <v>570</v>
      </c>
      <c r="S2718">
        <v>0</v>
      </c>
    </row>
    <row r="2719" spans="11:19" x14ac:dyDescent="0.3">
      <c r="K2719" s="16">
        <f t="shared" si="42"/>
        <v>44129</v>
      </c>
      <c r="L2719" s="17">
        <v>0.20833333333333334</v>
      </c>
      <c r="M2719" s="14">
        <v>396</v>
      </c>
      <c r="N2719" s="14">
        <v>0</v>
      </c>
      <c r="O2719" s="14">
        <v>-174</v>
      </c>
      <c r="P2719" s="14">
        <v>222</v>
      </c>
      <c r="Q2719">
        <v>6204</v>
      </c>
      <c r="R2719">
        <v>600</v>
      </c>
      <c r="S2719">
        <v>0</v>
      </c>
    </row>
    <row r="2720" spans="11:19" x14ac:dyDescent="0.3">
      <c r="K2720" s="16">
        <f t="shared" si="42"/>
        <v>44129</v>
      </c>
      <c r="L2720" s="17">
        <v>0.25</v>
      </c>
      <c r="M2720" s="14">
        <v>396</v>
      </c>
      <c r="N2720" s="14">
        <v>0</v>
      </c>
      <c r="O2720" s="14">
        <v>-79</v>
      </c>
      <c r="P2720" s="14">
        <v>317</v>
      </c>
      <c r="Q2720">
        <v>6348</v>
      </c>
      <c r="R2720">
        <v>632</v>
      </c>
      <c r="S2720">
        <v>0</v>
      </c>
    </row>
    <row r="2721" spans="11:19" x14ac:dyDescent="0.3">
      <c r="K2721" s="16">
        <f t="shared" si="42"/>
        <v>44129</v>
      </c>
      <c r="L2721" s="17">
        <v>0.29166666666666669</v>
      </c>
      <c r="M2721" s="14">
        <v>396</v>
      </c>
      <c r="N2721" s="14">
        <v>0</v>
      </c>
      <c r="O2721" s="14">
        <v>50</v>
      </c>
      <c r="P2721" s="14">
        <v>446</v>
      </c>
      <c r="Q2721">
        <v>6514</v>
      </c>
      <c r="R2721">
        <v>648</v>
      </c>
      <c r="S2721">
        <v>0</v>
      </c>
    </row>
    <row r="2722" spans="11:19" x14ac:dyDescent="0.3">
      <c r="K2722" s="16">
        <f t="shared" si="42"/>
        <v>44129</v>
      </c>
      <c r="L2722" s="17">
        <v>0.33333333333333331</v>
      </c>
      <c r="M2722" s="14">
        <v>396</v>
      </c>
      <c r="N2722" s="14">
        <v>0</v>
      </c>
      <c r="O2722" s="14">
        <v>308</v>
      </c>
      <c r="P2722" s="14">
        <v>704</v>
      </c>
      <c r="Q2722">
        <v>6821</v>
      </c>
      <c r="R2722">
        <v>635</v>
      </c>
      <c r="S2722">
        <v>46</v>
      </c>
    </row>
    <row r="2723" spans="11:19" x14ac:dyDescent="0.3">
      <c r="K2723" s="16">
        <f t="shared" si="42"/>
        <v>44129</v>
      </c>
      <c r="L2723" s="17">
        <v>0.375</v>
      </c>
      <c r="M2723" s="14">
        <v>396</v>
      </c>
      <c r="N2723" s="14">
        <v>0</v>
      </c>
      <c r="O2723" s="14">
        <v>337</v>
      </c>
      <c r="P2723" s="14">
        <v>733</v>
      </c>
      <c r="Q2723">
        <v>7362</v>
      </c>
      <c r="R2723">
        <v>584</v>
      </c>
      <c r="S2723">
        <v>345</v>
      </c>
    </row>
    <row r="2724" spans="11:19" x14ac:dyDescent="0.3">
      <c r="K2724" s="16">
        <f t="shared" si="42"/>
        <v>44129</v>
      </c>
      <c r="L2724" s="17">
        <v>0.41666666666666669</v>
      </c>
      <c r="M2724" s="14">
        <v>396</v>
      </c>
      <c r="N2724" s="14">
        <v>431</v>
      </c>
      <c r="O2724" s="14">
        <v>0</v>
      </c>
      <c r="P2724" s="14">
        <v>827</v>
      </c>
      <c r="Q2724">
        <v>7732</v>
      </c>
      <c r="R2724">
        <v>619</v>
      </c>
      <c r="S2724">
        <v>844</v>
      </c>
    </row>
    <row r="2725" spans="11:19" x14ac:dyDescent="0.3">
      <c r="K2725" s="16">
        <f t="shared" si="42"/>
        <v>44129</v>
      </c>
      <c r="L2725" s="17">
        <v>0.45833333333333331</v>
      </c>
      <c r="M2725" s="14">
        <v>396</v>
      </c>
      <c r="N2725" s="14">
        <v>226</v>
      </c>
      <c r="O2725" s="14">
        <v>0</v>
      </c>
      <c r="P2725" s="14">
        <v>622</v>
      </c>
      <c r="Q2725">
        <v>8040</v>
      </c>
      <c r="R2725">
        <v>540</v>
      </c>
      <c r="S2725">
        <v>1281</v>
      </c>
    </row>
    <row r="2726" spans="11:19" x14ac:dyDescent="0.3">
      <c r="K2726" s="16">
        <f t="shared" si="42"/>
        <v>44129</v>
      </c>
      <c r="L2726" s="17">
        <v>0.5</v>
      </c>
      <c r="M2726" s="14">
        <v>396</v>
      </c>
      <c r="N2726" s="14">
        <v>0</v>
      </c>
      <c r="O2726" s="14">
        <v>0</v>
      </c>
      <c r="P2726" s="14">
        <v>396</v>
      </c>
      <c r="Q2726">
        <v>8419</v>
      </c>
      <c r="R2726">
        <v>542</v>
      </c>
      <c r="S2726">
        <v>1452</v>
      </c>
    </row>
    <row r="2727" spans="11:19" x14ac:dyDescent="0.3">
      <c r="K2727" s="16">
        <f t="shared" si="42"/>
        <v>44129</v>
      </c>
      <c r="L2727" s="17">
        <v>0.54166666666666663</v>
      </c>
      <c r="M2727" s="14">
        <v>396</v>
      </c>
      <c r="N2727" s="14">
        <v>0</v>
      </c>
      <c r="O2727" s="14">
        <v>-53</v>
      </c>
      <c r="P2727" s="14">
        <v>343</v>
      </c>
      <c r="Q2727">
        <v>7995</v>
      </c>
      <c r="R2727">
        <v>520</v>
      </c>
      <c r="S2727">
        <v>1542</v>
      </c>
    </row>
    <row r="2728" spans="11:19" x14ac:dyDescent="0.3">
      <c r="K2728" s="16">
        <f t="shared" si="42"/>
        <v>44129</v>
      </c>
      <c r="L2728" s="17">
        <v>0.58333333333333337</v>
      </c>
      <c r="M2728" s="14">
        <v>396</v>
      </c>
      <c r="N2728" s="14">
        <v>0</v>
      </c>
      <c r="O2728" s="14">
        <v>-386</v>
      </c>
      <c r="P2728" s="14">
        <v>10</v>
      </c>
      <c r="Q2728">
        <v>7605</v>
      </c>
      <c r="R2728">
        <v>584</v>
      </c>
      <c r="S2728">
        <v>1423</v>
      </c>
    </row>
    <row r="2729" spans="11:19" x14ac:dyDescent="0.3">
      <c r="K2729" s="16">
        <f t="shared" si="42"/>
        <v>44129</v>
      </c>
      <c r="L2729" s="17">
        <v>0.625</v>
      </c>
      <c r="M2729" s="14">
        <v>396</v>
      </c>
      <c r="N2729" s="14">
        <v>0</v>
      </c>
      <c r="O2729" s="14">
        <v>-558</v>
      </c>
      <c r="P2729" s="14">
        <v>-162</v>
      </c>
      <c r="Q2729">
        <v>7295</v>
      </c>
      <c r="R2729">
        <v>645</v>
      </c>
      <c r="S2729">
        <v>1221</v>
      </c>
    </row>
    <row r="2730" spans="11:19" x14ac:dyDescent="0.3">
      <c r="K2730" s="16">
        <f t="shared" si="42"/>
        <v>44129</v>
      </c>
      <c r="L2730" s="17">
        <v>0.66666666666666663</v>
      </c>
      <c r="M2730" s="14">
        <v>396</v>
      </c>
      <c r="N2730" s="14">
        <v>0</v>
      </c>
      <c r="O2730" s="14">
        <v>-546</v>
      </c>
      <c r="P2730" s="14">
        <v>-150</v>
      </c>
      <c r="Q2730">
        <v>7123</v>
      </c>
      <c r="R2730">
        <v>842</v>
      </c>
      <c r="S2730">
        <v>834</v>
      </c>
    </row>
    <row r="2731" spans="11:19" x14ac:dyDescent="0.3">
      <c r="K2731" s="16">
        <f t="shared" si="42"/>
        <v>44129</v>
      </c>
      <c r="L2731" s="17">
        <v>0.70833333333333337</v>
      </c>
      <c r="M2731" s="14">
        <v>396</v>
      </c>
      <c r="N2731" s="14">
        <v>0</v>
      </c>
      <c r="O2731" s="14">
        <v>-183</v>
      </c>
      <c r="P2731" s="14">
        <v>213</v>
      </c>
      <c r="Q2731">
        <v>7180</v>
      </c>
      <c r="R2731">
        <v>1013</v>
      </c>
      <c r="S2731">
        <v>349</v>
      </c>
    </row>
    <row r="2732" spans="11:19" x14ac:dyDescent="0.3">
      <c r="K2732" s="16">
        <f t="shared" si="42"/>
        <v>44129</v>
      </c>
      <c r="L2732" s="17">
        <v>0.75</v>
      </c>
      <c r="M2732" s="14">
        <v>396</v>
      </c>
      <c r="N2732" s="14">
        <v>0</v>
      </c>
      <c r="O2732" s="14">
        <v>0</v>
      </c>
      <c r="P2732" s="14">
        <v>396</v>
      </c>
      <c r="Q2732">
        <v>7595</v>
      </c>
      <c r="R2732">
        <v>1248</v>
      </c>
      <c r="S2732">
        <v>55</v>
      </c>
    </row>
    <row r="2733" spans="11:19" x14ac:dyDescent="0.3">
      <c r="K2733" s="16">
        <f t="shared" si="42"/>
        <v>44129</v>
      </c>
      <c r="L2733" s="17">
        <v>0.79166666666666663</v>
      </c>
      <c r="M2733" s="14">
        <v>396</v>
      </c>
      <c r="N2733" s="14">
        <v>0</v>
      </c>
      <c r="O2733" s="14">
        <v>976</v>
      </c>
      <c r="P2733" s="14">
        <v>1372</v>
      </c>
      <c r="Q2733">
        <v>8414</v>
      </c>
      <c r="R2733">
        <v>1443</v>
      </c>
      <c r="S2733">
        <v>0</v>
      </c>
    </row>
    <row r="2734" spans="11:19" x14ac:dyDescent="0.3">
      <c r="K2734" s="16">
        <f t="shared" si="42"/>
        <v>44129</v>
      </c>
      <c r="L2734" s="17">
        <v>0.83333333333333337</v>
      </c>
      <c r="M2734" s="14">
        <v>396</v>
      </c>
      <c r="N2734" s="14">
        <v>0</v>
      </c>
      <c r="O2734" s="14">
        <v>0</v>
      </c>
      <c r="P2734" s="14">
        <v>396</v>
      </c>
      <c r="Q2734">
        <v>8125</v>
      </c>
      <c r="R2734">
        <v>1484</v>
      </c>
      <c r="S2734">
        <v>0</v>
      </c>
    </row>
    <row r="2735" spans="11:19" x14ac:dyDescent="0.3">
      <c r="K2735" s="16">
        <f t="shared" si="42"/>
        <v>44129</v>
      </c>
      <c r="L2735" s="17">
        <v>0.875</v>
      </c>
      <c r="M2735" s="14">
        <v>396</v>
      </c>
      <c r="N2735" s="14">
        <v>285</v>
      </c>
      <c r="O2735" s="14">
        <v>0</v>
      </c>
      <c r="P2735" s="14">
        <v>681</v>
      </c>
      <c r="Q2735">
        <v>7701</v>
      </c>
      <c r="R2735">
        <v>1453</v>
      </c>
      <c r="S2735">
        <v>0</v>
      </c>
    </row>
    <row r="2736" spans="11:19" x14ac:dyDescent="0.3">
      <c r="K2736" s="16">
        <f t="shared" si="42"/>
        <v>44129</v>
      </c>
      <c r="L2736" s="17">
        <v>0.91666666666666663</v>
      </c>
      <c r="M2736" s="14">
        <v>396</v>
      </c>
      <c r="N2736" s="14">
        <v>0</v>
      </c>
      <c r="O2736" s="14">
        <v>0</v>
      </c>
      <c r="P2736" s="14">
        <v>396</v>
      </c>
      <c r="Q2736">
        <v>7964</v>
      </c>
      <c r="R2736">
        <v>1297</v>
      </c>
      <c r="S2736">
        <v>0</v>
      </c>
    </row>
    <row r="2737" spans="11:19" x14ac:dyDescent="0.3">
      <c r="K2737" s="16">
        <f t="shared" si="42"/>
        <v>44129</v>
      </c>
      <c r="L2737" s="17">
        <v>0.95833333333333337</v>
      </c>
      <c r="M2737" s="14">
        <v>396</v>
      </c>
      <c r="N2737" s="14">
        <v>622</v>
      </c>
      <c r="O2737" s="14">
        <v>0</v>
      </c>
      <c r="P2737" s="14">
        <v>1018</v>
      </c>
      <c r="Q2737">
        <v>8170</v>
      </c>
      <c r="R2737">
        <v>1300</v>
      </c>
      <c r="S2737">
        <v>0</v>
      </c>
    </row>
    <row r="2738" spans="11:19" x14ac:dyDescent="0.3">
      <c r="K2738" s="16">
        <f t="shared" si="42"/>
        <v>44130</v>
      </c>
      <c r="L2738" s="17">
        <v>0</v>
      </c>
      <c r="M2738" s="14">
        <v>396</v>
      </c>
      <c r="N2738" s="14">
        <v>417</v>
      </c>
      <c r="O2738" s="14">
        <v>0</v>
      </c>
      <c r="P2738" s="14">
        <v>813</v>
      </c>
      <c r="Q2738">
        <v>7636</v>
      </c>
      <c r="R2738">
        <v>1286</v>
      </c>
      <c r="S2738">
        <v>0</v>
      </c>
    </row>
    <row r="2739" spans="11:19" x14ac:dyDescent="0.3">
      <c r="K2739" s="16">
        <f t="shared" si="42"/>
        <v>44130</v>
      </c>
      <c r="L2739" s="17">
        <v>4.1666666666666664E-2</v>
      </c>
      <c r="M2739" s="14">
        <v>396</v>
      </c>
      <c r="N2739" s="14">
        <v>257</v>
      </c>
      <c r="O2739" s="14">
        <v>0</v>
      </c>
      <c r="P2739" s="14">
        <v>653</v>
      </c>
      <c r="Q2739">
        <v>7288</v>
      </c>
      <c r="R2739">
        <v>1100</v>
      </c>
      <c r="S2739">
        <v>0</v>
      </c>
    </row>
    <row r="2740" spans="11:19" x14ac:dyDescent="0.3">
      <c r="K2740" s="16">
        <f t="shared" si="42"/>
        <v>44130</v>
      </c>
      <c r="L2740" s="17">
        <v>8.3333333333333329E-2</v>
      </c>
      <c r="M2740" s="14">
        <v>396</v>
      </c>
      <c r="N2740" s="14">
        <v>0</v>
      </c>
      <c r="O2740" s="14">
        <v>-120</v>
      </c>
      <c r="P2740" s="14">
        <v>276</v>
      </c>
      <c r="Q2740">
        <v>6984</v>
      </c>
      <c r="R2740">
        <v>1173</v>
      </c>
      <c r="S2740">
        <v>0</v>
      </c>
    </row>
    <row r="2741" spans="11:19" x14ac:dyDescent="0.3">
      <c r="K2741" s="16">
        <f t="shared" si="42"/>
        <v>44130</v>
      </c>
      <c r="L2741" s="17">
        <v>0.125</v>
      </c>
      <c r="M2741" s="14">
        <v>396</v>
      </c>
      <c r="N2741" s="14">
        <v>0</v>
      </c>
      <c r="O2741" s="14">
        <v>-500</v>
      </c>
      <c r="P2741" s="14">
        <v>-104</v>
      </c>
      <c r="Q2741">
        <v>6631</v>
      </c>
      <c r="R2741">
        <v>1200</v>
      </c>
      <c r="S2741">
        <v>0</v>
      </c>
    </row>
    <row r="2742" spans="11:19" x14ac:dyDescent="0.3">
      <c r="K2742" s="16">
        <f t="shared" si="42"/>
        <v>44130</v>
      </c>
      <c r="L2742" s="17">
        <v>0.16666666666666666</v>
      </c>
      <c r="M2742" s="14">
        <v>396</v>
      </c>
      <c r="N2742" s="14">
        <v>0</v>
      </c>
      <c r="O2742" s="14">
        <v>-507</v>
      </c>
      <c r="P2742" s="14">
        <v>-111</v>
      </c>
      <c r="Q2742">
        <v>6644</v>
      </c>
      <c r="R2742">
        <v>1216</v>
      </c>
      <c r="S2742">
        <v>0</v>
      </c>
    </row>
    <row r="2743" spans="11:19" x14ac:dyDescent="0.3">
      <c r="K2743" s="16">
        <f t="shared" si="42"/>
        <v>44130</v>
      </c>
      <c r="L2743" s="17">
        <v>0.20833333333333334</v>
      </c>
      <c r="M2743" s="14">
        <v>396</v>
      </c>
      <c r="N2743" s="14">
        <v>0</v>
      </c>
      <c r="O2743" s="14">
        <v>-106</v>
      </c>
      <c r="P2743" s="14">
        <v>290</v>
      </c>
      <c r="Q2743">
        <v>7154</v>
      </c>
      <c r="R2743">
        <v>1303</v>
      </c>
      <c r="S2743">
        <v>0</v>
      </c>
    </row>
    <row r="2744" spans="11:19" x14ac:dyDescent="0.3">
      <c r="K2744" s="16">
        <f t="shared" si="42"/>
        <v>44130</v>
      </c>
      <c r="L2744" s="17">
        <v>0.25</v>
      </c>
      <c r="M2744" s="14">
        <v>396</v>
      </c>
      <c r="N2744" s="14">
        <v>0</v>
      </c>
      <c r="O2744" s="14">
        <v>710</v>
      </c>
      <c r="P2744" s="14">
        <v>1106</v>
      </c>
      <c r="Q2744">
        <v>8147</v>
      </c>
      <c r="R2744">
        <v>1442</v>
      </c>
      <c r="S2744">
        <v>0</v>
      </c>
    </row>
    <row r="2745" spans="11:19" x14ac:dyDescent="0.3">
      <c r="K2745" s="16">
        <f t="shared" si="42"/>
        <v>44130</v>
      </c>
      <c r="L2745" s="17">
        <v>0.29166666666666669</v>
      </c>
      <c r="M2745" s="14">
        <v>396</v>
      </c>
      <c r="N2745" s="14">
        <v>0</v>
      </c>
      <c r="O2745" s="14">
        <v>0</v>
      </c>
      <c r="P2745" s="14">
        <v>396</v>
      </c>
      <c r="Q2745">
        <v>9052</v>
      </c>
      <c r="R2745">
        <v>1457</v>
      </c>
      <c r="S2745">
        <v>0</v>
      </c>
    </row>
    <row r="2746" spans="11:19" x14ac:dyDescent="0.3">
      <c r="K2746" s="16">
        <f t="shared" si="42"/>
        <v>44130</v>
      </c>
      <c r="L2746" s="17">
        <v>0.33333333333333331</v>
      </c>
      <c r="M2746" s="14">
        <v>396</v>
      </c>
      <c r="N2746" s="14">
        <v>1042</v>
      </c>
      <c r="O2746" s="14">
        <v>277</v>
      </c>
      <c r="P2746" s="14">
        <v>1715</v>
      </c>
      <c r="Q2746">
        <v>9546</v>
      </c>
      <c r="R2746">
        <v>1303</v>
      </c>
      <c r="S2746">
        <v>42</v>
      </c>
    </row>
    <row r="2747" spans="11:19" x14ac:dyDescent="0.3">
      <c r="K2747" s="16">
        <f t="shared" si="42"/>
        <v>44130</v>
      </c>
      <c r="L2747" s="17">
        <v>0.375</v>
      </c>
      <c r="M2747" s="14">
        <v>396</v>
      </c>
      <c r="N2747" s="14">
        <v>1042</v>
      </c>
      <c r="O2747" s="14">
        <v>0</v>
      </c>
      <c r="P2747" s="14">
        <v>1438</v>
      </c>
      <c r="Q2747">
        <v>9849</v>
      </c>
      <c r="R2747">
        <v>1358</v>
      </c>
      <c r="S2747">
        <v>340</v>
      </c>
    </row>
    <row r="2748" spans="11:19" x14ac:dyDescent="0.3">
      <c r="K2748" s="16">
        <f t="shared" si="42"/>
        <v>44130</v>
      </c>
      <c r="L2748" s="17">
        <v>0.41666666666666669</v>
      </c>
      <c r="M2748" s="14">
        <v>396</v>
      </c>
      <c r="N2748" s="14">
        <v>1042</v>
      </c>
      <c r="O2748" s="14">
        <v>0</v>
      </c>
      <c r="P2748" s="14">
        <v>1438</v>
      </c>
      <c r="Q2748">
        <v>9964</v>
      </c>
      <c r="R2748">
        <v>1280</v>
      </c>
      <c r="S2748">
        <v>827</v>
      </c>
    </row>
    <row r="2749" spans="11:19" x14ac:dyDescent="0.3">
      <c r="K2749" s="16">
        <f t="shared" si="42"/>
        <v>44130</v>
      </c>
      <c r="L2749" s="17">
        <v>0.45833333333333331</v>
      </c>
      <c r="M2749" s="14">
        <v>396</v>
      </c>
      <c r="N2749" s="14">
        <v>0</v>
      </c>
      <c r="O2749" s="14">
        <v>0</v>
      </c>
      <c r="P2749" s="14">
        <v>396</v>
      </c>
      <c r="Q2749">
        <v>10110</v>
      </c>
      <c r="R2749">
        <v>1191</v>
      </c>
      <c r="S2749">
        <v>1307</v>
      </c>
    </row>
    <row r="2750" spans="11:19" x14ac:dyDescent="0.3">
      <c r="K2750" s="16">
        <f t="shared" si="42"/>
        <v>44130</v>
      </c>
      <c r="L2750" s="17">
        <v>0.5</v>
      </c>
      <c r="M2750" s="14">
        <v>396</v>
      </c>
      <c r="N2750" s="14">
        <v>1042</v>
      </c>
      <c r="O2750" s="14">
        <v>0</v>
      </c>
      <c r="P2750" s="14">
        <v>1438</v>
      </c>
      <c r="Q2750">
        <v>10122</v>
      </c>
      <c r="R2750">
        <v>1136</v>
      </c>
      <c r="S2750">
        <v>1564</v>
      </c>
    </row>
    <row r="2751" spans="11:19" x14ac:dyDescent="0.3">
      <c r="K2751" s="16">
        <f t="shared" si="42"/>
        <v>44130</v>
      </c>
      <c r="L2751" s="17">
        <v>0.54166666666666663</v>
      </c>
      <c r="M2751" s="14">
        <v>396</v>
      </c>
      <c r="N2751" s="14">
        <v>0</v>
      </c>
      <c r="O2751" s="14">
        <v>0</v>
      </c>
      <c r="P2751" s="14">
        <v>396</v>
      </c>
      <c r="Q2751">
        <v>9947</v>
      </c>
      <c r="R2751">
        <v>980</v>
      </c>
      <c r="S2751">
        <v>1657</v>
      </c>
    </row>
    <row r="2752" spans="11:19" x14ac:dyDescent="0.3">
      <c r="K2752" s="16">
        <f t="shared" si="42"/>
        <v>44130</v>
      </c>
      <c r="L2752" s="17">
        <v>0.58333333333333337</v>
      </c>
      <c r="M2752" s="14">
        <v>396</v>
      </c>
      <c r="N2752" s="14">
        <v>0</v>
      </c>
      <c r="O2752" s="14">
        <v>0</v>
      </c>
      <c r="P2752" s="14">
        <v>396</v>
      </c>
      <c r="Q2752">
        <v>9759</v>
      </c>
      <c r="R2752">
        <v>981</v>
      </c>
      <c r="S2752">
        <v>1584</v>
      </c>
    </row>
    <row r="2753" spans="11:19" x14ac:dyDescent="0.3">
      <c r="K2753" s="16">
        <f t="shared" si="42"/>
        <v>44130</v>
      </c>
      <c r="L2753" s="17">
        <v>0.625</v>
      </c>
      <c r="M2753" s="14">
        <v>396</v>
      </c>
      <c r="N2753" s="14">
        <v>0</v>
      </c>
      <c r="O2753" s="14">
        <v>0</v>
      </c>
      <c r="P2753" s="14">
        <v>396</v>
      </c>
      <c r="Q2753">
        <v>9452</v>
      </c>
      <c r="R2753">
        <v>1173</v>
      </c>
      <c r="S2753">
        <v>1345</v>
      </c>
    </row>
    <row r="2754" spans="11:19" x14ac:dyDescent="0.3">
      <c r="K2754" s="16">
        <f t="shared" si="42"/>
        <v>44130</v>
      </c>
      <c r="L2754" s="17">
        <v>0.66666666666666663</v>
      </c>
      <c r="M2754" s="14">
        <v>396</v>
      </c>
      <c r="N2754" s="14">
        <v>1042</v>
      </c>
      <c r="O2754" s="14">
        <v>0</v>
      </c>
      <c r="P2754" s="14">
        <v>1438</v>
      </c>
      <c r="Q2754">
        <v>9218</v>
      </c>
      <c r="R2754">
        <v>1149</v>
      </c>
      <c r="S2754">
        <v>886</v>
      </c>
    </row>
    <row r="2755" spans="11:19" x14ac:dyDescent="0.3">
      <c r="K2755" s="16">
        <f t="shared" si="42"/>
        <v>44130</v>
      </c>
      <c r="L2755" s="17">
        <v>0.70833333333333337</v>
      </c>
      <c r="M2755" s="14">
        <v>396</v>
      </c>
      <c r="N2755" s="14">
        <v>0</v>
      </c>
      <c r="O2755" s="14">
        <v>0</v>
      </c>
      <c r="P2755" s="14">
        <v>396</v>
      </c>
      <c r="Q2755">
        <v>9113</v>
      </c>
      <c r="R2755">
        <v>1238</v>
      </c>
      <c r="S2755">
        <v>367</v>
      </c>
    </row>
    <row r="2756" spans="11:19" x14ac:dyDescent="0.3">
      <c r="K2756" s="16">
        <f t="shared" si="42"/>
        <v>44130</v>
      </c>
      <c r="L2756" s="17">
        <v>0.75</v>
      </c>
      <c r="M2756" s="14">
        <v>396</v>
      </c>
      <c r="N2756" s="14">
        <v>0</v>
      </c>
      <c r="O2756" s="14">
        <v>0</v>
      </c>
      <c r="P2756" s="14">
        <v>396</v>
      </c>
      <c r="Q2756">
        <v>9578</v>
      </c>
      <c r="R2756">
        <v>1271</v>
      </c>
      <c r="S2756">
        <v>57</v>
      </c>
    </row>
    <row r="2757" spans="11:19" x14ac:dyDescent="0.3">
      <c r="K2757" s="16">
        <f t="shared" si="42"/>
        <v>44130</v>
      </c>
      <c r="L2757" s="17">
        <v>0.79166666666666663</v>
      </c>
      <c r="M2757" s="14">
        <v>396</v>
      </c>
      <c r="N2757" s="14">
        <v>0</v>
      </c>
      <c r="O2757" s="14">
        <v>0</v>
      </c>
      <c r="P2757" s="14">
        <v>396</v>
      </c>
      <c r="Q2757">
        <v>10195</v>
      </c>
      <c r="R2757">
        <v>1496</v>
      </c>
      <c r="S2757">
        <v>0</v>
      </c>
    </row>
    <row r="2758" spans="11:19" x14ac:dyDescent="0.3">
      <c r="K2758" s="16">
        <f t="shared" si="42"/>
        <v>44130</v>
      </c>
      <c r="L2758" s="17">
        <v>0.83333333333333337</v>
      </c>
      <c r="M2758" s="14">
        <v>396</v>
      </c>
      <c r="N2758" s="14">
        <v>1042</v>
      </c>
      <c r="O2758" s="14">
        <v>0</v>
      </c>
      <c r="P2758" s="14">
        <v>1438</v>
      </c>
      <c r="Q2758">
        <v>9389</v>
      </c>
      <c r="R2758">
        <v>1562</v>
      </c>
      <c r="S2758">
        <v>0</v>
      </c>
    </row>
    <row r="2759" spans="11:19" x14ac:dyDescent="0.3">
      <c r="K2759" s="16">
        <f t="shared" si="42"/>
        <v>44130</v>
      </c>
      <c r="L2759" s="17">
        <v>0.875</v>
      </c>
      <c r="M2759" s="14">
        <v>396</v>
      </c>
      <c r="N2759" s="14">
        <v>0</v>
      </c>
      <c r="O2759" s="14">
        <v>0</v>
      </c>
      <c r="P2759" s="14">
        <v>396</v>
      </c>
      <c r="Q2759">
        <v>8701</v>
      </c>
      <c r="R2759">
        <v>1571</v>
      </c>
      <c r="S2759">
        <v>0</v>
      </c>
    </row>
    <row r="2760" spans="11:19" x14ac:dyDescent="0.3">
      <c r="K2760" s="16">
        <f t="shared" si="42"/>
        <v>44130</v>
      </c>
      <c r="L2760" s="17">
        <v>0.91666666666666663</v>
      </c>
      <c r="M2760" s="14">
        <v>396</v>
      </c>
      <c r="N2760" s="14">
        <v>1042</v>
      </c>
      <c r="O2760" s="14">
        <v>0</v>
      </c>
      <c r="P2760" s="14">
        <v>1438</v>
      </c>
      <c r="Q2760">
        <v>8869</v>
      </c>
      <c r="R2760">
        <v>1523</v>
      </c>
      <c r="S2760">
        <v>0</v>
      </c>
    </row>
    <row r="2761" spans="11:19" x14ac:dyDescent="0.3">
      <c r="K2761" s="16">
        <f t="shared" si="42"/>
        <v>44130</v>
      </c>
      <c r="L2761" s="17">
        <v>0.95833333333333337</v>
      </c>
      <c r="M2761" s="14">
        <v>396</v>
      </c>
      <c r="N2761" s="14">
        <v>1042</v>
      </c>
      <c r="O2761" s="14">
        <v>0</v>
      </c>
      <c r="P2761" s="14">
        <v>1438</v>
      </c>
      <c r="Q2761">
        <v>9023</v>
      </c>
      <c r="R2761">
        <v>1296</v>
      </c>
      <c r="S2761">
        <v>0</v>
      </c>
    </row>
    <row r="2762" spans="11:19" x14ac:dyDescent="0.3">
      <c r="K2762" s="16">
        <f t="shared" si="42"/>
        <v>44131</v>
      </c>
      <c r="L2762" s="17">
        <v>0</v>
      </c>
      <c r="M2762" s="14">
        <v>396</v>
      </c>
      <c r="N2762" s="14">
        <v>1148</v>
      </c>
      <c r="O2762" s="14">
        <v>0</v>
      </c>
      <c r="P2762" s="14">
        <v>1544</v>
      </c>
      <c r="Q2762">
        <v>8489</v>
      </c>
      <c r="R2762">
        <v>1408</v>
      </c>
      <c r="S2762">
        <v>0</v>
      </c>
    </row>
    <row r="2763" spans="11:19" x14ac:dyDescent="0.3">
      <c r="K2763" s="16">
        <f t="shared" si="42"/>
        <v>44131</v>
      </c>
      <c r="L2763" s="17">
        <v>4.1666666666666664E-2</v>
      </c>
      <c r="M2763" s="14">
        <v>396</v>
      </c>
      <c r="N2763" s="14">
        <v>0</v>
      </c>
      <c r="O2763" s="14">
        <v>0</v>
      </c>
      <c r="P2763" s="14">
        <v>396</v>
      </c>
      <c r="Q2763">
        <v>8105</v>
      </c>
      <c r="R2763">
        <v>1327</v>
      </c>
      <c r="S2763">
        <v>0</v>
      </c>
    </row>
    <row r="2764" spans="11:19" x14ac:dyDescent="0.3">
      <c r="K2764" s="16">
        <f t="shared" si="42"/>
        <v>44131</v>
      </c>
      <c r="L2764" s="17">
        <v>8.3333333333333329E-2</v>
      </c>
      <c r="M2764" s="14">
        <v>396</v>
      </c>
      <c r="N2764" s="14">
        <v>0</v>
      </c>
      <c r="O2764" s="14">
        <v>0</v>
      </c>
      <c r="P2764" s="14">
        <v>396</v>
      </c>
      <c r="Q2764">
        <v>7807</v>
      </c>
      <c r="R2764">
        <v>1190</v>
      </c>
      <c r="S2764">
        <v>0</v>
      </c>
    </row>
    <row r="2765" spans="11:19" x14ac:dyDescent="0.3">
      <c r="K2765" s="16">
        <f t="shared" si="42"/>
        <v>44131</v>
      </c>
      <c r="L2765" s="17">
        <v>0.125</v>
      </c>
      <c r="M2765" s="14">
        <v>396</v>
      </c>
      <c r="N2765" s="14">
        <v>0</v>
      </c>
      <c r="O2765" s="14">
        <v>0</v>
      </c>
      <c r="P2765" s="14">
        <v>396</v>
      </c>
      <c r="Q2765">
        <v>7428</v>
      </c>
      <c r="R2765">
        <v>974</v>
      </c>
      <c r="S2765">
        <v>0</v>
      </c>
    </row>
    <row r="2766" spans="11:19" x14ac:dyDescent="0.3">
      <c r="K2766" s="16">
        <f t="shared" si="42"/>
        <v>44131</v>
      </c>
      <c r="L2766" s="17">
        <v>0.16666666666666666</v>
      </c>
      <c r="M2766" s="14">
        <v>396</v>
      </c>
      <c r="N2766" s="14">
        <v>0</v>
      </c>
      <c r="O2766" s="14">
        <v>0</v>
      </c>
      <c r="P2766" s="14">
        <v>396</v>
      </c>
      <c r="Q2766">
        <v>7381</v>
      </c>
      <c r="R2766">
        <v>950</v>
      </c>
      <c r="S2766">
        <v>0</v>
      </c>
    </row>
    <row r="2767" spans="11:19" x14ac:dyDescent="0.3">
      <c r="K2767" s="16">
        <f t="shared" si="42"/>
        <v>44131</v>
      </c>
      <c r="L2767" s="17">
        <v>0.20833333333333334</v>
      </c>
      <c r="M2767" s="14">
        <v>396</v>
      </c>
      <c r="N2767" s="14">
        <v>0</v>
      </c>
      <c r="O2767" s="14">
        <v>0</v>
      </c>
      <c r="P2767" s="14">
        <v>396</v>
      </c>
      <c r="Q2767">
        <v>7825</v>
      </c>
      <c r="R2767">
        <v>896</v>
      </c>
      <c r="S2767">
        <v>0</v>
      </c>
    </row>
    <row r="2768" spans="11:19" x14ac:dyDescent="0.3">
      <c r="K2768" s="16">
        <f t="shared" si="42"/>
        <v>44131</v>
      </c>
      <c r="L2768" s="17">
        <v>0.25</v>
      </c>
      <c r="M2768" s="14">
        <v>396</v>
      </c>
      <c r="N2768" s="14">
        <v>0</v>
      </c>
      <c r="O2768" s="14">
        <v>0</v>
      </c>
      <c r="P2768" s="14">
        <v>396</v>
      </c>
      <c r="Q2768">
        <v>8765</v>
      </c>
      <c r="R2768">
        <v>895</v>
      </c>
      <c r="S2768">
        <v>0</v>
      </c>
    </row>
    <row r="2769" spans="11:19" x14ac:dyDescent="0.3">
      <c r="K2769" s="16">
        <f t="shared" si="42"/>
        <v>44131</v>
      </c>
      <c r="L2769" s="17">
        <v>0.29166666666666669</v>
      </c>
      <c r="M2769" s="14">
        <v>396</v>
      </c>
      <c r="N2769" s="14">
        <v>0</v>
      </c>
      <c r="O2769" s="14">
        <v>0</v>
      </c>
      <c r="P2769" s="14">
        <v>396</v>
      </c>
      <c r="Q2769">
        <v>9659</v>
      </c>
      <c r="R2769">
        <v>886</v>
      </c>
      <c r="S2769">
        <v>0</v>
      </c>
    </row>
    <row r="2770" spans="11:19" x14ac:dyDescent="0.3">
      <c r="K2770" s="16">
        <f t="shared" si="42"/>
        <v>44131</v>
      </c>
      <c r="L2770" s="17">
        <v>0.33333333333333331</v>
      </c>
      <c r="M2770" s="14">
        <v>396</v>
      </c>
      <c r="N2770" s="14">
        <v>421</v>
      </c>
      <c r="O2770" s="14">
        <v>0</v>
      </c>
      <c r="P2770" s="14">
        <v>817</v>
      </c>
      <c r="Q2770">
        <v>10099</v>
      </c>
      <c r="R2770">
        <v>857</v>
      </c>
      <c r="S2770">
        <v>37</v>
      </c>
    </row>
    <row r="2771" spans="11:19" x14ac:dyDescent="0.3">
      <c r="K2771" s="16">
        <f t="shared" si="42"/>
        <v>44131</v>
      </c>
      <c r="L2771" s="17">
        <v>0.375</v>
      </c>
      <c r="M2771" s="14">
        <v>396</v>
      </c>
      <c r="N2771" s="14">
        <v>1546</v>
      </c>
      <c r="O2771" s="14">
        <v>0</v>
      </c>
      <c r="P2771" s="14">
        <v>1942</v>
      </c>
      <c r="Q2771">
        <v>10351</v>
      </c>
      <c r="R2771">
        <v>853</v>
      </c>
      <c r="S2771">
        <v>298</v>
      </c>
    </row>
    <row r="2772" spans="11:19" x14ac:dyDescent="0.3">
      <c r="K2772" s="16">
        <f t="shared" si="42"/>
        <v>44131</v>
      </c>
      <c r="L2772" s="17">
        <v>0.41666666666666669</v>
      </c>
      <c r="M2772" s="14">
        <v>396</v>
      </c>
      <c r="N2772" s="14">
        <v>80</v>
      </c>
      <c r="O2772" s="14">
        <v>0</v>
      </c>
      <c r="P2772" s="14">
        <v>476</v>
      </c>
      <c r="Q2772">
        <v>10404</v>
      </c>
      <c r="R2772">
        <v>808</v>
      </c>
      <c r="S2772">
        <v>732</v>
      </c>
    </row>
    <row r="2773" spans="11:19" x14ac:dyDescent="0.3">
      <c r="K2773" s="16">
        <f t="shared" si="42"/>
        <v>44131</v>
      </c>
      <c r="L2773" s="17">
        <v>0.45833333333333331</v>
      </c>
      <c r="M2773" s="14">
        <v>396</v>
      </c>
      <c r="N2773" s="14">
        <v>0</v>
      </c>
      <c r="O2773" s="14">
        <v>0</v>
      </c>
      <c r="P2773" s="14">
        <v>396</v>
      </c>
      <c r="Q2773">
        <v>10509</v>
      </c>
      <c r="R2773">
        <v>776</v>
      </c>
      <c r="S2773">
        <v>1143</v>
      </c>
    </row>
    <row r="2774" spans="11:19" x14ac:dyDescent="0.3">
      <c r="K2774" s="16">
        <f t="shared" si="42"/>
        <v>44131</v>
      </c>
      <c r="L2774" s="17">
        <v>0.5</v>
      </c>
      <c r="M2774" s="14">
        <v>396</v>
      </c>
      <c r="N2774" s="14">
        <v>1546</v>
      </c>
      <c r="O2774" s="14">
        <v>0</v>
      </c>
      <c r="P2774" s="14">
        <v>1942</v>
      </c>
      <c r="Q2774">
        <v>10466</v>
      </c>
      <c r="R2774">
        <v>816</v>
      </c>
      <c r="S2774">
        <v>1382</v>
      </c>
    </row>
    <row r="2775" spans="11:19" x14ac:dyDescent="0.3">
      <c r="K2775" s="16">
        <f t="shared" si="42"/>
        <v>44131</v>
      </c>
      <c r="L2775" s="17">
        <v>0.54166666666666663</v>
      </c>
      <c r="M2775" s="14">
        <v>396</v>
      </c>
      <c r="N2775" s="14">
        <v>0</v>
      </c>
      <c r="O2775" s="14">
        <v>0</v>
      </c>
      <c r="P2775" s="14">
        <v>396</v>
      </c>
      <c r="Q2775">
        <v>10240</v>
      </c>
      <c r="R2775">
        <v>760</v>
      </c>
      <c r="S2775">
        <v>1479</v>
      </c>
    </row>
    <row r="2776" spans="11:19" x14ac:dyDescent="0.3">
      <c r="K2776" s="16">
        <f t="shared" si="42"/>
        <v>44131</v>
      </c>
      <c r="L2776" s="17">
        <v>0.58333333333333337</v>
      </c>
      <c r="M2776" s="14">
        <v>396</v>
      </c>
      <c r="N2776" s="14">
        <v>0</v>
      </c>
      <c r="O2776" s="14">
        <v>0</v>
      </c>
      <c r="P2776" s="14">
        <v>396</v>
      </c>
      <c r="Q2776">
        <v>10038</v>
      </c>
      <c r="R2776">
        <v>686</v>
      </c>
      <c r="S2776">
        <v>1365</v>
      </c>
    </row>
    <row r="2777" spans="11:19" x14ac:dyDescent="0.3">
      <c r="K2777" s="16">
        <f t="shared" si="42"/>
        <v>44131</v>
      </c>
      <c r="L2777" s="17">
        <v>0.625</v>
      </c>
      <c r="M2777" s="14">
        <v>396</v>
      </c>
      <c r="N2777" s="14">
        <v>0</v>
      </c>
      <c r="O2777" s="14">
        <v>0</v>
      </c>
      <c r="P2777" s="14">
        <v>396</v>
      </c>
      <c r="Q2777">
        <v>9718</v>
      </c>
      <c r="R2777">
        <v>723</v>
      </c>
      <c r="S2777">
        <v>1160</v>
      </c>
    </row>
    <row r="2778" spans="11:19" x14ac:dyDescent="0.3">
      <c r="K2778" s="16">
        <f t="shared" si="42"/>
        <v>44131</v>
      </c>
      <c r="L2778" s="17">
        <v>0.66666666666666663</v>
      </c>
      <c r="M2778" s="14">
        <v>396</v>
      </c>
      <c r="N2778" s="14">
        <v>1546</v>
      </c>
      <c r="O2778" s="14">
        <v>0</v>
      </c>
      <c r="P2778" s="14">
        <v>1942</v>
      </c>
      <c r="Q2778">
        <v>9504</v>
      </c>
      <c r="R2778">
        <v>716</v>
      </c>
      <c r="S2778">
        <v>793</v>
      </c>
    </row>
    <row r="2779" spans="11:19" x14ac:dyDescent="0.3">
      <c r="K2779" s="16">
        <f t="shared" ref="K2779:K2842" si="43">K2755+1</f>
        <v>44131</v>
      </c>
      <c r="L2779" s="17">
        <v>0.70833333333333337</v>
      </c>
      <c r="M2779" s="14">
        <v>396</v>
      </c>
      <c r="N2779" s="14">
        <v>1546</v>
      </c>
      <c r="O2779" s="14">
        <v>0</v>
      </c>
      <c r="P2779" s="14">
        <v>1942</v>
      </c>
      <c r="Q2779">
        <v>9463</v>
      </c>
      <c r="R2779">
        <v>756</v>
      </c>
      <c r="S2779">
        <v>327</v>
      </c>
    </row>
    <row r="2780" spans="11:19" x14ac:dyDescent="0.3">
      <c r="K2780" s="16">
        <f t="shared" si="43"/>
        <v>44131</v>
      </c>
      <c r="L2780" s="17">
        <v>0.75</v>
      </c>
      <c r="M2780" s="14">
        <v>396</v>
      </c>
      <c r="N2780" s="14">
        <v>280</v>
      </c>
      <c r="O2780" s="14">
        <v>0</v>
      </c>
      <c r="P2780" s="14">
        <v>676</v>
      </c>
      <c r="Q2780">
        <v>10022</v>
      </c>
      <c r="R2780">
        <v>910</v>
      </c>
      <c r="S2780">
        <v>44</v>
      </c>
    </row>
    <row r="2781" spans="11:19" x14ac:dyDescent="0.3">
      <c r="K2781" s="16">
        <f t="shared" si="43"/>
        <v>44131</v>
      </c>
      <c r="L2781" s="17">
        <v>0.79166666666666663</v>
      </c>
      <c r="M2781" s="14">
        <v>396</v>
      </c>
      <c r="N2781" s="14">
        <v>967</v>
      </c>
      <c r="O2781" s="14">
        <v>0</v>
      </c>
      <c r="P2781" s="14">
        <v>1363</v>
      </c>
      <c r="Q2781">
        <v>10631</v>
      </c>
      <c r="R2781">
        <v>884</v>
      </c>
      <c r="S2781">
        <v>0</v>
      </c>
    </row>
    <row r="2782" spans="11:19" x14ac:dyDescent="0.3">
      <c r="K2782" s="16">
        <f t="shared" si="43"/>
        <v>44131</v>
      </c>
      <c r="L2782" s="17">
        <v>0.83333333333333337</v>
      </c>
      <c r="M2782" s="14">
        <v>396</v>
      </c>
      <c r="N2782" s="14">
        <v>19</v>
      </c>
      <c r="O2782" s="14">
        <v>0</v>
      </c>
      <c r="P2782" s="14">
        <v>415</v>
      </c>
      <c r="Q2782">
        <v>9779</v>
      </c>
      <c r="R2782">
        <v>994</v>
      </c>
      <c r="S2782">
        <v>0</v>
      </c>
    </row>
    <row r="2783" spans="11:19" x14ac:dyDescent="0.3">
      <c r="K2783" s="16">
        <f t="shared" si="43"/>
        <v>44131</v>
      </c>
      <c r="L2783" s="17">
        <v>0.875</v>
      </c>
      <c r="M2783" s="14">
        <v>396</v>
      </c>
      <c r="N2783" s="14">
        <v>0</v>
      </c>
      <c r="O2783" s="14">
        <v>0</v>
      </c>
      <c r="P2783" s="14">
        <v>396</v>
      </c>
      <c r="Q2783">
        <v>9074</v>
      </c>
      <c r="R2783">
        <v>870</v>
      </c>
      <c r="S2783">
        <v>0</v>
      </c>
    </row>
    <row r="2784" spans="11:19" x14ac:dyDescent="0.3">
      <c r="K2784" s="16">
        <f t="shared" si="43"/>
        <v>44131</v>
      </c>
      <c r="L2784" s="17">
        <v>0.91666666666666663</v>
      </c>
      <c r="M2784" s="14">
        <v>396</v>
      </c>
      <c r="N2784" s="14">
        <v>1546</v>
      </c>
      <c r="O2784" s="14">
        <v>0</v>
      </c>
      <c r="P2784" s="14">
        <v>1942</v>
      </c>
      <c r="Q2784">
        <v>9247</v>
      </c>
      <c r="R2784">
        <v>994</v>
      </c>
      <c r="S2784">
        <v>0</v>
      </c>
    </row>
    <row r="2785" spans="11:19" x14ac:dyDescent="0.3">
      <c r="K2785" s="16">
        <f t="shared" si="43"/>
        <v>44131</v>
      </c>
      <c r="L2785" s="17">
        <v>0.95833333333333337</v>
      </c>
      <c r="M2785" s="14">
        <v>396</v>
      </c>
      <c r="N2785" s="14">
        <v>0</v>
      </c>
      <c r="O2785" s="14">
        <v>0</v>
      </c>
      <c r="P2785" s="14">
        <v>396</v>
      </c>
      <c r="Q2785">
        <v>9374</v>
      </c>
      <c r="R2785">
        <v>1003</v>
      </c>
      <c r="S2785">
        <v>0</v>
      </c>
    </row>
    <row r="2786" spans="11:19" x14ac:dyDescent="0.3">
      <c r="K2786" s="16">
        <f t="shared" si="43"/>
        <v>44132</v>
      </c>
      <c r="L2786" s="17">
        <v>0</v>
      </c>
      <c r="M2786" s="14">
        <v>396</v>
      </c>
      <c r="N2786" s="14">
        <v>1429</v>
      </c>
      <c r="O2786" s="14">
        <v>0</v>
      </c>
      <c r="P2786" s="14">
        <v>1825</v>
      </c>
      <c r="Q2786">
        <v>8708</v>
      </c>
      <c r="R2786">
        <v>908</v>
      </c>
      <c r="S2786">
        <v>0</v>
      </c>
    </row>
    <row r="2787" spans="11:19" x14ac:dyDescent="0.3">
      <c r="K2787" s="16">
        <f t="shared" si="43"/>
        <v>44132</v>
      </c>
      <c r="L2787" s="17">
        <v>4.1666666666666664E-2</v>
      </c>
      <c r="M2787" s="14">
        <v>396</v>
      </c>
      <c r="N2787" s="14">
        <v>0</v>
      </c>
      <c r="O2787" s="14">
        <v>0</v>
      </c>
      <c r="P2787" s="14">
        <v>396</v>
      </c>
      <c r="Q2787">
        <v>8321</v>
      </c>
      <c r="R2787">
        <v>902</v>
      </c>
      <c r="S2787">
        <v>0</v>
      </c>
    </row>
    <row r="2788" spans="11:19" x14ac:dyDescent="0.3">
      <c r="K2788" s="16">
        <f t="shared" si="43"/>
        <v>44132</v>
      </c>
      <c r="L2788" s="17">
        <v>8.3333333333333329E-2</v>
      </c>
      <c r="M2788" s="14">
        <v>396</v>
      </c>
      <c r="N2788" s="14">
        <v>929</v>
      </c>
      <c r="O2788" s="14">
        <v>0</v>
      </c>
      <c r="P2788" s="14">
        <v>1325</v>
      </c>
      <c r="Q2788">
        <v>8021</v>
      </c>
      <c r="R2788">
        <v>920</v>
      </c>
      <c r="S2788">
        <v>0</v>
      </c>
    </row>
    <row r="2789" spans="11:19" x14ac:dyDescent="0.3">
      <c r="K2789" s="16">
        <f t="shared" si="43"/>
        <v>44132</v>
      </c>
      <c r="L2789" s="17">
        <v>0.125</v>
      </c>
      <c r="M2789" s="14">
        <v>396</v>
      </c>
      <c r="N2789" s="14">
        <v>0</v>
      </c>
      <c r="O2789" s="14">
        <v>0</v>
      </c>
      <c r="P2789" s="14">
        <v>396</v>
      </c>
      <c r="Q2789">
        <v>7637</v>
      </c>
      <c r="R2789">
        <v>905</v>
      </c>
      <c r="S2789">
        <v>0</v>
      </c>
    </row>
    <row r="2790" spans="11:19" x14ac:dyDescent="0.3">
      <c r="K2790" s="16">
        <f t="shared" si="43"/>
        <v>44132</v>
      </c>
      <c r="L2790" s="17">
        <v>0.16666666666666666</v>
      </c>
      <c r="M2790" s="14">
        <v>396</v>
      </c>
      <c r="N2790" s="14">
        <v>0</v>
      </c>
      <c r="O2790" s="14">
        <v>0</v>
      </c>
      <c r="P2790" s="14">
        <v>396</v>
      </c>
      <c r="Q2790">
        <v>7592</v>
      </c>
      <c r="R2790">
        <v>895</v>
      </c>
      <c r="S2790">
        <v>0</v>
      </c>
    </row>
    <row r="2791" spans="11:19" x14ac:dyDescent="0.3">
      <c r="K2791" s="16">
        <f t="shared" si="43"/>
        <v>44132</v>
      </c>
      <c r="L2791" s="17">
        <v>0.20833333333333334</v>
      </c>
      <c r="M2791" s="14">
        <v>396</v>
      </c>
      <c r="N2791" s="14">
        <v>0</v>
      </c>
      <c r="O2791" s="14">
        <v>0</v>
      </c>
      <c r="P2791" s="14">
        <v>396</v>
      </c>
      <c r="Q2791">
        <v>8052</v>
      </c>
      <c r="R2791">
        <v>985</v>
      </c>
      <c r="S2791">
        <v>0</v>
      </c>
    </row>
    <row r="2792" spans="11:19" x14ac:dyDescent="0.3">
      <c r="K2792" s="16">
        <f t="shared" si="43"/>
        <v>44132</v>
      </c>
      <c r="L2792" s="17">
        <v>0.25</v>
      </c>
      <c r="M2792" s="14">
        <v>396</v>
      </c>
      <c r="N2792" s="14">
        <v>0</v>
      </c>
      <c r="O2792" s="14">
        <v>0</v>
      </c>
      <c r="P2792" s="14">
        <v>396</v>
      </c>
      <c r="Q2792">
        <v>9002</v>
      </c>
      <c r="R2792">
        <v>1163</v>
      </c>
      <c r="S2792">
        <v>0</v>
      </c>
    </row>
    <row r="2793" spans="11:19" x14ac:dyDescent="0.3">
      <c r="K2793" s="16">
        <f t="shared" si="43"/>
        <v>44132</v>
      </c>
      <c r="L2793" s="17">
        <v>0.29166666666666669</v>
      </c>
      <c r="M2793" s="14">
        <v>396</v>
      </c>
      <c r="N2793" s="14">
        <v>1429</v>
      </c>
      <c r="O2793" s="14">
        <v>0</v>
      </c>
      <c r="P2793" s="14">
        <v>1825</v>
      </c>
      <c r="Q2793">
        <v>9895</v>
      </c>
      <c r="R2793">
        <v>1227</v>
      </c>
      <c r="S2793">
        <v>0</v>
      </c>
    </row>
    <row r="2794" spans="11:19" x14ac:dyDescent="0.3">
      <c r="K2794" s="16">
        <f t="shared" si="43"/>
        <v>44132</v>
      </c>
      <c r="L2794" s="17">
        <v>0.33333333333333331</v>
      </c>
      <c r="M2794" s="14">
        <v>396</v>
      </c>
      <c r="N2794" s="14">
        <v>523</v>
      </c>
      <c r="O2794" s="14">
        <v>0</v>
      </c>
      <c r="P2794" s="14">
        <v>919</v>
      </c>
      <c r="Q2794">
        <v>10307</v>
      </c>
      <c r="R2794">
        <v>966</v>
      </c>
      <c r="S2794">
        <v>33</v>
      </c>
    </row>
    <row r="2795" spans="11:19" x14ac:dyDescent="0.3">
      <c r="K2795" s="16">
        <f t="shared" si="43"/>
        <v>44132</v>
      </c>
      <c r="L2795" s="17">
        <v>0.375</v>
      </c>
      <c r="M2795" s="14">
        <v>396</v>
      </c>
      <c r="N2795" s="14">
        <v>537</v>
      </c>
      <c r="O2795" s="14">
        <v>0</v>
      </c>
      <c r="P2795" s="14">
        <v>933</v>
      </c>
      <c r="Q2795">
        <v>10524</v>
      </c>
      <c r="R2795">
        <v>930</v>
      </c>
      <c r="S2795">
        <v>272</v>
      </c>
    </row>
    <row r="2796" spans="11:19" x14ac:dyDescent="0.3">
      <c r="K2796" s="16">
        <f t="shared" si="43"/>
        <v>44132</v>
      </c>
      <c r="L2796" s="17">
        <v>0.41666666666666669</v>
      </c>
      <c r="M2796" s="14">
        <v>396</v>
      </c>
      <c r="N2796" s="14">
        <v>136</v>
      </c>
      <c r="O2796" s="14">
        <v>0</v>
      </c>
      <c r="P2796" s="14">
        <v>532</v>
      </c>
      <c r="Q2796">
        <v>10543</v>
      </c>
      <c r="R2796">
        <v>925</v>
      </c>
      <c r="S2796">
        <v>697</v>
      </c>
    </row>
    <row r="2797" spans="11:19" x14ac:dyDescent="0.3">
      <c r="K2797" s="16">
        <f t="shared" si="43"/>
        <v>44132</v>
      </c>
      <c r="L2797" s="17">
        <v>0.45833333333333331</v>
      </c>
      <c r="M2797" s="14">
        <v>396</v>
      </c>
      <c r="N2797" s="14">
        <v>0</v>
      </c>
      <c r="O2797" s="14">
        <v>0</v>
      </c>
      <c r="P2797" s="14">
        <v>396</v>
      </c>
      <c r="Q2797">
        <v>10619</v>
      </c>
      <c r="R2797">
        <v>924</v>
      </c>
      <c r="S2797">
        <v>1105</v>
      </c>
    </row>
    <row r="2798" spans="11:19" x14ac:dyDescent="0.3">
      <c r="K2798" s="16">
        <f t="shared" si="43"/>
        <v>44132</v>
      </c>
      <c r="L2798" s="17">
        <v>0.5</v>
      </c>
      <c r="M2798" s="14">
        <v>396</v>
      </c>
      <c r="N2798" s="14">
        <v>1429</v>
      </c>
      <c r="O2798" s="14">
        <v>0</v>
      </c>
      <c r="P2798" s="14">
        <v>1825</v>
      </c>
      <c r="Q2798">
        <v>10559</v>
      </c>
      <c r="R2798">
        <v>1102</v>
      </c>
      <c r="S2798">
        <v>1350</v>
      </c>
    </row>
    <row r="2799" spans="11:19" x14ac:dyDescent="0.3">
      <c r="K2799" s="16">
        <f t="shared" si="43"/>
        <v>44132</v>
      </c>
      <c r="L2799" s="17">
        <v>0.54166666666666663</v>
      </c>
      <c r="M2799" s="14">
        <v>396</v>
      </c>
      <c r="N2799" s="14">
        <v>0</v>
      </c>
      <c r="O2799" s="14">
        <v>0</v>
      </c>
      <c r="P2799" s="14">
        <v>396</v>
      </c>
      <c r="Q2799">
        <v>10323</v>
      </c>
      <c r="R2799">
        <v>1138</v>
      </c>
      <c r="S2799">
        <v>1424</v>
      </c>
    </row>
    <row r="2800" spans="11:19" x14ac:dyDescent="0.3">
      <c r="K2800" s="16">
        <f t="shared" si="43"/>
        <v>44132</v>
      </c>
      <c r="L2800" s="17">
        <v>0.58333333333333337</v>
      </c>
      <c r="M2800" s="14">
        <v>396</v>
      </c>
      <c r="N2800" s="14">
        <v>0</v>
      </c>
      <c r="O2800" s="14">
        <v>0</v>
      </c>
      <c r="P2800" s="14">
        <v>396</v>
      </c>
      <c r="Q2800">
        <v>10096</v>
      </c>
      <c r="R2800">
        <v>1110</v>
      </c>
      <c r="S2800">
        <v>1305</v>
      </c>
    </row>
    <row r="2801" spans="11:19" x14ac:dyDescent="0.3">
      <c r="K2801" s="16">
        <f t="shared" si="43"/>
        <v>44132</v>
      </c>
      <c r="L2801" s="17">
        <v>0.625</v>
      </c>
      <c r="M2801" s="14">
        <v>396</v>
      </c>
      <c r="N2801" s="14">
        <v>0</v>
      </c>
      <c r="O2801" s="14">
        <v>0</v>
      </c>
      <c r="P2801" s="14">
        <v>396</v>
      </c>
      <c r="Q2801">
        <v>9764</v>
      </c>
      <c r="R2801">
        <v>1103</v>
      </c>
      <c r="S2801">
        <v>1107</v>
      </c>
    </row>
    <row r="2802" spans="11:19" x14ac:dyDescent="0.3">
      <c r="K2802" s="16">
        <f t="shared" si="43"/>
        <v>44132</v>
      </c>
      <c r="L2802" s="17">
        <v>0.66666666666666663</v>
      </c>
      <c r="M2802" s="14">
        <v>396</v>
      </c>
      <c r="N2802" s="14">
        <v>0</v>
      </c>
      <c r="O2802" s="14">
        <v>0</v>
      </c>
      <c r="P2802" s="14">
        <v>396</v>
      </c>
      <c r="Q2802">
        <v>9537</v>
      </c>
      <c r="R2802">
        <v>1242</v>
      </c>
      <c r="S2802">
        <v>781</v>
      </c>
    </row>
    <row r="2803" spans="11:19" x14ac:dyDescent="0.3">
      <c r="K2803" s="16">
        <f t="shared" si="43"/>
        <v>44132</v>
      </c>
      <c r="L2803" s="17">
        <v>0.70833333333333337</v>
      </c>
      <c r="M2803" s="14">
        <v>396</v>
      </c>
      <c r="N2803" s="14">
        <v>1395</v>
      </c>
      <c r="O2803" s="14">
        <v>0</v>
      </c>
      <c r="P2803" s="14">
        <v>1791</v>
      </c>
      <c r="Q2803">
        <v>9471</v>
      </c>
      <c r="R2803">
        <v>1611</v>
      </c>
      <c r="S2803">
        <v>296</v>
      </c>
    </row>
    <row r="2804" spans="11:19" x14ac:dyDescent="0.3">
      <c r="K2804" s="16">
        <f t="shared" si="43"/>
        <v>44132</v>
      </c>
      <c r="L2804" s="17">
        <v>0.75</v>
      </c>
      <c r="M2804" s="14">
        <v>396</v>
      </c>
      <c r="N2804" s="14">
        <v>0</v>
      </c>
      <c r="O2804" s="14">
        <v>0</v>
      </c>
      <c r="P2804" s="14">
        <v>396</v>
      </c>
      <c r="Q2804">
        <v>10018</v>
      </c>
      <c r="R2804">
        <v>1889</v>
      </c>
      <c r="S2804">
        <v>41</v>
      </c>
    </row>
    <row r="2805" spans="11:19" x14ac:dyDescent="0.3">
      <c r="K2805" s="16">
        <f t="shared" si="43"/>
        <v>44132</v>
      </c>
      <c r="L2805" s="17">
        <v>0.79166666666666663</v>
      </c>
      <c r="M2805" s="14">
        <v>396</v>
      </c>
      <c r="N2805" s="14">
        <v>1429</v>
      </c>
      <c r="O2805" s="14">
        <v>0</v>
      </c>
      <c r="P2805" s="14">
        <v>1825</v>
      </c>
      <c r="Q2805">
        <v>10595</v>
      </c>
      <c r="R2805">
        <v>2022</v>
      </c>
      <c r="S2805">
        <v>0</v>
      </c>
    </row>
    <row r="2806" spans="11:19" x14ac:dyDescent="0.3">
      <c r="K2806" s="16">
        <f t="shared" si="43"/>
        <v>44132</v>
      </c>
      <c r="L2806" s="17">
        <v>0.83333333333333337</v>
      </c>
      <c r="M2806" s="14">
        <v>396</v>
      </c>
      <c r="N2806" s="14">
        <v>0</v>
      </c>
      <c r="O2806" s="14">
        <v>0</v>
      </c>
      <c r="P2806" s="14">
        <v>396</v>
      </c>
      <c r="Q2806">
        <v>9779</v>
      </c>
      <c r="R2806">
        <v>1798</v>
      </c>
      <c r="S2806">
        <v>0</v>
      </c>
    </row>
    <row r="2807" spans="11:19" x14ac:dyDescent="0.3">
      <c r="K2807" s="16">
        <f t="shared" si="43"/>
        <v>44132</v>
      </c>
      <c r="L2807" s="17">
        <v>0.875</v>
      </c>
      <c r="M2807" s="14">
        <v>396</v>
      </c>
      <c r="N2807" s="14">
        <v>0</v>
      </c>
      <c r="O2807" s="14">
        <v>0</v>
      </c>
      <c r="P2807" s="14">
        <v>396</v>
      </c>
      <c r="Q2807">
        <v>9117</v>
      </c>
      <c r="R2807">
        <v>1764</v>
      </c>
      <c r="S2807">
        <v>0</v>
      </c>
    </row>
    <row r="2808" spans="11:19" x14ac:dyDescent="0.3">
      <c r="K2808" s="16">
        <f t="shared" si="43"/>
        <v>44132</v>
      </c>
      <c r="L2808" s="17">
        <v>0.91666666666666663</v>
      </c>
      <c r="M2808" s="14">
        <v>396</v>
      </c>
      <c r="N2808" s="14">
        <v>0</v>
      </c>
      <c r="O2808" s="14">
        <v>0</v>
      </c>
      <c r="P2808" s="14">
        <v>396</v>
      </c>
      <c r="Q2808">
        <v>9300</v>
      </c>
      <c r="R2808">
        <v>1730</v>
      </c>
      <c r="S2808">
        <v>0</v>
      </c>
    </row>
    <row r="2809" spans="11:19" x14ac:dyDescent="0.3">
      <c r="K2809" s="16">
        <f t="shared" si="43"/>
        <v>44132</v>
      </c>
      <c r="L2809" s="17">
        <v>0.95833333333333337</v>
      </c>
      <c r="M2809" s="14">
        <v>396</v>
      </c>
      <c r="N2809" s="14">
        <v>0</v>
      </c>
      <c r="O2809" s="14">
        <v>0</v>
      </c>
      <c r="P2809" s="14">
        <v>396</v>
      </c>
      <c r="Q2809">
        <v>9432</v>
      </c>
      <c r="R2809">
        <v>1512</v>
      </c>
      <c r="S2809">
        <v>0</v>
      </c>
    </row>
    <row r="2810" spans="11:19" x14ac:dyDescent="0.3">
      <c r="K2810" s="16">
        <f t="shared" si="43"/>
        <v>44133</v>
      </c>
      <c r="L2810" s="17">
        <v>0</v>
      </c>
      <c r="M2810" s="14">
        <v>396</v>
      </c>
      <c r="N2810" s="14">
        <v>1272</v>
      </c>
      <c r="O2810" s="14">
        <v>0</v>
      </c>
      <c r="P2810" s="14">
        <v>1668</v>
      </c>
      <c r="Q2810">
        <v>8772</v>
      </c>
      <c r="R2810">
        <v>1487</v>
      </c>
      <c r="S2810">
        <v>0</v>
      </c>
    </row>
    <row r="2811" spans="11:19" x14ac:dyDescent="0.3">
      <c r="K2811" s="16">
        <f t="shared" si="43"/>
        <v>44133</v>
      </c>
      <c r="L2811" s="17">
        <v>4.1666666666666664E-2</v>
      </c>
      <c r="M2811" s="14">
        <v>396</v>
      </c>
      <c r="N2811" s="14">
        <v>0</v>
      </c>
      <c r="O2811" s="14">
        <v>0</v>
      </c>
      <c r="P2811" s="14">
        <v>396</v>
      </c>
      <c r="Q2811">
        <v>8393</v>
      </c>
      <c r="R2811">
        <v>1304</v>
      </c>
      <c r="S2811">
        <v>0</v>
      </c>
    </row>
    <row r="2812" spans="11:19" x14ac:dyDescent="0.3">
      <c r="K2812" s="16">
        <f t="shared" si="43"/>
        <v>44133</v>
      </c>
      <c r="L2812" s="17">
        <v>8.3333333333333329E-2</v>
      </c>
      <c r="M2812" s="14">
        <v>396</v>
      </c>
      <c r="N2812" s="14">
        <v>849</v>
      </c>
      <c r="O2812" s="14">
        <v>0</v>
      </c>
      <c r="P2812" s="14">
        <v>1245</v>
      </c>
      <c r="Q2812">
        <v>8097</v>
      </c>
      <c r="R2812">
        <v>1238</v>
      </c>
      <c r="S2812">
        <v>0</v>
      </c>
    </row>
    <row r="2813" spans="11:19" x14ac:dyDescent="0.3">
      <c r="K2813" s="16">
        <f t="shared" si="43"/>
        <v>44133</v>
      </c>
      <c r="L2813" s="17">
        <v>0.125</v>
      </c>
      <c r="M2813" s="14">
        <v>396</v>
      </c>
      <c r="N2813" s="14">
        <v>0</v>
      </c>
      <c r="O2813" s="14">
        <v>0</v>
      </c>
      <c r="P2813" s="14">
        <v>396</v>
      </c>
      <c r="Q2813">
        <v>7720</v>
      </c>
      <c r="R2813">
        <v>1261</v>
      </c>
      <c r="S2813">
        <v>0</v>
      </c>
    </row>
    <row r="2814" spans="11:19" x14ac:dyDescent="0.3">
      <c r="K2814" s="16">
        <f t="shared" si="43"/>
        <v>44133</v>
      </c>
      <c r="L2814" s="17">
        <v>0.16666666666666666</v>
      </c>
      <c r="M2814" s="14">
        <v>396</v>
      </c>
      <c r="N2814" s="14">
        <v>458</v>
      </c>
      <c r="O2814" s="14">
        <v>0</v>
      </c>
      <c r="P2814" s="14">
        <v>854</v>
      </c>
      <c r="Q2814">
        <v>7684</v>
      </c>
      <c r="R2814">
        <v>1211</v>
      </c>
      <c r="S2814">
        <v>0</v>
      </c>
    </row>
    <row r="2815" spans="11:19" x14ac:dyDescent="0.3">
      <c r="K2815" s="16">
        <f t="shared" si="43"/>
        <v>44133</v>
      </c>
      <c r="L2815" s="17">
        <v>0.20833333333333334</v>
      </c>
      <c r="M2815" s="14">
        <v>396</v>
      </c>
      <c r="N2815" s="14">
        <v>0</v>
      </c>
      <c r="O2815" s="14">
        <v>0</v>
      </c>
      <c r="P2815" s="14">
        <v>396</v>
      </c>
      <c r="Q2815">
        <v>8158</v>
      </c>
      <c r="R2815">
        <v>1208</v>
      </c>
      <c r="S2815">
        <v>0</v>
      </c>
    </row>
    <row r="2816" spans="11:19" x14ac:dyDescent="0.3">
      <c r="K2816" s="16">
        <f t="shared" si="43"/>
        <v>44133</v>
      </c>
      <c r="L2816" s="17">
        <v>0.25</v>
      </c>
      <c r="M2816" s="14">
        <v>396</v>
      </c>
      <c r="N2816" s="14">
        <v>0</v>
      </c>
      <c r="O2816" s="14">
        <v>0</v>
      </c>
      <c r="P2816" s="14">
        <v>396</v>
      </c>
      <c r="Q2816">
        <v>9130</v>
      </c>
      <c r="R2816">
        <v>1257</v>
      </c>
      <c r="S2816">
        <v>0</v>
      </c>
    </row>
    <row r="2817" spans="11:19" x14ac:dyDescent="0.3">
      <c r="K2817" s="16">
        <f t="shared" si="43"/>
        <v>44133</v>
      </c>
      <c r="L2817" s="17">
        <v>0.29166666666666669</v>
      </c>
      <c r="M2817" s="14">
        <v>396</v>
      </c>
      <c r="N2817" s="14">
        <v>1721</v>
      </c>
      <c r="O2817" s="14">
        <v>0</v>
      </c>
      <c r="P2817" s="14">
        <v>2117</v>
      </c>
      <c r="Q2817">
        <v>10046</v>
      </c>
      <c r="R2817">
        <v>1365</v>
      </c>
      <c r="S2817">
        <v>0</v>
      </c>
    </row>
    <row r="2818" spans="11:19" x14ac:dyDescent="0.3">
      <c r="K2818" s="16">
        <f t="shared" si="43"/>
        <v>44133</v>
      </c>
      <c r="L2818" s="17">
        <v>0.33333333333333331</v>
      </c>
      <c r="M2818" s="14">
        <v>396</v>
      </c>
      <c r="N2818" s="14">
        <v>1721</v>
      </c>
      <c r="O2818" s="14">
        <v>0</v>
      </c>
      <c r="P2818" s="14">
        <v>2117</v>
      </c>
      <c r="Q2818">
        <v>10461</v>
      </c>
      <c r="R2818">
        <v>1192</v>
      </c>
      <c r="S2818">
        <v>30</v>
      </c>
    </row>
    <row r="2819" spans="11:19" x14ac:dyDescent="0.3">
      <c r="K2819" s="16">
        <f t="shared" si="43"/>
        <v>44133</v>
      </c>
      <c r="L2819" s="17">
        <v>0.375</v>
      </c>
      <c r="M2819" s="14">
        <v>396</v>
      </c>
      <c r="N2819" s="14">
        <v>586</v>
      </c>
      <c r="O2819" s="14">
        <v>0</v>
      </c>
      <c r="P2819" s="14">
        <v>982</v>
      </c>
      <c r="Q2819">
        <v>10659</v>
      </c>
      <c r="R2819">
        <v>1045</v>
      </c>
      <c r="S2819">
        <v>246</v>
      </c>
    </row>
    <row r="2820" spans="11:19" x14ac:dyDescent="0.3">
      <c r="K2820" s="16">
        <f t="shared" si="43"/>
        <v>44133</v>
      </c>
      <c r="L2820" s="17">
        <v>0.41666666666666669</v>
      </c>
      <c r="M2820" s="14">
        <v>396</v>
      </c>
      <c r="N2820" s="14">
        <v>191</v>
      </c>
      <c r="O2820" s="14">
        <v>0</v>
      </c>
      <c r="P2820" s="14">
        <v>587</v>
      </c>
      <c r="Q2820">
        <v>10633</v>
      </c>
      <c r="R2820">
        <v>981</v>
      </c>
      <c r="S2820">
        <v>678</v>
      </c>
    </row>
    <row r="2821" spans="11:19" x14ac:dyDescent="0.3">
      <c r="K2821" s="16">
        <f t="shared" si="43"/>
        <v>44133</v>
      </c>
      <c r="L2821" s="17">
        <v>0.45833333333333331</v>
      </c>
      <c r="M2821" s="14">
        <v>396</v>
      </c>
      <c r="N2821" s="14">
        <v>0</v>
      </c>
      <c r="O2821" s="14">
        <v>0</v>
      </c>
      <c r="P2821" s="14">
        <v>396</v>
      </c>
      <c r="Q2821">
        <v>10674</v>
      </c>
      <c r="R2821">
        <v>885</v>
      </c>
      <c r="S2821">
        <v>1095</v>
      </c>
    </row>
    <row r="2822" spans="11:19" x14ac:dyDescent="0.3">
      <c r="K2822" s="16">
        <f t="shared" si="43"/>
        <v>44133</v>
      </c>
      <c r="L2822" s="17">
        <v>0.5</v>
      </c>
      <c r="M2822" s="14">
        <v>396</v>
      </c>
      <c r="N2822" s="14">
        <v>0</v>
      </c>
      <c r="O2822" s="14">
        <v>0</v>
      </c>
      <c r="P2822" s="14">
        <v>396</v>
      </c>
      <c r="Q2822">
        <v>10576</v>
      </c>
      <c r="R2822">
        <v>785</v>
      </c>
      <c r="S2822">
        <v>1318</v>
      </c>
    </row>
    <row r="2823" spans="11:19" x14ac:dyDescent="0.3">
      <c r="K2823" s="16">
        <f t="shared" si="43"/>
        <v>44133</v>
      </c>
      <c r="L2823" s="17">
        <v>0.54166666666666663</v>
      </c>
      <c r="M2823" s="14">
        <v>396</v>
      </c>
      <c r="N2823" s="14">
        <v>0</v>
      </c>
      <c r="O2823" s="14">
        <v>0</v>
      </c>
      <c r="P2823" s="14">
        <v>396</v>
      </c>
      <c r="Q2823">
        <v>10317</v>
      </c>
      <c r="R2823">
        <v>755</v>
      </c>
      <c r="S2823">
        <v>1397</v>
      </c>
    </row>
    <row r="2824" spans="11:19" x14ac:dyDescent="0.3">
      <c r="K2824" s="16">
        <f t="shared" si="43"/>
        <v>44133</v>
      </c>
      <c r="L2824" s="17">
        <v>0.58333333333333337</v>
      </c>
      <c r="M2824" s="14">
        <v>396</v>
      </c>
      <c r="N2824" s="14">
        <v>1721</v>
      </c>
      <c r="O2824" s="14">
        <v>0</v>
      </c>
      <c r="P2824" s="14">
        <v>2117</v>
      </c>
      <c r="Q2824">
        <v>10078</v>
      </c>
      <c r="R2824">
        <v>640</v>
      </c>
      <c r="S2824">
        <v>1307</v>
      </c>
    </row>
    <row r="2825" spans="11:19" x14ac:dyDescent="0.3">
      <c r="K2825" s="16">
        <f t="shared" si="43"/>
        <v>44133</v>
      </c>
      <c r="L2825" s="17">
        <v>0.625</v>
      </c>
      <c r="M2825" s="14">
        <v>396</v>
      </c>
      <c r="N2825" s="14">
        <v>773</v>
      </c>
      <c r="O2825" s="14">
        <v>0</v>
      </c>
      <c r="P2825" s="14">
        <v>1169</v>
      </c>
      <c r="Q2825">
        <v>9744</v>
      </c>
      <c r="R2825">
        <v>599</v>
      </c>
      <c r="S2825">
        <v>1107</v>
      </c>
    </row>
    <row r="2826" spans="11:19" x14ac:dyDescent="0.3">
      <c r="K2826" s="16">
        <f t="shared" si="43"/>
        <v>44133</v>
      </c>
      <c r="L2826" s="17">
        <v>0.66666666666666663</v>
      </c>
      <c r="M2826" s="14">
        <v>396</v>
      </c>
      <c r="N2826" s="14">
        <v>0</v>
      </c>
      <c r="O2826" s="14">
        <v>0</v>
      </c>
      <c r="P2826" s="14">
        <v>396</v>
      </c>
      <c r="Q2826">
        <v>9522</v>
      </c>
      <c r="R2826">
        <v>527</v>
      </c>
      <c r="S2826">
        <v>727</v>
      </c>
    </row>
    <row r="2827" spans="11:19" x14ac:dyDescent="0.3">
      <c r="K2827" s="16">
        <f t="shared" si="43"/>
        <v>44133</v>
      </c>
      <c r="L2827" s="17">
        <v>0.70833333333333337</v>
      </c>
      <c r="M2827" s="14">
        <v>396</v>
      </c>
      <c r="N2827" s="14">
        <v>1721</v>
      </c>
      <c r="O2827" s="14">
        <v>0</v>
      </c>
      <c r="P2827" s="14">
        <v>2117</v>
      </c>
      <c r="Q2827">
        <v>9488</v>
      </c>
      <c r="R2827">
        <v>499</v>
      </c>
      <c r="S2827">
        <v>253</v>
      </c>
    </row>
    <row r="2828" spans="11:19" x14ac:dyDescent="0.3">
      <c r="K2828" s="16">
        <f t="shared" si="43"/>
        <v>44133</v>
      </c>
      <c r="L2828" s="17">
        <v>0.75</v>
      </c>
      <c r="M2828" s="14">
        <v>396</v>
      </c>
      <c r="N2828" s="14">
        <v>880</v>
      </c>
      <c r="O2828" s="14">
        <v>0</v>
      </c>
      <c r="P2828" s="14">
        <v>1276</v>
      </c>
      <c r="Q2828">
        <v>10078</v>
      </c>
      <c r="R2828">
        <v>381</v>
      </c>
      <c r="S2828">
        <v>30</v>
      </c>
    </row>
    <row r="2829" spans="11:19" x14ac:dyDescent="0.3">
      <c r="K2829" s="16">
        <f t="shared" si="43"/>
        <v>44133</v>
      </c>
      <c r="L2829" s="17">
        <v>0.79166666666666663</v>
      </c>
      <c r="M2829" s="14">
        <v>396</v>
      </c>
      <c r="N2829" s="14">
        <v>1482</v>
      </c>
      <c r="O2829" s="14">
        <v>0</v>
      </c>
      <c r="P2829" s="14">
        <v>1878</v>
      </c>
      <c r="Q2829">
        <v>10647</v>
      </c>
      <c r="R2829">
        <v>386</v>
      </c>
      <c r="S2829">
        <v>0</v>
      </c>
    </row>
    <row r="2830" spans="11:19" x14ac:dyDescent="0.3">
      <c r="K2830" s="16">
        <f t="shared" si="43"/>
        <v>44133</v>
      </c>
      <c r="L2830" s="17">
        <v>0.83333333333333337</v>
      </c>
      <c r="M2830" s="14">
        <v>396</v>
      </c>
      <c r="N2830" s="14">
        <v>1721</v>
      </c>
      <c r="O2830" s="14">
        <v>0</v>
      </c>
      <c r="P2830" s="14">
        <v>2117</v>
      </c>
      <c r="Q2830">
        <v>9840</v>
      </c>
      <c r="R2830">
        <v>341</v>
      </c>
      <c r="S2830">
        <v>0</v>
      </c>
    </row>
    <row r="2831" spans="11:19" x14ac:dyDescent="0.3">
      <c r="K2831" s="16">
        <f t="shared" si="43"/>
        <v>44133</v>
      </c>
      <c r="L2831" s="17">
        <v>0.875</v>
      </c>
      <c r="M2831" s="14">
        <v>396</v>
      </c>
      <c r="N2831" s="14">
        <v>106</v>
      </c>
      <c r="O2831" s="14">
        <v>0</v>
      </c>
      <c r="P2831" s="14">
        <v>502</v>
      </c>
      <c r="Q2831">
        <v>9185</v>
      </c>
      <c r="R2831">
        <v>329</v>
      </c>
      <c r="S2831">
        <v>0</v>
      </c>
    </row>
    <row r="2832" spans="11:19" x14ac:dyDescent="0.3">
      <c r="K2832" s="16">
        <f t="shared" si="43"/>
        <v>44133</v>
      </c>
      <c r="L2832" s="17">
        <v>0.91666666666666663</v>
      </c>
      <c r="M2832" s="14">
        <v>396</v>
      </c>
      <c r="N2832" s="14">
        <v>1721</v>
      </c>
      <c r="O2832" s="14">
        <v>0</v>
      </c>
      <c r="P2832" s="14">
        <v>2117</v>
      </c>
      <c r="Q2832">
        <v>9365</v>
      </c>
      <c r="R2832">
        <v>358</v>
      </c>
      <c r="S2832">
        <v>0</v>
      </c>
    </row>
    <row r="2833" spans="11:19" x14ac:dyDescent="0.3">
      <c r="K2833" s="16">
        <f t="shared" si="43"/>
        <v>44133</v>
      </c>
      <c r="L2833" s="17">
        <v>0.95833333333333337</v>
      </c>
      <c r="M2833" s="14">
        <v>396</v>
      </c>
      <c r="N2833" s="14">
        <v>1721</v>
      </c>
      <c r="O2833" s="14">
        <v>0</v>
      </c>
      <c r="P2833" s="14">
        <v>2117</v>
      </c>
      <c r="Q2833">
        <v>9492</v>
      </c>
      <c r="R2833">
        <v>380</v>
      </c>
      <c r="S2833">
        <v>0</v>
      </c>
    </row>
    <row r="2834" spans="11:19" x14ac:dyDescent="0.3">
      <c r="K2834" s="16">
        <f t="shared" si="43"/>
        <v>44134</v>
      </c>
      <c r="L2834" s="17">
        <v>0</v>
      </c>
      <c r="M2834" s="14">
        <v>396</v>
      </c>
      <c r="N2834" s="14">
        <v>0</v>
      </c>
      <c r="O2834" s="14">
        <v>0</v>
      </c>
      <c r="P2834" s="14">
        <v>396</v>
      </c>
      <c r="Q2834">
        <v>8917</v>
      </c>
      <c r="R2834">
        <v>441</v>
      </c>
      <c r="S2834">
        <v>0</v>
      </c>
    </row>
    <row r="2835" spans="11:19" x14ac:dyDescent="0.3">
      <c r="K2835" s="16">
        <f t="shared" si="43"/>
        <v>44134</v>
      </c>
      <c r="L2835" s="17">
        <v>4.1666666666666664E-2</v>
      </c>
      <c r="M2835" s="14">
        <v>396</v>
      </c>
      <c r="N2835" s="14">
        <v>1715</v>
      </c>
      <c r="O2835" s="14">
        <v>0</v>
      </c>
      <c r="P2835" s="14">
        <v>2111</v>
      </c>
      <c r="Q2835">
        <v>8507</v>
      </c>
      <c r="R2835">
        <v>574</v>
      </c>
      <c r="S2835">
        <v>0</v>
      </c>
    </row>
    <row r="2836" spans="11:19" x14ac:dyDescent="0.3">
      <c r="K2836" s="16">
        <f t="shared" si="43"/>
        <v>44134</v>
      </c>
      <c r="L2836" s="17">
        <v>8.3333333333333329E-2</v>
      </c>
      <c r="M2836" s="14">
        <v>396</v>
      </c>
      <c r="N2836" s="14">
        <v>1553</v>
      </c>
      <c r="O2836" s="14">
        <v>0</v>
      </c>
      <c r="P2836" s="14">
        <v>1949</v>
      </c>
      <c r="Q2836">
        <v>8209</v>
      </c>
      <c r="R2836">
        <v>645</v>
      </c>
      <c r="S2836">
        <v>0</v>
      </c>
    </row>
    <row r="2837" spans="11:19" x14ac:dyDescent="0.3">
      <c r="K2837" s="16">
        <f t="shared" si="43"/>
        <v>44134</v>
      </c>
      <c r="L2837" s="17">
        <v>0.125</v>
      </c>
      <c r="M2837" s="14">
        <v>396</v>
      </c>
      <c r="N2837" s="14">
        <v>1038</v>
      </c>
      <c r="O2837" s="14">
        <v>0</v>
      </c>
      <c r="P2837" s="14">
        <v>1434</v>
      </c>
      <c r="Q2837">
        <v>7825</v>
      </c>
      <c r="R2837">
        <v>776</v>
      </c>
      <c r="S2837">
        <v>0</v>
      </c>
    </row>
    <row r="2838" spans="11:19" x14ac:dyDescent="0.3">
      <c r="K2838" s="16">
        <f t="shared" si="43"/>
        <v>44134</v>
      </c>
      <c r="L2838" s="17">
        <v>0.16666666666666666</v>
      </c>
      <c r="M2838" s="14">
        <v>396</v>
      </c>
      <c r="N2838" s="14">
        <v>0</v>
      </c>
      <c r="O2838" s="14">
        <v>0</v>
      </c>
      <c r="P2838" s="14">
        <v>396</v>
      </c>
      <c r="Q2838">
        <v>7759</v>
      </c>
      <c r="R2838">
        <v>869</v>
      </c>
      <c r="S2838">
        <v>0</v>
      </c>
    </row>
    <row r="2839" spans="11:19" x14ac:dyDescent="0.3">
      <c r="K2839" s="16">
        <f t="shared" si="43"/>
        <v>44134</v>
      </c>
      <c r="L2839" s="17">
        <v>0.20833333333333334</v>
      </c>
      <c r="M2839" s="14">
        <v>396</v>
      </c>
      <c r="N2839" s="14">
        <v>0</v>
      </c>
      <c r="O2839" s="14">
        <v>0</v>
      </c>
      <c r="P2839" s="14">
        <v>396</v>
      </c>
      <c r="Q2839">
        <v>8197</v>
      </c>
      <c r="R2839">
        <v>809</v>
      </c>
      <c r="S2839">
        <v>0</v>
      </c>
    </row>
    <row r="2840" spans="11:19" x14ac:dyDescent="0.3">
      <c r="K2840" s="16">
        <f t="shared" si="43"/>
        <v>44134</v>
      </c>
      <c r="L2840" s="17">
        <v>0.25</v>
      </c>
      <c r="M2840" s="14">
        <v>396</v>
      </c>
      <c r="N2840" s="14">
        <v>0</v>
      </c>
      <c r="O2840" s="14">
        <v>0</v>
      </c>
      <c r="P2840" s="14">
        <v>396</v>
      </c>
      <c r="Q2840">
        <v>9085</v>
      </c>
      <c r="R2840">
        <v>772</v>
      </c>
      <c r="S2840">
        <v>0</v>
      </c>
    </row>
    <row r="2841" spans="11:19" x14ac:dyDescent="0.3">
      <c r="K2841" s="16">
        <f t="shared" si="43"/>
        <v>44134</v>
      </c>
      <c r="L2841" s="17">
        <v>0.29166666666666669</v>
      </c>
      <c r="M2841" s="14">
        <v>396</v>
      </c>
      <c r="N2841" s="14">
        <v>1715</v>
      </c>
      <c r="O2841" s="14">
        <v>0</v>
      </c>
      <c r="P2841" s="14">
        <v>2111</v>
      </c>
      <c r="Q2841">
        <v>9984</v>
      </c>
      <c r="R2841">
        <v>707</v>
      </c>
      <c r="S2841">
        <v>0</v>
      </c>
    </row>
    <row r="2842" spans="11:19" x14ac:dyDescent="0.3">
      <c r="K2842" s="16">
        <f t="shared" si="43"/>
        <v>44134</v>
      </c>
      <c r="L2842" s="17">
        <v>0.33333333333333331</v>
      </c>
      <c r="M2842" s="14">
        <v>396</v>
      </c>
      <c r="N2842" s="14">
        <v>919</v>
      </c>
      <c r="O2842" s="14">
        <v>0</v>
      </c>
      <c r="P2842" s="14">
        <v>1315</v>
      </c>
      <c r="Q2842">
        <v>10446</v>
      </c>
      <c r="R2842">
        <v>726</v>
      </c>
      <c r="S2842">
        <v>17</v>
      </c>
    </row>
    <row r="2843" spans="11:19" x14ac:dyDescent="0.3">
      <c r="K2843" s="16">
        <f t="shared" ref="K2843:K2906" si="44">K2819+1</f>
        <v>44134</v>
      </c>
      <c r="L2843" s="17">
        <v>0.375</v>
      </c>
      <c r="M2843" s="14">
        <v>396</v>
      </c>
      <c r="N2843" s="14">
        <v>1715</v>
      </c>
      <c r="O2843" s="14">
        <v>0</v>
      </c>
      <c r="P2843" s="14">
        <v>2111</v>
      </c>
      <c r="Q2843">
        <v>10664</v>
      </c>
      <c r="R2843">
        <v>790</v>
      </c>
      <c r="S2843">
        <v>161</v>
      </c>
    </row>
    <row r="2844" spans="11:19" x14ac:dyDescent="0.3">
      <c r="K2844" s="16">
        <f t="shared" si="44"/>
        <v>44134</v>
      </c>
      <c r="L2844" s="17">
        <v>0.41666666666666669</v>
      </c>
      <c r="M2844" s="14">
        <v>396</v>
      </c>
      <c r="N2844" s="14">
        <v>606</v>
      </c>
      <c r="O2844" s="14">
        <v>0</v>
      </c>
      <c r="P2844" s="14">
        <v>1002</v>
      </c>
      <c r="Q2844">
        <v>10668</v>
      </c>
      <c r="R2844">
        <v>815</v>
      </c>
      <c r="S2844">
        <v>463</v>
      </c>
    </row>
    <row r="2845" spans="11:19" x14ac:dyDescent="0.3">
      <c r="K2845" s="16">
        <f t="shared" si="44"/>
        <v>44134</v>
      </c>
      <c r="L2845" s="17">
        <v>0.45833333333333331</v>
      </c>
      <c r="M2845" s="14">
        <v>396</v>
      </c>
      <c r="N2845" s="14">
        <v>146</v>
      </c>
      <c r="O2845" s="14">
        <v>0</v>
      </c>
      <c r="P2845" s="14">
        <v>542</v>
      </c>
      <c r="Q2845">
        <v>10701</v>
      </c>
      <c r="R2845">
        <v>982</v>
      </c>
      <c r="S2845">
        <v>790</v>
      </c>
    </row>
    <row r="2846" spans="11:19" x14ac:dyDescent="0.3">
      <c r="K2846" s="16">
        <f t="shared" si="44"/>
        <v>44134</v>
      </c>
      <c r="L2846" s="17">
        <v>0.5</v>
      </c>
      <c r="M2846" s="14">
        <v>396</v>
      </c>
      <c r="N2846" s="14">
        <v>1715</v>
      </c>
      <c r="O2846" s="14">
        <v>0</v>
      </c>
      <c r="P2846" s="14">
        <v>2111</v>
      </c>
      <c r="Q2846">
        <v>10665</v>
      </c>
      <c r="R2846">
        <v>1185</v>
      </c>
      <c r="S2846">
        <v>973</v>
      </c>
    </row>
    <row r="2847" spans="11:19" x14ac:dyDescent="0.3">
      <c r="K2847" s="16">
        <f t="shared" si="44"/>
        <v>44134</v>
      </c>
      <c r="L2847" s="17">
        <v>0.54166666666666663</v>
      </c>
      <c r="M2847" s="14">
        <v>396</v>
      </c>
      <c r="N2847" s="14">
        <v>1715</v>
      </c>
      <c r="O2847" s="14">
        <v>0</v>
      </c>
      <c r="P2847" s="14">
        <v>2111</v>
      </c>
      <c r="Q2847">
        <v>10373</v>
      </c>
      <c r="R2847">
        <v>1159</v>
      </c>
      <c r="S2847">
        <v>1055</v>
      </c>
    </row>
    <row r="2848" spans="11:19" x14ac:dyDescent="0.3">
      <c r="K2848" s="16">
        <f t="shared" si="44"/>
        <v>44134</v>
      </c>
      <c r="L2848" s="17">
        <v>0.58333333333333337</v>
      </c>
      <c r="M2848" s="14">
        <v>396</v>
      </c>
      <c r="N2848" s="14">
        <v>0</v>
      </c>
      <c r="O2848" s="14">
        <v>0</v>
      </c>
      <c r="P2848" s="14">
        <v>396</v>
      </c>
      <c r="Q2848">
        <v>10077</v>
      </c>
      <c r="R2848">
        <v>1189</v>
      </c>
      <c r="S2848">
        <v>1110</v>
      </c>
    </row>
    <row r="2849" spans="11:19" x14ac:dyDescent="0.3">
      <c r="K2849" s="16">
        <f t="shared" si="44"/>
        <v>44134</v>
      </c>
      <c r="L2849" s="17">
        <v>0.625</v>
      </c>
      <c r="M2849" s="14">
        <v>396</v>
      </c>
      <c r="N2849" s="14">
        <v>1269</v>
      </c>
      <c r="O2849" s="14">
        <v>0</v>
      </c>
      <c r="P2849" s="14">
        <v>1665</v>
      </c>
      <c r="Q2849">
        <v>9699</v>
      </c>
      <c r="R2849">
        <v>1173</v>
      </c>
      <c r="S2849">
        <v>1020</v>
      </c>
    </row>
    <row r="2850" spans="11:19" x14ac:dyDescent="0.3">
      <c r="K2850" s="16">
        <f t="shared" si="44"/>
        <v>44134</v>
      </c>
      <c r="L2850" s="17">
        <v>0.66666666666666663</v>
      </c>
      <c r="M2850" s="14">
        <v>396</v>
      </c>
      <c r="N2850" s="14">
        <v>0</v>
      </c>
      <c r="O2850" s="14">
        <v>0</v>
      </c>
      <c r="P2850" s="14">
        <v>396</v>
      </c>
      <c r="Q2850">
        <v>9443</v>
      </c>
      <c r="R2850">
        <v>1205</v>
      </c>
      <c r="S2850">
        <v>749</v>
      </c>
    </row>
    <row r="2851" spans="11:19" x14ac:dyDescent="0.3">
      <c r="K2851" s="16">
        <f t="shared" si="44"/>
        <v>44134</v>
      </c>
      <c r="L2851" s="17">
        <v>0.70833333333333337</v>
      </c>
      <c r="M2851" s="14">
        <v>396</v>
      </c>
      <c r="N2851" s="14">
        <v>1629</v>
      </c>
      <c r="O2851" s="14">
        <v>0</v>
      </c>
      <c r="P2851" s="14">
        <v>2025</v>
      </c>
      <c r="Q2851">
        <v>9427</v>
      </c>
      <c r="R2851">
        <v>1253</v>
      </c>
      <c r="S2851">
        <v>298</v>
      </c>
    </row>
    <row r="2852" spans="11:19" x14ac:dyDescent="0.3">
      <c r="K2852" s="16">
        <f t="shared" si="44"/>
        <v>44134</v>
      </c>
      <c r="L2852" s="17">
        <v>0.75</v>
      </c>
      <c r="M2852" s="14">
        <v>396</v>
      </c>
      <c r="N2852" s="14">
        <v>0</v>
      </c>
      <c r="O2852" s="14">
        <v>0</v>
      </c>
      <c r="P2852" s="14">
        <v>396</v>
      </c>
      <c r="Q2852">
        <v>10000</v>
      </c>
      <c r="R2852">
        <v>1460</v>
      </c>
      <c r="S2852">
        <v>47</v>
      </c>
    </row>
    <row r="2853" spans="11:19" x14ac:dyDescent="0.3">
      <c r="K2853" s="16">
        <f t="shared" si="44"/>
        <v>44134</v>
      </c>
      <c r="L2853" s="17">
        <v>0.79166666666666663</v>
      </c>
      <c r="M2853" s="14">
        <v>396</v>
      </c>
      <c r="N2853" s="14">
        <v>503</v>
      </c>
      <c r="O2853" s="14">
        <v>0</v>
      </c>
      <c r="P2853" s="14">
        <v>899</v>
      </c>
      <c r="Q2853">
        <v>10453</v>
      </c>
      <c r="R2853">
        <v>1170</v>
      </c>
      <c r="S2853">
        <v>0</v>
      </c>
    </row>
    <row r="2854" spans="11:19" x14ac:dyDescent="0.3">
      <c r="K2854" s="16">
        <f t="shared" si="44"/>
        <v>44134</v>
      </c>
      <c r="L2854" s="17">
        <v>0.83333333333333337</v>
      </c>
      <c r="M2854" s="14">
        <v>396</v>
      </c>
      <c r="N2854" s="14">
        <v>26</v>
      </c>
      <c r="O2854" s="14">
        <v>0</v>
      </c>
      <c r="P2854" s="14">
        <v>422</v>
      </c>
      <c r="Q2854">
        <v>9736</v>
      </c>
      <c r="R2854">
        <v>943</v>
      </c>
      <c r="S2854">
        <v>0</v>
      </c>
    </row>
    <row r="2855" spans="11:19" x14ac:dyDescent="0.3">
      <c r="K2855" s="16">
        <f t="shared" si="44"/>
        <v>44134</v>
      </c>
      <c r="L2855" s="17">
        <v>0.875</v>
      </c>
      <c r="M2855" s="14">
        <v>396</v>
      </c>
      <c r="N2855" s="14">
        <v>0</v>
      </c>
      <c r="O2855" s="14">
        <v>0</v>
      </c>
      <c r="P2855" s="14">
        <v>396</v>
      </c>
      <c r="Q2855">
        <v>9193</v>
      </c>
      <c r="R2855">
        <v>847</v>
      </c>
      <c r="S2855">
        <v>0</v>
      </c>
    </row>
    <row r="2856" spans="11:19" x14ac:dyDescent="0.3">
      <c r="K2856" s="16">
        <f t="shared" si="44"/>
        <v>44134</v>
      </c>
      <c r="L2856" s="17">
        <v>0.91666666666666663</v>
      </c>
      <c r="M2856" s="14">
        <v>396</v>
      </c>
      <c r="N2856" s="14">
        <v>1715</v>
      </c>
      <c r="O2856" s="14">
        <v>0</v>
      </c>
      <c r="P2856" s="14">
        <v>2111</v>
      </c>
      <c r="Q2856">
        <v>9413</v>
      </c>
      <c r="R2856">
        <v>912</v>
      </c>
      <c r="S2856">
        <v>0</v>
      </c>
    </row>
    <row r="2857" spans="11:19" x14ac:dyDescent="0.3">
      <c r="K2857" s="16">
        <f t="shared" si="44"/>
        <v>44134</v>
      </c>
      <c r="L2857" s="17">
        <v>0.95833333333333337</v>
      </c>
      <c r="M2857" s="14">
        <v>396</v>
      </c>
      <c r="N2857" s="14">
        <v>0</v>
      </c>
      <c r="O2857" s="14">
        <v>0</v>
      </c>
      <c r="P2857" s="14">
        <v>396</v>
      </c>
      <c r="Q2857">
        <v>9583</v>
      </c>
      <c r="R2857">
        <v>962</v>
      </c>
      <c r="S2857">
        <v>0</v>
      </c>
    </row>
    <row r="2858" spans="11:19" x14ac:dyDescent="0.3">
      <c r="K2858" s="16">
        <f t="shared" si="44"/>
        <v>44135</v>
      </c>
      <c r="L2858" s="17">
        <v>0</v>
      </c>
      <c r="M2858" s="14">
        <v>396</v>
      </c>
      <c r="N2858" s="14">
        <v>0</v>
      </c>
      <c r="O2858" s="14">
        <v>0</v>
      </c>
      <c r="P2858" s="14">
        <v>396</v>
      </c>
      <c r="Q2858">
        <v>8915</v>
      </c>
      <c r="R2858">
        <v>1013</v>
      </c>
      <c r="S2858">
        <v>0</v>
      </c>
    </row>
    <row r="2859" spans="11:19" x14ac:dyDescent="0.3">
      <c r="K2859" s="16">
        <f t="shared" si="44"/>
        <v>44135</v>
      </c>
      <c r="L2859" s="17">
        <v>4.1666666666666664E-2</v>
      </c>
      <c r="M2859" s="14">
        <v>396</v>
      </c>
      <c r="N2859" s="14">
        <v>0</v>
      </c>
      <c r="O2859" s="14">
        <v>0</v>
      </c>
      <c r="P2859" s="14">
        <v>396</v>
      </c>
      <c r="Q2859">
        <v>8503</v>
      </c>
      <c r="R2859">
        <v>738</v>
      </c>
      <c r="S2859">
        <v>0</v>
      </c>
    </row>
    <row r="2860" spans="11:19" x14ac:dyDescent="0.3">
      <c r="K2860" s="16">
        <f t="shared" si="44"/>
        <v>44135</v>
      </c>
      <c r="L2860" s="17">
        <v>8.3333333333333329E-2</v>
      </c>
      <c r="M2860" s="14">
        <v>396</v>
      </c>
      <c r="N2860" s="14">
        <v>1311</v>
      </c>
      <c r="O2860" s="14">
        <v>0</v>
      </c>
      <c r="P2860" s="14">
        <v>1707</v>
      </c>
      <c r="Q2860">
        <v>8159</v>
      </c>
      <c r="R2860">
        <v>696</v>
      </c>
      <c r="S2860">
        <v>0</v>
      </c>
    </row>
    <row r="2861" spans="11:19" x14ac:dyDescent="0.3">
      <c r="K2861" s="16">
        <f t="shared" si="44"/>
        <v>44135</v>
      </c>
      <c r="L2861" s="17">
        <v>0.125</v>
      </c>
      <c r="M2861" s="14">
        <v>396</v>
      </c>
      <c r="N2861" s="14">
        <v>0</v>
      </c>
      <c r="O2861" s="14">
        <v>0</v>
      </c>
      <c r="P2861" s="14">
        <v>396</v>
      </c>
      <c r="Q2861">
        <v>7718</v>
      </c>
      <c r="R2861">
        <v>629</v>
      </c>
      <c r="S2861">
        <v>0</v>
      </c>
    </row>
    <row r="2862" spans="11:19" x14ac:dyDescent="0.3">
      <c r="K2862" s="16">
        <f t="shared" si="44"/>
        <v>44135</v>
      </c>
      <c r="L2862" s="17">
        <v>0.16666666666666666</v>
      </c>
      <c r="M2862" s="14">
        <v>396</v>
      </c>
      <c r="N2862" s="14">
        <v>863</v>
      </c>
      <c r="O2862" s="14">
        <v>0</v>
      </c>
      <c r="P2862" s="14">
        <v>1259</v>
      </c>
      <c r="Q2862">
        <v>7574</v>
      </c>
      <c r="R2862">
        <v>623</v>
      </c>
      <c r="S2862">
        <v>0</v>
      </c>
    </row>
    <row r="2863" spans="11:19" x14ac:dyDescent="0.3">
      <c r="K2863" s="16">
        <f t="shared" si="44"/>
        <v>44135</v>
      </c>
      <c r="L2863" s="17">
        <v>0.20833333333333334</v>
      </c>
      <c r="M2863" s="14">
        <v>396</v>
      </c>
      <c r="N2863" s="14">
        <v>0</v>
      </c>
      <c r="O2863" s="14">
        <v>0</v>
      </c>
      <c r="P2863" s="14">
        <v>396</v>
      </c>
      <c r="Q2863">
        <v>7750</v>
      </c>
      <c r="R2863">
        <v>547</v>
      </c>
      <c r="S2863">
        <v>0</v>
      </c>
    </row>
    <row r="2864" spans="11:19" x14ac:dyDescent="0.3">
      <c r="K2864" s="16">
        <f t="shared" si="44"/>
        <v>44135</v>
      </c>
      <c r="L2864" s="17">
        <v>0.25</v>
      </c>
      <c r="M2864" s="14">
        <v>396</v>
      </c>
      <c r="N2864" s="14">
        <v>0</v>
      </c>
      <c r="O2864" s="14">
        <v>0</v>
      </c>
      <c r="P2864" s="14">
        <v>396</v>
      </c>
      <c r="Q2864">
        <v>8196</v>
      </c>
      <c r="R2864">
        <v>502</v>
      </c>
      <c r="S2864">
        <v>0</v>
      </c>
    </row>
    <row r="2865" spans="11:19" x14ac:dyDescent="0.3">
      <c r="K2865" s="16">
        <f t="shared" si="44"/>
        <v>44135</v>
      </c>
      <c r="L2865" s="17">
        <v>0.29166666666666669</v>
      </c>
      <c r="M2865" s="14">
        <v>396</v>
      </c>
      <c r="N2865" s="14">
        <v>0</v>
      </c>
      <c r="O2865" s="14">
        <v>0</v>
      </c>
      <c r="P2865" s="14">
        <v>396</v>
      </c>
      <c r="Q2865">
        <v>8655</v>
      </c>
      <c r="R2865">
        <v>477</v>
      </c>
      <c r="S2865">
        <v>0</v>
      </c>
    </row>
    <row r="2866" spans="11:19" x14ac:dyDescent="0.3">
      <c r="K2866" s="16">
        <f t="shared" si="44"/>
        <v>44135</v>
      </c>
      <c r="L2866" s="17">
        <v>0.33333333333333331</v>
      </c>
      <c r="M2866" s="14">
        <v>396</v>
      </c>
      <c r="N2866" s="14">
        <v>1311</v>
      </c>
      <c r="O2866" s="14">
        <v>0</v>
      </c>
      <c r="P2866" s="14">
        <v>1707</v>
      </c>
      <c r="Q2866">
        <v>9109</v>
      </c>
      <c r="R2866">
        <v>497</v>
      </c>
      <c r="S2866">
        <v>24</v>
      </c>
    </row>
    <row r="2867" spans="11:19" x14ac:dyDescent="0.3">
      <c r="K2867" s="16">
        <f t="shared" si="44"/>
        <v>44135</v>
      </c>
      <c r="L2867" s="17">
        <v>0.375</v>
      </c>
      <c r="M2867" s="14">
        <v>396</v>
      </c>
      <c r="N2867" s="14">
        <v>0</v>
      </c>
      <c r="O2867" s="14">
        <v>0</v>
      </c>
      <c r="P2867" s="14">
        <v>396</v>
      </c>
      <c r="Q2867">
        <v>9540</v>
      </c>
      <c r="R2867">
        <v>489</v>
      </c>
      <c r="S2867">
        <v>306</v>
      </c>
    </row>
    <row r="2868" spans="11:19" x14ac:dyDescent="0.3">
      <c r="K2868" s="16">
        <f t="shared" si="44"/>
        <v>44135</v>
      </c>
      <c r="L2868" s="17">
        <v>0.41666666666666669</v>
      </c>
      <c r="M2868" s="14">
        <v>396</v>
      </c>
      <c r="N2868" s="14">
        <v>0</v>
      </c>
      <c r="O2868" s="14">
        <v>0</v>
      </c>
      <c r="P2868" s="14">
        <v>396</v>
      </c>
      <c r="Q2868">
        <v>9562</v>
      </c>
      <c r="R2868">
        <v>649</v>
      </c>
      <c r="S2868">
        <v>912</v>
      </c>
    </row>
    <row r="2869" spans="11:19" x14ac:dyDescent="0.3">
      <c r="K2869" s="16">
        <f t="shared" si="44"/>
        <v>44135</v>
      </c>
      <c r="L2869" s="17">
        <v>0.45833333333333331</v>
      </c>
      <c r="M2869" s="14">
        <v>396</v>
      </c>
      <c r="N2869" s="14">
        <v>0</v>
      </c>
      <c r="O2869" s="14">
        <v>0</v>
      </c>
      <c r="P2869" s="14">
        <v>396</v>
      </c>
      <c r="Q2869">
        <v>9565</v>
      </c>
      <c r="R2869">
        <v>785</v>
      </c>
      <c r="S2869">
        <v>1508</v>
      </c>
    </row>
    <row r="2870" spans="11:19" x14ac:dyDescent="0.3">
      <c r="K2870" s="16">
        <f t="shared" si="44"/>
        <v>44135</v>
      </c>
      <c r="L2870" s="17">
        <v>0.5</v>
      </c>
      <c r="M2870" s="14">
        <v>396</v>
      </c>
      <c r="N2870" s="14">
        <v>851</v>
      </c>
      <c r="O2870" s="14">
        <v>0</v>
      </c>
      <c r="P2870" s="14">
        <v>1247</v>
      </c>
      <c r="Q2870">
        <v>9710</v>
      </c>
      <c r="R2870">
        <v>813</v>
      </c>
      <c r="S2870">
        <v>1894</v>
      </c>
    </row>
    <row r="2871" spans="11:19" x14ac:dyDescent="0.3">
      <c r="K2871" s="16">
        <f t="shared" si="44"/>
        <v>44135</v>
      </c>
      <c r="L2871" s="17">
        <v>0.54166666666666663</v>
      </c>
      <c r="M2871" s="14">
        <v>396</v>
      </c>
      <c r="N2871" s="14">
        <v>142</v>
      </c>
      <c r="O2871" s="14">
        <v>0</v>
      </c>
      <c r="P2871" s="14">
        <v>538</v>
      </c>
      <c r="Q2871">
        <v>9234</v>
      </c>
      <c r="R2871">
        <v>904</v>
      </c>
      <c r="S2871">
        <v>2040</v>
      </c>
    </row>
    <row r="2872" spans="11:19" x14ac:dyDescent="0.3">
      <c r="K2872" s="16">
        <f t="shared" si="44"/>
        <v>44135</v>
      </c>
      <c r="L2872" s="17">
        <v>0.58333333333333337</v>
      </c>
      <c r="M2872" s="14">
        <v>396</v>
      </c>
      <c r="N2872" s="14">
        <v>0</v>
      </c>
      <c r="O2872" s="14">
        <v>-175</v>
      </c>
      <c r="P2872" s="14">
        <v>221</v>
      </c>
      <c r="Q2872">
        <v>8794</v>
      </c>
      <c r="R2872">
        <v>884</v>
      </c>
      <c r="S2872">
        <v>1939</v>
      </c>
    </row>
    <row r="2873" spans="11:19" x14ac:dyDescent="0.3">
      <c r="K2873" s="16">
        <f t="shared" si="44"/>
        <v>44135</v>
      </c>
      <c r="L2873" s="17">
        <v>0.625</v>
      </c>
      <c r="M2873" s="14">
        <v>396</v>
      </c>
      <c r="N2873" s="14">
        <v>0</v>
      </c>
      <c r="O2873" s="14">
        <v>-407</v>
      </c>
      <c r="P2873" s="14">
        <v>-11</v>
      </c>
      <c r="Q2873">
        <v>8421</v>
      </c>
      <c r="R2873">
        <v>982</v>
      </c>
      <c r="S2873">
        <v>1617</v>
      </c>
    </row>
    <row r="2874" spans="11:19" x14ac:dyDescent="0.3">
      <c r="K2874" s="16">
        <f t="shared" si="44"/>
        <v>44135</v>
      </c>
      <c r="L2874" s="17">
        <v>0.66666666666666663</v>
      </c>
      <c r="M2874" s="14">
        <v>396</v>
      </c>
      <c r="N2874" s="14">
        <v>0</v>
      </c>
      <c r="O2874" s="14">
        <v>0</v>
      </c>
      <c r="P2874" s="14">
        <v>396</v>
      </c>
      <c r="Q2874">
        <v>8260</v>
      </c>
      <c r="R2874">
        <v>950</v>
      </c>
      <c r="S2874">
        <v>1041</v>
      </c>
    </row>
    <row r="2875" spans="11:19" x14ac:dyDescent="0.3">
      <c r="K2875" s="16">
        <f t="shared" si="44"/>
        <v>44135</v>
      </c>
      <c r="L2875" s="17">
        <v>0.70833333333333337</v>
      </c>
      <c r="M2875" s="14">
        <v>396</v>
      </c>
      <c r="N2875" s="14">
        <v>823</v>
      </c>
      <c r="O2875" s="14">
        <v>0</v>
      </c>
      <c r="P2875" s="14">
        <v>1219</v>
      </c>
      <c r="Q2875">
        <v>8421</v>
      </c>
      <c r="R2875">
        <v>973</v>
      </c>
      <c r="S2875">
        <v>382</v>
      </c>
    </row>
    <row r="2876" spans="11:19" x14ac:dyDescent="0.3">
      <c r="K2876" s="16">
        <f t="shared" si="44"/>
        <v>44135</v>
      </c>
      <c r="L2876" s="17">
        <v>0.75</v>
      </c>
      <c r="M2876" s="14">
        <v>396</v>
      </c>
      <c r="N2876" s="14">
        <v>0</v>
      </c>
      <c r="O2876" s="14">
        <v>448</v>
      </c>
      <c r="P2876" s="14">
        <v>844</v>
      </c>
      <c r="Q2876">
        <v>9141</v>
      </c>
      <c r="R2876">
        <v>873</v>
      </c>
      <c r="S2876">
        <v>46</v>
      </c>
    </row>
    <row r="2877" spans="11:19" x14ac:dyDescent="0.3">
      <c r="K2877" s="16">
        <f t="shared" si="44"/>
        <v>44135</v>
      </c>
      <c r="L2877" s="17">
        <v>0.79166666666666663</v>
      </c>
      <c r="M2877" s="14">
        <v>396</v>
      </c>
      <c r="N2877" s="14">
        <v>1311</v>
      </c>
      <c r="O2877" s="14">
        <v>0</v>
      </c>
      <c r="P2877" s="14">
        <v>1707</v>
      </c>
      <c r="Q2877">
        <v>9956</v>
      </c>
      <c r="R2877">
        <v>842</v>
      </c>
      <c r="S2877">
        <v>0</v>
      </c>
    </row>
    <row r="2878" spans="11:19" x14ac:dyDescent="0.3">
      <c r="K2878" s="16">
        <f t="shared" si="44"/>
        <v>44135</v>
      </c>
      <c r="L2878" s="17">
        <v>0.83333333333333337</v>
      </c>
      <c r="M2878" s="14">
        <v>396</v>
      </c>
      <c r="N2878" s="14">
        <v>0</v>
      </c>
      <c r="O2878" s="14">
        <v>18</v>
      </c>
      <c r="P2878" s="14">
        <v>414</v>
      </c>
      <c r="Q2878">
        <v>9505</v>
      </c>
      <c r="R2878">
        <v>727</v>
      </c>
      <c r="S2878">
        <v>0</v>
      </c>
    </row>
    <row r="2879" spans="11:19" x14ac:dyDescent="0.3">
      <c r="K2879" s="16">
        <f t="shared" si="44"/>
        <v>44135</v>
      </c>
      <c r="L2879" s="17">
        <v>0.875</v>
      </c>
      <c r="M2879" s="14">
        <v>396</v>
      </c>
      <c r="N2879" s="14">
        <v>0</v>
      </c>
      <c r="O2879" s="14">
        <v>0</v>
      </c>
      <c r="P2879" s="14">
        <v>396</v>
      </c>
      <c r="Q2879">
        <v>9094</v>
      </c>
      <c r="R2879">
        <v>665</v>
      </c>
      <c r="S2879">
        <v>0</v>
      </c>
    </row>
    <row r="2880" spans="11:19" x14ac:dyDescent="0.3">
      <c r="K2880" s="16">
        <f t="shared" si="44"/>
        <v>44135</v>
      </c>
      <c r="L2880" s="17">
        <v>0.91666666666666663</v>
      </c>
      <c r="M2880" s="14">
        <v>396</v>
      </c>
      <c r="N2880" s="14">
        <v>1311</v>
      </c>
      <c r="O2880" s="14">
        <v>0</v>
      </c>
      <c r="P2880" s="14">
        <v>1707</v>
      </c>
      <c r="Q2880">
        <v>9458</v>
      </c>
      <c r="R2880">
        <v>565</v>
      </c>
      <c r="S2880">
        <v>0</v>
      </c>
    </row>
    <row r="2881" spans="11:19" x14ac:dyDescent="0.3">
      <c r="K2881" s="16">
        <f t="shared" si="44"/>
        <v>44135</v>
      </c>
      <c r="L2881" s="17">
        <v>0.95833333333333337</v>
      </c>
      <c r="M2881" s="14">
        <v>396</v>
      </c>
      <c r="N2881" s="14">
        <v>1311</v>
      </c>
      <c r="O2881" s="14">
        <v>0</v>
      </c>
      <c r="P2881" s="14">
        <v>1707</v>
      </c>
      <c r="Q2881">
        <v>9754</v>
      </c>
      <c r="R2881">
        <v>509</v>
      </c>
      <c r="S2881">
        <v>0</v>
      </c>
    </row>
    <row r="2882" spans="11:19" x14ac:dyDescent="0.3">
      <c r="K2882" s="16">
        <f t="shared" si="44"/>
        <v>44136</v>
      </c>
      <c r="L2882" s="17">
        <v>0</v>
      </c>
      <c r="M2882" s="14">
        <v>396</v>
      </c>
      <c r="N2882" s="14">
        <v>17</v>
      </c>
      <c r="O2882" s="14">
        <v>0</v>
      </c>
      <c r="P2882" s="14">
        <v>413</v>
      </c>
      <c r="Q2882">
        <v>9276</v>
      </c>
      <c r="R2882">
        <v>546</v>
      </c>
      <c r="S2882">
        <v>0</v>
      </c>
    </row>
    <row r="2883" spans="11:19" x14ac:dyDescent="0.3">
      <c r="K2883" s="16">
        <f t="shared" si="44"/>
        <v>44136</v>
      </c>
      <c r="L2883" s="17">
        <v>4.1666666666666664E-2</v>
      </c>
      <c r="M2883" s="14">
        <v>396</v>
      </c>
      <c r="N2883" s="14">
        <v>0</v>
      </c>
      <c r="O2883" s="14">
        <v>0</v>
      </c>
      <c r="P2883" s="14">
        <v>396</v>
      </c>
      <c r="Q2883">
        <v>8917</v>
      </c>
      <c r="R2883">
        <v>563</v>
      </c>
      <c r="S2883">
        <v>0</v>
      </c>
    </row>
    <row r="2884" spans="11:19" x14ac:dyDescent="0.3">
      <c r="K2884" s="16">
        <f t="shared" si="44"/>
        <v>44136</v>
      </c>
      <c r="L2884" s="17">
        <v>8.3333333333333329E-2</v>
      </c>
      <c r="M2884" s="14">
        <v>396</v>
      </c>
      <c r="N2884" s="14">
        <v>1395</v>
      </c>
      <c r="O2884" s="14">
        <v>0</v>
      </c>
      <c r="P2884" s="14">
        <v>1791</v>
      </c>
      <c r="Q2884">
        <v>8032</v>
      </c>
      <c r="R2884">
        <v>473</v>
      </c>
      <c r="S2884">
        <v>0</v>
      </c>
    </row>
    <row r="2885" spans="11:19" x14ac:dyDescent="0.3">
      <c r="K2885" s="16">
        <f t="shared" si="44"/>
        <v>44136</v>
      </c>
      <c r="L2885" s="17">
        <v>0.125</v>
      </c>
      <c r="M2885" s="14">
        <v>396</v>
      </c>
      <c r="N2885" s="14">
        <v>0</v>
      </c>
      <c r="O2885" s="14">
        <v>0</v>
      </c>
      <c r="P2885" s="14">
        <v>396</v>
      </c>
      <c r="Q2885">
        <v>7879</v>
      </c>
      <c r="R2885">
        <v>452</v>
      </c>
      <c r="S2885">
        <v>0</v>
      </c>
    </row>
    <row r="2886" spans="11:19" x14ac:dyDescent="0.3">
      <c r="K2886" s="16">
        <f t="shared" si="44"/>
        <v>44136</v>
      </c>
      <c r="L2886" s="17">
        <v>0.16666666666666666</v>
      </c>
      <c r="M2886" s="14">
        <v>396</v>
      </c>
      <c r="N2886" s="14">
        <v>0</v>
      </c>
      <c r="O2886" s="14">
        <v>0</v>
      </c>
      <c r="P2886" s="14">
        <v>396</v>
      </c>
      <c r="Q2886">
        <v>7876</v>
      </c>
      <c r="R2886">
        <v>486</v>
      </c>
      <c r="S2886">
        <v>0</v>
      </c>
    </row>
    <row r="2887" spans="11:19" x14ac:dyDescent="0.3">
      <c r="K2887" s="16">
        <f t="shared" si="44"/>
        <v>44136</v>
      </c>
      <c r="L2887" s="17">
        <v>0.20833333333333334</v>
      </c>
      <c r="M2887" s="14">
        <v>396</v>
      </c>
      <c r="N2887" s="14">
        <v>1439</v>
      </c>
      <c r="O2887" s="14">
        <v>0</v>
      </c>
      <c r="P2887" s="14">
        <v>1835</v>
      </c>
      <c r="Q2887">
        <v>8075</v>
      </c>
      <c r="R2887">
        <v>456</v>
      </c>
      <c r="S2887">
        <v>0</v>
      </c>
    </row>
    <row r="2888" spans="11:19" x14ac:dyDescent="0.3">
      <c r="K2888" s="16">
        <f t="shared" si="44"/>
        <v>44136</v>
      </c>
      <c r="L2888" s="17">
        <v>0.25</v>
      </c>
      <c r="M2888" s="14">
        <v>396</v>
      </c>
      <c r="N2888" s="14">
        <v>1453</v>
      </c>
      <c r="O2888" s="14">
        <v>0</v>
      </c>
      <c r="P2888" s="14">
        <v>1849</v>
      </c>
      <c r="Q2888">
        <v>8419</v>
      </c>
      <c r="R2888">
        <v>422</v>
      </c>
      <c r="S2888">
        <v>0</v>
      </c>
    </row>
    <row r="2889" spans="11:19" x14ac:dyDescent="0.3">
      <c r="K2889" s="16">
        <f t="shared" si="44"/>
        <v>44136</v>
      </c>
      <c r="L2889" s="17">
        <v>0.29166666666666669</v>
      </c>
      <c r="M2889" s="14">
        <v>396</v>
      </c>
      <c r="N2889" s="14">
        <v>1618</v>
      </c>
      <c r="O2889" s="14">
        <v>0</v>
      </c>
      <c r="P2889" s="14">
        <v>2014</v>
      </c>
      <c r="Q2889">
        <v>8549</v>
      </c>
      <c r="R2889">
        <v>397</v>
      </c>
      <c r="S2889">
        <v>17</v>
      </c>
    </row>
    <row r="2890" spans="11:19" x14ac:dyDescent="0.3">
      <c r="K2890" s="16">
        <f t="shared" si="44"/>
        <v>44136</v>
      </c>
      <c r="L2890" s="17">
        <v>0.33333333333333331</v>
      </c>
      <c r="M2890" s="14">
        <v>396</v>
      </c>
      <c r="N2890" s="14">
        <v>0</v>
      </c>
      <c r="O2890" s="14">
        <v>0</v>
      </c>
      <c r="P2890" s="14">
        <v>396</v>
      </c>
      <c r="Q2890">
        <v>9021</v>
      </c>
      <c r="R2890">
        <v>376</v>
      </c>
      <c r="S2890">
        <v>298</v>
      </c>
    </row>
    <row r="2891" spans="11:19" x14ac:dyDescent="0.3">
      <c r="K2891" s="16">
        <f t="shared" si="44"/>
        <v>44136</v>
      </c>
      <c r="L2891" s="17">
        <v>0.375</v>
      </c>
      <c r="M2891" s="14">
        <v>396</v>
      </c>
      <c r="N2891" s="14">
        <v>1618</v>
      </c>
      <c r="O2891" s="14">
        <v>0</v>
      </c>
      <c r="P2891" s="14">
        <v>2014</v>
      </c>
      <c r="Q2891">
        <v>9344</v>
      </c>
      <c r="R2891">
        <v>402</v>
      </c>
      <c r="S2891">
        <v>837</v>
      </c>
    </row>
    <row r="2892" spans="11:19" x14ac:dyDescent="0.3">
      <c r="K2892" s="16">
        <f t="shared" si="44"/>
        <v>44136</v>
      </c>
      <c r="L2892" s="17">
        <v>0.41666666666666669</v>
      </c>
      <c r="M2892" s="14">
        <v>396</v>
      </c>
      <c r="N2892" s="14">
        <v>0</v>
      </c>
      <c r="O2892" s="14">
        <v>0</v>
      </c>
      <c r="P2892" s="14">
        <v>396</v>
      </c>
      <c r="Q2892">
        <v>9436</v>
      </c>
      <c r="R2892">
        <v>421</v>
      </c>
      <c r="S2892">
        <v>1342</v>
      </c>
    </row>
    <row r="2893" spans="11:19" x14ac:dyDescent="0.3">
      <c r="K2893" s="16">
        <f t="shared" si="44"/>
        <v>44136</v>
      </c>
      <c r="L2893" s="17">
        <v>0.45833333333333331</v>
      </c>
      <c r="M2893" s="14">
        <v>396</v>
      </c>
      <c r="N2893" s="14">
        <v>0</v>
      </c>
      <c r="O2893" s="14">
        <v>0</v>
      </c>
      <c r="P2893" s="14">
        <v>396</v>
      </c>
      <c r="Q2893">
        <v>9549</v>
      </c>
      <c r="R2893">
        <v>504</v>
      </c>
      <c r="S2893">
        <v>1644</v>
      </c>
    </row>
    <row r="2894" spans="11:19" x14ac:dyDescent="0.3">
      <c r="K2894" s="16">
        <f t="shared" si="44"/>
        <v>44136</v>
      </c>
      <c r="L2894" s="17">
        <v>0.5</v>
      </c>
      <c r="M2894" s="14">
        <v>396</v>
      </c>
      <c r="N2894" s="14">
        <v>0</v>
      </c>
      <c r="O2894" s="14">
        <v>0</v>
      </c>
      <c r="P2894" s="14">
        <v>396</v>
      </c>
      <c r="Q2894">
        <v>9763</v>
      </c>
      <c r="R2894">
        <v>462</v>
      </c>
      <c r="S2894">
        <v>1774</v>
      </c>
    </row>
    <row r="2895" spans="11:19" x14ac:dyDescent="0.3">
      <c r="K2895" s="16">
        <f t="shared" si="44"/>
        <v>44136</v>
      </c>
      <c r="L2895" s="17">
        <v>0.54166666666666663</v>
      </c>
      <c r="M2895" s="14">
        <v>396</v>
      </c>
      <c r="N2895" s="14">
        <v>0</v>
      </c>
      <c r="O2895" s="14">
        <v>0</v>
      </c>
      <c r="P2895" s="14">
        <v>396</v>
      </c>
      <c r="Q2895">
        <v>9205</v>
      </c>
      <c r="R2895">
        <v>536</v>
      </c>
      <c r="S2895">
        <v>1621</v>
      </c>
    </row>
    <row r="2896" spans="11:19" x14ac:dyDescent="0.3">
      <c r="K2896" s="16">
        <f t="shared" si="44"/>
        <v>44136</v>
      </c>
      <c r="L2896" s="17">
        <v>0.58333333333333337</v>
      </c>
      <c r="M2896" s="14">
        <v>396</v>
      </c>
      <c r="N2896" s="14">
        <v>0</v>
      </c>
      <c r="O2896" s="14">
        <v>0</v>
      </c>
      <c r="P2896" s="14">
        <v>396</v>
      </c>
      <c r="Q2896">
        <v>8747</v>
      </c>
      <c r="R2896">
        <v>542</v>
      </c>
      <c r="S2896">
        <v>1308</v>
      </c>
    </row>
    <row r="2897" spans="11:19" x14ac:dyDescent="0.3">
      <c r="K2897" s="16">
        <f t="shared" si="44"/>
        <v>44136</v>
      </c>
      <c r="L2897" s="17">
        <v>0.625</v>
      </c>
      <c r="M2897" s="14">
        <v>396</v>
      </c>
      <c r="N2897" s="14">
        <v>0</v>
      </c>
      <c r="O2897" s="14">
        <v>0</v>
      </c>
      <c r="P2897" s="14">
        <v>396</v>
      </c>
      <c r="Q2897">
        <v>8466</v>
      </c>
      <c r="R2897">
        <v>499</v>
      </c>
      <c r="S2897">
        <v>788</v>
      </c>
    </row>
    <row r="2898" spans="11:19" x14ac:dyDescent="0.3">
      <c r="K2898" s="16">
        <f t="shared" si="44"/>
        <v>44136</v>
      </c>
      <c r="L2898" s="17">
        <v>0.66666666666666663</v>
      </c>
      <c r="M2898" s="14">
        <v>396</v>
      </c>
      <c r="N2898" s="14">
        <v>0</v>
      </c>
      <c r="O2898" s="14">
        <v>0</v>
      </c>
      <c r="P2898" s="14">
        <v>396</v>
      </c>
      <c r="Q2898">
        <v>8455</v>
      </c>
      <c r="R2898">
        <v>511</v>
      </c>
      <c r="S2898">
        <v>260</v>
      </c>
    </row>
    <row r="2899" spans="11:19" x14ac:dyDescent="0.3">
      <c r="K2899" s="16">
        <f t="shared" si="44"/>
        <v>44136</v>
      </c>
      <c r="L2899" s="17">
        <v>0.70833333333333337</v>
      </c>
      <c r="M2899" s="14">
        <v>396</v>
      </c>
      <c r="N2899" s="14">
        <v>0</v>
      </c>
      <c r="O2899" s="14">
        <v>0</v>
      </c>
      <c r="P2899" s="14">
        <v>396</v>
      </c>
      <c r="Q2899">
        <v>9165</v>
      </c>
      <c r="R2899">
        <v>495</v>
      </c>
      <c r="S2899">
        <v>32</v>
      </c>
    </row>
    <row r="2900" spans="11:19" x14ac:dyDescent="0.3">
      <c r="K2900" s="16">
        <f t="shared" si="44"/>
        <v>44136</v>
      </c>
      <c r="L2900" s="17">
        <v>0.75</v>
      </c>
      <c r="M2900" s="14">
        <v>396</v>
      </c>
      <c r="N2900" s="14">
        <v>1019</v>
      </c>
      <c r="O2900" s="14">
        <v>0</v>
      </c>
      <c r="P2900" s="14">
        <v>1415</v>
      </c>
      <c r="Q2900">
        <v>10134</v>
      </c>
      <c r="R2900">
        <v>329</v>
      </c>
      <c r="S2900">
        <v>0</v>
      </c>
    </row>
    <row r="2901" spans="11:19" x14ac:dyDescent="0.3">
      <c r="K2901" s="16">
        <f t="shared" si="44"/>
        <v>44136</v>
      </c>
      <c r="L2901" s="17">
        <v>0.79166666666666663</v>
      </c>
      <c r="M2901" s="14">
        <v>396</v>
      </c>
      <c r="N2901" s="14">
        <v>1166</v>
      </c>
      <c r="O2901" s="14">
        <v>0</v>
      </c>
      <c r="P2901" s="14">
        <v>1562</v>
      </c>
      <c r="Q2901">
        <v>10263</v>
      </c>
      <c r="R2901">
        <v>319</v>
      </c>
      <c r="S2901">
        <v>0</v>
      </c>
    </row>
    <row r="2902" spans="11:19" x14ac:dyDescent="0.3">
      <c r="K2902" s="16">
        <f t="shared" si="44"/>
        <v>44136</v>
      </c>
      <c r="L2902" s="17">
        <v>0.83333333333333337</v>
      </c>
      <c r="M2902" s="14">
        <v>396</v>
      </c>
      <c r="N2902" s="14">
        <v>654</v>
      </c>
      <c r="O2902" s="14">
        <v>0</v>
      </c>
      <c r="P2902" s="14">
        <v>1050</v>
      </c>
      <c r="Q2902">
        <v>9780</v>
      </c>
      <c r="R2902">
        <v>364</v>
      </c>
      <c r="S2902">
        <v>0</v>
      </c>
    </row>
    <row r="2903" spans="11:19" x14ac:dyDescent="0.3">
      <c r="K2903" s="16">
        <f t="shared" si="44"/>
        <v>44136</v>
      </c>
      <c r="L2903" s="17">
        <v>0.875</v>
      </c>
      <c r="M2903" s="14">
        <v>396</v>
      </c>
      <c r="N2903" s="14">
        <v>215</v>
      </c>
      <c r="O2903" s="14">
        <v>0</v>
      </c>
      <c r="P2903" s="14">
        <v>611</v>
      </c>
      <c r="Q2903">
        <v>9334</v>
      </c>
      <c r="R2903">
        <v>373</v>
      </c>
      <c r="S2903">
        <v>0</v>
      </c>
    </row>
    <row r="2904" spans="11:19" x14ac:dyDescent="0.3">
      <c r="K2904" s="16">
        <f t="shared" si="44"/>
        <v>44136</v>
      </c>
      <c r="L2904" s="17">
        <v>0.91666666666666663</v>
      </c>
      <c r="M2904" s="14">
        <v>396</v>
      </c>
      <c r="N2904" s="14">
        <v>1618</v>
      </c>
      <c r="O2904" s="14">
        <v>0</v>
      </c>
      <c r="P2904" s="14">
        <v>2014</v>
      </c>
      <c r="Q2904">
        <v>9598</v>
      </c>
      <c r="R2904">
        <v>501</v>
      </c>
      <c r="S2904">
        <v>0</v>
      </c>
    </row>
    <row r="2905" spans="11:19" x14ac:dyDescent="0.3">
      <c r="K2905" s="16">
        <f t="shared" si="44"/>
        <v>44136</v>
      </c>
      <c r="L2905" s="17">
        <v>0.95833333333333337</v>
      </c>
      <c r="M2905" s="14">
        <v>396</v>
      </c>
      <c r="N2905" s="14">
        <v>580</v>
      </c>
      <c r="O2905" s="14">
        <v>0</v>
      </c>
      <c r="P2905" s="14">
        <v>976</v>
      </c>
      <c r="Q2905">
        <v>9803</v>
      </c>
      <c r="R2905">
        <v>505</v>
      </c>
      <c r="S2905">
        <v>0</v>
      </c>
    </row>
    <row r="2906" spans="11:19" x14ac:dyDescent="0.3">
      <c r="K2906" s="16">
        <f t="shared" si="44"/>
        <v>44137</v>
      </c>
      <c r="L2906" s="17">
        <v>0</v>
      </c>
      <c r="M2906" s="14">
        <v>396</v>
      </c>
      <c r="N2906" s="14">
        <v>1811</v>
      </c>
      <c r="O2906" s="14">
        <v>0</v>
      </c>
      <c r="P2906" s="14">
        <v>2207</v>
      </c>
      <c r="Q2906">
        <v>9366</v>
      </c>
      <c r="R2906">
        <v>552</v>
      </c>
      <c r="S2906">
        <v>0</v>
      </c>
    </row>
    <row r="2907" spans="11:19" x14ac:dyDescent="0.3">
      <c r="K2907" s="16">
        <f t="shared" ref="K2907:K2970" si="45">K2883+1</f>
        <v>44137</v>
      </c>
      <c r="L2907" s="17">
        <v>4.1666666666666664E-2</v>
      </c>
      <c r="M2907" s="14">
        <v>396</v>
      </c>
      <c r="N2907" s="14">
        <v>1811</v>
      </c>
      <c r="O2907" s="14">
        <v>0</v>
      </c>
      <c r="P2907" s="14">
        <v>2207</v>
      </c>
      <c r="Q2907">
        <v>9072</v>
      </c>
      <c r="R2907">
        <v>694</v>
      </c>
      <c r="S2907">
        <v>0</v>
      </c>
    </row>
    <row r="2908" spans="11:19" x14ac:dyDescent="0.3">
      <c r="K2908" s="16">
        <f t="shared" si="45"/>
        <v>44137</v>
      </c>
      <c r="L2908" s="17">
        <v>8.3333333333333329E-2</v>
      </c>
      <c r="M2908" s="14">
        <v>396</v>
      </c>
      <c r="N2908" s="14">
        <v>0</v>
      </c>
      <c r="O2908" s="14">
        <v>0</v>
      </c>
      <c r="P2908" s="14">
        <v>396</v>
      </c>
      <c r="Q2908">
        <v>8786</v>
      </c>
      <c r="R2908">
        <v>952</v>
      </c>
      <c r="S2908">
        <v>0</v>
      </c>
    </row>
    <row r="2909" spans="11:19" x14ac:dyDescent="0.3">
      <c r="K2909" s="16">
        <f t="shared" si="45"/>
        <v>44137</v>
      </c>
      <c r="L2909" s="17">
        <v>0.125</v>
      </c>
      <c r="M2909" s="14">
        <v>396</v>
      </c>
      <c r="N2909" s="14">
        <v>1094</v>
      </c>
      <c r="O2909" s="14">
        <v>0</v>
      </c>
      <c r="P2909" s="14">
        <v>1490</v>
      </c>
      <c r="Q2909">
        <v>8433</v>
      </c>
      <c r="R2909">
        <v>1164</v>
      </c>
      <c r="S2909">
        <v>0</v>
      </c>
    </row>
    <row r="2910" spans="11:19" x14ac:dyDescent="0.3">
      <c r="K2910" s="16">
        <f t="shared" si="45"/>
        <v>44137</v>
      </c>
      <c r="L2910" s="17">
        <v>0.16666666666666666</v>
      </c>
      <c r="M2910" s="14">
        <v>396</v>
      </c>
      <c r="N2910" s="14">
        <v>1100</v>
      </c>
      <c r="O2910" s="14">
        <v>0</v>
      </c>
      <c r="P2910" s="14">
        <v>1496</v>
      </c>
      <c r="Q2910">
        <v>8469</v>
      </c>
      <c r="R2910">
        <v>1189</v>
      </c>
      <c r="S2910">
        <v>0</v>
      </c>
    </row>
    <row r="2911" spans="11:19" x14ac:dyDescent="0.3">
      <c r="K2911" s="16">
        <f t="shared" si="45"/>
        <v>44137</v>
      </c>
      <c r="L2911" s="17">
        <v>0.20833333333333334</v>
      </c>
      <c r="M2911" s="14">
        <v>396</v>
      </c>
      <c r="N2911" s="14">
        <v>0</v>
      </c>
      <c r="O2911" s="14">
        <v>0</v>
      </c>
      <c r="P2911" s="14">
        <v>396</v>
      </c>
      <c r="Q2911">
        <v>9060</v>
      </c>
      <c r="R2911">
        <v>1233</v>
      </c>
      <c r="S2911">
        <v>0</v>
      </c>
    </row>
    <row r="2912" spans="11:19" x14ac:dyDescent="0.3">
      <c r="K2912" s="16">
        <f t="shared" si="45"/>
        <v>44137</v>
      </c>
      <c r="L2912" s="17">
        <v>0.25</v>
      </c>
      <c r="M2912" s="14">
        <v>396</v>
      </c>
      <c r="N2912" s="14">
        <v>0</v>
      </c>
      <c r="O2912" s="14">
        <v>0</v>
      </c>
      <c r="P2912" s="14">
        <v>396</v>
      </c>
      <c r="Q2912">
        <v>10012</v>
      </c>
      <c r="R2912">
        <v>1343</v>
      </c>
      <c r="S2912">
        <v>0</v>
      </c>
    </row>
    <row r="2913" spans="11:19" x14ac:dyDescent="0.3">
      <c r="K2913" s="16">
        <f t="shared" si="45"/>
        <v>44137</v>
      </c>
      <c r="L2913" s="17">
        <v>0.29166666666666669</v>
      </c>
      <c r="M2913" s="14">
        <v>396</v>
      </c>
      <c r="N2913" s="14">
        <v>369</v>
      </c>
      <c r="O2913" s="14">
        <v>0</v>
      </c>
      <c r="P2913" s="14">
        <v>765</v>
      </c>
      <c r="Q2913">
        <v>10617</v>
      </c>
      <c r="R2913">
        <v>1437</v>
      </c>
      <c r="S2913">
        <v>18</v>
      </c>
    </row>
    <row r="2914" spans="11:19" x14ac:dyDescent="0.3">
      <c r="K2914" s="16">
        <f t="shared" si="45"/>
        <v>44137</v>
      </c>
      <c r="L2914" s="17">
        <v>0.33333333333333331</v>
      </c>
      <c r="M2914" s="14">
        <v>396</v>
      </c>
      <c r="N2914" s="14">
        <v>411</v>
      </c>
      <c r="O2914" s="14">
        <v>0</v>
      </c>
      <c r="P2914" s="14">
        <v>807</v>
      </c>
      <c r="Q2914">
        <v>10979</v>
      </c>
      <c r="R2914">
        <v>1536</v>
      </c>
      <c r="S2914">
        <v>242</v>
      </c>
    </row>
    <row r="2915" spans="11:19" x14ac:dyDescent="0.3">
      <c r="K2915" s="16">
        <f t="shared" si="45"/>
        <v>44137</v>
      </c>
      <c r="L2915" s="17">
        <v>0.375</v>
      </c>
      <c r="M2915" s="14">
        <v>396</v>
      </c>
      <c r="N2915" s="14">
        <v>0</v>
      </c>
      <c r="O2915" s="14">
        <v>0</v>
      </c>
      <c r="P2915" s="14">
        <v>396</v>
      </c>
      <c r="Q2915">
        <v>11049</v>
      </c>
      <c r="R2915">
        <v>1794</v>
      </c>
      <c r="S2915">
        <v>678</v>
      </c>
    </row>
    <row r="2916" spans="11:19" x14ac:dyDescent="0.3">
      <c r="K2916" s="16">
        <f t="shared" si="45"/>
        <v>44137</v>
      </c>
      <c r="L2916" s="17">
        <v>0.41666666666666669</v>
      </c>
      <c r="M2916" s="14">
        <v>396</v>
      </c>
      <c r="N2916" s="14">
        <v>0</v>
      </c>
      <c r="O2916" s="14">
        <v>0</v>
      </c>
      <c r="P2916" s="14">
        <v>396</v>
      </c>
      <c r="Q2916">
        <v>11000</v>
      </c>
      <c r="R2916">
        <v>1772</v>
      </c>
      <c r="S2916">
        <v>1198</v>
      </c>
    </row>
    <row r="2917" spans="11:19" x14ac:dyDescent="0.3">
      <c r="K2917" s="16">
        <f t="shared" si="45"/>
        <v>44137</v>
      </c>
      <c r="L2917" s="17">
        <v>0.45833333333333331</v>
      </c>
      <c r="M2917" s="14">
        <v>396</v>
      </c>
      <c r="N2917" s="14">
        <v>0</v>
      </c>
      <c r="O2917" s="14">
        <v>0</v>
      </c>
      <c r="P2917" s="14">
        <v>396</v>
      </c>
      <c r="Q2917">
        <v>11042</v>
      </c>
      <c r="R2917">
        <v>1827</v>
      </c>
      <c r="S2917">
        <v>1471</v>
      </c>
    </row>
    <row r="2918" spans="11:19" x14ac:dyDescent="0.3">
      <c r="K2918" s="16">
        <f t="shared" si="45"/>
        <v>44137</v>
      </c>
      <c r="L2918" s="17">
        <v>0.5</v>
      </c>
      <c r="M2918" s="14">
        <v>396</v>
      </c>
      <c r="N2918" s="14">
        <v>0</v>
      </c>
      <c r="O2918" s="14">
        <v>0</v>
      </c>
      <c r="P2918" s="14">
        <v>396</v>
      </c>
      <c r="Q2918">
        <v>11035</v>
      </c>
      <c r="R2918">
        <v>1808</v>
      </c>
      <c r="S2918">
        <v>1607</v>
      </c>
    </row>
    <row r="2919" spans="11:19" x14ac:dyDescent="0.3">
      <c r="K2919" s="16">
        <f t="shared" si="45"/>
        <v>44137</v>
      </c>
      <c r="L2919" s="17">
        <v>0.54166666666666663</v>
      </c>
      <c r="M2919" s="14">
        <v>396</v>
      </c>
      <c r="N2919" s="14">
        <v>0</v>
      </c>
      <c r="O2919" s="14">
        <v>0</v>
      </c>
      <c r="P2919" s="14">
        <v>396</v>
      </c>
      <c r="Q2919">
        <v>10758</v>
      </c>
      <c r="R2919">
        <v>1599</v>
      </c>
      <c r="S2919">
        <v>1494</v>
      </c>
    </row>
    <row r="2920" spans="11:19" x14ac:dyDescent="0.3">
      <c r="K2920" s="16">
        <f t="shared" si="45"/>
        <v>44137</v>
      </c>
      <c r="L2920" s="17">
        <v>0.58333333333333337</v>
      </c>
      <c r="M2920" s="14">
        <v>396</v>
      </c>
      <c r="N2920" s="14">
        <v>1440</v>
      </c>
      <c r="O2920" s="14">
        <v>0</v>
      </c>
      <c r="P2920" s="14">
        <v>1836</v>
      </c>
      <c r="Q2920">
        <v>10518</v>
      </c>
      <c r="R2920">
        <v>1596</v>
      </c>
      <c r="S2920">
        <v>1237</v>
      </c>
    </row>
    <row r="2921" spans="11:19" x14ac:dyDescent="0.3">
      <c r="K2921" s="16">
        <f t="shared" si="45"/>
        <v>44137</v>
      </c>
      <c r="L2921" s="17">
        <v>0.625</v>
      </c>
      <c r="M2921" s="14">
        <v>396</v>
      </c>
      <c r="N2921" s="14">
        <v>1602</v>
      </c>
      <c r="O2921" s="14">
        <v>0</v>
      </c>
      <c r="P2921" s="14">
        <v>1998</v>
      </c>
      <c r="Q2921">
        <v>10244</v>
      </c>
      <c r="R2921">
        <v>1622</v>
      </c>
      <c r="S2921">
        <v>778</v>
      </c>
    </row>
    <row r="2922" spans="11:19" x14ac:dyDescent="0.3">
      <c r="K2922" s="16">
        <f t="shared" si="45"/>
        <v>44137</v>
      </c>
      <c r="L2922" s="17">
        <v>0.66666666666666663</v>
      </c>
      <c r="M2922" s="14">
        <v>396</v>
      </c>
      <c r="N2922" s="14">
        <v>0</v>
      </c>
      <c r="O2922" s="14">
        <v>0</v>
      </c>
      <c r="P2922" s="14">
        <v>396</v>
      </c>
      <c r="Q2922">
        <v>10188</v>
      </c>
      <c r="R2922">
        <v>1658</v>
      </c>
      <c r="S2922">
        <v>267</v>
      </c>
    </row>
    <row r="2923" spans="11:19" x14ac:dyDescent="0.3">
      <c r="K2923" s="16">
        <f t="shared" si="45"/>
        <v>44137</v>
      </c>
      <c r="L2923" s="17">
        <v>0.70833333333333337</v>
      </c>
      <c r="M2923" s="14">
        <v>396</v>
      </c>
      <c r="N2923" s="14">
        <v>1811</v>
      </c>
      <c r="O2923" s="14">
        <v>0</v>
      </c>
      <c r="P2923" s="14">
        <v>2207</v>
      </c>
      <c r="Q2923">
        <v>10634</v>
      </c>
      <c r="R2923">
        <v>1550</v>
      </c>
      <c r="S2923">
        <v>22</v>
      </c>
    </row>
    <row r="2924" spans="11:19" x14ac:dyDescent="0.3">
      <c r="K2924" s="16">
        <f t="shared" si="45"/>
        <v>44137</v>
      </c>
      <c r="L2924" s="17">
        <v>0.75</v>
      </c>
      <c r="M2924" s="14">
        <v>396</v>
      </c>
      <c r="N2924" s="14">
        <v>1520</v>
      </c>
      <c r="O2924" s="14">
        <v>0</v>
      </c>
      <c r="P2924" s="14">
        <v>1916</v>
      </c>
      <c r="Q2924">
        <v>11595</v>
      </c>
      <c r="R2924">
        <v>1281</v>
      </c>
      <c r="S2924">
        <v>0</v>
      </c>
    </row>
    <row r="2925" spans="11:19" x14ac:dyDescent="0.3">
      <c r="K2925" s="16">
        <f t="shared" si="45"/>
        <v>44137</v>
      </c>
      <c r="L2925" s="17">
        <v>0.79166666666666663</v>
      </c>
      <c r="M2925" s="14">
        <v>396</v>
      </c>
      <c r="N2925" s="14">
        <v>1811</v>
      </c>
      <c r="O2925" s="14">
        <v>0</v>
      </c>
      <c r="P2925" s="14">
        <v>2207</v>
      </c>
      <c r="Q2925">
        <v>11237</v>
      </c>
      <c r="R2925">
        <v>1184</v>
      </c>
      <c r="S2925">
        <v>0</v>
      </c>
    </row>
    <row r="2926" spans="11:19" x14ac:dyDescent="0.3">
      <c r="K2926" s="16">
        <f t="shared" si="45"/>
        <v>44137</v>
      </c>
      <c r="L2926" s="17">
        <v>0.83333333333333337</v>
      </c>
      <c r="M2926" s="14">
        <v>396</v>
      </c>
      <c r="N2926" s="14">
        <v>430</v>
      </c>
      <c r="O2926" s="14">
        <v>0</v>
      </c>
      <c r="P2926" s="14">
        <v>826</v>
      </c>
      <c r="Q2926">
        <v>10312</v>
      </c>
      <c r="R2926">
        <v>1110</v>
      </c>
      <c r="S2926">
        <v>0</v>
      </c>
    </row>
    <row r="2927" spans="11:19" x14ac:dyDescent="0.3">
      <c r="K2927" s="16">
        <f t="shared" si="45"/>
        <v>44137</v>
      </c>
      <c r="L2927" s="17">
        <v>0.875</v>
      </c>
      <c r="M2927" s="14">
        <v>396</v>
      </c>
      <c r="N2927" s="14">
        <v>1811</v>
      </c>
      <c r="O2927" s="14">
        <v>0</v>
      </c>
      <c r="P2927" s="14">
        <v>2207</v>
      </c>
      <c r="Q2927">
        <v>9712</v>
      </c>
      <c r="R2927">
        <v>958</v>
      </c>
      <c r="S2927">
        <v>0</v>
      </c>
    </row>
    <row r="2928" spans="11:19" x14ac:dyDescent="0.3">
      <c r="K2928" s="16">
        <f t="shared" si="45"/>
        <v>44137</v>
      </c>
      <c r="L2928" s="17">
        <v>0.91666666666666663</v>
      </c>
      <c r="M2928" s="14">
        <v>396</v>
      </c>
      <c r="N2928" s="14">
        <v>292</v>
      </c>
      <c r="O2928" s="14">
        <v>0</v>
      </c>
      <c r="P2928" s="14">
        <v>688</v>
      </c>
      <c r="Q2928">
        <v>9877</v>
      </c>
      <c r="R2928">
        <v>840</v>
      </c>
      <c r="S2928">
        <v>0</v>
      </c>
    </row>
    <row r="2929" spans="11:19" x14ac:dyDescent="0.3">
      <c r="K2929" s="16">
        <f t="shared" si="45"/>
        <v>44137</v>
      </c>
      <c r="L2929" s="17">
        <v>0.95833333333333337</v>
      </c>
      <c r="M2929" s="14">
        <v>396</v>
      </c>
      <c r="N2929" s="14">
        <v>479</v>
      </c>
      <c r="O2929" s="14">
        <v>0</v>
      </c>
      <c r="P2929" s="14">
        <v>875</v>
      </c>
      <c r="Q2929">
        <v>9991</v>
      </c>
      <c r="R2929">
        <v>787</v>
      </c>
      <c r="S2929">
        <v>0</v>
      </c>
    </row>
    <row r="2930" spans="11:19" x14ac:dyDescent="0.3">
      <c r="K2930" s="16">
        <f t="shared" si="45"/>
        <v>44138</v>
      </c>
      <c r="L2930" s="17">
        <v>0</v>
      </c>
      <c r="M2930" s="14">
        <v>396</v>
      </c>
      <c r="N2930" s="14">
        <v>1423</v>
      </c>
      <c r="O2930" s="14">
        <v>0</v>
      </c>
      <c r="P2930" s="14">
        <v>1819</v>
      </c>
      <c r="Q2930">
        <v>9288</v>
      </c>
      <c r="R2930">
        <v>825</v>
      </c>
      <c r="S2930">
        <v>0</v>
      </c>
    </row>
    <row r="2931" spans="11:19" x14ac:dyDescent="0.3">
      <c r="K2931" s="16">
        <f t="shared" si="45"/>
        <v>44138</v>
      </c>
      <c r="L2931" s="17">
        <v>4.1666666666666664E-2</v>
      </c>
      <c r="M2931" s="14">
        <v>396</v>
      </c>
      <c r="N2931" s="14">
        <v>0</v>
      </c>
      <c r="O2931" s="14">
        <v>0</v>
      </c>
      <c r="P2931" s="14">
        <v>396</v>
      </c>
      <c r="Q2931">
        <v>8881</v>
      </c>
      <c r="R2931">
        <v>809</v>
      </c>
      <c r="S2931">
        <v>0</v>
      </c>
    </row>
    <row r="2932" spans="11:19" x14ac:dyDescent="0.3">
      <c r="K2932" s="16">
        <f t="shared" si="45"/>
        <v>44138</v>
      </c>
      <c r="L2932" s="17">
        <v>8.3333333333333329E-2</v>
      </c>
      <c r="M2932" s="14">
        <v>396</v>
      </c>
      <c r="N2932" s="14">
        <v>1423</v>
      </c>
      <c r="O2932" s="14">
        <v>0</v>
      </c>
      <c r="P2932" s="14">
        <v>1819</v>
      </c>
      <c r="Q2932">
        <v>8545</v>
      </c>
      <c r="R2932">
        <v>860</v>
      </c>
      <c r="S2932">
        <v>0</v>
      </c>
    </row>
    <row r="2933" spans="11:19" x14ac:dyDescent="0.3">
      <c r="K2933" s="16">
        <f t="shared" si="45"/>
        <v>44138</v>
      </c>
      <c r="L2933" s="17">
        <v>0.125</v>
      </c>
      <c r="M2933" s="14">
        <v>396</v>
      </c>
      <c r="N2933" s="14">
        <v>1158</v>
      </c>
      <c r="O2933" s="14">
        <v>0</v>
      </c>
      <c r="P2933" s="14">
        <v>1554</v>
      </c>
      <c r="Q2933">
        <v>8130</v>
      </c>
      <c r="R2933">
        <v>876</v>
      </c>
      <c r="S2933">
        <v>0</v>
      </c>
    </row>
    <row r="2934" spans="11:19" x14ac:dyDescent="0.3">
      <c r="K2934" s="16">
        <f t="shared" si="45"/>
        <v>44138</v>
      </c>
      <c r="L2934" s="17">
        <v>0.16666666666666666</v>
      </c>
      <c r="M2934" s="14">
        <v>396</v>
      </c>
      <c r="N2934" s="14">
        <v>0</v>
      </c>
      <c r="O2934" s="14">
        <v>0</v>
      </c>
      <c r="P2934" s="14">
        <v>396</v>
      </c>
      <c r="Q2934">
        <v>8029</v>
      </c>
      <c r="R2934">
        <v>869</v>
      </c>
      <c r="S2934">
        <v>0</v>
      </c>
    </row>
    <row r="2935" spans="11:19" x14ac:dyDescent="0.3">
      <c r="K2935" s="16">
        <f t="shared" si="45"/>
        <v>44138</v>
      </c>
      <c r="L2935" s="17">
        <v>0.20833333333333334</v>
      </c>
      <c r="M2935" s="14">
        <v>396</v>
      </c>
      <c r="N2935" s="14">
        <v>1348</v>
      </c>
      <c r="O2935" s="14">
        <v>0</v>
      </c>
      <c r="P2935" s="14">
        <v>1744</v>
      </c>
      <c r="Q2935">
        <v>8331</v>
      </c>
      <c r="R2935">
        <v>860</v>
      </c>
      <c r="S2935">
        <v>0</v>
      </c>
    </row>
    <row r="2936" spans="11:19" x14ac:dyDescent="0.3">
      <c r="K2936" s="16">
        <f t="shared" si="45"/>
        <v>44138</v>
      </c>
      <c r="L2936" s="17">
        <v>0.25</v>
      </c>
      <c r="M2936" s="14">
        <v>396</v>
      </c>
      <c r="N2936" s="14">
        <v>0</v>
      </c>
      <c r="O2936" s="14">
        <v>0</v>
      </c>
      <c r="P2936" s="14">
        <v>396</v>
      </c>
      <c r="Q2936">
        <v>8913</v>
      </c>
      <c r="R2936">
        <v>853</v>
      </c>
      <c r="S2936">
        <v>0</v>
      </c>
    </row>
    <row r="2937" spans="11:19" x14ac:dyDescent="0.3">
      <c r="K2937" s="16">
        <f t="shared" si="45"/>
        <v>44138</v>
      </c>
      <c r="L2937" s="17">
        <v>0.29166666666666669</v>
      </c>
      <c r="M2937" s="14">
        <v>396</v>
      </c>
      <c r="N2937" s="14">
        <v>1423</v>
      </c>
      <c r="O2937" s="14">
        <v>0</v>
      </c>
      <c r="P2937" s="14">
        <v>1819</v>
      </c>
      <c r="Q2937">
        <v>9289</v>
      </c>
      <c r="R2937">
        <v>861</v>
      </c>
      <c r="S2937">
        <v>16</v>
      </c>
    </row>
    <row r="2938" spans="11:19" x14ac:dyDescent="0.3">
      <c r="K2938" s="16">
        <f t="shared" si="45"/>
        <v>44138</v>
      </c>
      <c r="L2938" s="17">
        <v>0.33333333333333331</v>
      </c>
      <c r="M2938" s="14">
        <v>396</v>
      </c>
      <c r="N2938" s="14">
        <v>0</v>
      </c>
      <c r="O2938" s="14">
        <v>0</v>
      </c>
      <c r="P2938" s="14">
        <v>396</v>
      </c>
      <c r="Q2938">
        <v>9689</v>
      </c>
      <c r="R2938">
        <v>774</v>
      </c>
      <c r="S2938">
        <v>237</v>
      </c>
    </row>
    <row r="2939" spans="11:19" x14ac:dyDescent="0.3">
      <c r="K2939" s="16">
        <f t="shared" si="45"/>
        <v>44138</v>
      </c>
      <c r="L2939" s="17">
        <v>0.375</v>
      </c>
      <c r="M2939" s="14">
        <v>396</v>
      </c>
      <c r="N2939" s="14">
        <v>1423</v>
      </c>
      <c r="O2939" s="14">
        <v>0</v>
      </c>
      <c r="P2939" s="14">
        <v>1819</v>
      </c>
      <c r="Q2939">
        <v>9922</v>
      </c>
      <c r="R2939">
        <v>822</v>
      </c>
      <c r="S2939">
        <v>732</v>
      </c>
    </row>
    <row r="2940" spans="11:19" x14ac:dyDescent="0.3">
      <c r="K2940" s="16">
        <f t="shared" si="45"/>
        <v>44138</v>
      </c>
      <c r="L2940" s="17">
        <v>0.41666666666666669</v>
      </c>
      <c r="M2940" s="14">
        <v>396</v>
      </c>
      <c r="N2940" s="14">
        <v>0</v>
      </c>
      <c r="O2940" s="14">
        <v>0</v>
      </c>
      <c r="P2940" s="14">
        <v>396</v>
      </c>
      <c r="Q2940">
        <v>9882</v>
      </c>
      <c r="R2940">
        <v>959</v>
      </c>
      <c r="S2940">
        <v>1244</v>
      </c>
    </row>
    <row r="2941" spans="11:19" x14ac:dyDescent="0.3">
      <c r="K2941" s="16">
        <f t="shared" si="45"/>
        <v>44138</v>
      </c>
      <c r="L2941" s="17">
        <v>0.45833333333333331</v>
      </c>
      <c r="M2941" s="14">
        <v>396</v>
      </c>
      <c r="N2941" s="14">
        <v>0</v>
      </c>
      <c r="O2941" s="14">
        <v>0</v>
      </c>
      <c r="P2941" s="14">
        <v>396</v>
      </c>
      <c r="Q2941">
        <v>9901</v>
      </c>
      <c r="R2941">
        <v>993</v>
      </c>
      <c r="S2941">
        <v>1520</v>
      </c>
    </row>
    <row r="2942" spans="11:19" x14ac:dyDescent="0.3">
      <c r="K2942" s="16">
        <f t="shared" si="45"/>
        <v>44138</v>
      </c>
      <c r="L2942" s="17">
        <v>0.5</v>
      </c>
      <c r="M2942" s="14">
        <v>396</v>
      </c>
      <c r="N2942" s="14">
        <v>0</v>
      </c>
      <c r="O2942" s="14">
        <v>0</v>
      </c>
      <c r="P2942" s="14">
        <v>396</v>
      </c>
      <c r="Q2942">
        <v>10064</v>
      </c>
      <c r="R2942">
        <v>1019</v>
      </c>
      <c r="S2942">
        <v>1659</v>
      </c>
    </row>
    <row r="2943" spans="11:19" x14ac:dyDescent="0.3">
      <c r="K2943" s="16">
        <f t="shared" si="45"/>
        <v>44138</v>
      </c>
      <c r="L2943" s="17">
        <v>0.54166666666666663</v>
      </c>
      <c r="M2943" s="14">
        <v>396</v>
      </c>
      <c r="N2943" s="14">
        <v>0</v>
      </c>
      <c r="O2943" s="14">
        <v>0</v>
      </c>
      <c r="P2943" s="14">
        <v>396</v>
      </c>
      <c r="Q2943">
        <v>9641</v>
      </c>
      <c r="R2943">
        <v>1015</v>
      </c>
      <c r="S2943">
        <v>1577</v>
      </c>
    </row>
    <row r="2944" spans="11:19" x14ac:dyDescent="0.3">
      <c r="K2944" s="16">
        <f t="shared" si="45"/>
        <v>44138</v>
      </c>
      <c r="L2944" s="17">
        <v>0.58333333333333337</v>
      </c>
      <c r="M2944" s="14">
        <v>396</v>
      </c>
      <c r="N2944" s="14">
        <v>822</v>
      </c>
      <c r="O2944" s="14">
        <v>0</v>
      </c>
      <c r="P2944" s="14">
        <v>1218</v>
      </c>
      <c r="Q2944">
        <v>9284</v>
      </c>
      <c r="R2944">
        <v>1054</v>
      </c>
      <c r="S2944">
        <v>1322</v>
      </c>
    </row>
    <row r="2945" spans="11:19" x14ac:dyDescent="0.3">
      <c r="K2945" s="16">
        <f t="shared" si="45"/>
        <v>44138</v>
      </c>
      <c r="L2945" s="17">
        <v>0.625</v>
      </c>
      <c r="M2945" s="14">
        <v>396</v>
      </c>
      <c r="N2945" s="14">
        <v>1084</v>
      </c>
      <c r="O2945" s="14">
        <v>0</v>
      </c>
      <c r="P2945" s="14">
        <v>1480</v>
      </c>
      <c r="Q2945">
        <v>8982</v>
      </c>
      <c r="R2945">
        <v>993</v>
      </c>
      <c r="S2945">
        <v>822</v>
      </c>
    </row>
    <row r="2946" spans="11:19" x14ac:dyDescent="0.3">
      <c r="K2946" s="16">
        <f t="shared" si="45"/>
        <v>44138</v>
      </c>
      <c r="L2946" s="17">
        <v>0.66666666666666663</v>
      </c>
      <c r="M2946" s="14">
        <v>396</v>
      </c>
      <c r="N2946" s="14">
        <v>0</v>
      </c>
      <c r="O2946" s="14">
        <v>0</v>
      </c>
      <c r="P2946" s="14">
        <v>396</v>
      </c>
      <c r="Q2946">
        <v>8874</v>
      </c>
      <c r="R2946">
        <v>1055</v>
      </c>
      <c r="S2946">
        <v>290</v>
      </c>
    </row>
    <row r="2947" spans="11:19" x14ac:dyDescent="0.3">
      <c r="K2947" s="16">
        <f t="shared" si="45"/>
        <v>44138</v>
      </c>
      <c r="L2947" s="17">
        <v>0.70833333333333337</v>
      </c>
      <c r="M2947" s="14">
        <v>396</v>
      </c>
      <c r="N2947" s="14">
        <v>1423</v>
      </c>
      <c r="O2947" s="14">
        <v>0</v>
      </c>
      <c r="P2947" s="14">
        <v>1819</v>
      </c>
      <c r="Q2947">
        <v>9367</v>
      </c>
      <c r="R2947">
        <v>1088</v>
      </c>
      <c r="S2947">
        <v>25</v>
      </c>
    </row>
    <row r="2948" spans="11:19" x14ac:dyDescent="0.3">
      <c r="K2948" s="16">
        <f t="shared" si="45"/>
        <v>44138</v>
      </c>
      <c r="L2948" s="17">
        <v>0.75</v>
      </c>
      <c r="M2948" s="14">
        <v>396</v>
      </c>
      <c r="N2948" s="14">
        <v>1423</v>
      </c>
      <c r="O2948" s="14">
        <v>0</v>
      </c>
      <c r="P2948" s="14">
        <v>1819</v>
      </c>
      <c r="Q2948">
        <v>10093</v>
      </c>
      <c r="R2948">
        <v>1237</v>
      </c>
      <c r="S2948">
        <v>0</v>
      </c>
    </row>
    <row r="2949" spans="11:19" x14ac:dyDescent="0.3">
      <c r="K2949" s="16">
        <f t="shared" si="45"/>
        <v>44138</v>
      </c>
      <c r="L2949" s="17">
        <v>0.79166666666666663</v>
      </c>
      <c r="M2949" s="14">
        <v>396</v>
      </c>
      <c r="N2949" s="14">
        <v>1423</v>
      </c>
      <c r="O2949" s="14">
        <v>0</v>
      </c>
      <c r="P2949" s="14">
        <v>1819</v>
      </c>
      <c r="Q2949">
        <v>9865</v>
      </c>
      <c r="R2949">
        <v>1091</v>
      </c>
      <c r="S2949">
        <v>0</v>
      </c>
    </row>
    <row r="2950" spans="11:19" x14ac:dyDescent="0.3">
      <c r="K2950" s="16">
        <f t="shared" si="45"/>
        <v>44138</v>
      </c>
      <c r="L2950" s="17">
        <v>0.83333333333333337</v>
      </c>
      <c r="M2950" s="14">
        <v>396</v>
      </c>
      <c r="N2950" s="14">
        <v>0</v>
      </c>
      <c r="O2950" s="14">
        <v>0</v>
      </c>
      <c r="P2950" s="14">
        <v>396</v>
      </c>
      <c r="Q2950">
        <v>9291</v>
      </c>
      <c r="R2950">
        <v>1124</v>
      </c>
      <c r="S2950">
        <v>0</v>
      </c>
    </row>
    <row r="2951" spans="11:19" x14ac:dyDescent="0.3">
      <c r="K2951" s="16">
        <f t="shared" si="45"/>
        <v>44138</v>
      </c>
      <c r="L2951" s="17">
        <v>0.875</v>
      </c>
      <c r="M2951" s="14">
        <v>396</v>
      </c>
      <c r="N2951" s="14">
        <v>0</v>
      </c>
      <c r="O2951" s="14">
        <v>0</v>
      </c>
      <c r="P2951" s="14">
        <v>396</v>
      </c>
      <c r="Q2951">
        <v>8919</v>
      </c>
      <c r="R2951">
        <v>1157</v>
      </c>
      <c r="S2951">
        <v>0</v>
      </c>
    </row>
    <row r="2952" spans="11:19" x14ac:dyDescent="0.3">
      <c r="K2952" s="16">
        <f t="shared" si="45"/>
        <v>44138</v>
      </c>
      <c r="L2952" s="17">
        <v>0.91666666666666663</v>
      </c>
      <c r="M2952" s="14">
        <v>396</v>
      </c>
      <c r="N2952" s="14">
        <v>1423</v>
      </c>
      <c r="O2952" s="14">
        <v>0</v>
      </c>
      <c r="P2952" s="14">
        <v>1819</v>
      </c>
      <c r="Q2952">
        <v>9221</v>
      </c>
      <c r="R2952">
        <v>1164</v>
      </c>
      <c r="S2952">
        <v>0</v>
      </c>
    </row>
    <row r="2953" spans="11:19" x14ac:dyDescent="0.3">
      <c r="K2953" s="16">
        <f t="shared" si="45"/>
        <v>44138</v>
      </c>
      <c r="L2953" s="17">
        <v>0.95833333333333337</v>
      </c>
      <c r="M2953" s="14">
        <v>396</v>
      </c>
      <c r="N2953" s="14">
        <v>0</v>
      </c>
      <c r="O2953" s="14">
        <v>0</v>
      </c>
      <c r="P2953" s="14">
        <v>396</v>
      </c>
      <c r="Q2953">
        <v>9454</v>
      </c>
      <c r="R2953">
        <v>1066</v>
      </c>
      <c r="S2953">
        <v>0</v>
      </c>
    </row>
    <row r="2954" spans="11:19" x14ac:dyDescent="0.3">
      <c r="K2954" s="16">
        <f t="shared" si="45"/>
        <v>44139</v>
      </c>
      <c r="L2954" s="17">
        <v>0</v>
      </c>
      <c r="M2954" s="14">
        <v>321</v>
      </c>
      <c r="N2954" s="14">
        <v>0</v>
      </c>
      <c r="O2954" s="14">
        <v>0</v>
      </c>
      <c r="P2954" s="14">
        <v>321</v>
      </c>
      <c r="Q2954">
        <v>8867</v>
      </c>
      <c r="R2954">
        <v>1110</v>
      </c>
      <c r="S2954">
        <v>0</v>
      </c>
    </row>
    <row r="2955" spans="11:19" x14ac:dyDescent="0.3">
      <c r="K2955" s="16">
        <f t="shared" si="45"/>
        <v>44139</v>
      </c>
      <c r="L2955" s="17">
        <v>4.1666666666666664E-2</v>
      </c>
      <c r="M2955" s="14">
        <v>321</v>
      </c>
      <c r="N2955" s="14">
        <v>0</v>
      </c>
      <c r="O2955" s="14">
        <v>0</v>
      </c>
      <c r="P2955" s="14">
        <v>321</v>
      </c>
      <c r="Q2955">
        <v>8491</v>
      </c>
      <c r="R2955">
        <v>1048</v>
      </c>
      <c r="S2955">
        <v>0</v>
      </c>
    </row>
    <row r="2956" spans="11:19" x14ac:dyDescent="0.3">
      <c r="K2956" s="16">
        <f t="shared" si="45"/>
        <v>44139</v>
      </c>
      <c r="L2956" s="17">
        <v>8.3333333333333329E-2</v>
      </c>
      <c r="M2956" s="14">
        <v>321</v>
      </c>
      <c r="N2956" s="14">
        <v>0</v>
      </c>
      <c r="O2956" s="14">
        <v>0</v>
      </c>
      <c r="P2956" s="14">
        <v>321</v>
      </c>
      <c r="Q2956">
        <v>8114</v>
      </c>
      <c r="R2956">
        <v>1117</v>
      </c>
      <c r="S2956">
        <v>0</v>
      </c>
    </row>
    <row r="2957" spans="11:19" x14ac:dyDescent="0.3">
      <c r="K2957" s="16">
        <f t="shared" si="45"/>
        <v>44139</v>
      </c>
      <c r="L2957" s="17">
        <v>0.125</v>
      </c>
      <c r="M2957" s="14">
        <v>321</v>
      </c>
      <c r="N2957" s="14">
        <v>0</v>
      </c>
      <c r="O2957" s="14">
        <v>464</v>
      </c>
      <c r="P2957" s="14">
        <v>785</v>
      </c>
      <c r="Q2957">
        <v>7641</v>
      </c>
      <c r="R2957">
        <v>1076</v>
      </c>
      <c r="S2957">
        <v>0</v>
      </c>
    </row>
    <row r="2958" spans="11:19" x14ac:dyDescent="0.3">
      <c r="K2958" s="16">
        <f t="shared" si="45"/>
        <v>44139</v>
      </c>
      <c r="L2958" s="17">
        <v>0.16666666666666666</v>
      </c>
      <c r="M2958" s="14">
        <v>321</v>
      </c>
      <c r="N2958" s="14">
        <v>562</v>
      </c>
      <c r="O2958" s="14">
        <v>0</v>
      </c>
      <c r="P2958" s="14">
        <v>883</v>
      </c>
      <c r="Q2958">
        <v>7429</v>
      </c>
      <c r="R2958">
        <v>940</v>
      </c>
      <c r="S2958">
        <v>0</v>
      </c>
    </row>
    <row r="2959" spans="11:19" x14ac:dyDescent="0.3">
      <c r="K2959" s="16">
        <f t="shared" si="45"/>
        <v>44139</v>
      </c>
      <c r="L2959" s="17">
        <v>0.20833333333333334</v>
      </c>
      <c r="M2959" s="14">
        <v>321</v>
      </c>
      <c r="N2959" s="14">
        <v>0</v>
      </c>
      <c r="O2959" s="14">
        <v>0</v>
      </c>
      <c r="P2959" s="14">
        <v>321</v>
      </c>
      <c r="Q2959">
        <v>7496</v>
      </c>
      <c r="R2959">
        <v>1006</v>
      </c>
      <c r="S2959">
        <v>0</v>
      </c>
    </row>
    <row r="2960" spans="11:19" x14ac:dyDescent="0.3">
      <c r="K2960" s="16">
        <f t="shared" si="45"/>
        <v>44139</v>
      </c>
      <c r="L2960" s="17">
        <v>0.25</v>
      </c>
      <c r="M2960" s="14">
        <v>321</v>
      </c>
      <c r="N2960" s="14">
        <v>0</v>
      </c>
      <c r="O2960" s="14">
        <v>0</v>
      </c>
      <c r="P2960" s="14">
        <v>321</v>
      </c>
      <c r="Q2960">
        <v>7708</v>
      </c>
      <c r="R2960">
        <v>899</v>
      </c>
      <c r="S2960">
        <v>0</v>
      </c>
    </row>
    <row r="2961" spans="11:19" x14ac:dyDescent="0.3">
      <c r="K2961" s="16">
        <f t="shared" si="45"/>
        <v>44139</v>
      </c>
      <c r="L2961" s="17">
        <v>0.29166666666666669</v>
      </c>
      <c r="M2961" s="14">
        <v>321</v>
      </c>
      <c r="N2961" s="14">
        <v>0</v>
      </c>
      <c r="O2961" s="14">
        <v>0</v>
      </c>
      <c r="P2961" s="14">
        <v>321</v>
      </c>
      <c r="Q2961">
        <v>7758</v>
      </c>
      <c r="R2961">
        <v>896</v>
      </c>
      <c r="S2961">
        <v>34</v>
      </c>
    </row>
    <row r="2962" spans="11:19" x14ac:dyDescent="0.3">
      <c r="K2962" s="16">
        <f t="shared" si="45"/>
        <v>44139</v>
      </c>
      <c r="L2962" s="17">
        <v>0.33333333333333331</v>
      </c>
      <c r="M2962" s="14">
        <v>321</v>
      </c>
      <c r="N2962" s="14">
        <v>0</v>
      </c>
      <c r="O2962" s="14">
        <v>0</v>
      </c>
      <c r="P2962" s="14">
        <v>321</v>
      </c>
      <c r="Q2962">
        <v>8056</v>
      </c>
      <c r="R2962">
        <v>826</v>
      </c>
      <c r="S2962">
        <v>320</v>
      </c>
    </row>
    <row r="2963" spans="11:19" x14ac:dyDescent="0.3">
      <c r="K2963" s="16">
        <f t="shared" si="45"/>
        <v>44139</v>
      </c>
      <c r="L2963" s="17">
        <v>0.375</v>
      </c>
      <c r="M2963" s="14">
        <v>321</v>
      </c>
      <c r="N2963" s="14">
        <v>0</v>
      </c>
      <c r="O2963" s="14">
        <v>0</v>
      </c>
      <c r="P2963" s="14">
        <v>321</v>
      </c>
      <c r="Q2963">
        <v>8330</v>
      </c>
      <c r="R2963">
        <v>1051</v>
      </c>
      <c r="S2963">
        <v>992</v>
      </c>
    </row>
    <row r="2964" spans="11:19" x14ac:dyDescent="0.3">
      <c r="K2964" s="16">
        <f t="shared" si="45"/>
        <v>44139</v>
      </c>
      <c r="L2964" s="17">
        <v>0.41666666666666669</v>
      </c>
      <c r="M2964" s="14">
        <v>321</v>
      </c>
      <c r="N2964" s="14">
        <v>0</v>
      </c>
      <c r="O2964" s="14">
        <v>-405</v>
      </c>
      <c r="P2964" s="14">
        <v>-84</v>
      </c>
      <c r="Q2964">
        <v>8444</v>
      </c>
      <c r="R2964">
        <v>1369</v>
      </c>
      <c r="S2964">
        <v>1625</v>
      </c>
    </row>
    <row r="2965" spans="11:19" x14ac:dyDescent="0.3">
      <c r="K2965" s="16">
        <f t="shared" si="45"/>
        <v>44139</v>
      </c>
      <c r="L2965" s="17">
        <v>0.45833333333333331</v>
      </c>
      <c r="M2965" s="14">
        <v>321</v>
      </c>
      <c r="N2965" s="14">
        <v>0</v>
      </c>
      <c r="O2965" s="14">
        <v>-590</v>
      </c>
      <c r="P2965" s="14">
        <v>-269</v>
      </c>
      <c r="Q2965">
        <v>8594</v>
      </c>
      <c r="R2965">
        <v>1340</v>
      </c>
      <c r="S2965">
        <v>1990</v>
      </c>
    </row>
    <row r="2966" spans="11:19" x14ac:dyDescent="0.3">
      <c r="K2966" s="16">
        <f t="shared" si="45"/>
        <v>44139</v>
      </c>
      <c r="L2966" s="17">
        <v>0.5</v>
      </c>
      <c r="M2966" s="14">
        <v>321</v>
      </c>
      <c r="N2966" s="14">
        <v>0</v>
      </c>
      <c r="O2966" s="14">
        <v>-405</v>
      </c>
      <c r="P2966" s="14">
        <v>-84</v>
      </c>
      <c r="Q2966">
        <v>8923</v>
      </c>
      <c r="R2966">
        <v>1359</v>
      </c>
      <c r="S2966">
        <v>2117</v>
      </c>
    </row>
    <row r="2967" spans="11:19" x14ac:dyDescent="0.3">
      <c r="K2967" s="16">
        <f t="shared" si="45"/>
        <v>44139</v>
      </c>
      <c r="L2967" s="17">
        <v>0.54166666666666663</v>
      </c>
      <c r="M2967" s="14">
        <v>321</v>
      </c>
      <c r="N2967" s="14">
        <v>0</v>
      </c>
      <c r="O2967" s="14">
        <v>-773</v>
      </c>
      <c r="P2967" s="14">
        <v>-452</v>
      </c>
      <c r="Q2967">
        <v>8408</v>
      </c>
      <c r="R2967">
        <v>1349</v>
      </c>
      <c r="S2967">
        <v>1982</v>
      </c>
    </row>
    <row r="2968" spans="11:19" x14ac:dyDescent="0.3">
      <c r="K2968" s="16">
        <f t="shared" si="45"/>
        <v>44139</v>
      </c>
      <c r="L2968" s="17">
        <v>0.58333333333333337</v>
      </c>
      <c r="M2968" s="14">
        <v>321</v>
      </c>
      <c r="N2968" s="14">
        <v>0</v>
      </c>
      <c r="O2968" s="14">
        <v>-789</v>
      </c>
      <c r="P2968" s="14">
        <v>-468</v>
      </c>
      <c r="Q2968">
        <v>7980</v>
      </c>
      <c r="R2968">
        <v>1044</v>
      </c>
      <c r="S2968">
        <v>1634</v>
      </c>
    </row>
    <row r="2969" spans="11:19" x14ac:dyDescent="0.3">
      <c r="K2969" s="16">
        <f t="shared" si="45"/>
        <v>44139</v>
      </c>
      <c r="L2969" s="17">
        <v>0.625</v>
      </c>
      <c r="M2969" s="14">
        <v>321</v>
      </c>
      <c r="N2969" s="14">
        <v>0</v>
      </c>
      <c r="O2969" s="14">
        <v>-423</v>
      </c>
      <c r="P2969" s="14">
        <v>-102</v>
      </c>
      <c r="Q2969">
        <v>7700</v>
      </c>
      <c r="R2969">
        <v>965</v>
      </c>
      <c r="S2969">
        <v>1070</v>
      </c>
    </row>
    <row r="2970" spans="11:19" x14ac:dyDescent="0.3">
      <c r="K2970" s="16">
        <f t="shared" si="45"/>
        <v>44139</v>
      </c>
      <c r="L2970" s="17">
        <v>0.66666666666666663</v>
      </c>
      <c r="M2970" s="14">
        <v>321</v>
      </c>
      <c r="N2970" s="14">
        <v>0</v>
      </c>
      <c r="O2970" s="14">
        <v>-52</v>
      </c>
      <c r="P2970" s="14">
        <v>269</v>
      </c>
      <c r="Q2970">
        <v>7646</v>
      </c>
      <c r="R2970">
        <v>1215</v>
      </c>
      <c r="S2970">
        <v>389</v>
      </c>
    </row>
    <row r="2971" spans="11:19" x14ac:dyDescent="0.3">
      <c r="K2971" s="16">
        <f t="shared" ref="K2971:K3034" si="46">K2947+1</f>
        <v>44139</v>
      </c>
      <c r="L2971" s="17">
        <v>0.70833333333333337</v>
      </c>
      <c r="M2971" s="14">
        <v>321</v>
      </c>
      <c r="N2971" s="14">
        <v>0</v>
      </c>
      <c r="O2971" s="14">
        <v>819</v>
      </c>
      <c r="P2971" s="14">
        <v>1140</v>
      </c>
      <c r="Q2971">
        <v>8241</v>
      </c>
      <c r="R2971">
        <v>1279</v>
      </c>
      <c r="S2971">
        <v>44</v>
      </c>
    </row>
    <row r="2972" spans="11:19" x14ac:dyDescent="0.3">
      <c r="K2972" s="16">
        <f t="shared" si="46"/>
        <v>44139</v>
      </c>
      <c r="L2972" s="17">
        <v>0.75</v>
      </c>
      <c r="M2972" s="14">
        <v>321</v>
      </c>
      <c r="N2972" s="14">
        <v>0</v>
      </c>
      <c r="O2972" s="14">
        <v>1200</v>
      </c>
      <c r="P2972" s="14">
        <v>1521</v>
      </c>
      <c r="Q2972">
        <v>9112</v>
      </c>
      <c r="R2972">
        <v>1129</v>
      </c>
      <c r="S2972">
        <v>0</v>
      </c>
    </row>
    <row r="2973" spans="11:19" x14ac:dyDescent="0.3">
      <c r="K2973" s="16">
        <f t="shared" si="46"/>
        <v>44139</v>
      </c>
      <c r="L2973" s="17">
        <v>0.79166666666666663</v>
      </c>
      <c r="M2973" s="14">
        <v>321</v>
      </c>
      <c r="N2973" s="14">
        <v>562</v>
      </c>
      <c r="O2973" s="14">
        <v>268</v>
      </c>
      <c r="P2973" s="14">
        <v>1151</v>
      </c>
      <c r="Q2973">
        <v>9097</v>
      </c>
      <c r="R2973">
        <v>1041</v>
      </c>
      <c r="S2973">
        <v>0</v>
      </c>
    </row>
    <row r="2974" spans="11:19" x14ac:dyDescent="0.3">
      <c r="K2974" s="16">
        <f t="shared" si="46"/>
        <v>44139</v>
      </c>
      <c r="L2974" s="17">
        <v>0.83333333333333337</v>
      </c>
      <c r="M2974" s="14">
        <v>321</v>
      </c>
      <c r="N2974" s="14">
        <v>0</v>
      </c>
      <c r="O2974" s="14">
        <v>0</v>
      </c>
      <c r="P2974" s="14">
        <v>321</v>
      </c>
      <c r="Q2974">
        <v>8759</v>
      </c>
      <c r="R2974">
        <v>1251</v>
      </c>
      <c r="S2974">
        <v>0</v>
      </c>
    </row>
    <row r="2975" spans="11:19" x14ac:dyDescent="0.3">
      <c r="K2975" s="16">
        <f t="shared" si="46"/>
        <v>44139</v>
      </c>
      <c r="L2975" s="17">
        <v>0.875</v>
      </c>
      <c r="M2975" s="14">
        <v>321</v>
      </c>
      <c r="N2975" s="14">
        <v>562</v>
      </c>
      <c r="O2975" s="14">
        <v>0</v>
      </c>
      <c r="P2975" s="14">
        <v>883</v>
      </c>
      <c r="Q2975">
        <v>8464</v>
      </c>
      <c r="R2975">
        <v>1138</v>
      </c>
      <c r="S2975">
        <v>0</v>
      </c>
    </row>
    <row r="2976" spans="11:19" x14ac:dyDescent="0.3">
      <c r="K2976" s="16">
        <f t="shared" si="46"/>
        <v>44139</v>
      </c>
      <c r="L2976" s="17">
        <v>0.91666666666666663</v>
      </c>
      <c r="M2976" s="14">
        <v>321</v>
      </c>
      <c r="N2976" s="14">
        <v>0</v>
      </c>
      <c r="O2976" s="14">
        <v>0</v>
      </c>
      <c r="P2976" s="14">
        <v>321</v>
      </c>
      <c r="Q2976">
        <v>8770</v>
      </c>
      <c r="R2976">
        <v>1208</v>
      </c>
      <c r="S2976">
        <v>0</v>
      </c>
    </row>
    <row r="2977" spans="11:19" x14ac:dyDescent="0.3">
      <c r="K2977" s="16">
        <f t="shared" si="46"/>
        <v>44139</v>
      </c>
      <c r="L2977" s="17">
        <v>0.95833333333333337</v>
      </c>
      <c r="M2977" s="14">
        <v>321</v>
      </c>
      <c r="N2977" s="14">
        <v>0</v>
      </c>
      <c r="O2977" s="14">
        <v>0</v>
      </c>
      <c r="P2977" s="14">
        <v>321</v>
      </c>
      <c r="Q2977">
        <v>9018</v>
      </c>
      <c r="R2977">
        <v>1375</v>
      </c>
      <c r="S2977">
        <v>0</v>
      </c>
    </row>
    <row r="2978" spans="11:19" x14ac:dyDescent="0.3">
      <c r="K2978" s="16">
        <f t="shared" si="46"/>
        <v>44140</v>
      </c>
      <c r="L2978" s="17">
        <v>0</v>
      </c>
      <c r="M2978" s="14">
        <v>321</v>
      </c>
      <c r="N2978" s="14">
        <v>0</v>
      </c>
      <c r="O2978" s="14">
        <v>0</v>
      </c>
      <c r="P2978" s="14">
        <v>321</v>
      </c>
      <c r="Q2978">
        <v>8404</v>
      </c>
      <c r="R2978">
        <v>1273</v>
      </c>
      <c r="S2978">
        <v>0</v>
      </c>
    </row>
    <row r="2979" spans="11:19" x14ac:dyDescent="0.3">
      <c r="K2979" s="16">
        <f t="shared" si="46"/>
        <v>44140</v>
      </c>
      <c r="L2979" s="17">
        <v>4.1666666666666664E-2</v>
      </c>
      <c r="M2979" s="14">
        <v>321</v>
      </c>
      <c r="N2979" s="14">
        <v>0</v>
      </c>
      <c r="O2979" s="14">
        <v>0</v>
      </c>
      <c r="P2979" s="14">
        <v>321</v>
      </c>
      <c r="Q2979">
        <v>8091</v>
      </c>
      <c r="R2979">
        <v>1255</v>
      </c>
      <c r="S2979">
        <v>0</v>
      </c>
    </row>
    <row r="2980" spans="11:19" x14ac:dyDescent="0.3">
      <c r="K2980" s="16">
        <f t="shared" si="46"/>
        <v>44140</v>
      </c>
      <c r="L2980" s="17">
        <v>8.3333333333333329E-2</v>
      </c>
      <c r="M2980" s="14">
        <v>321</v>
      </c>
      <c r="N2980" s="14">
        <v>0</v>
      </c>
      <c r="O2980" s="14">
        <v>0</v>
      </c>
      <c r="P2980" s="14">
        <v>321</v>
      </c>
      <c r="Q2980">
        <v>7791</v>
      </c>
      <c r="R2980">
        <v>1285</v>
      </c>
      <c r="S2980">
        <v>0</v>
      </c>
    </row>
    <row r="2981" spans="11:19" x14ac:dyDescent="0.3">
      <c r="K2981" s="16">
        <f t="shared" si="46"/>
        <v>44140</v>
      </c>
      <c r="L2981" s="17">
        <v>0.125</v>
      </c>
      <c r="M2981" s="14">
        <v>321</v>
      </c>
      <c r="N2981" s="14">
        <v>0</v>
      </c>
      <c r="O2981" s="14">
        <v>0</v>
      </c>
      <c r="P2981" s="14">
        <v>321</v>
      </c>
      <c r="Q2981">
        <v>7438</v>
      </c>
      <c r="R2981">
        <v>1194</v>
      </c>
      <c r="S2981">
        <v>0</v>
      </c>
    </row>
    <row r="2982" spans="11:19" x14ac:dyDescent="0.3">
      <c r="K2982" s="16">
        <f t="shared" si="46"/>
        <v>44140</v>
      </c>
      <c r="L2982" s="17">
        <v>0.16666666666666666</v>
      </c>
      <c r="M2982" s="14">
        <v>321</v>
      </c>
      <c r="N2982" s="14">
        <v>0</v>
      </c>
      <c r="O2982" s="14">
        <v>0</v>
      </c>
      <c r="P2982" s="14">
        <v>321</v>
      </c>
      <c r="Q2982">
        <v>7480</v>
      </c>
      <c r="R2982">
        <v>1174</v>
      </c>
      <c r="S2982">
        <v>0</v>
      </c>
    </row>
    <row r="2983" spans="11:19" x14ac:dyDescent="0.3">
      <c r="K2983" s="16">
        <f t="shared" si="46"/>
        <v>44140</v>
      </c>
      <c r="L2983" s="17">
        <v>0.20833333333333334</v>
      </c>
      <c r="M2983" s="14">
        <v>321</v>
      </c>
      <c r="N2983" s="14">
        <v>0</v>
      </c>
      <c r="O2983" s="14">
        <v>0</v>
      </c>
      <c r="P2983" s="14">
        <v>321</v>
      </c>
      <c r="Q2983">
        <v>8056</v>
      </c>
      <c r="R2983">
        <v>1178</v>
      </c>
      <c r="S2983">
        <v>0</v>
      </c>
    </row>
    <row r="2984" spans="11:19" x14ac:dyDescent="0.3">
      <c r="K2984" s="16">
        <f t="shared" si="46"/>
        <v>44140</v>
      </c>
      <c r="L2984" s="17">
        <v>0.25</v>
      </c>
      <c r="M2984" s="14">
        <v>321</v>
      </c>
      <c r="N2984" s="14">
        <v>0</v>
      </c>
      <c r="O2984" s="14">
        <v>0</v>
      </c>
      <c r="P2984" s="14">
        <v>321</v>
      </c>
      <c r="Q2984">
        <v>9013</v>
      </c>
      <c r="R2984">
        <v>1169</v>
      </c>
      <c r="S2984">
        <v>0</v>
      </c>
    </row>
    <row r="2985" spans="11:19" x14ac:dyDescent="0.3">
      <c r="K2985" s="16">
        <f t="shared" si="46"/>
        <v>44140</v>
      </c>
      <c r="L2985" s="17">
        <v>0.29166666666666669</v>
      </c>
      <c r="M2985" s="14">
        <v>321</v>
      </c>
      <c r="N2985" s="14">
        <v>772</v>
      </c>
      <c r="O2985" s="14">
        <v>0</v>
      </c>
      <c r="P2985" s="14">
        <v>1093</v>
      </c>
      <c r="Q2985">
        <v>9642</v>
      </c>
      <c r="R2985">
        <v>1063</v>
      </c>
      <c r="S2985">
        <v>33</v>
      </c>
    </row>
    <row r="2986" spans="11:19" x14ac:dyDescent="0.3">
      <c r="K2986" s="16">
        <f t="shared" si="46"/>
        <v>44140</v>
      </c>
      <c r="L2986" s="17">
        <v>0.33333333333333331</v>
      </c>
      <c r="M2986" s="14">
        <v>321</v>
      </c>
      <c r="N2986" s="14">
        <v>0</v>
      </c>
      <c r="O2986" s="14">
        <v>0</v>
      </c>
      <c r="P2986" s="14">
        <v>321</v>
      </c>
      <c r="Q2986">
        <v>10080</v>
      </c>
      <c r="R2986">
        <v>1086</v>
      </c>
      <c r="S2986">
        <v>327</v>
      </c>
    </row>
    <row r="2987" spans="11:19" x14ac:dyDescent="0.3">
      <c r="K2987" s="16">
        <f t="shared" si="46"/>
        <v>44140</v>
      </c>
      <c r="L2987" s="17">
        <v>0.375</v>
      </c>
      <c r="M2987" s="14">
        <v>321</v>
      </c>
      <c r="N2987" s="14">
        <v>772</v>
      </c>
      <c r="O2987" s="14">
        <v>0</v>
      </c>
      <c r="P2987" s="14">
        <v>1093</v>
      </c>
      <c r="Q2987">
        <v>10219</v>
      </c>
      <c r="R2987">
        <v>1370</v>
      </c>
      <c r="S2987">
        <v>1012</v>
      </c>
    </row>
    <row r="2988" spans="11:19" x14ac:dyDescent="0.3">
      <c r="K2988" s="16">
        <f t="shared" si="46"/>
        <v>44140</v>
      </c>
      <c r="L2988" s="17">
        <v>0.41666666666666669</v>
      </c>
      <c r="M2988" s="14">
        <v>321</v>
      </c>
      <c r="N2988" s="14">
        <v>772</v>
      </c>
      <c r="O2988" s="14">
        <v>0</v>
      </c>
      <c r="P2988" s="14">
        <v>1093</v>
      </c>
      <c r="Q2988">
        <v>10183</v>
      </c>
      <c r="R2988">
        <v>1503</v>
      </c>
      <c r="S2988">
        <v>1651</v>
      </c>
    </row>
    <row r="2989" spans="11:19" x14ac:dyDescent="0.3">
      <c r="K2989" s="16">
        <f t="shared" si="46"/>
        <v>44140</v>
      </c>
      <c r="L2989" s="17">
        <v>0.45833333333333331</v>
      </c>
      <c r="M2989" s="14">
        <v>321</v>
      </c>
      <c r="N2989" s="14">
        <v>0</v>
      </c>
      <c r="O2989" s="14">
        <v>0</v>
      </c>
      <c r="P2989" s="14">
        <v>321</v>
      </c>
      <c r="Q2989">
        <v>10237</v>
      </c>
      <c r="R2989">
        <v>1542</v>
      </c>
      <c r="S2989">
        <v>2027</v>
      </c>
    </row>
    <row r="2990" spans="11:19" x14ac:dyDescent="0.3">
      <c r="K2990" s="16">
        <f t="shared" si="46"/>
        <v>44140</v>
      </c>
      <c r="L2990" s="17">
        <v>0.5</v>
      </c>
      <c r="M2990" s="14">
        <v>321</v>
      </c>
      <c r="N2990" s="14">
        <v>0</v>
      </c>
      <c r="O2990" s="14">
        <v>0</v>
      </c>
      <c r="P2990" s="14">
        <v>321</v>
      </c>
      <c r="Q2990">
        <v>10246</v>
      </c>
      <c r="R2990">
        <v>1649</v>
      </c>
      <c r="S2990">
        <v>2175</v>
      </c>
    </row>
    <row r="2991" spans="11:19" x14ac:dyDescent="0.3">
      <c r="K2991" s="16">
        <f t="shared" si="46"/>
        <v>44140</v>
      </c>
      <c r="L2991" s="17">
        <v>0.54166666666666663</v>
      </c>
      <c r="M2991" s="14">
        <v>321</v>
      </c>
      <c r="N2991" s="14">
        <v>616</v>
      </c>
      <c r="O2991" s="14">
        <v>0</v>
      </c>
      <c r="P2991" s="14">
        <v>937</v>
      </c>
      <c r="Q2991">
        <v>10009</v>
      </c>
      <c r="R2991">
        <v>1420</v>
      </c>
      <c r="S2991">
        <v>2037</v>
      </c>
    </row>
    <row r="2992" spans="11:19" x14ac:dyDescent="0.3">
      <c r="K2992" s="16">
        <f t="shared" si="46"/>
        <v>44140</v>
      </c>
      <c r="L2992" s="17">
        <v>0.58333333333333337</v>
      </c>
      <c r="M2992" s="14">
        <v>321</v>
      </c>
      <c r="N2992" s="14">
        <v>697</v>
      </c>
      <c r="O2992" s="14">
        <v>0</v>
      </c>
      <c r="P2992" s="14">
        <v>1018</v>
      </c>
      <c r="Q2992">
        <v>9807</v>
      </c>
      <c r="R2992">
        <v>1481</v>
      </c>
      <c r="S2992">
        <v>1693</v>
      </c>
    </row>
    <row r="2993" spans="11:19" x14ac:dyDescent="0.3">
      <c r="K2993" s="16">
        <f t="shared" si="46"/>
        <v>44140</v>
      </c>
      <c r="L2993" s="17">
        <v>0.625</v>
      </c>
      <c r="M2993" s="14">
        <v>321</v>
      </c>
      <c r="N2993" s="14">
        <v>0</v>
      </c>
      <c r="O2993" s="14">
        <v>0</v>
      </c>
      <c r="P2993" s="14">
        <v>321</v>
      </c>
      <c r="Q2993">
        <v>9552</v>
      </c>
      <c r="R2993">
        <v>1302</v>
      </c>
      <c r="S2993">
        <v>1102</v>
      </c>
    </row>
    <row r="2994" spans="11:19" x14ac:dyDescent="0.3">
      <c r="K2994" s="16">
        <f t="shared" si="46"/>
        <v>44140</v>
      </c>
      <c r="L2994" s="17">
        <v>0.66666666666666663</v>
      </c>
      <c r="M2994" s="14">
        <v>321</v>
      </c>
      <c r="N2994" s="14">
        <v>0</v>
      </c>
      <c r="O2994" s="14">
        <v>0</v>
      </c>
      <c r="P2994" s="14">
        <v>321</v>
      </c>
      <c r="Q2994">
        <v>9417</v>
      </c>
      <c r="R2994">
        <v>1401</v>
      </c>
      <c r="S2994">
        <v>393</v>
      </c>
    </row>
    <row r="2995" spans="11:19" x14ac:dyDescent="0.3">
      <c r="K2995" s="16">
        <f t="shared" si="46"/>
        <v>44140</v>
      </c>
      <c r="L2995" s="17">
        <v>0.70833333333333337</v>
      </c>
      <c r="M2995" s="14">
        <v>321</v>
      </c>
      <c r="N2995" s="14">
        <v>0</v>
      </c>
      <c r="O2995" s="14">
        <v>0</v>
      </c>
      <c r="P2995" s="14">
        <v>321</v>
      </c>
      <c r="Q2995">
        <v>9757</v>
      </c>
      <c r="R2995">
        <v>1609</v>
      </c>
      <c r="S2995">
        <v>32</v>
      </c>
    </row>
    <row r="2996" spans="11:19" x14ac:dyDescent="0.3">
      <c r="K2996" s="16">
        <f t="shared" si="46"/>
        <v>44140</v>
      </c>
      <c r="L2996" s="17">
        <v>0.75</v>
      </c>
      <c r="M2996" s="14">
        <v>321</v>
      </c>
      <c r="N2996" s="14">
        <v>772</v>
      </c>
      <c r="O2996" s="14">
        <v>0</v>
      </c>
      <c r="P2996" s="14">
        <v>1093</v>
      </c>
      <c r="Q2996">
        <v>10689</v>
      </c>
      <c r="R2996">
        <v>1734</v>
      </c>
      <c r="S2996">
        <v>0</v>
      </c>
    </row>
    <row r="2997" spans="11:19" x14ac:dyDescent="0.3">
      <c r="K2997" s="16">
        <f t="shared" si="46"/>
        <v>44140</v>
      </c>
      <c r="L2997" s="17">
        <v>0.79166666666666663</v>
      </c>
      <c r="M2997" s="14">
        <v>321</v>
      </c>
      <c r="N2997" s="14">
        <v>64</v>
      </c>
      <c r="O2997" s="14">
        <v>0</v>
      </c>
      <c r="P2997" s="14">
        <v>385</v>
      </c>
      <c r="Q2997">
        <v>10445</v>
      </c>
      <c r="R2997">
        <v>1668</v>
      </c>
      <c r="S2997">
        <v>0</v>
      </c>
    </row>
    <row r="2998" spans="11:19" x14ac:dyDescent="0.3">
      <c r="K2998" s="16">
        <f t="shared" si="46"/>
        <v>44140</v>
      </c>
      <c r="L2998" s="17">
        <v>0.83333333333333337</v>
      </c>
      <c r="M2998" s="14">
        <v>321</v>
      </c>
      <c r="N2998" s="14">
        <v>0</v>
      </c>
      <c r="O2998" s="14">
        <v>0</v>
      </c>
      <c r="P2998" s="14">
        <v>321</v>
      </c>
      <c r="Q2998">
        <v>9633</v>
      </c>
      <c r="R2998">
        <v>1919</v>
      </c>
      <c r="S2998">
        <v>0</v>
      </c>
    </row>
    <row r="2999" spans="11:19" x14ac:dyDescent="0.3">
      <c r="K2999" s="16">
        <f t="shared" si="46"/>
        <v>44140</v>
      </c>
      <c r="L2999" s="17">
        <v>0.875</v>
      </c>
      <c r="M2999" s="14">
        <v>321</v>
      </c>
      <c r="N2999" s="14">
        <v>772</v>
      </c>
      <c r="O2999" s="14">
        <v>0</v>
      </c>
      <c r="P2999" s="14">
        <v>1093</v>
      </c>
      <c r="Q2999">
        <v>9084</v>
      </c>
      <c r="R2999">
        <v>1972</v>
      </c>
      <c r="S2999">
        <v>0</v>
      </c>
    </row>
    <row r="3000" spans="11:19" x14ac:dyDescent="0.3">
      <c r="K3000" s="16">
        <f t="shared" si="46"/>
        <v>44140</v>
      </c>
      <c r="L3000" s="17">
        <v>0.91666666666666663</v>
      </c>
      <c r="M3000" s="14">
        <v>321</v>
      </c>
      <c r="N3000" s="14">
        <v>0</v>
      </c>
      <c r="O3000" s="14">
        <v>0</v>
      </c>
      <c r="P3000" s="14">
        <v>321</v>
      </c>
      <c r="Q3000">
        <v>9289</v>
      </c>
      <c r="R3000">
        <v>1916</v>
      </c>
      <c r="S3000">
        <v>0</v>
      </c>
    </row>
    <row r="3001" spans="11:19" x14ac:dyDescent="0.3">
      <c r="K3001" s="16">
        <f t="shared" si="46"/>
        <v>44140</v>
      </c>
      <c r="L3001" s="17">
        <v>0.95833333333333337</v>
      </c>
      <c r="M3001" s="14">
        <v>321</v>
      </c>
      <c r="N3001" s="14">
        <v>772</v>
      </c>
      <c r="O3001" s="14">
        <v>0</v>
      </c>
      <c r="P3001" s="14">
        <v>1093</v>
      </c>
      <c r="Q3001">
        <v>9439</v>
      </c>
      <c r="R3001">
        <v>1969</v>
      </c>
      <c r="S3001">
        <v>0</v>
      </c>
    </row>
    <row r="3002" spans="11:19" x14ac:dyDescent="0.3">
      <c r="K3002" s="16">
        <f t="shared" si="46"/>
        <v>44141</v>
      </c>
      <c r="L3002" s="17">
        <v>0</v>
      </c>
      <c r="M3002" s="14">
        <v>321</v>
      </c>
      <c r="N3002" s="14">
        <v>0</v>
      </c>
      <c r="O3002" s="14">
        <v>808</v>
      </c>
      <c r="P3002" s="14">
        <v>1129</v>
      </c>
      <c r="Q3002">
        <v>8923</v>
      </c>
      <c r="R3002">
        <v>1668</v>
      </c>
      <c r="S3002">
        <v>0</v>
      </c>
    </row>
    <row r="3003" spans="11:19" x14ac:dyDescent="0.3">
      <c r="K3003" s="16">
        <f t="shared" si="46"/>
        <v>44141</v>
      </c>
      <c r="L3003" s="17">
        <v>4.1666666666666664E-2</v>
      </c>
      <c r="M3003" s="14">
        <v>321</v>
      </c>
      <c r="N3003" s="14">
        <v>0</v>
      </c>
      <c r="O3003" s="14">
        <v>0</v>
      </c>
      <c r="P3003" s="14">
        <v>321</v>
      </c>
      <c r="Q3003">
        <v>8517</v>
      </c>
      <c r="R3003">
        <v>1916</v>
      </c>
      <c r="S3003">
        <v>0</v>
      </c>
    </row>
    <row r="3004" spans="11:19" x14ac:dyDescent="0.3">
      <c r="K3004" s="16">
        <f t="shared" si="46"/>
        <v>44141</v>
      </c>
      <c r="L3004" s="17">
        <v>8.3333333333333329E-2</v>
      </c>
      <c r="M3004" s="14">
        <v>321</v>
      </c>
      <c r="N3004" s="14">
        <v>0</v>
      </c>
      <c r="O3004" s="14">
        <v>0</v>
      </c>
      <c r="P3004" s="14">
        <v>321</v>
      </c>
      <c r="Q3004">
        <v>8207</v>
      </c>
      <c r="R3004">
        <v>1947</v>
      </c>
      <c r="S3004">
        <v>0</v>
      </c>
    </row>
    <row r="3005" spans="11:19" x14ac:dyDescent="0.3">
      <c r="K3005" s="16">
        <f t="shared" si="46"/>
        <v>44141</v>
      </c>
      <c r="L3005" s="17">
        <v>0.125</v>
      </c>
      <c r="M3005" s="14">
        <v>321</v>
      </c>
      <c r="N3005" s="14">
        <v>0</v>
      </c>
      <c r="O3005" s="14">
        <v>-156</v>
      </c>
      <c r="P3005" s="14">
        <v>165</v>
      </c>
      <c r="Q3005">
        <v>7847</v>
      </c>
      <c r="R3005">
        <v>2096</v>
      </c>
      <c r="S3005">
        <v>0</v>
      </c>
    </row>
    <row r="3006" spans="11:19" x14ac:dyDescent="0.3">
      <c r="K3006" s="16">
        <f t="shared" si="46"/>
        <v>44141</v>
      </c>
      <c r="L3006" s="17">
        <v>0.16666666666666666</v>
      </c>
      <c r="M3006" s="14">
        <v>321</v>
      </c>
      <c r="N3006" s="14">
        <v>0</v>
      </c>
      <c r="O3006" s="14">
        <v>-217</v>
      </c>
      <c r="P3006" s="14">
        <v>104</v>
      </c>
      <c r="Q3006">
        <v>7807</v>
      </c>
      <c r="R3006">
        <v>2115</v>
      </c>
      <c r="S3006">
        <v>0</v>
      </c>
    </row>
    <row r="3007" spans="11:19" x14ac:dyDescent="0.3">
      <c r="K3007" s="16">
        <f t="shared" si="46"/>
        <v>44141</v>
      </c>
      <c r="L3007" s="17">
        <v>0.20833333333333334</v>
      </c>
      <c r="M3007" s="14">
        <v>321</v>
      </c>
      <c r="N3007" s="14">
        <v>0</v>
      </c>
      <c r="O3007" s="14">
        <v>0</v>
      </c>
      <c r="P3007" s="14">
        <v>321</v>
      </c>
      <c r="Q3007">
        <v>8272</v>
      </c>
      <c r="R3007">
        <v>2054</v>
      </c>
      <c r="S3007">
        <v>0</v>
      </c>
    </row>
    <row r="3008" spans="11:19" x14ac:dyDescent="0.3">
      <c r="K3008" s="16">
        <f t="shared" si="46"/>
        <v>44141</v>
      </c>
      <c r="L3008" s="17">
        <v>0.25</v>
      </c>
      <c r="M3008" s="14">
        <v>321</v>
      </c>
      <c r="N3008" s="14">
        <v>0</v>
      </c>
      <c r="O3008" s="14">
        <v>0</v>
      </c>
      <c r="P3008" s="14">
        <v>321</v>
      </c>
      <c r="Q3008">
        <v>9246</v>
      </c>
      <c r="R3008">
        <v>2264</v>
      </c>
      <c r="S3008">
        <v>0</v>
      </c>
    </row>
    <row r="3009" spans="11:19" x14ac:dyDescent="0.3">
      <c r="K3009" s="16">
        <f t="shared" si="46"/>
        <v>44141</v>
      </c>
      <c r="L3009" s="17">
        <v>0.29166666666666669</v>
      </c>
      <c r="M3009" s="14">
        <v>321</v>
      </c>
      <c r="N3009" s="14">
        <v>0</v>
      </c>
      <c r="O3009" s="14">
        <v>1200</v>
      </c>
      <c r="P3009" s="14">
        <v>1521</v>
      </c>
      <c r="Q3009">
        <v>9852</v>
      </c>
      <c r="R3009">
        <v>2367</v>
      </c>
      <c r="S3009">
        <v>30</v>
      </c>
    </row>
    <row r="3010" spans="11:19" x14ac:dyDescent="0.3">
      <c r="K3010" s="16">
        <f t="shared" si="46"/>
        <v>44141</v>
      </c>
      <c r="L3010" s="17">
        <v>0.33333333333333331</v>
      </c>
      <c r="M3010" s="14">
        <v>321</v>
      </c>
      <c r="N3010" s="14">
        <v>0</v>
      </c>
      <c r="O3010" s="14">
        <v>0</v>
      </c>
      <c r="P3010" s="14">
        <v>321</v>
      </c>
      <c r="Q3010">
        <v>10092</v>
      </c>
      <c r="R3010">
        <v>2588</v>
      </c>
      <c r="S3010">
        <v>291</v>
      </c>
    </row>
    <row r="3011" spans="11:19" x14ac:dyDescent="0.3">
      <c r="K3011" s="16">
        <f t="shared" si="46"/>
        <v>44141</v>
      </c>
      <c r="L3011" s="17">
        <v>0.375</v>
      </c>
      <c r="M3011" s="14">
        <v>321</v>
      </c>
      <c r="N3011" s="14">
        <v>0</v>
      </c>
      <c r="O3011" s="14">
        <v>0</v>
      </c>
      <c r="P3011" s="14">
        <v>321</v>
      </c>
      <c r="Q3011">
        <v>10164</v>
      </c>
      <c r="R3011">
        <v>2597</v>
      </c>
      <c r="S3011">
        <v>845</v>
      </c>
    </row>
    <row r="3012" spans="11:19" x14ac:dyDescent="0.3">
      <c r="K3012" s="16">
        <f t="shared" si="46"/>
        <v>44141</v>
      </c>
      <c r="L3012" s="17">
        <v>0.41666666666666669</v>
      </c>
      <c r="M3012" s="14">
        <v>321</v>
      </c>
      <c r="N3012" s="14">
        <v>0</v>
      </c>
      <c r="O3012" s="14">
        <v>-157</v>
      </c>
      <c r="P3012" s="14">
        <v>164</v>
      </c>
      <c r="Q3012">
        <v>10129</v>
      </c>
      <c r="R3012">
        <v>2896</v>
      </c>
      <c r="S3012">
        <v>1369</v>
      </c>
    </row>
    <row r="3013" spans="11:19" x14ac:dyDescent="0.3">
      <c r="K3013" s="16">
        <f t="shared" si="46"/>
        <v>44141</v>
      </c>
      <c r="L3013" s="17">
        <v>0.45833333333333331</v>
      </c>
      <c r="M3013" s="14">
        <v>321</v>
      </c>
      <c r="N3013" s="14">
        <v>49</v>
      </c>
      <c r="O3013" s="14">
        <v>0</v>
      </c>
      <c r="P3013" s="14">
        <v>370</v>
      </c>
      <c r="Q3013">
        <v>10221</v>
      </c>
      <c r="R3013">
        <v>2777</v>
      </c>
      <c r="S3013">
        <v>1615</v>
      </c>
    </row>
    <row r="3014" spans="11:19" x14ac:dyDescent="0.3">
      <c r="K3014" s="16">
        <f t="shared" si="46"/>
        <v>44141</v>
      </c>
      <c r="L3014" s="17">
        <v>0.5</v>
      </c>
      <c r="M3014" s="14">
        <v>321</v>
      </c>
      <c r="N3014" s="14">
        <v>0</v>
      </c>
      <c r="O3014" s="14">
        <v>-54</v>
      </c>
      <c r="P3014" s="14">
        <v>267</v>
      </c>
      <c r="Q3014">
        <v>10277</v>
      </c>
      <c r="R3014">
        <v>2884</v>
      </c>
      <c r="S3014">
        <v>1667</v>
      </c>
    </row>
    <row r="3015" spans="11:19" x14ac:dyDescent="0.3">
      <c r="K3015" s="16">
        <f t="shared" si="46"/>
        <v>44141</v>
      </c>
      <c r="L3015" s="17">
        <v>0.54166666666666663</v>
      </c>
      <c r="M3015" s="14">
        <v>321</v>
      </c>
      <c r="N3015" s="14">
        <v>0</v>
      </c>
      <c r="O3015" s="14">
        <v>-190</v>
      </c>
      <c r="P3015" s="14">
        <v>131</v>
      </c>
      <c r="Q3015">
        <v>9971</v>
      </c>
      <c r="R3015">
        <v>2878</v>
      </c>
      <c r="S3015">
        <v>1503</v>
      </c>
    </row>
    <row r="3016" spans="11:19" x14ac:dyDescent="0.3">
      <c r="K3016" s="16">
        <f t="shared" si="46"/>
        <v>44141</v>
      </c>
      <c r="L3016" s="17">
        <v>0.58333333333333337</v>
      </c>
      <c r="M3016" s="14">
        <v>321</v>
      </c>
      <c r="N3016" s="14">
        <v>0</v>
      </c>
      <c r="O3016" s="14">
        <v>-290</v>
      </c>
      <c r="P3016" s="14">
        <v>31</v>
      </c>
      <c r="Q3016">
        <v>9740</v>
      </c>
      <c r="R3016">
        <v>3022</v>
      </c>
      <c r="S3016">
        <v>1227</v>
      </c>
    </row>
    <row r="3017" spans="11:19" x14ac:dyDescent="0.3">
      <c r="K3017" s="16">
        <f t="shared" si="46"/>
        <v>44141</v>
      </c>
      <c r="L3017" s="17">
        <v>0.625</v>
      </c>
      <c r="M3017" s="14">
        <v>321</v>
      </c>
      <c r="N3017" s="14">
        <v>0</v>
      </c>
      <c r="O3017" s="14">
        <v>-153</v>
      </c>
      <c r="P3017" s="14">
        <v>168</v>
      </c>
      <c r="Q3017">
        <v>9487</v>
      </c>
      <c r="R3017">
        <v>3130</v>
      </c>
      <c r="S3017">
        <v>728</v>
      </c>
    </row>
    <row r="3018" spans="11:19" x14ac:dyDescent="0.3">
      <c r="K3018" s="16">
        <f t="shared" si="46"/>
        <v>44141</v>
      </c>
      <c r="L3018" s="17">
        <v>0.66666666666666663</v>
      </c>
      <c r="M3018" s="14">
        <v>321</v>
      </c>
      <c r="N3018" s="14">
        <v>0</v>
      </c>
      <c r="O3018" s="14">
        <v>-251</v>
      </c>
      <c r="P3018" s="14">
        <v>70</v>
      </c>
      <c r="Q3018">
        <v>9313</v>
      </c>
      <c r="R3018">
        <v>3397</v>
      </c>
      <c r="S3018">
        <v>223</v>
      </c>
    </row>
    <row r="3019" spans="11:19" x14ac:dyDescent="0.3">
      <c r="K3019" s="16">
        <f t="shared" si="46"/>
        <v>44141</v>
      </c>
      <c r="L3019" s="17">
        <v>0.70833333333333337</v>
      </c>
      <c r="M3019" s="14">
        <v>321</v>
      </c>
      <c r="N3019" s="14">
        <v>0</v>
      </c>
      <c r="O3019" s="14">
        <v>0</v>
      </c>
      <c r="P3019" s="14">
        <v>321</v>
      </c>
      <c r="Q3019">
        <v>9715</v>
      </c>
      <c r="R3019">
        <v>3573</v>
      </c>
      <c r="S3019">
        <v>18</v>
      </c>
    </row>
    <row r="3020" spans="11:19" x14ac:dyDescent="0.3">
      <c r="K3020" s="16">
        <f t="shared" si="46"/>
        <v>44141</v>
      </c>
      <c r="L3020" s="17">
        <v>0.75</v>
      </c>
      <c r="M3020" s="14">
        <v>321</v>
      </c>
      <c r="N3020" s="14">
        <v>0</v>
      </c>
      <c r="O3020" s="14">
        <v>0</v>
      </c>
      <c r="P3020" s="14">
        <v>321</v>
      </c>
      <c r="Q3020">
        <v>10313</v>
      </c>
      <c r="R3020">
        <v>3774</v>
      </c>
      <c r="S3020">
        <v>0</v>
      </c>
    </row>
    <row r="3021" spans="11:19" x14ac:dyDescent="0.3">
      <c r="K3021" s="16">
        <f t="shared" si="46"/>
        <v>44141</v>
      </c>
      <c r="L3021" s="17">
        <v>0.79166666666666663</v>
      </c>
      <c r="M3021" s="14">
        <v>321</v>
      </c>
      <c r="N3021" s="14">
        <v>0</v>
      </c>
      <c r="O3021" s="14">
        <v>0</v>
      </c>
      <c r="P3021" s="14">
        <v>321</v>
      </c>
      <c r="Q3021">
        <v>10082</v>
      </c>
      <c r="R3021">
        <v>3891</v>
      </c>
      <c r="S3021">
        <v>0</v>
      </c>
    </row>
    <row r="3022" spans="11:19" x14ac:dyDescent="0.3">
      <c r="K3022" s="16">
        <f t="shared" si="46"/>
        <v>44141</v>
      </c>
      <c r="L3022" s="17">
        <v>0.83333333333333337</v>
      </c>
      <c r="M3022" s="14">
        <v>321</v>
      </c>
      <c r="N3022" s="14">
        <v>0</v>
      </c>
      <c r="O3022" s="14">
        <v>-358</v>
      </c>
      <c r="P3022" s="14">
        <v>-37</v>
      </c>
      <c r="Q3022">
        <v>9396</v>
      </c>
      <c r="R3022">
        <v>3814</v>
      </c>
      <c r="S3022">
        <v>0</v>
      </c>
    </row>
    <row r="3023" spans="11:19" x14ac:dyDescent="0.3">
      <c r="K3023" s="16">
        <f t="shared" si="46"/>
        <v>44141</v>
      </c>
      <c r="L3023" s="17">
        <v>0.875</v>
      </c>
      <c r="M3023" s="14">
        <v>321</v>
      </c>
      <c r="N3023" s="14">
        <v>0</v>
      </c>
      <c r="O3023" s="14">
        <v>-469</v>
      </c>
      <c r="P3023" s="14">
        <v>-148</v>
      </c>
      <c r="Q3023">
        <v>8929</v>
      </c>
      <c r="R3023">
        <v>3624</v>
      </c>
      <c r="S3023">
        <v>0</v>
      </c>
    </row>
    <row r="3024" spans="11:19" x14ac:dyDescent="0.3">
      <c r="K3024" s="16">
        <f t="shared" si="46"/>
        <v>44141</v>
      </c>
      <c r="L3024" s="17">
        <v>0.91666666666666663</v>
      </c>
      <c r="M3024" s="14">
        <v>321</v>
      </c>
      <c r="N3024" s="14">
        <v>0</v>
      </c>
      <c r="O3024" s="14">
        <v>-58</v>
      </c>
      <c r="P3024" s="14">
        <v>263</v>
      </c>
      <c r="Q3024">
        <v>9144</v>
      </c>
      <c r="R3024">
        <v>3433</v>
      </c>
      <c r="S3024">
        <v>0</v>
      </c>
    </row>
    <row r="3025" spans="11:19" x14ac:dyDescent="0.3">
      <c r="K3025" s="16">
        <f t="shared" si="46"/>
        <v>44141</v>
      </c>
      <c r="L3025" s="17">
        <v>0.95833333333333337</v>
      </c>
      <c r="M3025" s="14">
        <v>321</v>
      </c>
      <c r="N3025" s="14">
        <v>0</v>
      </c>
      <c r="O3025" s="14">
        <v>-154</v>
      </c>
      <c r="P3025" s="14">
        <v>167</v>
      </c>
      <c r="Q3025">
        <v>9264</v>
      </c>
      <c r="R3025">
        <v>3653</v>
      </c>
      <c r="S3025">
        <v>0</v>
      </c>
    </row>
    <row r="3026" spans="11:19" x14ac:dyDescent="0.3">
      <c r="K3026" s="16">
        <f t="shared" si="46"/>
        <v>44142</v>
      </c>
      <c r="L3026" s="17">
        <v>0</v>
      </c>
      <c r="M3026" s="14">
        <v>321</v>
      </c>
      <c r="N3026" s="14">
        <v>0</v>
      </c>
      <c r="O3026" s="14">
        <v>-888</v>
      </c>
      <c r="P3026" s="14">
        <v>-567</v>
      </c>
      <c r="Q3026">
        <v>8476</v>
      </c>
      <c r="R3026">
        <v>3624</v>
      </c>
      <c r="S3026">
        <v>0</v>
      </c>
    </row>
    <row r="3027" spans="11:19" x14ac:dyDescent="0.3">
      <c r="K3027" s="16">
        <f t="shared" si="46"/>
        <v>44142</v>
      </c>
      <c r="L3027" s="17">
        <v>4.1666666666666664E-2</v>
      </c>
      <c r="M3027" s="14">
        <v>321</v>
      </c>
      <c r="N3027" s="14">
        <v>0</v>
      </c>
      <c r="O3027" s="14">
        <v>-883</v>
      </c>
      <c r="P3027" s="14">
        <v>-562</v>
      </c>
      <c r="Q3027">
        <v>8046</v>
      </c>
      <c r="R3027">
        <v>3522</v>
      </c>
      <c r="S3027">
        <v>0</v>
      </c>
    </row>
    <row r="3028" spans="11:19" x14ac:dyDescent="0.3">
      <c r="K3028" s="16">
        <f t="shared" si="46"/>
        <v>44142</v>
      </c>
      <c r="L3028" s="17">
        <v>8.3333333333333329E-2</v>
      </c>
      <c r="M3028" s="14">
        <v>321</v>
      </c>
      <c r="N3028" s="14">
        <v>0</v>
      </c>
      <c r="O3028" s="14">
        <v>-936</v>
      </c>
      <c r="P3028" s="14">
        <v>-615</v>
      </c>
      <c r="Q3028">
        <v>7690</v>
      </c>
      <c r="R3028">
        <v>3503</v>
      </c>
      <c r="S3028">
        <v>0</v>
      </c>
    </row>
    <row r="3029" spans="11:19" x14ac:dyDescent="0.3">
      <c r="K3029" s="16">
        <f t="shared" si="46"/>
        <v>44142</v>
      </c>
      <c r="L3029" s="17">
        <v>0.125</v>
      </c>
      <c r="M3029" s="14">
        <v>321</v>
      </c>
      <c r="N3029" s="14">
        <v>0</v>
      </c>
      <c r="O3029" s="14">
        <v>-1200</v>
      </c>
      <c r="P3029" s="14">
        <v>-879</v>
      </c>
      <c r="Q3029">
        <v>7265</v>
      </c>
      <c r="R3029">
        <v>3572</v>
      </c>
      <c r="S3029">
        <v>0</v>
      </c>
    </row>
    <row r="3030" spans="11:19" x14ac:dyDescent="0.3">
      <c r="K3030" s="16">
        <f t="shared" si="46"/>
        <v>44142</v>
      </c>
      <c r="L3030" s="17">
        <v>0.16666666666666666</v>
      </c>
      <c r="M3030" s="14">
        <v>321</v>
      </c>
      <c r="N3030" s="14">
        <v>0</v>
      </c>
      <c r="O3030" s="14">
        <v>-1200</v>
      </c>
      <c r="P3030" s="14">
        <v>-879</v>
      </c>
      <c r="Q3030">
        <v>7141</v>
      </c>
      <c r="R3030">
        <v>3512</v>
      </c>
      <c r="S3030">
        <v>0</v>
      </c>
    </row>
    <row r="3031" spans="11:19" x14ac:dyDescent="0.3">
      <c r="K3031" s="16">
        <f t="shared" si="46"/>
        <v>44142</v>
      </c>
      <c r="L3031" s="17">
        <v>0.20833333333333334</v>
      </c>
      <c r="M3031" s="14">
        <v>321</v>
      </c>
      <c r="N3031" s="14">
        <v>0</v>
      </c>
      <c r="O3031" s="14">
        <v>-1147</v>
      </c>
      <c r="P3031" s="14">
        <v>-826</v>
      </c>
      <c r="Q3031">
        <v>7378</v>
      </c>
      <c r="R3031">
        <v>3403</v>
      </c>
      <c r="S3031">
        <v>0</v>
      </c>
    </row>
    <row r="3032" spans="11:19" x14ac:dyDescent="0.3">
      <c r="K3032" s="16">
        <f t="shared" si="46"/>
        <v>44142</v>
      </c>
      <c r="L3032" s="17">
        <v>0.25</v>
      </c>
      <c r="M3032" s="14">
        <v>321</v>
      </c>
      <c r="N3032" s="14">
        <v>0</v>
      </c>
      <c r="O3032" s="14">
        <v>-1156</v>
      </c>
      <c r="P3032" s="14">
        <v>-835</v>
      </c>
      <c r="Q3032">
        <v>7917</v>
      </c>
      <c r="R3032">
        <v>3327</v>
      </c>
      <c r="S3032">
        <v>0</v>
      </c>
    </row>
    <row r="3033" spans="11:19" x14ac:dyDescent="0.3">
      <c r="K3033" s="16">
        <f t="shared" si="46"/>
        <v>44142</v>
      </c>
      <c r="L3033" s="17">
        <v>0.29166666666666669</v>
      </c>
      <c r="M3033" s="14">
        <v>321</v>
      </c>
      <c r="N3033" s="14">
        <v>0</v>
      </c>
      <c r="O3033" s="14">
        <v>-898</v>
      </c>
      <c r="P3033" s="14">
        <v>-577</v>
      </c>
      <c r="Q3033">
        <v>8285</v>
      </c>
      <c r="R3033">
        <v>3407</v>
      </c>
      <c r="S3033">
        <v>12</v>
      </c>
    </row>
    <row r="3034" spans="11:19" x14ac:dyDescent="0.3">
      <c r="K3034" s="16">
        <f t="shared" si="46"/>
        <v>44142</v>
      </c>
      <c r="L3034" s="17">
        <v>0.33333333333333331</v>
      </c>
      <c r="M3034" s="14">
        <v>321</v>
      </c>
      <c r="N3034" s="14">
        <v>0</v>
      </c>
      <c r="O3034" s="14">
        <v>0</v>
      </c>
      <c r="P3034" s="14">
        <v>321</v>
      </c>
      <c r="Q3034">
        <v>8777</v>
      </c>
      <c r="R3034">
        <v>3155</v>
      </c>
      <c r="S3034">
        <v>158</v>
      </c>
    </row>
    <row r="3035" spans="11:19" x14ac:dyDescent="0.3">
      <c r="K3035" s="16">
        <f t="shared" ref="K3035:K3098" si="47">K3011+1</f>
        <v>44142</v>
      </c>
      <c r="L3035" s="17">
        <v>0.375</v>
      </c>
      <c r="M3035" s="14">
        <v>321</v>
      </c>
      <c r="N3035" s="14">
        <v>0</v>
      </c>
      <c r="O3035" s="14">
        <v>76</v>
      </c>
      <c r="P3035" s="14">
        <v>397</v>
      </c>
      <c r="Q3035">
        <v>9181</v>
      </c>
      <c r="R3035">
        <v>2896</v>
      </c>
      <c r="S3035">
        <v>432</v>
      </c>
    </row>
    <row r="3036" spans="11:19" x14ac:dyDescent="0.3">
      <c r="K3036" s="16">
        <f t="shared" si="47"/>
        <v>44142</v>
      </c>
      <c r="L3036" s="17">
        <v>0.41666666666666669</v>
      </c>
      <c r="M3036" s="14">
        <v>321</v>
      </c>
      <c r="N3036" s="14">
        <v>0</v>
      </c>
      <c r="O3036" s="14">
        <v>-114</v>
      </c>
      <c r="P3036" s="14">
        <v>207</v>
      </c>
      <c r="Q3036">
        <v>9322</v>
      </c>
      <c r="R3036">
        <v>3011</v>
      </c>
      <c r="S3036">
        <v>649</v>
      </c>
    </row>
    <row r="3037" spans="11:19" x14ac:dyDescent="0.3">
      <c r="K3037" s="16">
        <f t="shared" si="47"/>
        <v>44142</v>
      </c>
      <c r="L3037" s="17">
        <v>0.45833333333333331</v>
      </c>
      <c r="M3037" s="14">
        <v>321</v>
      </c>
      <c r="N3037" s="14">
        <v>0</v>
      </c>
      <c r="O3037" s="14">
        <v>243</v>
      </c>
      <c r="P3037" s="14">
        <v>564</v>
      </c>
      <c r="Q3037">
        <v>9507</v>
      </c>
      <c r="R3037">
        <v>2833</v>
      </c>
      <c r="S3037">
        <v>655</v>
      </c>
    </row>
    <row r="3038" spans="11:19" x14ac:dyDescent="0.3">
      <c r="K3038" s="16">
        <f t="shared" si="47"/>
        <v>44142</v>
      </c>
      <c r="L3038" s="17">
        <v>0.5</v>
      </c>
      <c r="M3038" s="14">
        <v>321</v>
      </c>
      <c r="N3038" s="14">
        <v>0</v>
      </c>
      <c r="O3038" s="14">
        <v>601</v>
      </c>
      <c r="P3038" s="14">
        <v>922</v>
      </c>
      <c r="Q3038">
        <v>9784</v>
      </c>
      <c r="R3038">
        <v>2732</v>
      </c>
      <c r="S3038">
        <v>673</v>
      </c>
    </row>
    <row r="3039" spans="11:19" x14ac:dyDescent="0.3">
      <c r="K3039" s="16">
        <f t="shared" si="47"/>
        <v>44142</v>
      </c>
      <c r="L3039" s="17">
        <v>0.54166666666666663</v>
      </c>
      <c r="M3039" s="14">
        <v>321</v>
      </c>
      <c r="N3039" s="14">
        <v>0</v>
      </c>
      <c r="O3039" s="14">
        <v>364</v>
      </c>
      <c r="P3039" s="14">
        <v>685</v>
      </c>
      <c r="Q3039">
        <v>9429</v>
      </c>
      <c r="R3039">
        <v>2614</v>
      </c>
      <c r="S3039">
        <v>674</v>
      </c>
    </row>
    <row r="3040" spans="11:19" x14ac:dyDescent="0.3">
      <c r="K3040" s="16">
        <f t="shared" si="47"/>
        <v>44142</v>
      </c>
      <c r="L3040" s="17">
        <v>0.58333333333333337</v>
      </c>
      <c r="M3040" s="14">
        <v>321</v>
      </c>
      <c r="N3040" s="14">
        <v>0</v>
      </c>
      <c r="O3040" s="14">
        <v>162</v>
      </c>
      <c r="P3040" s="14">
        <v>483</v>
      </c>
      <c r="Q3040">
        <v>9124</v>
      </c>
      <c r="R3040">
        <v>2601</v>
      </c>
      <c r="S3040">
        <v>584</v>
      </c>
    </row>
    <row r="3041" spans="11:19" x14ac:dyDescent="0.3">
      <c r="K3041" s="16">
        <f t="shared" si="47"/>
        <v>44142</v>
      </c>
      <c r="L3041" s="17">
        <v>0.625</v>
      </c>
      <c r="M3041" s="14">
        <v>321</v>
      </c>
      <c r="N3041" s="14">
        <v>0</v>
      </c>
      <c r="O3041" s="14">
        <v>0</v>
      </c>
      <c r="P3041" s="14">
        <v>321</v>
      </c>
      <c r="Q3041">
        <v>8829</v>
      </c>
      <c r="R3041">
        <v>2624</v>
      </c>
      <c r="S3041">
        <v>404</v>
      </c>
    </row>
    <row r="3042" spans="11:19" x14ac:dyDescent="0.3">
      <c r="K3042" s="16">
        <f t="shared" si="47"/>
        <v>44142</v>
      </c>
      <c r="L3042" s="17">
        <v>0.66666666666666663</v>
      </c>
      <c r="M3042" s="14">
        <v>321</v>
      </c>
      <c r="N3042" s="14">
        <v>0</v>
      </c>
      <c r="O3042" s="14">
        <v>160</v>
      </c>
      <c r="P3042" s="14">
        <v>481</v>
      </c>
      <c r="Q3042">
        <v>8695</v>
      </c>
      <c r="R3042">
        <v>2559</v>
      </c>
      <c r="S3042">
        <v>120</v>
      </c>
    </row>
    <row r="3043" spans="11:19" x14ac:dyDescent="0.3">
      <c r="K3043" s="16">
        <f t="shared" si="47"/>
        <v>44142</v>
      </c>
      <c r="L3043" s="17">
        <v>0.70833333333333337</v>
      </c>
      <c r="M3043" s="14">
        <v>321</v>
      </c>
      <c r="N3043" s="14">
        <v>0</v>
      </c>
      <c r="O3043" s="14">
        <v>562</v>
      </c>
      <c r="P3043" s="14">
        <v>883</v>
      </c>
      <c r="Q3043">
        <v>9087</v>
      </c>
      <c r="R3043">
        <v>2656</v>
      </c>
      <c r="S3043">
        <v>13</v>
      </c>
    </row>
    <row r="3044" spans="11:19" x14ac:dyDescent="0.3">
      <c r="K3044" s="16">
        <f t="shared" si="47"/>
        <v>44142</v>
      </c>
      <c r="L3044" s="17">
        <v>0.75</v>
      </c>
      <c r="M3044" s="14">
        <v>321</v>
      </c>
      <c r="N3044" s="14">
        <v>0</v>
      </c>
      <c r="O3044" s="14">
        <v>1160</v>
      </c>
      <c r="P3044" s="14">
        <v>1481</v>
      </c>
      <c r="Q3044">
        <v>9678</v>
      </c>
      <c r="R3044">
        <v>2659</v>
      </c>
      <c r="S3044">
        <v>0</v>
      </c>
    </row>
    <row r="3045" spans="11:19" x14ac:dyDescent="0.3">
      <c r="K3045" s="16">
        <f t="shared" si="47"/>
        <v>44142</v>
      </c>
      <c r="L3045" s="17">
        <v>0.79166666666666663</v>
      </c>
      <c r="M3045" s="14">
        <v>321</v>
      </c>
      <c r="N3045" s="14">
        <v>0</v>
      </c>
      <c r="O3045" s="14">
        <v>1200</v>
      </c>
      <c r="P3045" s="14">
        <v>1521</v>
      </c>
      <c r="Q3045">
        <v>9473</v>
      </c>
      <c r="R3045">
        <v>2408</v>
      </c>
      <c r="S3045">
        <v>0</v>
      </c>
    </row>
    <row r="3046" spans="11:19" x14ac:dyDescent="0.3">
      <c r="K3046" s="16">
        <f t="shared" si="47"/>
        <v>44142</v>
      </c>
      <c r="L3046" s="17">
        <v>0.83333333333333337</v>
      </c>
      <c r="M3046" s="14">
        <v>321</v>
      </c>
      <c r="N3046" s="14">
        <v>0</v>
      </c>
      <c r="O3046" s="14">
        <v>763</v>
      </c>
      <c r="P3046" s="14">
        <v>1084</v>
      </c>
      <c r="Q3046">
        <v>8851</v>
      </c>
      <c r="R3046">
        <v>2321</v>
      </c>
      <c r="S3046">
        <v>0</v>
      </c>
    </row>
    <row r="3047" spans="11:19" x14ac:dyDescent="0.3">
      <c r="K3047" s="16">
        <f t="shared" si="47"/>
        <v>44142</v>
      </c>
      <c r="L3047" s="17">
        <v>0.875</v>
      </c>
      <c r="M3047" s="14">
        <v>321</v>
      </c>
      <c r="N3047" s="14">
        <v>0</v>
      </c>
      <c r="O3047" s="14">
        <v>237</v>
      </c>
      <c r="P3047" s="14">
        <v>558</v>
      </c>
      <c r="Q3047">
        <v>8397</v>
      </c>
      <c r="R3047">
        <v>2400</v>
      </c>
      <c r="S3047">
        <v>0</v>
      </c>
    </row>
    <row r="3048" spans="11:19" x14ac:dyDescent="0.3">
      <c r="K3048" s="16">
        <f t="shared" si="47"/>
        <v>44142</v>
      </c>
      <c r="L3048" s="17">
        <v>0.91666666666666663</v>
      </c>
      <c r="M3048" s="14">
        <v>321</v>
      </c>
      <c r="N3048" s="14">
        <v>0</v>
      </c>
      <c r="O3048" s="14">
        <v>468</v>
      </c>
      <c r="P3048" s="14">
        <v>789</v>
      </c>
      <c r="Q3048">
        <v>8681</v>
      </c>
      <c r="R3048">
        <v>2461</v>
      </c>
      <c r="S3048">
        <v>0</v>
      </c>
    </row>
    <row r="3049" spans="11:19" x14ac:dyDescent="0.3">
      <c r="K3049" s="16">
        <f t="shared" si="47"/>
        <v>44142</v>
      </c>
      <c r="L3049" s="17">
        <v>0.95833333333333337</v>
      </c>
      <c r="M3049" s="14">
        <v>321</v>
      </c>
      <c r="N3049" s="14">
        <v>0</v>
      </c>
      <c r="O3049" s="14">
        <v>745</v>
      </c>
      <c r="P3049" s="14">
        <v>1066</v>
      </c>
      <c r="Q3049">
        <v>8922</v>
      </c>
      <c r="R3049">
        <v>2428</v>
      </c>
      <c r="S3049">
        <v>0</v>
      </c>
    </row>
    <row r="3050" spans="11:19" x14ac:dyDescent="0.3">
      <c r="K3050" s="16">
        <f t="shared" si="47"/>
        <v>44143</v>
      </c>
      <c r="L3050" s="17">
        <v>0</v>
      </c>
      <c r="M3050" s="14">
        <v>321</v>
      </c>
      <c r="N3050" s="14">
        <v>0</v>
      </c>
      <c r="O3050" s="14">
        <v>105</v>
      </c>
      <c r="P3050" s="14">
        <v>426</v>
      </c>
      <c r="Q3050">
        <v>8324</v>
      </c>
      <c r="R3050">
        <v>2471</v>
      </c>
      <c r="S3050">
        <v>0</v>
      </c>
    </row>
    <row r="3051" spans="11:19" x14ac:dyDescent="0.3">
      <c r="K3051" s="16">
        <f t="shared" si="47"/>
        <v>44143</v>
      </c>
      <c r="L3051" s="17">
        <v>4.1666666666666664E-2</v>
      </c>
      <c r="M3051" s="14">
        <v>321</v>
      </c>
      <c r="N3051" s="14">
        <v>0</v>
      </c>
      <c r="O3051" s="14">
        <v>-123</v>
      </c>
      <c r="P3051" s="14">
        <v>198</v>
      </c>
      <c r="Q3051">
        <v>7929</v>
      </c>
      <c r="R3051">
        <v>2306</v>
      </c>
      <c r="S3051">
        <v>0</v>
      </c>
    </row>
    <row r="3052" spans="11:19" x14ac:dyDescent="0.3">
      <c r="K3052" s="16">
        <f t="shared" si="47"/>
        <v>44143</v>
      </c>
      <c r="L3052" s="17">
        <v>8.3333333333333329E-2</v>
      </c>
      <c r="M3052" s="14">
        <v>321</v>
      </c>
      <c r="N3052" s="14">
        <v>0</v>
      </c>
      <c r="O3052" s="14">
        <v>-384</v>
      </c>
      <c r="P3052" s="14">
        <v>-63</v>
      </c>
      <c r="Q3052">
        <v>7535</v>
      </c>
      <c r="R3052">
        <v>2179</v>
      </c>
      <c r="S3052">
        <v>0</v>
      </c>
    </row>
    <row r="3053" spans="11:19" x14ac:dyDescent="0.3">
      <c r="K3053" s="16">
        <f t="shared" si="47"/>
        <v>44143</v>
      </c>
      <c r="L3053" s="17">
        <v>0.125</v>
      </c>
      <c r="M3053" s="14">
        <v>321</v>
      </c>
      <c r="N3053" s="14">
        <v>0</v>
      </c>
      <c r="O3053" s="14">
        <v>-781</v>
      </c>
      <c r="P3053" s="14">
        <v>-460</v>
      </c>
      <c r="Q3053">
        <v>7056</v>
      </c>
      <c r="R3053">
        <v>2099</v>
      </c>
      <c r="S3053">
        <v>0</v>
      </c>
    </row>
    <row r="3054" spans="11:19" x14ac:dyDescent="0.3">
      <c r="K3054" s="16">
        <f t="shared" si="47"/>
        <v>44143</v>
      </c>
      <c r="L3054" s="17">
        <v>0.16666666666666666</v>
      </c>
      <c r="M3054" s="14">
        <v>321</v>
      </c>
      <c r="N3054" s="14">
        <v>0</v>
      </c>
      <c r="O3054" s="14">
        <v>-931</v>
      </c>
      <c r="P3054" s="14">
        <v>-610</v>
      </c>
      <c r="Q3054">
        <v>6826</v>
      </c>
      <c r="R3054">
        <v>2020</v>
      </c>
      <c r="S3054">
        <v>0</v>
      </c>
    </row>
    <row r="3055" spans="11:19" x14ac:dyDescent="0.3">
      <c r="K3055" s="16">
        <f t="shared" si="47"/>
        <v>44143</v>
      </c>
      <c r="L3055" s="17">
        <v>0.20833333333333334</v>
      </c>
      <c r="M3055" s="14">
        <v>321</v>
      </c>
      <c r="N3055" s="14">
        <v>0</v>
      </c>
      <c r="O3055" s="14">
        <v>-982</v>
      </c>
      <c r="P3055" s="14">
        <v>-661</v>
      </c>
      <c r="Q3055">
        <v>6850</v>
      </c>
      <c r="R3055">
        <v>2093</v>
      </c>
      <c r="S3055">
        <v>0</v>
      </c>
    </row>
    <row r="3056" spans="11:19" x14ac:dyDescent="0.3">
      <c r="K3056" s="16">
        <f t="shared" si="47"/>
        <v>44143</v>
      </c>
      <c r="L3056" s="17">
        <v>0.25</v>
      </c>
      <c r="M3056" s="14">
        <v>321</v>
      </c>
      <c r="N3056" s="14">
        <v>0</v>
      </c>
      <c r="O3056" s="14">
        <v>-866</v>
      </c>
      <c r="P3056" s="14">
        <v>-545</v>
      </c>
      <c r="Q3056">
        <v>7042</v>
      </c>
      <c r="R3056">
        <v>1999</v>
      </c>
      <c r="S3056">
        <v>0</v>
      </c>
    </row>
    <row r="3057" spans="11:19" x14ac:dyDescent="0.3">
      <c r="K3057" s="16">
        <f t="shared" si="47"/>
        <v>44143</v>
      </c>
      <c r="L3057" s="17">
        <v>0.29166666666666669</v>
      </c>
      <c r="M3057" s="14">
        <v>321</v>
      </c>
      <c r="N3057" s="14">
        <v>0</v>
      </c>
      <c r="O3057" s="14">
        <v>-547</v>
      </c>
      <c r="P3057" s="14">
        <v>-226</v>
      </c>
      <c r="Q3057">
        <v>7109</v>
      </c>
      <c r="R3057">
        <v>1718</v>
      </c>
      <c r="S3057">
        <v>11</v>
      </c>
    </row>
    <row r="3058" spans="11:19" x14ac:dyDescent="0.3">
      <c r="K3058" s="16">
        <f t="shared" si="47"/>
        <v>44143</v>
      </c>
      <c r="L3058" s="17">
        <v>0.33333333333333331</v>
      </c>
      <c r="M3058" s="14">
        <v>321</v>
      </c>
      <c r="N3058" s="14">
        <v>0</v>
      </c>
      <c r="O3058" s="14">
        <v>-234</v>
      </c>
      <c r="P3058" s="14">
        <v>87</v>
      </c>
      <c r="Q3058">
        <v>7496</v>
      </c>
      <c r="R3058">
        <v>1686</v>
      </c>
      <c r="S3058">
        <v>108</v>
      </c>
    </row>
    <row r="3059" spans="11:19" x14ac:dyDescent="0.3">
      <c r="K3059" s="16">
        <f t="shared" si="47"/>
        <v>44143</v>
      </c>
      <c r="L3059" s="17">
        <v>0.375</v>
      </c>
      <c r="M3059" s="14">
        <v>321</v>
      </c>
      <c r="N3059" s="14">
        <v>0</v>
      </c>
      <c r="O3059" s="14">
        <v>195</v>
      </c>
      <c r="P3059" s="14">
        <v>516</v>
      </c>
      <c r="Q3059">
        <v>7933</v>
      </c>
      <c r="R3059">
        <v>1463</v>
      </c>
      <c r="S3059">
        <v>335</v>
      </c>
    </row>
    <row r="3060" spans="11:19" x14ac:dyDescent="0.3">
      <c r="K3060" s="16">
        <f t="shared" si="47"/>
        <v>44143</v>
      </c>
      <c r="L3060" s="17">
        <v>0.41666666666666669</v>
      </c>
      <c r="M3060" s="14">
        <v>321</v>
      </c>
      <c r="N3060" s="14">
        <v>0</v>
      </c>
      <c r="O3060" s="14">
        <v>489</v>
      </c>
      <c r="P3060" s="14">
        <v>810</v>
      </c>
      <c r="Q3060">
        <v>8216</v>
      </c>
      <c r="R3060">
        <v>1264</v>
      </c>
      <c r="S3060">
        <v>523</v>
      </c>
    </row>
    <row r="3061" spans="11:19" x14ac:dyDescent="0.3">
      <c r="K3061" s="16">
        <f t="shared" si="47"/>
        <v>44143</v>
      </c>
      <c r="L3061" s="17">
        <v>0.45833333333333331</v>
      </c>
      <c r="M3061" s="14">
        <v>321</v>
      </c>
      <c r="N3061" s="14">
        <v>0</v>
      </c>
      <c r="O3061" s="14">
        <v>687</v>
      </c>
      <c r="P3061" s="14">
        <v>1008</v>
      </c>
      <c r="Q3061">
        <v>8491</v>
      </c>
      <c r="R3061">
        <v>1343</v>
      </c>
      <c r="S3061">
        <v>602</v>
      </c>
    </row>
    <row r="3062" spans="11:19" x14ac:dyDescent="0.3">
      <c r="K3062" s="16">
        <f t="shared" si="47"/>
        <v>44143</v>
      </c>
      <c r="L3062" s="17">
        <v>0.5</v>
      </c>
      <c r="M3062" s="14">
        <v>321</v>
      </c>
      <c r="N3062" s="14">
        <v>0</v>
      </c>
      <c r="O3062" s="14">
        <v>1066</v>
      </c>
      <c r="P3062" s="14">
        <v>1387</v>
      </c>
      <c r="Q3062">
        <v>8904</v>
      </c>
      <c r="R3062">
        <v>1330</v>
      </c>
      <c r="S3062">
        <v>647</v>
      </c>
    </row>
    <row r="3063" spans="11:19" x14ac:dyDescent="0.3">
      <c r="K3063" s="16">
        <f t="shared" si="47"/>
        <v>44143</v>
      </c>
      <c r="L3063" s="17">
        <v>0.54166666666666663</v>
      </c>
      <c r="M3063" s="14">
        <v>321</v>
      </c>
      <c r="N3063" s="14">
        <v>0</v>
      </c>
      <c r="O3063" s="14">
        <v>472</v>
      </c>
      <c r="P3063" s="14">
        <v>793</v>
      </c>
      <c r="Q3063">
        <v>8444</v>
      </c>
      <c r="R3063">
        <v>1486</v>
      </c>
      <c r="S3063">
        <v>625</v>
      </c>
    </row>
    <row r="3064" spans="11:19" x14ac:dyDescent="0.3">
      <c r="K3064" s="16">
        <f t="shared" si="47"/>
        <v>44143</v>
      </c>
      <c r="L3064" s="17">
        <v>0.58333333333333337</v>
      </c>
      <c r="M3064" s="14">
        <v>321</v>
      </c>
      <c r="N3064" s="14">
        <v>0</v>
      </c>
      <c r="O3064" s="14">
        <v>-14</v>
      </c>
      <c r="P3064" s="14">
        <v>307</v>
      </c>
      <c r="Q3064">
        <v>8045</v>
      </c>
      <c r="R3064">
        <v>1649</v>
      </c>
      <c r="S3064">
        <v>550</v>
      </c>
    </row>
    <row r="3065" spans="11:19" x14ac:dyDescent="0.3">
      <c r="K3065" s="16">
        <f t="shared" si="47"/>
        <v>44143</v>
      </c>
      <c r="L3065" s="17">
        <v>0.625</v>
      </c>
      <c r="M3065" s="14">
        <v>321</v>
      </c>
      <c r="N3065" s="14">
        <v>0</v>
      </c>
      <c r="O3065" s="14">
        <v>-526</v>
      </c>
      <c r="P3065" s="14">
        <v>-205</v>
      </c>
      <c r="Q3065">
        <v>7783</v>
      </c>
      <c r="R3065">
        <v>2070</v>
      </c>
      <c r="S3065">
        <v>379</v>
      </c>
    </row>
    <row r="3066" spans="11:19" x14ac:dyDescent="0.3">
      <c r="K3066" s="16">
        <f t="shared" si="47"/>
        <v>44143</v>
      </c>
      <c r="L3066" s="17">
        <v>0.66666666666666663</v>
      </c>
      <c r="M3066" s="14">
        <v>321</v>
      </c>
      <c r="N3066" s="14">
        <v>0</v>
      </c>
      <c r="O3066" s="14">
        <v>-687</v>
      </c>
      <c r="P3066" s="14">
        <v>-366</v>
      </c>
      <c r="Q3066">
        <v>7723</v>
      </c>
      <c r="R3066">
        <v>2428</v>
      </c>
      <c r="S3066">
        <v>123</v>
      </c>
    </row>
    <row r="3067" spans="11:19" x14ac:dyDescent="0.3">
      <c r="K3067" s="16">
        <f t="shared" si="47"/>
        <v>44143</v>
      </c>
      <c r="L3067" s="17">
        <v>0.70833333333333337</v>
      </c>
      <c r="M3067" s="14">
        <v>321</v>
      </c>
      <c r="N3067" s="14">
        <v>0</v>
      </c>
      <c r="O3067" s="14">
        <v>-65</v>
      </c>
      <c r="P3067" s="14">
        <v>256</v>
      </c>
      <c r="Q3067">
        <v>8262</v>
      </c>
      <c r="R3067">
        <v>2459</v>
      </c>
      <c r="S3067">
        <v>9</v>
      </c>
    </row>
    <row r="3068" spans="11:19" x14ac:dyDescent="0.3">
      <c r="K3068" s="16">
        <f t="shared" si="47"/>
        <v>44143</v>
      </c>
      <c r="L3068" s="17">
        <v>0.75</v>
      </c>
      <c r="M3068" s="14">
        <v>321</v>
      </c>
      <c r="N3068" s="14">
        <v>0</v>
      </c>
      <c r="O3068" s="14">
        <v>502</v>
      </c>
      <c r="P3068" s="14">
        <v>823</v>
      </c>
      <c r="Q3068">
        <v>9007</v>
      </c>
      <c r="R3068">
        <v>2643</v>
      </c>
      <c r="S3068">
        <v>0</v>
      </c>
    </row>
    <row r="3069" spans="11:19" x14ac:dyDescent="0.3">
      <c r="K3069" s="16">
        <f t="shared" si="47"/>
        <v>44143</v>
      </c>
      <c r="L3069" s="17">
        <v>0.79166666666666663</v>
      </c>
      <c r="M3069" s="14">
        <v>321</v>
      </c>
      <c r="N3069" s="14">
        <v>354</v>
      </c>
      <c r="O3069" s="14">
        <v>242</v>
      </c>
      <c r="P3069" s="14">
        <v>917</v>
      </c>
      <c r="Q3069">
        <v>8988</v>
      </c>
      <c r="R3069">
        <v>2535</v>
      </c>
      <c r="S3069">
        <v>0</v>
      </c>
    </row>
    <row r="3070" spans="11:19" x14ac:dyDescent="0.3">
      <c r="K3070" s="16">
        <f t="shared" si="47"/>
        <v>44143</v>
      </c>
      <c r="L3070" s="17">
        <v>0.83333333333333337</v>
      </c>
      <c r="M3070" s="14">
        <v>321</v>
      </c>
      <c r="N3070" s="14">
        <v>0</v>
      </c>
      <c r="O3070" s="14">
        <v>263</v>
      </c>
      <c r="P3070" s="14">
        <v>584</v>
      </c>
      <c r="Q3070">
        <v>8536</v>
      </c>
      <c r="R3070">
        <v>2422</v>
      </c>
      <c r="S3070">
        <v>0</v>
      </c>
    </row>
    <row r="3071" spans="11:19" x14ac:dyDescent="0.3">
      <c r="K3071" s="16">
        <f t="shared" si="47"/>
        <v>44143</v>
      </c>
      <c r="L3071" s="17">
        <v>0.875</v>
      </c>
      <c r="M3071" s="14">
        <v>321</v>
      </c>
      <c r="N3071" s="14">
        <v>0</v>
      </c>
      <c r="O3071" s="14">
        <v>-25</v>
      </c>
      <c r="P3071" s="14">
        <v>296</v>
      </c>
      <c r="Q3071">
        <v>8125</v>
      </c>
      <c r="R3071">
        <v>2307</v>
      </c>
      <c r="S3071">
        <v>0</v>
      </c>
    </row>
    <row r="3072" spans="11:19" x14ac:dyDescent="0.3">
      <c r="K3072" s="16">
        <f t="shared" si="47"/>
        <v>44143</v>
      </c>
      <c r="L3072" s="17">
        <v>0.91666666666666663</v>
      </c>
      <c r="M3072" s="14">
        <v>321</v>
      </c>
      <c r="N3072" s="14">
        <v>0</v>
      </c>
      <c r="O3072" s="14">
        <v>377</v>
      </c>
      <c r="P3072" s="14">
        <v>698</v>
      </c>
      <c r="Q3072">
        <v>8402</v>
      </c>
      <c r="R3072">
        <v>2190</v>
      </c>
      <c r="S3072">
        <v>0</v>
      </c>
    </row>
    <row r="3073" spans="11:19" x14ac:dyDescent="0.3">
      <c r="K3073" s="16">
        <f t="shared" si="47"/>
        <v>44143</v>
      </c>
      <c r="L3073" s="17">
        <v>0.95833333333333337</v>
      </c>
      <c r="M3073" s="14">
        <v>321</v>
      </c>
      <c r="N3073" s="14">
        <v>0</v>
      </c>
      <c r="O3073" s="14">
        <v>538</v>
      </c>
      <c r="P3073" s="14">
        <v>859</v>
      </c>
      <c r="Q3073">
        <v>8652</v>
      </c>
      <c r="R3073">
        <v>2282</v>
      </c>
      <c r="S3073">
        <v>0</v>
      </c>
    </row>
    <row r="3074" spans="11:19" x14ac:dyDescent="0.3">
      <c r="K3074" s="16">
        <f t="shared" si="47"/>
        <v>44144</v>
      </c>
      <c r="L3074" s="17">
        <v>0</v>
      </c>
      <c r="M3074" s="14">
        <v>321</v>
      </c>
      <c r="N3074" s="14">
        <v>0</v>
      </c>
      <c r="O3074" s="14">
        <v>0</v>
      </c>
      <c r="P3074" s="14">
        <v>321</v>
      </c>
      <c r="Q3074">
        <v>8165</v>
      </c>
      <c r="R3074">
        <v>1975</v>
      </c>
      <c r="S3074">
        <v>0</v>
      </c>
    </row>
    <row r="3075" spans="11:19" x14ac:dyDescent="0.3">
      <c r="K3075" s="16">
        <f t="shared" si="47"/>
        <v>44144</v>
      </c>
      <c r="L3075" s="17">
        <v>4.1666666666666664E-2</v>
      </c>
      <c r="M3075" s="14">
        <v>321</v>
      </c>
      <c r="N3075" s="14">
        <v>156</v>
      </c>
      <c r="O3075" s="14">
        <v>0</v>
      </c>
      <c r="P3075" s="14">
        <v>477</v>
      </c>
      <c r="Q3075">
        <v>7839</v>
      </c>
      <c r="R3075">
        <v>1853</v>
      </c>
      <c r="S3075">
        <v>0</v>
      </c>
    </row>
    <row r="3076" spans="11:19" x14ac:dyDescent="0.3">
      <c r="K3076" s="16">
        <f t="shared" si="47"/>
        <v>44144</v>
      </c>
      <c r="L3076" s="17">
        <v>8.3333333333333329E-2</v>
      </c>
      <c r="M3076" s="14">
        <v>321</v>
      </c>
      <c r="N3076" s="14">
        <v>0</v>
      </c>
      <c r="O3076" s="14">
        <v>-125</v>
      </c>
      <c r="P3076" s="14">
        <v>196</v>
      </c>
      <c r="Q3076">
        <v>7554</v>
      </c>
      <c r="R3076">
        <v>1689</v>
      </c>
      <c r="S3076">
        <v>0</v>
      </c>
    </row>
    <row r="3077" spans="11:19" x14ac:dyDescent="0.3">
      <c r="K3077" s="16">
        <f t="shared" si="47"/>
        <v>44144</v>
      </c>
      <c r="L3077" s="17">
        <v>0.125</v>
      </c>
      <c r="M3077" s="14">
        <v>321</v>
      </c>
      <c r="N3077" s="14">
        <v>0</v>
      </c>
      <c r="O3077" s="14">
        <v>-466</v>
      </c>
      <c r="P3077" s="14">
        <v>-145</v>
      </c>
      <c r="Q3077">
        <v>7194</v>
      </c>
      <c r="R3077">
        <v>1669</v>
      </c>
      <c r="S3077">
        <v>0</v>
      </c>
    </row>
    <row r="3078" spans="11:19" x14ac:dyDescent="0.3">
      <c r="K3078" s="16">
        <f t="shared" si="47"/>
        <v>44144</v>
      </c>
      <c r="L3078" s="17">
        <v>0.16666666666666666</v>
      </c>
      <c r="M3078" s="14">
        <v>321</v>
      </c>
      <c r="N3078" s="14">
        <v>0</v>
      </c>
      <c r="O3078" s="14">
        <v>-466</v>
      </c>
      <c r="P3078" s="14">
        <v>-145</v>
      </c>
      <c r="Q3078">
        <v>7205</v>
      </c>
      <c r="R3078">
        <v>1678</v>
      </c>
      <c r="S3078">
        <v>0</v>
      </c>
    </row>
    <row r="3079" spans="11:19" x14ac:dyDescent="0.3">
      <c r="K3079" s="16">
        <f t="shared" si="47"/>
        <v>44144</v>
      </c>
      <c r="L3079" s="17">
        <v>0.20833333333333334</v>
      </c>
      <c r="M3079" s="14">
        <v>321</v>
      </c>
      <c r="N3079" s="14">
        <v>0</v>
      </c>
      <c r="O3079" s="14">
        <v>0</v>
      </c>
      <c r="P3079" s="14">
        <v>321</v>
      </c>
      <c r="Q3079">
        <v>7802</v>
      </c>
      <c r="R3079">
        <v>1779</v>
      </c>
      <c r="S3079">
        <v>0</v>
      </c>
    </row>
    <row r="3080" spans="11:19" x14ac:dyDescent="0.3">
      <c r="K3080" s="16">
        <f t="shared" si="47"/>
        <v>44144</v>
      </c>
      <c r="L3080" s="17">
        <v>0.25</v>
      </c>
      <c r="M3080" s="14">
        <v>321</v>
      </c>
      <c r="N3080" s="14">
        <v>0</v>
      </c>
      <c r="O3080" s="14">
        <v>0</v>
      </c>
      <c r="P3080" s="14">
        <v>321</v>
      </c>
      <c r="Q3080">
        <v>9019</v>
      </c>
      <c r="R3080">
        <v>1764</v>
      </c>
      <c r="S3080">
        <v>0</v>
      </c>
    </row>
    <row r="3081" spans="11:19" x14ac:dyDescent="0.3">
      <c r="K3081" s="16">
        <f t="shared" si="47"/>
        <v>44144</v>
      </c>
      <c r="L3081" s="17">
        <v>0.29166666666666669</v>
      </c>
      <c r="M3081" s="14">
        <v>321</v>
      </c>
      <c r="N3081" s="14">
        <v>0</v>
      </c>
      <c r="O3081" s="14">
        <v>0</v>
      </c>
      <c r="P3081" s="14">
        <v>321</v>
      </c>
      <c r="Q3081">
        <v>9860</v>
      </c>
      <c r="R3081">
        <v>1892</v>
      </c>
      <c r="S3081">
        <v>10</v>
      </c>
    </row>
    <row r="3082" spans="11:19" x14ac:dyDescent="0.3">
      <c r="K3082" s="16">
        <f t="shared" si="47"/>
        <v>44144</v>
      </c>
      <c r="L3082" s="17">
        <v>0.33333333333333331</v>
      </c>
      <c r="M3082" s="14">
        <v>321</v>
      </c>
      <c r="N3082" s="14">
        <v>0</v>
      </c>
      <c r="O3082" s="14">
        <v>0</v>
      </c>
      <c r="P3082" s="14">
        <v>321</v>
      </c>
      <c r="Q3082">
        <v>10147</v>
      </c>
      <c r="R3082">
        <v>2229</v>
      </c>
      <c r="S3082">
        <v>117</v>
      </c>
    </row>
    <row r="3083" spans="11:19" x14ac:dyDescent="0.3">
      <c r="K3083" s="16">
        <f t="shared" si="47"/>
        <v>44144</v>
      </c>
      <c r="L3083" s="17">
        <v>0.375</v>
      </c>
      <c r="M3083" s="14">
        <v>321</v>
      </c>
      <c r="N3083" s="14">
        <v>0</v>
      </c>
      <c r="O3083" s="14">
        <v>0</v>
      </c>
      <c r="P3083" s="14">
        <v>321</v>
      </c>
      <c r="Q3083">
        <v>10305</v>
      </c>
      <c r="R3083">
        <v>2203</v>
      </c>
      <c r="S3083">
        <v>399</v>
      </c>
    </row>
    <row r="3084" spans="11:19" x14ac:dyDescent="0.3">
      <c r="K3084" s="16">
        <f t="shared" si="47"/>
        <v>44144</v>
      </c>
      <c r="L3084" s="17">
        <v>0.41666666666666669</v>
      </c>
      <c r="M3084" s="14">
        <v>321</v>
      </c>
      <c r="N3084" s="14">
        <v>0</v>
      </c>
      <c r="O3084" s="14">
        <v>0</v>
      </c>
      <c r="P3084" s="14">
        <v>321</v>
      </c>
      <c r="Q3084">
        <v>10319</v>
      </c>
      <c r="R3084">
        <v>2362</v>
      </c>
      <c r="S3084">
        <v>685</v>
      </c>
    </row>
    <row r="3085" spans="11:19" x14ac:dyDescent="0.3">
      <c r="K3085" s="16">
        <f t="shared" si="47"/>
        <v>44144</v>
      </c>
      <c r="L3085" s="17">
        <v>0.45833333333333331</v>
      </c>
      <c r="M3085" s="14">
        <v>321</v>
      </c>
      <c r="N3085" s="14">
        <v>0</v>
      </c>
      <c r="O3085" s="14">
        <v>0</v>
      </c>
      <c r="P3085" s="14">
        <v>321</v>
      </c>
      <c r="Q3085">
        <v>10429</v>
      </c>
      <c r="R3085">
        <v>2185</v>
      </c>
      <c r="S3085">
        <v>859</v>
      </c>
    </row>
    <row r="3086" spans="11:19" x14ac:dyDescent="0.3">
      <c r="K3086" s="16">
        <f t="shared" si="47"/>
        <v>44144</v>
      </c>
      <c r="L3086" s="17">
        <v>0.5</v>
      </c>
      <c r="M3086" s="14">
        <v>321</v>
      </c>
      <c r="N3086" s="14">
        <v>0</v>
      </c>
      <c r="O3086" s="14">
        <v>0</v>
      </c>
      <c r="P3086" s="14">
        <v>321</v>
      </c>
      <c r="Q3086">
        <v>10477</v>
      </c>
      <c r="R3086">
        <v>1983</v>
      </c>
      <c r="S3086">
        <v>946</v>
      </c>
    </row>
    <row r="3087" spans="11:19" x14ac:dyDescent="0.3">
      <c r="K3087" s="16">
        <f t="shared" si="47"/>
        <v>44144</v>
      </c>
      <c r="L3087" s="17">
        <v>0.54166666666666663</v>
      </c>
      <c r="M3087" s="14">
        <v>321</v>
      </c>
      <c r="N3087" s="14">
        <v>0</v>
      </c>
      <c r="O3087" s="14">
        <v>0</v>
      </c>
      <c r="P3087" s="14">
        <v>321</v>
      </c>
      <c r="Q3087">
        <v>10265</v>
      </c>
      <c r="R3087">
        <v>2365</v>
      </c>
      <c r="S3087">
        <v>968</v>
      </c>
    </row>
    <row r="3088" spans="11:19" x14ac:dyDescent="0.3">
      <c r="K3088" s="16">
        <f t="shared" si="47"/>
        <v>44144</v>
      </c>
      <c r="L3088" s="17">
        <v>0.58333333333333337</v>
      </c>
      <c r="M3088" s="14">
        <v>321</v>
      </c>
      <c r="N3088" s="14">
        <v>0</v>
      </c>
      <c r="O3088" s="14">
        <v>0</v>
      </c>
      <c r="P3088" s="14">
        <v>321</v>
      </c>
      <c r="Q3088">
        <v>10103</v>
      </c>
      <c r="R3088">
        <v>2330</v>
      </c>
      <c r="S3088">
        <v>827</v>
      </c>
    </row>
    <row r="3089" spans="11:19" x14ac:dyDescent="0.3">
      <c r="K3089" s="16">
        <f t="shared" si="47"/>
        <v>44144</v>
      </c>
      <c r="L3089" s="17">
        <v>0.625</v>
      </c>
      <c r="M3089" s="14">
        <v>321</v>
      </c>
      <c r="N3089" s="14">
        <v>0</v>
      </c>
      <c r="O3089" s="14">
        <v>0</v>
      </c>
      <c r="P3089" s="14">
        <v>321</v>
      </c>
      <c r="Q3089">
        <v>9878</v>
      </c>
      <c r="R3089">
        <v>2442</v>
      </c>
      <c r="S3089">
        <v>529</v>
      </c>
    </row>
    <row r="3090" spans="11:19" x14ac:dyDescent="0.3">
      <c r="K3090" s="16">
        <f t="shared" si="47"/>
        <v>44144</v>
      </c>
      <c r="L3090" s="17">
        <v>0.66666666666666663</v>
      </c>
      <c r="M3090" s="14">
        <v>321</v>
      </c>
      <c r="N3090" s="14">
        <v>0</v>
      </c>
      <c r="O3090" s="14">
        <v>0</v>
      </c>
      <c r="P3090" s="14">
        <v>321</v>
      </c>
      <c r="Q3090">
        <v>9791</v>
      </c>
      <c r="R3090">
        <v>2514</v>
      </c>
      <c r="S3090">
        <v>161</v>
      </c>
    </row>
    <row r="3091" spans="11:19" x14ac:dyDescent="0.3">
      <c r="K3091" s="16">
        <f t="shared" si="47"/>
        <v>44144</v>
      </c>
      <c r="L3091" s="17">
        <v>0.70833333333333337</v>
      </c>
      <c r="M3091" s="14">
        <v>321</v>
      </c>
      <c r="N3091" s="14">
        <v>0</v>
      </c>
      <c r="O3091" s="14">
        <v>0</v>
      </c>
      <c r="P3091" s="14">
        <v>321</v>
      </c>
      <c r="Q3091">
        <v>10207</v>
      </c>
      <c r="R3091">
        <v>2584</v>
      </c>
      <c r="S3091">
        <v>18</v>
      </c>
    </row>
    <row r="3092" spans="11:19" x14ac:dyDescent="0.3">
      <c r="K3092" s="16">
        <f t="shared" si="47"/>
        <v>44144</v>
      </c>
      <c r="L3092" s="17">
        <v>0.75</v>
      </c>
      <c r="M3092" s="14">
        <v>321</v>
      </c>
      <c r="N3092" s="14">
        <v>0</v>
      </c>
      <c r="O3092" s="14">
        <v>0</v>
      </c>
      <c r="P3092" s="14">
        <v>321</v>
      </c>
      <c r="Q3092">
        <v>10953</v>
      </c>
      <c r="R3092">
        <v>2451</v>
      </c>
      <c r="S3092">
        <v>0</v>
      </c>
    </row>
    <row r="3093" spans="11:19" x14ac:dyDescent="0.3">
      <c r="K3093" s="16">
        <f t="shared" si="47"/>
        <v>44144</v>
      </c>
      <c r="L3093" s="17">
        <v>0.79166666666666663</v>
      </c>
      <c r="M3093" s="14">
        <v>321</v>
      </c>
      <c r="N3093" s="14">
        <v>0</v>
      </c>
      <c r="O3093" s="14">
        <v>0</v>
      </c>
      <c r="P3093" s="14">
        <v>321</v>
      </c>
      <c r="Q3093">
        <v>10834</v>
      </c>
      <c r="R3093">
        <v>2116</v>
      </c>
      <c r="S3093">
        <v>0</v>
      </c>
    </row>
    <row r="3094" spans="11:19" x14ac:dyDescent="0.3">
      <c r="K3094" s="16">
        <f t="shared" si="47"/>
        <v>44144</v>
      </c>
      <c r="L3094" s="17">
        <v>0.83333333333333337</v>
      </c>
      <c r="M3094" s="14">
        <v>321</v>
      </c>
      <c r="N3094" s="14">
        <v>0</v>
      </c>
      <c r="O3094" s="14">
        <v>0</v>
      </c>
      <c r="P3094" s="14">
        <v>321</v>
      </c>
      <c r="Q3094">
        <v>10038</v>
      </c>
      <c r="R3094">
        <v>1874</v>
      </c>
      <c r="S3094">
        <v>0</v>
      </c>
    </row>
    <row r="3095" spans="11:19" x14ac:dyDescent="0.3">
      <c r="K3095" s="16">
        <f t="shared" si="47"/>
        <v>44144</v>
      </c>
      <c r="L3095" s="17">
        <v>0.875</v>
      </c>
      <c r="M3095" s="14">
        <v>321</v>
      </c>
      <c r="N3095" s="14">
        <v>0</v>
      </c>
      <c r="O3095" s="14">
        <v>0</v>
      </c>
      <c r="P3095" s="14">
        <v>321</v>
      </c>
      <c r="Q3095">
        <v>9380</v>
      </c>
      <c r="R3095">
        <v>1607</v>
      </c>
      <c r="S3095">
        <v>0</v>
      </c>
    </row>
    <row r="3096" spans="11:19" x14ac:dyDescent="0.3">
      <c r="K3096" s="16">
        <f t="shared" si="47"/>
        <v>44144</v>
      </c>
      <c r="L3096" s="17">
        <v>0.91666666666666663</v>
      </c>
      <c r="M3096" s="14">
        <v>321</v>
      </c>
      <c r="N3096" s="14">
        <v>0</v>
      </c>
      <c r="O3096" s="14">
        <v>0</v>
      </c>
      <c r="P3096" s="14">
        <v>321</v>
      </c>
      <c r="Q3096">
        <v>9579</v>
      </c>
      <c r="R3096">
        <v>1551</v>
      </c>
      <c r="S3096">
        <v>0</v>
      </c>
    </row>
    <row r="3097" spans="11:19" x14ac:dyDescent="0.3">
      <c r="K3097" s="16">
        <f t="shared" si="47"/>
        <v>44144</v>
      </c>
      <c r="L3097" s="17">
        <v>0.95833333333333337</v>
      </c>
      <c r="M3097" s="14">
        <v>321</v>
      </c>
      <c r="N3097" s="14">
        <v>0</v>
      </c>
      <c r="O3097" s="14">
        <v>846</v>
      </c>
      <c r="P3097" s="14">
        <v>1167</v>
      </c>
      <c r="Q3097">
        <v>9713</v>
      </c>
      <c r="R3097">
        <v>1544</v>
      </c>
      <c r="S3097">
        <v>0</v>
      </c>
    </row>
    <row r="3098" spans="11:19" x14ac:dyDescent="0.3">
      <c r="K3098" s="16">
        <f t="shared" si="47"/>
        <v>44145</v>
      </c>
      <c r="L3098" s="17">
        <v>0</v>
      </c>
      <c r="M3098" s="14">
        <v>321</v>
      </c>
      <c r="N3098" s="14">
        <v>0</v>
      </c>
      <c r="O3098" s="14">
        <v>0</v>
      </c>
      <c r="P3098" s="14">
        <v>321</v>
      </c>
      <c r="Q3098">
        <v>9205</v>
      </c>
      <c r="R3098">
        <v>1913</v>
      </c>
      <c r="S3098">
        <v>0</v>
      </c>
    </row>
    <row r="3099" spans="11:19" x14ac:dyDescent="0.3">
      <c r="K3099" s="16">
        <f t="shared" ref="K3099:K3162" si="48">K3075+1</f>
        <v>44145</v>
      </c>
      <c r="L3099" s="17">
        <v>4.1666666666666664E-2</v>
      </c>
      <c r="M3099" s="14">
        <v>321</v>
      </c>
      <c r="N3099" s="14">
        <v>0</v>
      </c>
      <c r="O3099" s="14">
        <v>0</v>
      </c>
      <c r="P3099" s="14">
        <v>321</v>
      </c>
      <c r="Q3099">
        <v>8847</v>
      </c>
      <c r="R3099">
        <v>1764</v>
      </c>
      <c r="S3099">
        <v>0</v>
      </c>
    </row>
    <row r="3100" spans="11:19" x14ac:dyDescent="0.3">
      <c r="K3100" s="16">
        <f t="shared" si="48"/>
        <v>44145</v>
      </c>
      <c r="L3100" s="17">
        <v>8.3333333333333329E-2</v>
      </c>
      <c r="M3100" s="14">
        <v>321</v>
      </c>
      <c r="N3100" s="14">
        <v>0</v>
      </c>
      <c r="O3100" s="14">
        <v>0</v>
      </c>
      <c r="P3100" s="14">
        <v>321</v>
      </c>
      <c r="Q3100">
        <v>8566</v>
      </c>
      <c r="R3100">
        <v>1488</v>
      </c>
      <c r="S3100">
        <v>0</v>
      </c>
    </row>
    <row r="3101" spans="11:19" x14ac:dyDescent="0.3">
      <c r="K3101" s="16">
        <f t="shared" si="48"/>
        <v>44145</v>
      </c>
      <c r="L3101" s="17">
        <v>0.125</v>
      </c>
      <c r="M3101" s="14">
        <v>321</v>
      </c>
      <c r="N3101" s="14">
        <v>0</v>
      </c>
      <c r="O3101" s="14">
        <v>0</v>
      </c>
      <c r="P3101" s="14">
        <v>321</v>
      </c>
      <c r="Q3101">
        <v>8224</v>
      </c>
      <c r="R3101">
        <v>1286</v>
      </c>
      <c r="S3101">
        <v>0</v>
      </c>
    </row>
    <row r="3102" spans="11:19" x14ac:dyDescent="0.3">
      <c r="K3102" s="16">
        <f t="shared" si="48"/>
        <v>44145</v>
      </c>
      <c r="L3102" s="17">
        <v>0.16666666666666666</v>
      </c>
      <c r="M3102" s="14">
        <v>321</v>
      </c>
      <c r="N3102" s="14">
        <v>0</v>
      </c>
      <c r="O3102" s="14">
        <v>0</v>
      </c>
      <c r="P3102" s="14">
        <v>321</v>
      </c>
      <c r="Q3102">
        <v>8230</v>
      </c>
      <c r="R3102">
        <v>1057</v>
      </c>
      <c r="S3102">
        <v>0</v>
      </c>
    </row>
    <row r="3103" spans="11:19" x14ac:dyDescent="0.3">
      <c r="K3103" s="16">
        <f t="shared" si="48"/>
        <v>44145</v>
      </c>
      <c r="L3103" s="17">
        <v>0.20833333333333334</v>
      </c>
      <c r="M3103" s="14">
        <v>321</v>
      </c>
      <c r="N3103" s="14">
        <v>0</v>
      </c>
      <c r="O3103" s="14">
        <v>0</v>
      </c>
      <c r="P3103" s="14">
        <v>321</v>
      </c>
      <c r="Q3103">
        <v>8783</v>
      </c>
      <c r="R3103">
        <v>950</v>
      </c>
      <c r="S3103">
        <v>0</v>
      </c>
    </row>
    <row r="3104" spans="11:19" x14ac:dyDescent="0.3">
      <c r="K3104" s="16">
        <f t="shared" si="48"/>
        <v>44145</v>
      </c>
      <c r="L3104" s="17">
        <v>0.25</v>
      </c>
      <c r="M3104" s="14">
        <v>321</v>
      </c>
      <c r="N3104" s="14">
        <v>357</v>
      </c>
      <c r="O3104" s="14">
        <v>0</v>
      </c>
      <c r="P3104" s="14">
        <v>678</v>
      </c>
      <c r="Q3104">
        <v>9976</v>
      </c>
      <c r="R3104">
        <v>911</v>
      </c>
      <c r="S3104">
        <v>0</v>
      </c>
    </row>
    <row r="3105" spans="11:19" x14ac:dyDescent="0.3">
      <c r="K3105" s="16">
        <f t="shared" si="48"/>
        <v>44145</v>
      </c>
      <c r="L3105" s="17">
        <v>0.29166666666666669</v>
      </c>
      <c r="M3105" s="14">
        <v>321</v>
      </c>
      <c r="N3105" s="14">
        <v>1154</v>
      </c>
      <c r="O3105" s="14">
        <v>0</v>
      </c>
      <c r="P3105" s="14">
        <v>1475</v>
      </c>
      <c r="Q3105">
        <v>10846</v>
      </c>
      <c r="R3105">
        <v>960</v>
      </c>
      <c r="S3105">
        <v>5</v>
      </c>
    </row>
    <row r="3106" spans="11:19" x14ac:dyDescent="0.3">
      <c r="K3106" s="16">
        <f t="shared" si="48"/>
        <v>44145</v>
      </c>
      <c r="L3106" s="17">
        <v>0.33333333333333331</v>
      </c>
      <c r="M3106" s="14">
        <v>321</v>
      </c>
      <c r="N3106" s="14">
        <v>1466</v>
      </c>
      <c r="O3106" s="14">
        <v>0</v>
      </c>
      <c r="P3106" s="14">
        <v>1787</v>
      </c>
      <c r="Q3106">
        <v>11087</v>
      </c>
      <c r="R3106">
        <v>782</v>
      </c>
      <c r="S3106">
        <v>110</v>
      </c>
    </row>
    <row r="3107" spans="11:19" x14ac:dyDescent="0.3">
      <c r="K3107" s="16">
        <f t="shared" si="48"/>
        <v>44145</v>
      </c>
      <c r="L3107" s="17">
        <v>0.375</v>
      </c>
      <c r="M3107" s="14">
        <v>321</v>
      </c>
      <c r="N3107" s="14">
        <v>1372</v>
      </c>
      <c r="O3107" s="14">
        <v>0</v>
      </c>
      <c r="P3107" s="14">
        <v>1693</v>
      </c>
      <c r="Q3107">
        <v>11208</v>
      </c>
      <c r="R3107">
        <v>715</v>
      </c>
      <c r="S3107">
        <v>394</v>
      </c>
    </row>
    <row r="3108" spans="11:19" x14ac:dyDescent="0.3">
      <c r="K3108" s="16">
        <f t="shared" si="48"/>
        <v>44145</v>
      </c>
      <c r="L3108" s="17">
        <v>0.41666666666666669</v>
      </c>
      <c r="M3108" s="14">
        <v>321</v>
      </c>
      <c r="N3108" s="14">
        <v>1088</v>
      </c>
      <c r="O3108" s="14">
        <v>0</v>
      </c>
      <c r="P3108" s="14">
        <v>1409</v>
      </c>
      <c r="Q3108">
        <v>11197</v>
      </c>
      <c r="R3108">
        <v>710</v>
      </c>
      <c r="S3108">
        <v>673</v>
      </c>
    </row>
    <row r="3109" spans="11:19" x14ac:dyDescent="0.3">
      <c r="K3109" s="16">
        <f t="shared" si="48"/>
        <v>44145</v>
      </c>
      <c r="L3109" s="17">
        <v>0.45833333333333331</v>
      </c>
      <c r="M3109" s="14">
        <v>321</v>
      </c>
      <c r="N3109" s="14">
        <v>1180</v>
      </c>
      <c r="O3109" s="14">
        <v>0</v>
      </c>
      <c r="P3109" s="14">
        <v>1501</v>
      </c>
      <c r="Q3109">
        <v>11276</v>
      </c>
      <c r="R3109">
        <v>609</v>
      </c>
      <c r="S3109">
        <v>762</v>
      </c>
    </row>
    <row r="3110" spans="11:19" x14ac:dyDescent="0.3">
      <c r="K3110" s="16">
        <f t="shared" si="48"/>
        <v>44145</v>
      </c>
      <c r="L3110" s="17">
        <v>0.5</v>
      </c>
      <c r="M3110" s="14">
        <v>321</v>
      </c>
      <c r="N3110" s="14">
        <v>1271</v>
      </c>
      <c r="O3110" s="14">
        <v>0</v>
      </c>
      <c r="P3110" s="14">
        <v>1592</v>
      </c>
      <c r="Q3110">
        <v>11270</v>
      </c>
      <c r="R3110">
        <v>463</v>
      </c>
      <c r="S3110">
        <v>811</v>
      </c>
    </row>
    <row r="3111" spans="11:19" x14ac:dyDescent="0.3">
      <c r="K3111" s="16">
        <f t="shared" si="48"/>
        <v>44145</v>
      </c>
      <c r="L3111" s="17">
        <v>0.54166666666666663</v>
      </c>
      <c r="M3111" s="14">
        <v>321</v>
      </c>
      <c r="N3111" s="14">
        <v>1044</v>
      </c>
      <c r="O3111" s="14">
        <v>0</v>
      </c>
      <c r="P3111" s="14">
        <v>1365</v>
      </c>
      <c r="Q3111">
        <v>11016</v>
      </c>
      <c r="R3111">
        <v>474</v>
      </c>
      <c r="S3111">
        <v>773</v>
      </c>
    </row>
    <row r="3112" spans="11:19" x14ac:dyDescent="0.3">
      <c r="K3112" s="16">
        <f t="shared" si="48"/>
        <v>44145</v>
      </c>
      <c r="L3112" s="17">
        <v>0.58333333333333337</v>
      </c>
      <c r="M3112" s="14">
        <v>321</v>
      </c>
      <c r="N3112" s="14">
        <v>947</v>
      </c>
      <c r="O3112" s="14">
        <v>0</v>
      </c>
      <c r="P3112" s="14">
        <v>1268</v>
      </c>
      <c r="Q3112">
        <v>10850</v>
      </c>
      <c r="R3112">
        <v>508</v>
      </c>
      <c r="S3112">
        <v>668</v>
      </c>
    </row>
    <row r="3113" spans="11:19" x14ac:dyDescent="0.3">
      <c r="K3113" s="16">
        <f t="shared" si="48"/>
        <v>44145</v>
      </c>
      <c r="L3113" s="17">
        <v>0.625</v>
      </c>
      <c r="M3113" s="14">
        <v>321</v>
      </c>
      <c r="N3113" s="14">
        <v>1040</v>
      </c>
      <c r="O3113" s="14">
        <v>0</v>
      </c>
      <c r="P3113" s="14">
        <v>1361</v>
      </c>
      <c r="Q3113">
        <v>10652</v>
      </c>
      <c r="R3113">
        <v>435</v>
      </c>
      <c r="S3113">
        <v>450</v>
      </c>
    </row>
    <row r="3114" spans="11:19" x14ac:dyDescent="0.3">
      <c r="K3114" s="16">
        <f t="shared" si="48"/>
        <v>44145</v>
      </c>
      <c r="L3114" s="17">
        <v>0.66666666666666663</v>
      </c>
      <c r="M3114" s="14">
        <v>321</v>
      </c>
      <c r="N3114" s="14">
        <v>1337</v>
      </c>
      <c r="O3114" s="14">
        <v>0</v>
      </c>
      <c r="P3114" s="14">
        <v>1658</v>
      </c>
      <c r="Q3114">
        <v>10639</v>
      </c>
      <c r="R3114">
        <v>419</v>
      </c>
      <c r="S3114">
        <v>154</v>
      </c>
    </row>
    <row r="3115" spans="11:19" x14ac:dyDescent="0.3">
      <c r="K3115" s="16">
        <f t="shared" si="48"/>
        <v>44145</v>
      </c>
      <c r="L3115" s="17">
        <v>0.70833333333333337</v>
      </c>
      <c r="M3115" s="14">
        <v>321</v>
      </c>
      <c r="N3115" s="14">
        <v>1676</v>
      </c>
      <c r="O3115" s="14">
        <v>0</v>
      </c>
      <c r="P3115" s="14">
        <v>1997</v>
      </c>
      <c r="Q3115">
        <v>11143</v>
      </c>
      <c r="R3115">
        <v>474</v>
      </c>
      <c r="S3115">
        <v>17</v>
      </c>
    </row>
    <row r="3116" spans="11:19" x14ac:dyDescent="0.3">
      <c r="K3116" s="16">
        <f t="shared" si="48"/>
        <v>44145</v>
      </c>
      <c r="L3116" s="17">
        <v>0.75</v>
      </c>
      <c r="M3116" s="14">
        <v>321</v>
      </c>
      <c r="N3116" s="14">
        <v>1676</v>
      </c>
      <c r="O3116" s="14">
        <v>0</v>
      </c>
      <c r="P3116" s="14">
        <v>1997</v>
      </c>
      <c r="Q3116">
        <v>11878</v>
      </c>
      <c r="R3116">
        <v>450</v>
      </c>
      <c r="S3116">
        <v>0</v>
      </c>
    </row>
    <row r="3117" spans="11:19" x14ac:dyDescent="0.3">
      <c r="K3117" s="16">
        <f t="shared" si="48"/>
        <v>44145</v>
      </c>
      <c r="L3117" s="17">
        <v>0.79166666666666663</v>
      </c>
      <c r="M3117" s="14">
        <v>321</v>
      </c>
      <c r="N3117" s="14">
        <v>1676</v>
      </c>
      <c r="O3117" s="14">
        <v>0</v>
      </c>
      <c r="P3117" s="14">
        <v>1997</v>
      </c>
      <c r="Q3117">
        <v>11852</v>
      </c>
      <c r="R3117">
        <v>528</v>
      </c>
      <c r="S3117">
        <v>0</v>
      </c>
    </row>
    <row r="3118" spans="11:19" x14ac:dyDescent="0.3">
      <c r="K3118" s="16">
        <f t="shared" si="48"/>
        <v>44145</v>
      </c>
      <c r="L3118" s="17">
        <v>0.83333333333333337</v>
      </c>
      <c r="M3118" s="14">
        <v>321</v>
      </c>
      <c r="N3118" s="14">
        <v>1676</v>
      </c>
      <c r="O3118" s="14">
        <v>0</v>
      </c>
      <c r="P3118" s="14">
        <v>1997</v>
      </c>
      <c r="Q3118">
        <v>10905</v>
      </c>
      <c r="R3118">
        <v>488</v>
      </c>
      <c r="S3118">
        <v>0</v>
      </c>
    </row>
    <row r="3119" spans="11:19" x14ac:dyDescent="0.3">
      <c r="K3119" s="16">
        <f t="shared" si="48"/>
        <v>44145</v>
      </c>
      <c r="L3119" s="17">
        <v>0.875</v>
      </c>
      <c r="M3119" s="14">
        <v>321</v>
      </c>
      <c r="N3119" s="14">
        <v>913</v>
      </c>
      <c r="O3119" s="14">
        <v>0</v>
      </c>
      <c r="P3119" s="14">
        <v>1234</v>
      </c>
      <c r="Q3119">
        <v>10116</v>
      </c>
      <c r="R3119">
        <v>484</v>
      </c>
      <c r="S3119">
        <v>0</v>
      </c>
    </row>
    <row r="3120" spans="11:19" x14ac:dyDescent="0.3">
      <c r="K3120" s="16">
        <f t="shared" si="48"/>
        <v>44145</v>
      </c>
      <c r="L3120" s="17">
        <v>0.91666666666666663</v>
      </c>
      <c r="M3120" s="14">
        <v>321</v>
      </c>
      <c r="N3120" s="14">
        <v>978</v>
      </c>
      <c r="O3120" s="14">
        <v>0</v>
      </c>
      <c r="P3120" s="14">
        <v>1299</v>
      </c>
      <c r="Q3120">
        <v>10260</v>
      </c>
      <c r="R3120">
        <v>569</v>
      </c>
      <c r="S3120">
        <v>0</v>
      </c>
    </row>
    <row r="3121" spans="11:19" x14ac:dyDescent="0.3">
      <c r="K3121" s="16">
        <f t="shared" si="48"/>
        <v>44145</v>
      </c>
      <c r="L3121" s="17">
        <v>0.95833333333333337</v>
      </c>
      <c r="M3121" s="14">
        <v>321</v>
      </c>
      <c r="N3121" s="14">
        <v>1144</v>
      </c>
      <c r="O3121" s="14">
        <v>0</v>
      </c>
      <c r="P3121" s="14">
        <v>1465</v>
      </c>
      <c r="Q3121">
        <v>10371</v>
      </c>
      <c r="R3121">
        <v>517</v>
      </c>
      <c r="S3121">
        <v>0</v>
      </c>
    </row>
    <row r="3122" spans="11:19" x14ac:dyDescent="0.3">
      <c r="K3122" s="16">
        <f t="shared" si="48"/>
        <v>44146</v>
      </c>
      <c r="L3122" s="17">
        <v>0</v>
      </c>
      <c r="M3122" s="14">
        <v>321</v>
      </c>
      <c r="N3122" s="14">
        <v>514</v>
      </c>
      <c r="O3122" s="14">
        <v>0</v>
      </c>
      <c r="P3122" s="14">
        <v>835</v>
      </c>
      <c r="Q3122">
        <v>9738</v>
      </c>
      <c r="R3122">
        <v>530</v>
      </c>
      <c r="S3122">
        <v>0</v>
      </c>
    </row>
    <row r="3123" spans="11:19" x14ac:dyDescent="0.3">
      <c r="K3123" s="16">
        <f t="shared" si="48"/>
        <v>44146</v>
      </c>
      <c r="L3123" s="17">
        <v>4.1666666666666664E-2</v>
      </c>
      <c r="M3123" s="14">
        <v>321</v>
      </c>
      <c r="N3123" s="14">
        <v>143</v>
      </c>
      <c r="O3123" s="14">
        <v>0</v>
      </c>
      <c r="P3123" s="14">
        <v>464</v>
      </c>
      <c r="Q3123">
        <v>9369</v>
      </c>
      <c r="R3123">
        <v>535</v>
      </c>
      <c r="S3123">
        <v>0</v>
      </c>
    </row>
    <row r="3124" spans="11:19" x14ac:dyDescent="0.3">
      <c r="K3124" s="16">
        <f t="shared" si="48"/>
        <v>44146</v>
      </c>
      <c r="L3124" s="17">
        <v>8.3333333333333329E-2</v>
      </c>
      <c r="M3124" s="14">
        <v>321</v>
      </c>
      <c r="N3124" s="14">
        <v>1677</v>
      </c>
      <c r="O3124" s="14">
        <v>0</v>
      </c>
      <c r="P3124" s="14">
        <v>1998</v>
      </c>
      <c r="Q3124">
        <v>9069</v>
      </c>
      <c r="R3124">
        <v>572</v>
      </c>
      <c r="S3124">
        <v>0</v>
      </c>
    </row>
    <row r="3125" spans="11:19" x14ac:dyDescent="0.3">
      <c r="K3125" s="16">
        <f t="shared" si="48"/>
        <v>44146</v>
      </c>
      <c r="L3125" s="17">
        <v>0.125</v>
      </c>
      <c r="M3125" s="14">
        <v>321</v>
      </c>
      <c r="N3125" s="14">
        <v>0</v>
      </c>
      <c r="O3125" s="14">
        <v>0</v>
      </c>
      <c r="P3125" s="14">
        <v>321</v>
      </c>
      <c r="Q3125">
        <v>8698</v>
      </c>
      <c r="R3125">
        <v>856</v>
      </c>
      <c r="S3125">
        <v>0</v>
      </c>
    </row>
    <row r="3126" spans="11:19" x14ac:dyDescent="0.3">
      <c r="K3126" s="16">
        <f t="shared" si="48"/>
        <v>44146</v>
      </c>
      <c r="L3126" s="17">
        <v>0.16666666666666666</v>
      </c>
      <c r="M3126" s="14">
        <v>321</v>
      </c>
      <c r="N3126" s="14">
        <v>0</v>
      </c>
      <c r="O3126" s="14">
        <v>0</v>
      </c>
      <c r="P3126" s="14">
        <v>321</v>
      </c>
      <c r="Q3126">
        <v>8673</v>
      </c>
      <c r="R3126">
        <v>968</v>
      </c>
      <c r="S3126">
        <v>0</v>
      </c>
    </row>
    <row r="3127" spans="11:19" x14ac:dyDescent="0.3">
      <c r="K3127" s="16">
        <f t="shared" si="48"/>
        <v>44146</v>
      </c>
      <c r="L3127" s="17">
        <v>0.20833333333333334</v>
      </c>
      <c r="M3127" s="14">
        <v>321</v>
      </c>
      <c r="N3127" s="14">
        <v>1677</v>
      </c>
      <c r="O3127" s="14">
        <v>0</v>
      </c>
      <c r="P3127" s="14">
        <v>1998</v>
      </c>
      <c r="Q3127">
        <v>9206</v>
      </c>
      <c r="R3127">
        <v>1038</v>
      </c>
      <c r="S3127">
        <v>0</v>
      </c>
    </row>
    <row r="3128" spans="11:19" x14ac:dyDescent="0.3">
      <c r="K3128" s="16">
        <f t="shared" si="48"/>
        <v>44146</v>
      </c>
      <c r="L3128" s="17">
        <v>0.25</v>
      </c>
      <c r="M3128" s="14">
        <v>321</v>
      </c>
      <c r="N3128" s="14">
        <v>627</v>
      </c>
      <c r="O3128" s="14">
        <v>0</v>
      </c>
      <c r="P3128" s="14">
        <v>948</v>
      </c>
      <c r="Q3128">
        <v>10363</v>
      </c>
      <c r="R3128">
        <v>1027</v>
      </c>
      <c r="S3128">
        <v>0</v>
      </c>
    </row>
    <row r="3129" spans="11:19" x14ac:dyDescent="0.3">
      <c r="K3129" s="16">
        <f t="shared" si="48"/>
        <v>44146</v>
      </c>
      <c r="L3129" s="17">
        <v>0.29166666666666669</v>
      </c>
      <c r="M3129" s="14">
        <v>321</v>
      </c>
      <c r="N3129" s="14">
        <v>1487</v>
      </c>
      <c r="O3129" s="14">
        <v>0</v>
      </c>
      <c r="P3129" s="14">
        <v>1808</v>
      </c>
      <c r="Q3129">
        <v>11178</v>
      </c>
      <c r="R3129">
        <v>955</v>
      </c>
      <c r="S3129">
        <v>9</v>
      </c>
    </row>
    <row r="3130" spans="11:19" x14ac:dyDescent="0.3">
      <c r="K3130" s="16">
        <f t="shared" si="48"/>
        <v>44146</v>
      </c>
      <c r="L3130" s="17">
        <v>0.33333333333333331</v>
      </c>
      <c r="M3130" s="14">
        <v>321</v>
      </c>
      <c r="N3130" s="14">
        <v>1677</v>
      </c>
      <c r="O3130" s="14">
        <v>0</v>
      </c>
      <c r="P3130" s="14">
        <v>1998</v>
      </c>
      <c r="Q3130">
        <v>11321</v>
      </c>
      <c r="R3130">
        <v>809</v>
      </c>
      <c r="S3130">
        <v>132</v>
      </c>
    </row>
    <row r="3131" spans="11:19" x14ac:dyDescent="0.3">
      <c r="K3131" s="16">
        <f t="shared" si="48"/>
        <v>44146</v>
      </c>
      <c r="L3131" s="17">
        <v>0.375</v>
      </c>
      <c r="M3131" s="14">
        <v>321</v>
      </c>
      <c r="N3131" s="14">
        <v>1428</v>
      </c>
      <c r="O3131" s="14">
        <v>0</v>
      </c>
      <c r="P3131" s="14">
        <v>1749</v>
      </c>
      <c r="Q3131">
        <v>11356</v>
      </c>
      <c r="R3131">
        <v>732</v>
      </c>
      <c r="S3131">
        <v>468</v>
      </c>
    </row>
    <row r="3132" spans="11:19" x14ac:dyDescent="0.3">
      <c r="K3132" s="16">
        <f t="shared" si="48"/>
        <v>44146</v>
      </c>
      <c r="L3132" s="17">
        <v>0.41666666666666669</v>
      </c>
      <c r="M3132" s="14">
        <v>321</v>
      </c>
      <c r="N3132" s="14">
        <v>941</v>
      </c>
      <c r="O3132" s="14">
        <v>0</v>
      </c>
      <c r="P3132" s="14">
        <v>1262</v>
      </c>
      <c r="Q3132">
        <v>11304</v>
      </c>
      <c r="R3132">
        <v>865</v>
      </c>
      <c r="S3132">
        <v>772</v>
      </c>
    </row>
    <row r="3133" spans="11:19" x14ac:dyDescent="0.3">
      <c r="K3133" s="16">
        <f t="shared" si="48"/>
        <v>44146</v>
      </c>
      <c r="L3133" s="17">
        <v>0.45833333333333331</v>
      </c>
      <c r="M3133" s="14">
        <v>321</v>
      </c>
      <c r="N3133" s="14">
        <v>667</v>
      </c>
      <c r="O3133" s="14">
        <v>0</v>
      </c>
      <c r="P3133" s="14">
        <v>988</v>
      </c>
      <c r="Q3133">
        <v>11347</v>
      </c>
      <c r="R3133">
        <v>1025</v>
      </c>
      <c r="S3133">
        <v>929</v>
      </c>
    </row>
    <row r="3134" spans="11:19" x14ac:dyDescent="0.3">
      <c r="K3134" s="16">
        <f t="shared" si="48"/>
        <v>44146</v>
      </c>
      <c r="L3134" s="17">
        <v>0.5</v>
      </c>
      <c r="M3134" s="14">
        <v>321</v>
      </c>
      <c r="N3134" s="14">
        <v>481</v>
      </c>
      <c r="O3134" s="14">
        <v>0</v>
      </c>
      <c r="P3134" s="14">
        <v>802</v>
      </c>
      <c r="Q3134">
        <v>11320</v>
      </c>
      <c r="R3134">
        <v>1101</v>
      </c>
      <c r="S3134">
        <v>1012</v>
      </c>
    </row>
    <row r="3135" spans="11:19" x14ac:dyDescent="0.3">
      <c r="K3135" s="16">
        <f t="shared" si="48"/>
        <v>44146</v>
      </c>
      <c r="L3135" s="17">
        <v>0.54166666666666663</v>
      </c>
      <c r="M3135" s="14">
        <v>321</v>
      </c>
      <c r="N3135" s="14">
        <v>370</v>
      </c>
      <c r="O3135" s="14">
        <v>0</v>
      </c>
      <c r="P3135" s="14">
        <v>691</v>
      </c>
      <c r="Q3135">
        <v>11073</v>
      </c>
      <c r="R3135">
        <v>971</v>
      </c>
      <c r="S3135">
        <v>1007</v>
      </c>
    </row>
    <row r="3136" spans="11:19" x14ac:dyDescent="0.3">
      <c r="K3136" s="16">
        <f t="shared" si="48"/>
        <v>44146</v>
      </c>
      <c r="L3136" s="17">
        <v>0.58333333333333337</v>
      </c>
      <c r="M3136" s="14">
        <v>321</v>
      </c>
      <c r="N3136" s="14">
        <v>374</v>
      </c>
      <c r="O3136" s="14">
        <v>0</v>
      </c>
      <c r="P3136" s="14">
        <v>695</v>
      </c>
      <c r="Q3136">
        <v>10899</v>
      </c>
      <c r="R3136">
        <v>942</v>
      </c>
      <c r="S3136">
        <v>856</v>
      </c>
    </row>
    <row r="3137" spans="11:19" x14ac:dyDescent="0.3">
      <c r="K3137" s="16">
        <f t="shared" si="48"/>
        <v>44146</v>
      </c>
      <c r="L3137" s="17">
        <v>0.625</v>
      </c>
      <c r="M3137" s="14">
        <v>321</v>
      </c>
      <c r="N3137" s="14">
        <v>635</v>
      </c>
      <c r="O3137" s="14">
        <v>0</v>
      </c>
      <c r="P3137" s="14">
        <v>956</v>
      </c>
      <c r="Q3137">
        <v>10707</v>
      </c>
      <c r="R3137">
        <v>776</v>
      </c>
      <c r="S3137">
        <v>568</v>
      </c>
    </row>
    <row r="3138" spans="11:19" x14ac:dyDescent="0.3">
      <c r="K3138" s="16">
        <f t="shared" si="48"/>
        <v>44146</v>
      </c>
      <c r="L3138" s="17">
        <v>0.66666666666666663</v>
      </c>
      <c r="M3138" s="14">
        <v>321</v>
      </c>
      <c r="N3138" s="14">
        <v>966</v>
      </c>
      <c r="O3138" s="14">
        <v>0</v>
      </c>
      <c r="P3138" s="14">
        <v>1287</v>
      </c>
      <c r="Q3138">
        <v>10707</v>
      </c>
      <c r="R3138">
        <v>832</v>
      </c>
      <c r="S3138">
        <v>179</v>
      </c>
    </row>
    <row r="3139" spans="11:19" x14ac:dyDescent="0.3">
      <c r="K3139" s="16">
        <f t="shared" si="48"/>
        <v>44146</v>
      </c>
      <c r="L3139" s="17">
        <v>0.70833333333333337</v>
      </c>
      <c r="M3139" s="14">
        <v>321</v>
      </c>
      <c r="N3139" s="14">
        <v>1569</v>
      </c>
      <c r="O3139" s="14">
        <v>0</v>
      </c>
      <c r="P3139" s="14">
        <v>1890</v>
      </c>
      <c r="Q3139">
        <v>11190</v>
      </c>
      <c r="R3139">
        <v>870</v>
      </c>
      <c r="S3139">
        <v>19</v>
      </c>
    </row>
    <row r="3140" spans="11:19" x14ac:dyDescent="0.3">
      <c r="K3140" s="16">
        <f t="shared" si="48"/>
        <v>44146</v>
      </c>
      <c r="L3140" s="17">
        <v>0.75</v>
      </c>
      <c r="M3140" s="14">
        <v>321</v>
      </c>
      <c r="N3140" s="14">
        <v>1677</v>
      </c>
      <c r="O3140" s="14">
        <v>0</v>
      </c>
      <c r="P3140" s="14">
        <v>1998</v>
      </c>
      <c r="Q3140">
        <v>11919</v>
      </c>
      <c r="R3140">
        <v>960</v>
      </c>
      <c r="S3140">
        <v>0</v>
      </c>
    </row>
    <row r="3141" spans="11:19" x14ac:dyDescent="0.3">
      <c r="K3141" s="16">
        <f t="shared" si="48"/>
        <v>44146</v>
      </c>
      <c r="L3141" s="17">
        <v>0.79166666666666663</v>
      </c>
      <c r="M3141" s="14">
        <v>321</v>
      </c>
      <c r="N3141" s="14">
        <v>1677</v>
      </c>
      <c r="O3141" s="14">
        <v>0</v>
      </c>
      <c r="P3141" s="14">
        <v>1998</v>
      </c>
      <c r="Q3141">
        <v>11735</v>
      </c>
      <c r="R3141">
        <v>880</v>
      </c>
      <c r="S3141">
        <v>0</v>
      </c>
    </row>
    <row r="3142" spans="11:19" x14ac:dyDescent="0.3">
      <c r="K3142" s="16">
        <f t="shared" si="48"/>
        <v>44146</v>
      </c>
      <c r="L3142" s="17">
        <v>0.83333333333333337</v>
      </c>
      <c r="M3142" s="14">
        <v>321</v>
      </c>
      <c r="N3142" s="14">
        <v>1048</v>
      </c>
      <c r="O3142" s="14">
        <v>0</v>
      </c>
      <c r="P3142" s="14">
        <v>1369</v>
      </c>
      <c r="Q3142">
        <v>10794</v>
      </c>
      <c r="R3142">
        <v>1021</v>
      </c>
      <c r="S3142">
        <v>0</v>
      </c>
    </row>
    <row r="3143" spans="11:19" x14ac:dyDescent="0.3">
      <c r="K3143" s="16">
        <f t="shared" si="48"/>
        <v>44146</v>
      </c>
      <c r="L3143" s="17">
        <v>0.875</v>
      </c>
      <c r="M3143" s="14">
        <v>321</v>
      </c>
      <c r="N3143" s="14">
        <v>268</v>
      </c>
      <c r="O3143" s="14">
        <v>0</v>
      </c>
      <c r="P3143" s="14">
        <v>589</v>
      </c>
      <c r="Q3143">
        <v>10055</v>
      </c>
      <c r="R3143">
        <v>1067</v>
      </c>
      <c r="S3143">
        <v>0</v>
      </c>
    </row>
    <row r="3144" spans="11:19" x14ac:dyDescent="0.3">
      <c r="K3144" s="16">
        <f t="shared" si="48"/>
        <v>44146</v>
      </c>
      <c r="L3144" s="17">
        <v>0.91666666666666663</v>
      </c>
      <c r="M3144" s="14">
        <v>321</v>
      </c>
      <c r="N3144" s="14">
        <v>221</v>
      </c>
      <c r="O3144" s="14">
        <v>0</v>
      </c>
      <c r="P3144" s="14">
        <v>542</v>
      </c>
      <c r="Q3144">
        <v>10187</v>
      </c>
      <c r="R3144">
        <v>1252</v>
      </c>
      <c r="S3144">
        <v>0</v>
      </c>
    </row>
    <row r="3145" spans="11:19" x14ac:dyDescent="0.3">
      <c r="K3145" s="16">
        <f t="shared" si="48"/>
        <v>44146</v>
      </c>
      <c r="L3145" s="17">
        <v>0.95833333333333337</v>
      </c>
      <c r="M3145" s="14">
        <v>321</v>
      </c>
      <c r="N3145" s="14">
        <v>288</v>
      </c>
      <c r="O3145" s="14">
        <v>0</v>
      </c>
      <c r="P3145" s="14">
        <v>609</v>
      </c>
      <c r="Q3145">
        <v>10284</v>
      </c>
      <c r="R3145">
        <v>1286</v>
      </c>
      <c r="S3145">
        <v>0</v>
      </c>
    </row>
    <row r="3146" spans="11:19" x14ac:dyDescent="0.3">
      <c r="K3146" s="16">
        <f t="shared" si="48"/>
        <v>44147</v>
      </c>
      <c r="L3146" s="17">
        <v>0</v>
      </c>
      <c r="M3146" s="14">
        <v>321</v>
      </c>
      <c r="N3146" s="14">
        <v>0</v>
      </c>
      <c r="O3146" s="14">
        <v>0</v>
      </c>
      <c r="P3146" s="14">
        <v>321</v>
      </c>
      <c r="Q3146">
        <v>9641</v>
      </c>
      <c r="R3146">
        <v>1228</v>
      </c>
      <c r="S3146">
        <v>0</v>
      </c>
    </row>
    <row r="3147" spans="11:19" x14ac:dyDescent="0.3">
      <c r="K3147" s="16">
        <f t="shared" si="48"/>
        <v>44147</v>
      </c>
      <c r="L3147" s="17">
        <v>4.1666666666666664E-2</v>
      </c>
      <c r="M3147" s="14">
        <v>321</v>
      </c>
      <c r="N3147" s="14">
        <v>0</v>
      </c>
      <c r="O3147" s="14">
        <v>0</v>
      </c>
      <c r="P3147" s="14">
        <v>321</v>
      </c>
      <c r="Q3147">
        <v>9263</v>
      </c>
      <c r="R3147">
        <v>1156</v>
      </c>
      <c r="S3147">
        <v>0</v>
      </c>
    </row>
    <row r="3148" spans="11:19" x14ac:dyDescent="0.3">
      <c r="K3148" s="16">
        <f t="shared" si="48"/>
        <v>44147</v>
      </c>
      <c r="L3148" s="17">
        <v>8.3333333333333329E-2</v>
      </c>
      <c r="M3148" s="14">
        <v>321</v>
      </c>
      <c r="N3148" s="14">
        <v>1496</v>
      </c>
      <c r="O3148" s="14">
        <v>0</v>
      </c>
      <c r="P3148" s="14">
        <v>1817</v>
      </c>
      <c r="Q3148">
        <v>8951</v>
      </c>
      <c r="R3148">
        <v>1167</v>
      </c>
      <c r="S3148">
        <v>0</v>
      </c>
    </row>
    <row r="3149" spans="11:19" x14ac:dyDescent="0.3">
      <c r="K3149" s="16">
        <f t="shared" si="48"/>
        <v>44147</v>
      </c>
      <c r="L3149" s="17">
        <v>0.125</v>
      </c>
      <c r="M3149" s="14">
        <v>321</v>
      </c>
      <c r="N3149" s="14">
        <v>0</v>
      </c>
      <c r="O3149" s="14">
        <v>0</v>
      </c>
      <c r="P3149" s="14">
        <v>321</v>
      </c>
      <c r="Q3149">
        <v>8566</v>
      </c>
      <c r="R3149">
        <v>1025</v>
      </c>
      <c r="S3149">
        <v>0</v>
      </c>
    </row>
    <row r="3150" spans="11:19" x14ac:dyDescent="0.3">
      <c r="K3150" s="16">
        <f t="shared" si="48"/>
        <v>44147</v>
      </c>
      <c r="L3150" s="17">
        <v>0.16666666666666666</v>
      </c>
      <c r="M3150" s="14">
        <v>321</v>
      </c>
      <c r="N3150" s="14">
        <v>0</v>
      </c>
      <c r="O3150" s="14">
        <v>0</v>
      </c>
      <c r="P3150" s="14">
        <v>321</v>
      </c>
      <c r="Q3150">
        <v>8529</v>
      </c>
      <c r="R3150">
        <v>942</v>
      </c>
      <c r="S3150">
        <v>0</v>
      </c>
    </row>
    <row r="3151" spans="11:19" x14ac:dyDescent="0.3">
      <c r="K3151" s="16">
        <f t="shared" si="48"/>
        <v>44147</v>
      </c>
      <c r="L3151" s="17">
        <v>0.20833333333333334</v>
      </c>
      <c r="M3151" s="14">
        <v>321</v>
      </c>
      <c r="N3151" s="14">
        <v>0</v>
      </c>
      <c r="O3151" s="14">
        <v>0</v>
      </c>
      <c r="P3151" s="14">
        <v>321</v>
      </c>
      <c r="Q3151">
        <v>9049</v>
      </c>
      <c r="R3151">
        <v>1072</v>
      </c>
      <c r="S3151">
        <v>0</v>
      </c>
    </row>
    <row r="3152" spans="11:19" x14ac:dyDescent="0.3">
      <c r="K3152" s="16">
        <f t="shared" si="48"/>
        <v>44147</v>
      </c>
      <c r="L3152" s="17">
        <v>0.25</v>
      </c>
      <c r="M3152" s="14">
        <v>321</v>
      </c>
      <c r="N3152" s="14">
        <v>514</v>
      </c>
      <c r="O3152" s="14">
        <v>0</v>
      </c>
      <c r="P3152" s="14">
        <v>835</v>
      </c>
      <c r="Q3152">
        <v>10202</v>
      </c>
      <c r="R3152">
        <v>981</v>
      </c>
      <c r="S3152">
        <v>0</v>
      </c>
    </row>
    <row r="3153" spans="11:19" x14ac:dyDescent="0.3">
      <c r="K3153" s="16">
        <f t="shared" si="48"/>
        <v>44147</v>
      </c>
      <c r="L3153" s="17">
        <v>0.29166666666666669</v>
      </c>
      <c r="M3153" s="14">
        <v>321</v>
      </c>
      <c r="N3153" s="14">
        <v>1381</v>
      </c>
      <c r="O3153" s="14">
        <v>0</v>
      </c>
      <c r="P3153" s="14">
        <v>1702</v>
      </c>
      <c r="Q3153">
        <v>11027</v>
      </c>
      <c r="R3153">
        <v>909</v>
      </c>
      <c r="S3153">
        <v>11</v>
      </c>
    </row>
    <row r="3154" spans="11:19" x14ac:dyDescent="0.3">
      <c r="K3154" s="16">
        <f t="shared" si="48"/>
        <v>44147</v>
      </c>
      <c r="L3154" s="17">
        <v>0.33333333333333331</v>
      </c>
      <c r="M3154" s="14">
        <v>321</v>
      </c>
      <c r="N3154" s="14">
        <v>1327</v>
      </c>
      <c r="O3154" s="14">
        <v>0</v>
      </c>
      <c r="P3154" s="14">
        <v>1648</v>
      </c>
      <c r="Q3154">
        <v>11201</v>
      </c>
      <c r="R3154">
        <v>975</v>
      </c>
      <c r="S3154">
        <v>171</v>
      </c>
    </row>
    <row r="3155" spans="11:19" x14ac:dyDescent="0.3">
      <c r="K3155" s="16">
        <f t="shared" si="48"/>
        <v>44147</v>
      </c>
      <c r="L3155" s="17">
        <v>0.375</v>
      </c>
      <c r="M3155" s="14">
        <v>321</v>
      </c>
      <c r="N3155" s="14">
        <v>946</v>
      </c>
      <c r="O3155" s="14">
        <v>0</v>
      </c>
      <c r="P3155" s="14">
        <v>1267</v>
      </c>
      <c r="Q3155">
        <v>11264</v>
      </c>
      <c r="R3155">
        <v>973</v>
      </c>
      <c r="S3155">
        <v>619</v>
      </c>
    </row>
    <row r="3156" spans="11:19" x14ac:dyDescent="0.3">
      <c r="K3156" s="16">
        <f t="shared" si="48"/>
        <v>44147</v>
      </c>
      <c r="L3156" s="17">
        <v>0.41666666666666669</v>
      </c>
      <c r="M3156" s="14">
        <v>321</v>
      </c>
      <c r="N3156" s="14">
        <v>509</v>
      </c>
      <c r="O3156" s="14">
        <v>0</v>
      </c>
      <c r="P3156" s="14">
        <v>830</v>
      </c>
      <c r="Q3156">
        <v>11214</v>
      </c>
      <c r="R3156">
        <v>932</v>
      </c>
      <c r="S3156">
        <v>1049</v>
      </c>
    </row>
    <row r="3157" spans="11:19" x14ac:dyDescent="0.3">
      <c r="K3157" s="16">
        <f t="shared" si="48"/>
        <v>44147</v>
      </c>
      <c r="L3157" s="17">
        <v>0.45833333333333331</v>
      </c>
      <c r="M3157" s="14">
        <v>321</v>
      </c>
      <c r="N3157" s="14">
        <v>196</v>
      </c>
      <c r="O3157" s="14">
        <v>0</v>
      </c>
      <c r="P3157" s="14">
        <v>517</v>
      </c>
      <c r="Q3157">
        <v>11257</v>
      </c>
      <c r="R3157">
        <v>1060</v>
      </c>
      <c r="S3157">
        <v>1277</v>
      </c>
    </row>
    <row r="3158" spans="11:19" x14ac:dyDescent="0.3">
      <c r="K3158" s="16">
        <f t="shared" si="48"/>
        <v>44147</v>
      </c>
      <c r="L3158" s="17">
        <v>0.5</v>
      </c>
      <c r="M3158" s="14">
        <v>321</v>
      </c>
      <c r="N3158" s="14">
        <v>227</v>
      </c>
      <c r="O3158" s="14">
        <v>0</v>
      </c>
      <c r="P3158" s="14">
        <v>548</v>
      </c>
      <c r="Q3158">
        <v>11239</v>
      </c>
      <c r="R3158">
        <v>911</v>
      </c>
      <c r="S3158">
        <v>1377</v>
      </c>
    </row>
    <row r="3159" spans="11:19" x14ac:dyDescent="0.3">
      <c r="K3159" s="16">
        <f t="shared" si="48"/>
        <v>44147</v>
      </c>
      <c r="L3159" s="17">
        <v>0.54166666666666663</v>
      </c>
      <c r="M3159" s="14">
        <v>321</v>
      </c>
      <c r="N3159" s="14">
        <v>75</v>
      </c>
      <c r="O3159" s="14">
        <v>0</v>
      </c>
      <c r="P3159" s="14">
        <v>396</v>
      </c>
      <c r="Q3159">
        <v>10971</v>
      </c>
      <c r="R3159">
        <v>854</v>
      </c>
      <c r="S3159">
        <v>1318</v>
      </c>
    </row>
    <row r="3160" spans="11:19" x14ac:dyDescent="0.3">
      <c r="K3160" s="16">
        <f t="shared" si="48"/>
        <v>44147</v>
      </c>
      <c r="L3160" s="17">
        <v>0.58333333333333337</v>
      </c>
      <c r="M3160" s="14">
        <v>321</v>
      </c>
      <c r="N3160" s="14">
        <v>0</v>
      </c>
      <c r="O3160" s="14">
        <v>0</v>
      </c>
      <c r="P3160" s="14">
        <v>321</v>
      </c>
      <c r="Q3160">
        <v>10765</v>
      </c>
      <c r="R3160">
        <v>1001</v>
      </c>
      <c r="S3160">
        <v>1072</v>
      </c>
    </row>
    <row r="3161" spans="11:19" x14ac:dyDescent="0.3">
      <c r="K3161" s="16">
        <f t="shared" si="48"/>
        <v>44147</v>
      </c>
      <c r="L3161" s="17">
        <v>0.625</v>
      </c>
      <c r="M3161" s="14">
        <v>321</v>
      </c>
      <c r="N3161" s="14">
        <v>58</v>
      </c>
      <c r="O3161" s="14">
        <v>0</v>
      </c>
      <c r="P3161" s="14">
        <v>379</v>
      </c>
      <c r="Q3161">
        <v>10520</v>
      </c>
      <c r="R3161">
        <v>1040</v>
      </c>
      <c r="S3161">
        <v>696</v>
      </c>
    </row>
    <row r="3162" spans="11:19" x14ac:dyDescent="0.3">
      <c r="K3162" s="16">
        <f t="shared" si="48"/>
        <v>44147</v>
      </c>
      <c r="L3162" s="17">
        <v>0.66666666666666663</v>
      </c>
      <c r="M3162" s="14">
        <v>321</v>
      </c>
      <c r="N3162" s="14">
        <v>496</v>
      </c>
      <c r="O3162" s="14">
        <v>0</v>
      </c>
      <c r="P3162" s="14">
        <v>817</v>
      </c>
      <c r="Q3162">
        <v>10460</v>
      </c>
      <c r="R3162">
        <v>1021</v>
      </c>
      <c r="S3162">
        <v>215</v>
      </c>
    </row>
    <row r="3163" spans="11:19" x14ac:dyDescent="0.3">
      <c r="K3163" s="16">
        <f t="shared" ref="K3163:K3226" si="49">K3139+1</f>
        <v>44147</v>
      </c>
      <c r="L3163" s="17">
        <v>0.70833333333333337</v>
      </c>
      <c r="M3163" s="14">
        <v>321</v>
      </c>
      <c r="N3163" s="14">
        <v>1182</v>
      </c>
      <c r="O3163" s="14">
        <v>0</v>
      </c>
      <c r="P3163" s="14">
        <v>1503</v>
      </c>
      <c r="Q3163">
        <v>10924</v>
      </c>
      <c r="R3163">
        <v>989</v>
      </c>
      <c r="S3163">
        <v>23</v>
      </c>
    </row>
    <row r="3164" spans="11:19" x14ac:dyDescent="0.3">
      <c r="K3164" s="16">
        <f t="shared" si="49"/>
        <v>44147</v>
      </c>
      <c r="L3164" s="17">
        <v>0.75</v>
      </c>
      <c r="M3164" s="14">
        <v>321</v>
      </c>
      <c r="N3164" s="14">
        <v>1496</v>
      </c>
      <c r="O3164" s="14">
        <v>0</v>
      </c>
      <c r="P3164" s="14">
        <v>1817</v>
      </c>
      <c r="Q3164">
        <v>11652</v>
      </c>
      <c r="R3164">
        <v>1001</v>
      </c>
      <c r="S3164">
        <v>0</v>
      </c>
    </row>
    <row r="3165" spans="11:19" x14ac:dyDescent="0.3">
      <c r="K3165" s="16">
        <f t="shared" si="49"/>
        <v>44147</v>
      </c>
      <c r="L3165" s="17">
        <v>0.79166666666666663</v>
      </c>
      <c r="M3165" s="14">
        <v>321</v>
      </c>
      <c r="N3165" s="14">
        <v>1496</v>
      </c>
      <c r="O3165" s="14">
        <v>0</v>
      </c>
      <c r="P3165" s="14">
        <v>1817</v>
      </c>
      <c r="Q3165">
        <v>11407</v>
      </c>
      <c r="R3165">
        <v>1085</v>
      </c>
      <c r="S3165">
        <v>0</v>
      </c>
    </row>
    <row r="3166" spans="11:19" x14ac:dyDescent="0.3">
      <c r="K3166" s="16">
        <f t="shared" si="49"/>
        <v>44147</v>
      </c>
      <c r="L3166" s="17">
        <v>0.83333333333333337</v>
      </c>
      <c r="M3166" s="14">
        <v>321</v>
      </c>
      <c r="N3166" s="14">
        <v>820</v>
      </c>
      <c r="O3166" s="14">
        <v>0</v>
      </c>
      <c r="P3166" s="14">
        <v>1141</v>
      </c>
      <c r="Q3166">
        <v>10535</v>
      </c>
      <c r="R3166">
        <v>992</v>
      </c>
      <c r="S3166">
        <v>0</v>
      </c>
    </row>
    <row r="3167" spans="11:19" x14ac:dyDescent="0.3">
      <c r="K3167" s="16">
        <f t="shared" si="49"/>
        <v>44147</v>
      </c>
      <c r="L3167" s="17">
        <v>0.875</v>
      </c>
      <c r="M3167" s="14">
        <v>321</v>
      </c>
      <c r="N3167" s="14">
        <v>212</v>
      </c>
      <c r="O3167" s="14">
        <v>0</v>
      </c>
      <c r="P3167" s="14">
        <v>533</v>
      </c>
      <c r="Q3167">
        <v>9869</v>
      </c>
      <c r="R3167">
        <v>939</v>
      </c>
      <c r="S3167">
        <v>0</v>
      </c>
    </row>
    <row r="3168" spans="11:19" x14ac:dyDescent="0.3">
      <c r="K3168" s="16">
        <f t="shared" si="49"/>
        <v>44147</v>
      </c>
      <c r="L3168" s="17">
        <v>0.91666666666666663</v>
      </c>
      <c r="M3168" s="14">
        <v>321</v>
      </c>
      <c r="N3168" s="14">
        <v>452</v>
      </c>
      <c r="O3168" s="14">
        <v>0</v>
      </c>
      <c r="P3168" s="14">
        <v>773</v>
      </c>
      <c r="Q3168">
        <v>10004</v>
      </c>
      <c r="R3168">
        <v>840</v>
      </c>
      <c r="S3168">
        <v>0</v>
      </c>
    </row>
    <row r="3169" spans="11:19" x14ac:dyDescent="0.3">
      <c r="K3169" s="16">
        <f t="shared" si="49"/>
        <v>44147</v>
      </c>
      <c r="L3169" s="17">
        <v>0.95833333333333337</v>
      </c>
      <c r="M3169" s="14">
        <v>321</v>
      </c>
      <c r="N3169" s="14">
        <v>1496</v>
      </c>
      <c r="O3169" s="14">
        <v>0</v>
      </c>
      <c r="P3169" s="14">
        <v>1817</v>
      </c>
      <c r="Q3169">
        <v>10105</v>
      </c>
      <c r="R3169">
        <v>931</v>
      </c>
      <c r="S3169">
        <v>0</v>
      </c>
    </row>
    <row r="3170" spans="11:19" x14ac:dyDescent="0.3">
      <c r="K3170" s="16">
        <f t="shared" si="49"/>
        <v>44148</v>
      </c>
      <c r="L3170" s="17">
        <v>0</v>
      </c>
      <c r="M3170" s="14">
        <v>321</v>
      </c>
      <c r="N3170" s="14">
        <v>0</v>
      </c>
      <c r="O3170" s="14">
        <v>0</v>
      </c>
      <c r="P3170" s="14">
        <v>321</v>
      </c>
      <c r="Q3170">
        <v>9459</v>
      </c>
      <c r="R3170">
        <v>849</v>
      </c>
      <c r="S3170">
        <v>0</v>
      </c>
    </row>
    <row r="3171" spans="11:19" x14ac:dyDescent="0.3">
      <c r="K3171" s="16">
        <f t="shared" si="49"/>
        <v>44148</v>
      </c>
      <c r="L3171" s="17">
        <v>4.1666666666666664E-2</v>
      </c>
      <c r="M3171" s="14">
        <v>321</v>
      </c>
      <c r="N3171" s="14">
        <v>0</v>
      </c>
      <c r="O3171" s="14">
        <v>0</v>
      </c>
      <c r="P3171" s="14">
        <v>321</v>
      </c>
      <c r="Q3171">
        <v>9035</v>
      </c>
      <c r="R3171">
        <v>859</v>
      </c>
      <c r="S3171">
        <v>0</v>
      </c>
    </row>
    <row r="3172" spans="11:19" x14ac:dyDescent="0.3">
      <c r="K3172" s="16">
        <f t="shared" si="49"/>
        <v>44148</v>
      </c>
      <c r="L3172" s="17">
        <v>8.3333333333333329E-2</v>
      </c>
      <c r="M3172" s="14">
        <v>321</v>
      </c>
      <c r="N3172" s="14">
        <v>0</v>
      </c>
      <c r="O3172" s="14">
        <v>0</v>
      </c>
      <c r="P3172" s="14">
        <v>321</v>
      </c>
      <c r="Q3172">
        <v>8680</v>
      </c>
      <c r="R3172">
        <v>851</v>
      </c>
      <c r="S3172">
        <v>0</v>
      </c>
    </row>
    <row r="3173" spans="11:19" x14ac:dyDescent="0.3">
      <c r="K3173" s="16">
        <f t="shared" si="49"/>
        <v>44148</v>
      </c>
      <c r="L3173" s="17">
        <v>0.125</v>
      </c>
      <c r="M3173" s="14">
        <v>321</v>
      </c>
      <c r="N3173" s="14">
        <v>481</v>
      </c>
      <c r="O3173" s="14">
        <v>0</v>
      </c>
      <c r="P3173" s="14">
        <v>802</v>
      </c>
      <c r="Q3173">
        <v>8228</v>
      </c>
      <c r="R3173">
        <v>758</v>
      </c>
      <c r="S3173">
        <v>0</v>
      </c>
    </row>
    <row r="3174" spans="11:19" x14ac:dyDescent="0.3">
      <c r="K3174" s="16">
        <f t="shared" si="49"/>
        <v>44148</v>
      </c>
      <c r="L3174" s="17">
        <v>0.16666666666666666</v>
      </c>
      <c r="M3174" s="14">
        <v>321</v>
      </c>
      <c r="N3174" s="14">
        <v>0</v>
      </c>
      <c r="O3174" s="14">
        <v>0</v>
      </c>
      <c r="P3174" s="14">
        <v>321</v>
      </c>
      <c r="Q3174">
        <v>8081</v>
      </c>
      <c r="R3174">
        <v>737</v>
      </c>
      <c r="S3174">
        <v>0</v>
      </c>
    </row>
    <row r="3175" spans="11:19" x14ac:dyDescent="0.3">
      <c r="K3175" s="16">
        <f t="shared" si="49"/>
        <v>44148</v>
      </c>
      <c r="L3175" s="17">
        <v>0.20833333333333334</v>
      </c>
      <c r="M3175" s="14">
        <v>321</v>
      </c>
      <c r="N3175" s="14">
        <v>0</v>
      </c>
      <c r="O3175" s="14">
        <v>0</v>
      </c>
      <c r="P3175" s="14">
        <v>321</v>
      </c>
      <c r="Q3175">
        <v>8294</v>
      </c>
      <c r="R3175">
        <v>783</v>
      </c>
      <c r="S3175">
        <v>0</v>
      </c>
    </row>
    <row r="3176" spans="11:19" x14ac:dyDescent="0.3">
      <c r="K3176" s="16">
        <f t="shared" si="49"/>
        <v>44148</v>
      </c>
      <c r="L3176" s="17">
        <v>0.25</v>
      </c>
      <c r="M3176" s="14">
        <v>321</v>
      </c>
      <c r="N3176" s="14">
        <v>0</v>
      </c>
      <c r="O3176" s="14">
        <v>0</v>
      </c>
      <c r="P3176" s="14">
        <v>321</v>
      </c>
      <c r="Q3176">
        <v>8802</v>
      </c>
      <c r="R3176">
        <v>777</v>
      </c>
      <c r="S3176">
        <v>0</v>
      </c>
    </row>
    <row r="3177" spans="11:19" x14ac:dyDescent="0.3">
      <c r="K3177" s="16">
        <f t="shared" si="49"/>
        <v>44148</v>
      </c>
      <c r="L3177" s="17">
        <v>0.29166666666666669</v>
      </c>
      <c r="M3177" s="14">
        <v>321</v>
      </c>
      <c r="N3177" s="14">
        <v>0</v>
      </c>
      <c r="O3177" s="14">
        <v>0</v>
      </c>
      <c r="P3177" s="14">
        <v>321</v>
      </c>
      <c r="Q3177">
        <v>9186</v>
      </c>
      <c r="R3177">
        <v>587</v>
      </c>
      <c r="S3177">
        <v>8</v>
      </c>
    </row>
    <row r="3178" spans="11:19" x14ac:dyDescent="0.3">
      <c r="K3178" s="16">
        <f t="shared" si="49"/>
        <v>44148</v>
      </c>
      <c r="L3178" s="17">
        <v>0.33333333333333331</v>
      </c>
      <c r="M3178" s="14">
        <v>321</v>
      </c>
      <c r="N3178" s="14">
        <v>92</v>
      </c>
      <c r="O3178" s="14">
        <v>0</v>
      </c>
      <c r="P3178" s="14">
        <v>413</v>
      </c>
      <c r="Q3178">
        <v>9590</v>
      </c>
      <c r="R3178">
        <v>635</v>
      </c>
      <c r="S3178">
        <v>135</v>
      </c>
    </row>
    <row r="3179" spans="11:19" x14ac:dyDescent="0.3">
      <c r="K3179" s="16">
        <f t="shared" si="49"/>
        <v>44148</v>
      </c>
      <c r="L3179" s="17">
        <v>0.375</v>
      </c>
      <c r="M3179" s="14">
        <v>321</v>
      </c>
      <c r="N3179" s="14">
        <v>0</v>
      </c>
      <c r="O3179" s="14">
        <v>0</v>
      </c>
      <c r="P3179" s="14">
        <v>321</v>
      </c>
      <c r="Q3179">
        <v>9931</v>
      </c>
      <c r="R3179">
        <v>743</v>
      </c>
      <c r="S3179">
        <v>523</v>
      </c>
    </row>
    <row r="3180" spans="11:19" x14ac:dyDescent="0.3">
      <c r="K3180" s="16">
        <f t="shared" si="49"/>
        <v>44148</v>
      </c>
      <c r="L3180" s="17">
        <v>0.41666666666666669</v>
      </c>
      <c r="M3180" s="14">
        <v>321</v>
      </c>
      <c r="N3180" s="14">
        <v>0</v>
      </c>
      <c r="O3180" s="14">
        <v>0</v>
      </c>
      <c r="P3180" s="14">
        <v>321</v>
      </c>
      <c r="Q3180">
        <v>9998</v>
      </c>
      <c r="R3180">
        <v>899</v>
      </c>
      <c r="S3180">
        <v>977</v>
      </c>
    </row>
    <row r="3181" spans="11:19" x14ac:dyDescent="0.3">
      <c r="K3181" s="16">
        <f t="shared" si="49"/>
        <v>44148</v>
      </c>
      <c r="L3181" s="17">
        <v>0.45833333333333331</v>
      </c>
      <c r="M3181" s="14">
        <v>321</v>
      </c>
      <c r="N3181" s="14">
        <v>0</v>
      </c>
      <c r="O3181" s="14">
        <v>0</v>
      </c>
      <c r="P3181" s="14">
        <v>321</v>
      </c>
      <c r="Q3181">
        <v>10078</v>
      </c>
      <c r="R3181">
        <v>779</v>
      </c>
      <c r="S3181">
        <v>1222</v>
      </c>
    </row>
    <row r="3182" spans="11:19" x14ac:dyDescent="0.3">
      <c r="K3182" s="16">
        <f t="shared" si="49"/>
        <v>44148</v>
      </c>
      <c r="L3182" s="17">
        <v>0.5</v>
      </c>
      <c r="M3182" s="14">
        <v>321</v>
      </c>
      <c r="N3182" s="14">
        <v>0</v>
      </c>
      <c r="O3182" s="14">
        <v>0</v>
      </c>
      <c r="P3182" s="14">
        <v>321</v>
      </c>
      <c r="Q3182">
        <v>10334</v>
      </c>
      <c r="R3182">
        <v>722</v>
      </c>
      <c r="S3182">
        <v>1340</v>
      </c>
    </row>
    <row r="3183" spans="11:19" x14ac:dyDescent="0.3">
      <c r="K3183" s="16">
        <f t="shared" si="49"/>
        <v>44148</v>
      </c>
      <c r="L3183" s="17">
        <v>0.54166666666666663</v>
      </c>
      <c r="M3183" s="14">
        <v>321</v>
      </c>
      <c r="N3183" s="14">
        <v>0</v>
      </c>
      <c r="O3183" s="14">
        <v>0</v>
      </c>
      <c r="P3183" s="14">
        <v>321</v>
      </c>
      <c r="Q3183">
        <v>9928</v>
      </c>
      <c r="R3183">
        <v>660</v>
      </c>
      <c r="S3183">
        <v>1285</v>
      </c>
    </row>
    <row r="3184" spans="11:19" x14ac:dyDescent="0.3">
      <c r="K3184" s="16">
        <f t="shared" si="49"/>
        <v>44148</v>
      </c>
      <c r="L3184" s="17">
        <v>0.58333333333333337</v>
      </c>
      <c r="M3184" s="14">
        <v>321</v>
      </c>
      <c r="N3184" s="14">
        <v>0</v>
      </c>
      <c r="O3184" s="14">
        <v>0</v>
      </c>
      <c r="P3184" s="14">
        <v>321</v>
      </c>
      <c r="Q3184">
        <v>9591</v>
      </c>
      <c r="R3184">
        <v>625</v>
      </c>
      <c r="S3184">
        <v>1013</v>
      </c>
    </row>
    <row r="3185" spans="11:19" x14ac:dyDescent="0.3">
      <c r="K3185" s="16">
        <f t="shared" si="49"/>
        <v>44148</v>
      </c>
      <c r="L3185" s="17">
        <v>0.625</v>
      </c>
      <c r="M3185" s="14">
        <v>321</v>
      </c>
      <c r="N3185" s="14">
        <v>0</v>
      </c>
      <c r="O3185" s="14">
        <v>0</v>
      </c>
      <c r="P3185" s="14">
        <v>321</v>
      </c>
      <c r="Q3185">
        <v>9282</v>
      </c>
      <c r="R3185">
        <v>687</v>
      </c>
      <c r="S3185">
        <v>577</v>
      </c>
    </row>
    <row r="3186" spans="11:19" x14ac:dyDescent="0.3">
      <c r="K3186" s="16">
        <f t="shared" si="49"/>
        <v>44148</v>
      </c>
      <c r="L3186" s="17">
        <v>0.66666666666666663</v>
      </c>
      <c r="M3186" s="14">
        <v>321</v>
      </c>
      <c r="N3186" s="14">
        <v>0</v>
      </c>
      <c r="O3186" s="14">
        <v>0</v>
      </c>
      <c r="P3186" s="14">
        <v>321</v>
      </c>
      <c r="Q3186">
        <v>9177</v>
      </c>
      <c r="R3186">
        <v>820</v>
      </c>
      <c r="S3186">
        <v>159</v>
      </c>
    </row>
    <row r="3187" spans="11:19" x14ac:dyDescent="0.3">
      <c r="K3187" s="16">
        <f t="shared" si="49"/>
        <v>44148</v>
      </c>
      <c r="L3187" s="17">
        <v>0.70833333333333337</v>
      </c>
      <c r="M3187" s="14">
        <v>321</v>
      </c>
      <c r="N3187" s="14">
        <v>0</v>
      </c>
      <c r="O3187" s="14">
        <v>0</v>
      </c>
      <c r="P3187" s="14">
        <v>321</v>
      </c>
      <c r="Q3187">
        <v>9729</v>
      </c>
      <c r="R3187">
        <v>984</v>
      </c>
      <c r="S3187">
        <v>17</v>
      </c>
    </row>
    <row r="3188" spans="11:19" x14ac:dyDescent="0.3">
      <c r="K3188" s="16">
        <f t="shared" si="49"/>
        <v>44148</v>
      </c>
      <c r="L3188" s="17">
        <v>0.75</v>
      </c>
      <c r="M3188" s="14">
        <v>321</v>
      </c>
      <c r="N3188" s="14">
        <v>499</v>
      </c>
      <c r="O3188" s="14">
        <v>0</v>
      </c>
      <c r="P3188" s="14">
        <v>820</v>
      </c>
      <c r="Q3188">
        <v>10277</v>
      </c>
      <c r="R3188">
        <v>1045</v>
      </c>
      <c r="S3188">
        <v>0</v>
      </c>
    </row>
    <row r="3189" spans="11:19" x14ac:dyDescent="0.3">
      <c r="K3189" s="16">
        <f t="shared" si="49"/>
        <v>44148</v>
      </c>
      <c r="L3189" s="17">
        <v>0.79166666666666663</v>
      </c>
      <c r="M3189" s="14">
        <v>321</v>
      </c>
      <c r="N3189" s="14">
        <v>425</v>
      </c>
      <c r="O3189" s="14">
        <v>0</v>
      </c>
      <c r="P3189" s="14">
        <v>746</v>
      </c>
      <c r="Q3189">
        <v>10133</v>
      </c>
      <c r="R3189">
        <v>979</v>
      </c>
      <c r="S3189">
        <v>0</v>
      </c>
    </row>
    <row r="3190" spans="11:19" x14ac:dyDescent="0.3">
      <c r="K3190" s="16">
        <f t="shared" si="49"/>
        <v>44148</v>
      </c>
      <c r="L3190" s="17">
        <v>0.83333333333333337</v>
      </c>
      <c r="M3190" s="14">
        <v>321</v>
      </c>
      <c r="N3190" s="14">
        <v>0</v>
      </c>
      <c r="O3190" s="14">
        <v>0</v>
      </c>
      <c r="P3190" s="14">
        <v>321</v>
      </c>
      <c r="Q3190">
        <v>9469</v>
      </c>
      <c r="R3190">
        <v>1045</v>
      </c>
      <c r="S3190">
        <v>0</v>
      </c>
    </row>
    <row r="3191" spans="11:19" x14ac:dyDescent="0.3">
      <c r="K3191" s="16">
        <f t="shared" si="49"/>
        <v>44148</v>
      </c>
      <c r="L3191" s="17">
        <v>0.875</v>
      </c>
      <c r="M3191" s="14">
        <v>321</v>
      </c>
      <c r="N3191" s="14">
        <v>0</v>
      </c>
      <c r="O3191" s="14">
        <v>0</v>
      </c>
      <c r="P3191" s="14">
        <v>321</v>
      </c>
      <c r="Q3191">
        <v>8967</v>
      </c>
      <c r="R3191">
        <v>1030</v>
      </c>
      <c r="S3191">
        <v>0</v>
      </c>
    </row>
    <row r="3192" spans="11:19" x14ac:dyDescent="0.3">
      <c r="K3192" s="16">
        <f t="shared" si="49"/>
        <v>44148</v>
      </c>
      <c r="L3192" s="17">
        <v>0.91666666666666663</v>
      </c>
      <c r="M3192" s="14">
        <v>321</v>
      </c>
      <c r="N3192" s="14">
        <v>0</v>
      </c>
      <c r="O3192" s="14">
        <v>0</v>
      </c>
      <c r="P3192" s="14">
        <v>321</v>
      </c>
      <c r="Q3192">
        <v>9330</v>
      </c>
      <c r="R3192">
        <v>884</v>
      </c>
      <c r="S3192">
        <v>0</v>
      </c>
    </row>
    <row r="3193" spans="11:19" x14ac:dyDescent="0.3">
      <c r="K3193" s="16">
        <f t="shared" si="49"/>
        <v>44148</v>
      </c>
      <c r="L3193" s="17">
        <v>0.95833333333333337</v>
      </c>
      <c r="M3193" s="14">
        <v>321</v>
      </c>
      <c r="N3193" s="14">
        <v>16</v>
      </c>
      <c r="O3193" s="14">
        <v>0</v>
      </c>
      <c r="P3193" s="14">
        <v>337</v>
      </c>
      <c r="Q3193">
        <v>9662</v>
      </c>
      <c r="R3193">
        <v>937</v>
      </c>
      <c r="S3193">
        <v>0</v>
      </c>
    </row>
    <row r="3194" spans="11:19" x14ac:dyDescent="0.3">
      <c r="K3194" s="16">
        <f t="shared" si="49"/>
        <v>44149</v>
      </c>
      <c r="L3194" s="17">
        <v>0</v>
      </c>
      <c r="M3194" s="14">
        <v>321</v>
      </c>
      <c r="N3194" s="14">
        <v>0</v>
      </c>
      <c r="O3194" s="14">
        <v>0</v>
      </c>
      <c r="P3194" s="14">
        <v>321</v>
      </c>
      <c r="Q3194">
        <v>9185</v>
      </c>
      <c r="R3194">
        <v>892</v>
      </c>
      <c r="S3194">
        <v>0</v>
      </c>
    </row>
    <row r="3195" spans="11:19" x14ac:dyDescent="0.3">
      <c r="K3195" s="16">
        <f t="shared" si="49"/>
        <v>44149</v>
      </c>
      <c r="L3195" s="17">
        <v>4.1666666666666664E-2</v>
      </c>
      <c r="M3195" s="14">
        <v>321</v>
      </c>
      <c r="N3195" s="14">
        <v>0</v>
      </c>
      <c r="O3195" s="14">
        <v>0</v>
      </c>
      <c r="P3195" s="14">
        <v>321</v>
      </c>
      <c r="Q3195">
        <v>8801</v>
      </c>
      <c r="R3195">
        <v>900</v>
      </c>
      <c r="S3195">
        <v>0</v>
      </c>
    </row>
    <row r="3196" spans="11:19" x14ac:dyDescent="0.3">
      <c r="K3196" s="16">
        <f t="shared" si="49"/>
        <v>44149</v>
      </c>
      <c r="L3196" s="17">
        <v>8.3333333333333329E-2</v>
      </c>
      <c r="M3196" s="14">
        <v>321</v>
      </c>
      <c r="N3196" s="14">
        <v>0</v>
      </c>
      <c r="O3196" s="14">
        <v>0</v>
      </c>
      <c r="P3196" s="14">
        <v>321</v>
      </c>
      <c r="Q3196">
        <v>8446</v>
      </c>
      <c r="R3196">
        <v>887</v>
      </c>
      <c r="S3196">
        <v>0</v>
      </c>
    </row>
    <row r="3197" spans="11:19" x14ac:dyDescent="0.3">
      <c r="K3197" s="16">
        <f t="shared" si="49"/>
        <v>44149</v>
      </c>
      <c r="L3197" s="17">
        <v>0.125</v>
      </c>
      <c r="M3197" s="14">
        <v>321</v>
      </c>
      <c r="N3197" s="14">
        <v>0</v>
      </c>
      <c r="O3197" s="14">
        <v>0</v>
      </c>
      <c r="P3197" s="14">
        <v>321</v>
      </c>
      <c r="Q3197">
        <v>7965</v>
      </c>
      <c r="R3197">
        <v>932</v>
      </c>
      <c r="S3197">
        <v>0</v>
      </c>
    </row>
    <row r="3198" spans="11:19" x14ac:dyDescent="0.3">
      <c r="K3198" s="16">
        <f t="shared" si="49"/>
        <v>44149</v>
      </c>
      <c r="L3198" s="17">
        <v>0.16666666666666666</v>
      </c>
      <c r="M3198" s="14">
        <v>321</v>
      </c>
      <c r="N3198" s="14">
        <v>0</v>
      </c>
      <c r="O3198" s="14">
        <v>0</v>
      </c>
      <c r="P3198" s="14">
        <v>321</v>
      </c>
      <c r="Q3198">
        <v>7764</v>
      </c>
      <c r="R3198">
        <v>939</v>
      </c>
      <c r="S3198">
        <v>0</v>
      </c>
    </row>
    <row r="3199" spans="11:19" x14ac:dyDescent="0.3">
      <c r="K3199" s="16">
        <f t="shared" si="49"/>
        <v>44149</v>
      </c>
      <c r="L3199" s="17">
        <v>0.20833333333333334</v>
      </c>
      <c r="M3199" s="14">
        <v>321</v>
      </c>
      <c r="N3199" s="14">
        <v>0</v>
      </c>
      <c r="O3199" s="14">
        <v>0</v>
      </c>
      <c r="P3199" s="14">
        <v>321</v>
      </c>
      <c r="Q3199">
        <v>7841</v>
      </c>
      <c r="R3199">
        <v>729</v>
      </c>
      <c r="S3199">
        <v>0</v>
      </c>
    </row>
    <row r="3200" spans="11:19" x14ac:dyDescent="0.3">
      <c r="K3200" s="16">
        <f t="shared" si="49"/>
        <v>44149</v>
      </c>
      <c r="L3200" s="17">
        <v>0.25</v>
      </c>
      <c r="M3200" s="14">
        <v>321</v>
      </c>
      <c r="N3200" s="14">
        <v>0</v>
      </c>
      <c r="O3200" s="14">
        <v>0</v>
      </c>
      <c r="P3200" s="14">
        <v>321</v>
      </c>
      <c r="Q3200">
        <v>8084</v>
      </c>
      <c r="R3200">
        <v>658</v>
      </c>
      <c r="S3200">
        <v>0</v>
      </c>
    </row>
    <row r="3201" spans="11:19" x14ac:dyDescent="0.3">
      <c r="K3201" s="16">
        <f t="shared" si="49"/>
        <v>44149</v>
      </c>
      <c r="L3201" s="17">
        <v>0.29166666666666669</v>
      </c>
      <c r="M3201" s="14">
        <v>321</v>
      </c>
      <c r="N3201" s="14">
        <v>0</v>
      </c>
      <c r="O3201" s="14">
        <v>0</v>
      </c>
      <c r="P3201" s="14">
        <v>321</v>
      </c>
      <c r="Q3201">
        <v>8258</v>
      </c>
      <c r="R3201">
        <v>687</v>
      </c>
      <c r="S3201">
        <v>10</v>
      </c>
    </row>
    <row r="3202" spans="11:19" x14ac:dyDescent="0.3">
      <c r="K3202" s="16">
        <f t="shared" si="49"/>
        <v>44149</v>
      </c>
      <c r="L3202" s="17">
        <v>0.33333333333333331</v>
      </c>
      <c r="M3202" s="14">
        <v>321</v>
      </c>
      <c r="N3202" s="14">
        <v>0</v>
      </c>
      <c r="O3202" s="14">
        <v>0</v>
      </c>
      <c r="P3202" s="14">
        <v>321</v>
      </c>
      <c r="Q3202">
        <v>8669</v>
      </c>
      <c r="R3202">
        <v>536</v>
      </c>
      <c r="S3202">
        <v>157</v>
      </c>
    </row>
    <row r="3203" spans="11:19" x14ac:dyDescent="0.3">
      <c r="K3203" s="16">
        <f t="shared" si="49"/>
        <v>44149</v>
      </c>
      <c r="L3203" s="17">
        <v>0.375</v>
      </c>
      <c r="M3203" s="14">
        <v>321</v>
      </c>
      <c r="N3203" s="14">
        <v>0</v>
      </c>
      <c r="O3203" s="14">
        <v>0</v>
      </c>
      <c r="P3203" s="14">
        <v>321</v>
      </c>
      <c r="Q3203">
        <v>9149</v>
      </c>
      <c r="R3203">
        <v>581</v>
      </c>
      <c r="S3203">
        <v>583</v>
      </c>
    </row>
    <row r="3204" spans="11:19" x14ac:dyDescent="0.3">
      <c r="K3204" s="16">
        <f t="shared" si="49"/>
        <v>44149</v>
      </c>
      <c r="L3204" s="17">
        <v>0.41666666666666669</v>
      </c>
      <c r="M3204" s="14">
        <v>321</v>
      </c>
      <c r="N3204" s="14">
        <v>0</v>
      </c>
      <c r="O3204" s="14">
        <v>0</v>
      </c>
      <c r="P3204" s="14">
        <v>321</v>
      </c>
      <c r="Q3204">
        <v>9438</v>
      </c>
      <c r="R3204">
        <v>471</v>
      </c>
      <c r="S3204">
        <v>1032</v>
      </c>
    </row>
    <row r="3205" spans="11:19" x14ac:dyDescent="0.3">
      <c r="K3205" s="16">
        <f t="shared" si="49"/>
        <v>44149</v>
      </c>
      <c r="L3205" s="17">
        <v>0.45833333333333331</v>
      </c>
      <c r="M3205" s="14">
        <v>321</v>
      </c>
      <c r="N3205" s="14">
        <v>0</v>
      </c>
      <c r="O3205" s="14">
        <v>0</v>
      </c>
      <c r="P3205" s="14">
        <v>321</v>
      </c>
      <c r="Q3205">
        <v>9674</v>
      </c>
      <c r="R3205">
        <v>518</v>
      </c>
      <c r="S3205">
        <v>1308</v>
      </c>
    </row>
    <row r="3206" spans="11:19" x14ac:dyDescent="0.3">
      <c r="K3206" s="16">
        <f t="shared" si="49"/>
        <v>44149</v>
      </c>
      <c r="L3206" s="17">
        <v>0.5</v>
      </c>
      <c r="M3206" s="14">
        <v>321</v>
      </c>
      <c r="N3206" s="14">
        <v>0</v>
      </c>
      <c r="O3206" s="14">
        <v>0</v>
      </c>
      <c r="P3206" s="14">
        <v>321</v>
      </c>
      <c r="Q3206">
        <v>9969</v>
      </c>
      <c r="R3206">
        <v>629</v>
      </c>
      <c r="S3206">
        <v>1437</v>
      </c>
    </row>
    <row r="3207" spans="11:19" x14ac:dyDescent="0.3">
      <c r="K3207" s="16">
        <f t="shared" si="49"/>
        <v>44149</v>
      </c>
      <c r="L3207" s="17">
        <v>0.54166666666666663</v>
      </c>
      <c r="M3207" s="14">
        <v>321</v>
      </c>
      <c r="N3207" s="14">
        <v>0</v>
      </c>
      <c r="O3207" s="14">
        <v>0</v>
      </c>
      <c r="P3207" s="14">
        <v>321</v>
      </c>
      <c r="Q3207">
        <v>9476</v>
      </c>
      <c r="R3207">
        <v>575</v>
      </c>
      <c r="S3207">
        <v>1378</v>
      </c>
    </row>
    <row r="3208" spans="11:19" x14ac:dyDescent="0.3">
      <c r="K3208" s="16">
        <f t="shared" si="49"/>
        <v>44149</v>
      </c>
      <c r="L3208" s="17">
        <v>0.58333333333333337</v>
      </c>
      <c r="M3208" s="14">
        <v>321</v>
      </c>
      <c r="N3208" s="14">
        <v>0</v>
      </c>
      <c r="O3208" s="14">
        <v>0</v>
      </c>
      <c r="P3208" s="14">
        <v>321</v>
      </c>
      <c r="Q3208">
        <v>9047</v>
      </c>
      <c r="R3208">
        <v>699</v>
      </c>
      <c r="S3208">
        <v>1118</v>
      </c>
    </row>
    <row r="3209" spans="11:19" x14ac:dyDescent="0.3">
      <c r="K3209" s="16">
        <f t="shared" si="49"/>
        <v>44149</v>
      </c>
      <c r="L3209" s="17">
        <v>0.625</v>
      </c>
      <c r="M3209" s="14">
        <v>321</v>
      </c>
      <c r="N3209" s="14">
        <v>0</v>
      </c>
      <c r="O3209" s="14">
        <v>0</v>
      </c>
      <c r="P3209" s="14">
        <v>321</v>
      </c>
      <c r="Q3209">
        <v>8819</v>
      </c>
      <c r="R3209">
        <v>763</v>
      </c>
      <c r="S3209">
        <v>672</v>
      </c>
    </row>
    <row r="3210" spans="11:19" x14ac:dyDescent="0.3">
      <c r="K3210" s="16">
        <f t="shared" si="49"/>
        <v>44149</v>
      </c>
      <c r="L3210" s="17">
        <v>0.66666666666666663</v>
      </c>
      <c r="M3210" s="14">
        <v>321</v>
      </c>
      <c r="N3210" s="14">
        <v>0</v>
      </c>
      <c r="O3210" s="14">
        <v>0</v>
      </c>
      <c r="P3210" s="14">
        <v>321</v>
      </c>
      <c r="Q3210">
        <v>8824</v>
      </c>
      <c r="R3210">
        <v>816</v>
      </c>
      <c r="S3210">
        <v>195</v>
      </c>
    </row>
    <row r="3211" spans="11:19" x14ac:dyDescent="0.3">
      <c r="K3211" s="16">
        <f t="shared" si="49"/>
        <v>44149</v>
      </c>
      <c r="L3211" s="17">
        <v>0.70833333333333337</v>
      </c>
      <c r="M3211" s="14">
        <v>321</v>
      </c>
      <c r="N3211" s="14">
        <v>18</v>
      </c>
      <c r="O3211" s="14">
        <v>0</v>
      </c>
      <c r="P3211" s="14">
        <v>339</v>
      </c>
      <c r="Q3211">
        <v>9479</v>
      </c>
      <c r="R3211">
        <v>728</v>
      </c>
      <c r="S3211">
        <v>12</v>
      </c>
    </row>
    <row r="3212" spans="11:19" x14ac:dyDescent="0.3">
      <c r="K3212" s="16">
        <f t="shared" si="49"/>
        <v>44149</v>
      </c>
      <c r="L3212" s="17">
        <v>0.75</v>
      </c>
      <c r="M3212" s="14">
        <v>321</v>
      </c>
      <c r="N3212" s="14">
        <v>871</v>
      </c>
      <c r="O3212" s="14">
        <v>0</v>
      </c>
      <c r="P3212" s="14">
        <v>1192</v>
      </c>
      <c r="Q3212">
        <v>10212</v>
      </c>
      <c r="R3212">
        <v>617</v>
      </c>
      <c r="S3212">
        <v>0</v>
      </c>
    </row>
    <row r="3213" spans="11:19" x14ac:dyDescent="0.3">
      <c r="K3213" s="16">
        <f t="shared" si="49"/>
        <v>44149</v>
      </c>
      <c r="L3213" s="17">
        <v>0.79166666666666663</v>
      </c>
      <c r="M3213" s="14">
        <v>321</v>
      </c>
      <c r="N3213" s="14">
        <v>0</v>
      </c>
      <c r="O3213" s="14">
        <v>0</v>
      </c>
      <c r="P3213" s="14">
        <v>321</v>
      </c>
      <c r="Q3213">
        <v>10349</v>
      </c>
      <c r="R3213">
        <v>659</v>
      </c>
      <c r="S3213">
        <v>0</v>
      </c>
    </row>
    <row r="3214" spans="11:19" x14ac:dyDescent="0.3">
      <c r="K3214" s="16">
        <f t="shared" si="49"/>
        <v>44149</v>
      </c>
      <c r="L3214" s="17">
        <v>0.83333333333333337</v>
      </c>
      <c r="M3214" s="14">
        <v>321</v>
      </c>
      <c r="N3214" s="14">
        <v>367</v>
      </c>
      <c r="O3214" s="14">
        <v>0</v>
      </c>
      <c r="P3214" s="14">
        <v>688</v>
      </c>
      <c r="Q3214">
        <v>9866</v>
      </c>
      <c r="R3214">
        <v>787</v>
      </c>
      <c r="S3214">
        <v>0</v>
      </c>
    </row>
    <row r="3215" spans="11:19" x14ac:dyDescent="0.3">
      <c r="K3215" s="16">
        <f t="shared" si="49"/>
        <v>44149</v>
      </c>
      <c r="L3215" s="17">
        <v>0.875</v>
      </c>
      <c r="M3215" s="14">
        <v>321</v>
      </c>
      <c r="N3215" s="14">
        <v>0</v>
      </c>
      <c r="O3215" s="14">
        <v>0</v>
      </c>
      <c r="P3215" s="14">
        <v>321</v>
      </c>
      <c r="Q3215">
        <v>9338</v>
      </c>
      <c r="R3215">
        <v>665</v>
      </c>
      <c r="S3215">
        <v>0</v>
      </c>
    </row>
    <row r="3216" spans="11:19" x14ac:dyDescent="0.3">
      <c r="K3216" s="16">
        <f t="shared" si="49"/>
        <v>44149</v>
      </c>
      <c r="L3216" s="17">
        <v>0.91666666666666663</v>
      </c>
      <c r="M3216" s="14">
        <v>321</v>
      </c>
      <c r="N3216" s="14">
        <v>256</v>
      </c>
      <c r="O3216" s="14">
        <v>0</v>
      </c>
      <c r="P3216" s="14">
        <v>577</v>
      </c>
      <c r="Q3216">
        <v>9649</v>
      </c>
      <c r="R3216">
        <v>697</v>
      </c>
      <c r="S3216">
        <v>0</v>
      </c>
    </row>
    <row r="3217" spans="11:19" x14ac:dyDescent="0.3">
      <c r="K3217" s="16">
        <f t="shared" si="49"/>
        <v>44149</v>
      </c>
      <c r="L3217" s="17">
        <v>0.95833333333333337</v>
      </c>
      <c r="M3217" s="14">
        <v>321</v>
      </c>
      <c r="N3217" s="14">
        <v>0</v>
      </c>
      <c r="O3217" s="14">
        <v>0</v>
      </c>
      <c r="P3217" s="14">
        <v>321</v>
      </c>
      <c r="Q3217">
        <v>9949</v>
      </c>
      <c r="R3217">
        <v>662</v>
      </c>
      <c r="S3217">
        <v>0</v>
      </c>
    </row>
    <row r="3218" spans="11:19" x14ac:dyDescent="0.3">
      <c r="K3218" s="16">
        <f t="shared" si="49"/>
        <v>44150</v>
      </c>
      <c r="L3218" s="17">
        <v>0</v>
      </c>
      <c r="M3218" s="14">
        <v>321</v>
      </c>
      <c r="N3218" s="14">
        <v>0</v>
      </c>
      <c r="O3218" s="14">
        <v>0</v>
      </c>
      <c r="P3218" s="14">
        <v>321</v>
      </c>
      <c r="Q3218">
        <v>9721</v>
      </c>
      <c r="R3218">
        <v>708</v>
      </c>
      <c r="S3218">
        <v>0</v>
      </c>
    </row>
    <row r="3219" spans="11:19" x14ac:dyDescent="0.3">
      <c r="K3219" s="16">
        <f t="shared" si="49"/>
        <v>44150</v>
      </c>
      <c r="L3219" s="17">
        <v>4.1666666666666664E-2</v>
      </c>
      <c r="M3219" s="14">
        <v>321</v>
      </c>
      <c r="N3219" s="14">
        <v>0</v>
      </c>
      <c r="O3219" s="14">
        <v>0</v>
      </c>
      <c r="P3219" s="14">
        <v>321</v>
      </c>
      <c r="Q3219">
        <v>9330</v>
      </c>
      <c r="R3219">
        <v>797</v>
      </c>
      <c r="S3219">
        <v>0</v>
      </c>
    </row>
    <row r="3220" spans="11:19" x14ac:dyDescent="0.3">
      <c r="K3220" s="16">
        <f t="shared" si="49"/>
        <v>44150</v>
      </c>
      <c r="L3220" s="17">
        <v>8.3333333333333329E-2</v>
      </c>
      <c r="M3220" s="14">
        <v>321</v>
      </c>
      <c r="N3220" s="14">
        <v>0</v>
      </c>
      <c r="O3220" s="14">
        <v>0</v>
      </c>
      <c r="P3220" s="14">
        <v>321</v>
      </c>
      <c r="Q3220">
        <v>8966</v>
      </c>
      <c r="R3220">
        <v>847</v>
      </c>
      <c r="S3220">
        <v>0</v>
      </c>
    </row>
    <row r="3221" spans="11:19" x14ac:dyDescent="0.3">
      <c r="K3221" s="16">
        <f t="shared" si="49"/>
        <v>44150</v>
      </c>
      <c r="L3221" s="17">
        <v>0.125</v>
      </c>
      <c r="M3221" s="14">
        <v>321</v>
      </c>
      <c r="N3221" s="14">
        <v>0</v>
      </c>
      <c r="O3221" s="14">
        <v>0</v>
      </c>
      <c r="P3221" s="14">
        <v>321</v>
      </c>
      <c r="Q3221">
        <v>8465</v>
      </c>
      <c r="R3221">
        <v>865</v>
      </c>
      <c r="S3221">
        <v>0</v>
      </c>
    </row>
    <row r="3222" spans="11:19" x14ac:dyDescent="0.3">
      <c r="K3222" s="16">
        <f t="shared" si="49"/>
        <v>44150</v>
      </c>
      <c r="L3222" s="17">
        <v>0.16666666666666666</v>
      </c>
      <c r="M3222" s="14">
        <v>321</v>
      </c>
      <c r="N3222" s="14">
        <v>0</v>
      </c>
      <c r="O3222" s="14">
        <v>0</v>
      </c>
      <c r="P3222" s="14">
        <v>321</v>
      </c>
      <c r="Q3222">
        <v>8240</v>
      </c>
      <c r="R3222">
        <v>879</v>
      </c>
      <c r="S3222">
        <v>0</v>
      </c>
    </row>
    <row r="3223" spans="11:19" x14ac:dyDescent="0.3">
      <c r="K3223" s="16">
        <f t="shared" si="49"/>
        <v>44150</v>
      </c>
      <c r="L3223" s="17">
        <v>0.20833333333333334</v>
      </c>
      <c r="M3223" s="14">
        <v>321</v>
      </c>
      <c r="N3223" s="14">
        <v>0</v>
      </c>
      <c r="O3223" s="14">
        <v>0</v>
      </c>
      <c r="P3223" s="14">
        <v>321</v>
      </c>
      <c r="Q3223">
        <v>8298</v>
      </c>
      <c r="R3223">
        <v>931</v>
      </c>
      <c r="S3223">
        <v>0</v>
      </c>
    </row>
    <row r="3224" spans="11:19" x14ac:dyDescent="0.3">
      <c r="K3224" s="16">
        <f t="shared" si="49"/>
        <v>44150</v>
      </c>
      <c r="L3224" s="17">
        <v>0.25</v>
      </c>
      <c r="M3224" s="14">
        <v>321</v>
      </c>
      <c r="N3224" s="14">
        <v>0</v>
      </c>
      <c r="O3224" s="14">
        <v>0</v>
      </c>
      <c r="P3224" s="14">
        <v>321</v>
      </c>
      <c r="Q3224">
        <v>8499</v>
      </c>
      <c r="R3224">
        <v>941</v>
      </c>
      <c r="S3224">
        <v>0</v>
      </c>
    </row>
    <row r="3225" spans="11:19" x14ac:dyDescent="0.3">
      <c r="K3225" s="16">
        <f t="shared" si="49"/>
        <v>44150</v>
      </c>
      <c r="L3225" s="17">
        <v>0.29166666666666669</v>
      </c>
      <c r="M3225" s="14">
        <v>321</v>
      </c>
      <c r="N3225" s="14">
        <v>0</v>
      </c>
      <c r="O3225" s="14">
        <v>0</v>
      </c>
      <c r="P3225" s="14">
        <v>321</v>
      </c>
      <c r="Q3225">
        <v>8614</v>
      </c>
      <c r="R3225">
        <v>873</v>
      </c>
      <c r="S3225">
        <v>7</v>
      </c>
    </row>
    <row r="3226" spans="11:19" x14ac:dyDescent="0.3">
      <c r="K3226" s="16">
        <f t="shared" si="49"/>
        <v>44150</v>
      </c>
      <c r="L3226" s="17">
        <v>0.33333333333333331</v>
      </c>
      <c r="M3226" s="14">
        <v>321</v>
      </c>
      <c r="N3226" s="14">
        <v>0</v>
      </c>
      <c r="O3226" s="14">
        <v>0</v>
      </c>
      <c r="P3226" s="14">
        <v>321</v>
      </c>
      <c r="Q3226">
        <v>8966</v>
      </c>
      <c r="R3226">
        <v>904</v>
      </c>
      <c r="S3226">
        <v>115</v>
      </c>
    </row>
    <row r="3227" spans="11:19" x14ac:dyDescent="0.3">
      <c r="K3227" s="16">
        <f t="shared" ref="K3227:K3290" si="50">K3203+1</f>
        <v>44150</v>
      </c>
      <c r="L3227" s="17">
        <v>0.375</v>
      </c>
      <c r="M3227" s="14">
        <v>321</v>
      </c>
      <c r="N3227" s="14">
        <v>0</v>
      </c>
      <c r="O3227" s="14">
        <v>0</v>
      </c>
      <c r="P3227" s="14">
        <v>321</v>
      </c>
      <c r="Q3227">
        <v>9425</v>
      </c>
      <c r="R3227">
        <v>867</v>
      </c>
      <c r="S3227">
        <v>537</v>
      </c>
    </row>
    <row r="3228" spans="11:19" x14ac:dyDescent="0.3">
      <c r="K3228" s="16">
        <f t="shared" si="50"/>
        <v>44150</v>
      </c>
      <c r="L3228" s="17">
        <v>0.41666666666666669</v>
      </c>
      <c r="M3228" s="14">
        <v>321</v>
      </c>
      <c r="N3228" s="14">
        <v>0</v>
      </c>
      <c r="O3228" s="14">
        <v>0</v>
      </c>
      <c r="P3228" s="14">
        <v>321</v>
      </c>
      <c r="Q3228">
        <v>9717</v>
      </c>
      <c r="R3228">
        <v>858</v>
      </c>
      <c r="S3228">
        <v>967</v>
      </c>
    </row>
    <row r="3229" spans="11:19" x14ac:dyDescent="0.3">
      <c r="K3229" s="16">
        <f t="shared" si="50"/>
        <v>44150</v>
      </c>
      <c r="L3229" s="17">
        <v>0.45833333333333331</v>
      </c>
      <c r="M3229" s="14">
        <v>321</v>
      </c>
      <c r="N3229" s="14">
        <v>0</v>
      </c>
      <c r="O3229" s="14">
        <v>0</v>
      </c>
      <c r="P3229" s="14">
        <v>321</v>
      </c>
      <c r="Q3229">
        <v>9939</v>
      </c>
      <c r="R3229">
        <v>894</v>
      </c>
      <c r="S3229">
        <v>1307</v>
      </c>
    </row>
    <row r="3230" spans="11:19" x14ac:dyDescent="0.3">
      <c r="K3230" s="16">
        <f t="shared" si="50"/>
        <v>44150</v>
      </c>
      <c r="L3230" s="17">
        <v>0.5</v>
      </c>
      <c r="M3230" s="14">
        <v>321</v>
      </c>
      <c r="N3230" s="14">
        <v>0</v>
      </c>
      <c r="O3230" s="14">
        <v>0</v>
      </c>
      <c r="P3230" s="14">
        <v>321</v>
      </c>
      <c r="Q3230">
        <v>10225</v>
      </c>
      <c r="R3230">
        <v>1063</v>
      </c>
      <c r="S3230">
        <v>1439</v>
      </c>
    </row>
    <row r="3231" spans="11:19" x14ac:dyDescent="0.3">
      <c r="K3231" s="16">
        <f t="shared" si="50"/>
        <v>44150</v>
      </c>
      <c r="L3231" s="17">
        <v>0.54166666666666663</v>
      </c>
      <c r="M3231" s="14">
        <v>321</v>
      </c>
      <c r="N3231" s="14">
        <v>0</v>
      </c>
      <c r="O3231" s="14">
        <v>0</v>
      </c>
      <c r="P3231" s="14">
        <v>321</v>
      </c>
      <c r="Q3231">
        <v>9715</v>
      </c>
      <c r="R3231">
        <v>1070</v>
      </c>
      <c r="S3231">
        <v>1421</v>
      </c>
    </row>
    <row r="3232" spans="11:19" x14ac:dyDescent="0.3">
      <c r="K3232" s="16">
        <f t="shared" si="50"/>
        <v>44150</v>
      </c>
      <c r="L3232" s="17">
        <v>0.58333333333333337</v>
      </c>
      <c r="M3232" s="14">
        <v>321</v>
      </c>
      <c r="N3232" s="14">
        <v>0</v>
      </c>
      <c r="O3232" s="14">
        <v>0</v>
      </c>
      <c r="P3232" s="14">
        <v>321</v>
      </c>
      <c r="Q3232">
        <v>9264</v>
      </c>
      <c r="R3232">
        <v>1161</v>
      </c>
      <c r="S3232">
        <v>1144</v>
      </c>
    </row>
    <row r="3233" spans="11:19" x14ac:dyDescent="0.3">
      <c r="K3233" s="16">
        <f t="shared" si="50"/>
        <v>44150</v>
      </c>
      <c r="L3233" s="17">
        <v>0.625</v>
      </c>
      <c r="M3233" s="14">
        <v>321</v>
      </c>
      <c r="N3233" s="14">
        <v>0</v>
      </c>
      <c r="O3233" s="14">
        <v>0</v>
      </c>
      <c r="P3233" s="14">
        <v>321</v>
      </c>
      <c r="Q3233">
        <v>8991</v>
      </c>
      <c r="R3233">
        <v>1274</v>
      </c>
      <c r="S3233">
        <v>689</v>
      </c>
    </row>
    <row r="3234" spans="11:19" x14ac:dyDescent="0.3">
      <c r="K3234" s="16">
        <f t="shared" si="50"/>
        <v>44150</v>
      </c>
      <c r="L3234" s="17">
        <v>0.66666666666666663</v>
      </c>
      <c r="M3234" s="14">
        <v>321</v>
      </c>
      <c r="N3234" s="14">
        <v>0</v>
      </c>
      <c r="O3234" s="14">
        <v>0</v>
      </c>
      <c r="P3234" s="14">
        <v>321</v>
      </c>
      <c r="Q3234">
        <v>8943</v>
      </c>
      <c r="R3234">
        <v>1513</v>
      </c>
      <c r="S3234">
        <v>210</v>
      </c>
    </row>
    <row r="3235" spans="11:19" x14ac:dyDescent="0.3">
      <c r="K3235" s="16">
        <f t="shared" si="50"/>
        <v>44150</v>
      </c>
      <c r="L3235" s="17">
        <v>0.70833333333333337</v>
      </c>
      <c r="M3235" s="14">
        <v>321</v>
      </c>
      <c r="N3235" s="14">
        <v>0</v>
      </c>
      <c r="O3235" s="14">
        <v>0</v>
      </c>
      <c r="P3235" s="14">
        <v>321</v>
      </c>
      <c r="Q3235">
        <v>9547</v>
      </c>
      <c r="R3235">
        <v>1463</v>
      </c>
      <c r="S3235">
        <v>12</v>
      </c>
    </row>
    <row r="3236" spans="11:19" x14ac:dyDescent="0.3">
      <c r="K3236" s="16">
        <f t="shared" si="50"/>
        <v>44150</v>
      </c>
      <c r="L3236" s="17">
        <v>0.75</v>
      </c>
      <c r="M3236" s="14">
        <v>321</v>
      </c>
      <c r="N3236" s="14">
        <v>0</v>
      </c>
      <c r="O3236" s="14">
        <v>0</v>
      </c>
      <c r="P3236" s="14">
        <v>321</v>
      </c>
      <c r="Q3236">
        <v>10265</v>
      </c>
      <c r="R3236">
        <v>1412</v>
      </c>
      <c r="S3236">
        <v>0</v>
      </c>
    </row>
    <row r="3237" spans="11:19" x14ac:dyDescent="0.3">
      <c r="K3237" s="16">
        <f t="shared" si="50"/>
        <v>44150</v>
      </c>
      <c r="L3237" s="17">
        <v>0.79166666666666663</v>
      </c>
      <c r="M3237" s="14">
        <v>321</v>
      </c>
      <c r="N3237" s="14">
        <v>497</v>
      </c>
      <c r="O3237" s="14">
        <v>0</v>
      </c>
      <c r="P3237" s="14">
        <v>818</v>
      </c>
      <c r="Q3237">
        <v>10409</v>
      </c>
      <c r="R3237">
        <v>1192</v>
      </c>
      <c r="S3237">
        <v>0</v>
      </c>
    </row>
    <row r="3238" spans="11:19" x14ac:dyDescent="0.3">
      <c r="K3238" s="16">
        <f t="shared" si="50"/>
        <v>44150</v>
      </c>
      <c r="L3238" s="17">
        <v>0.83333333333333337</v>
      </c>
      <c r="M3238" s="14">
        <v>321</v>
      </c>
      <c r="N3238" s="14">
        <v>0</v>
      </c>
      <c r="O3238" s="14">
        <v>0</v>
      </c>
      <c r="P3238" s="14">
        <v>321</v>
      </c>
      <c r="Q3238">
        <v>9941</v>
      </c>
      <c r="R3238">
        <v>1215</v>
      </c>
      <c r="S3238">
        <v>0</v>
      </c>
    </row>
    <row r="3239" spans="11:19" x14ac:dyDescent="0.3">
      <c r="K3239" s="16">
        <f t="shared" si="50"/>
        <v>44150</v>
      </c>
      <c r="L3239" s="17">
        <v>0.875</v>
      </c>
      <c r="M3239" s="14">
        <v>321</v>
      </c>
      <c r="N3239" s="14">
        <v>0</v>
      </c>
      <c r="O3239" s="14">
        <v>0</v>
      </c>
      <c r="P3239" s="14">
        <v>321</v>
      </c>
      <c r="Q3239">
        <v>9441</v>
      </c>
      <c r="R3239">
        <v>1195</v>
      </c>
      <c r="S3239">
        <v>0</v>
      </c>
    </row>
    <row r="3240" spans="11:19" x14ac:dyDescent="0.3">
      <c r="K3240" s="16">
        <f t="shared" si="50"/>
        <v>44150</v>
      </c>
      <c r="L3240" s="17">
        <v>0.91666666666666663</v>
      </c>
      <c r="M3240" s="14">
        <v>321</v>
      </c>
      <c r="N3240" s="14">
        <v>0</v>
      </c>
      <c r="O3240" s="14">
        <v>0</v>
      </c>
      <c r="P3240" s="14">
        <v>321</v>
      </c>
      <c r="Q3240">
        <v>9762</v>
      </c>
      <c r="R3240">
        <v>1200</v>
      </c>
      <c r="S3240">
        <v>0</v>
      </c>
    </row>
    <row r="3241" spans="11:19" x14ac:dyDescent="0.3">
      <c r="K3241" s="16">
        <f t="shared" si="50"/>
        <v>44150</v>
      </c>
      <c r="L3241" s="17">
        <v>0.95833333333333337</v>
      </c>
      <c r="M3241" s="14">
        <v>321</v>
      </c>
      <c r="N3241" s="14">
        <v>0</v>
      </c>
      <c r="O3241" s="14">
        <v>0</v>
      </c>
      <c r="P3241" s="14">
        <v>321</v>
      </c>
      <c r="Q3241">
        <v>10067</v>
      </c>
      <c r="R3241">
        <v>1251</v>
      </c>
      <c r="S3241">
        <v>0</v>
      </c>
    </row>
    <row r="3242" spans="11:19" x14ac:dyDescent="0.3">
      <c r="K3242" s="16">
        <f t="shared" si="50"/>
        <v>44151</v>
      </c>
      <c r="L3242" s="17">
        <v>0</v>
      </c>
      <c r="M3242" s="14">
        <v>321</v>
      </c>
      <c r="N3242" s="14">
        <v>0</v>
      </c>
      <c r="O3242" s="14">
        <v>0</v>
      </c>
      <c r="P3242" s="14">
        <v>321</v>
      </c>
      <c r="Q3242">
        <v>9643</v>
      </c>
      <c r="R3242">
        <v>1206</v>
      </c>
      <c r="S3242">
        <v>0</v>
      </c>
    </row>
    <row r="3243" spans="11:19" x14ac:dyDescent="0.3">
      <c r="K3243" s="16">
        <f t="shared" si="50"/>
        <v>44151</v>
      </c>
      <c r="L3243" s="17">
        <v>4.1666666666666664E-2</v>
      </c>
      <c r="M3243" s="14">
        <v>321</v>
      </c>
      <c r="N3243" s="14">
        <v>0</v>
      </c>
      <c r="O3243" s="14">
        <v>0</v>
      </c>
      <c r="P3243" s="14">
        <v>321</v>
      </c>
      <c r="Q3243">
        <v>9346</v>
      </c>
      <c r="R3243">
        <v>1259</v>
      </c>
      <c r="S3243">
        <v>0</v>
      </c>
    </row>
    <row r="3244" spans="11:19" x14ac:dyDescent="0.3">
      <c r="K3244" s="16">
        <f t="shared" si="50"/>
        <v>44151</v>
      </c>
      <c r="L3244" s="17">
        <v>8.3333333333333329E-2</v>
      </c>
      <c r="M3244" s="14">
        <v>321</v>
      </c>
      <c r="N3244" s="14">
        <v>0</v>
      </c>
      <c r="O3244" s="14">
        <v>0</v>
      </c>
      <c r="P3244" s="14">
        <v>321</v>
      </c>
      <c r="Q3244">
        <v>9066</v>
      </c>
      <c r="R3244">
        <v>1230</v>
      </c>
      <c r="S3244">
        <v>0</v>
      </c>
    </row>
    <row r="3245" spans="11:19" x14ac:dyDescent="0.3">
      <c r="K3245" s="16">
        <f t="shared" si="50"/>
        <v>44151</v>
      </c>
      <c r="L3245" s="17">
        <v>0.125</v>
      </c>
      <c r="M3245" s="14">
        <v>321</v>
      </c>
      <c r="N3245" s="14">
        <v>0</v>
      </c>
      <c r="O3245" s="14">
        <v>0</v>
      </c>
      <c r="P3245" s="14">
        <v>321</v>
      </c>
      <c r="Q3245">
        <v>8685</v>
      </c>
      <c r="R3245">
        <v>1251</v>
      </c>
      <c r="S3245">
        <v>0</v>
      </c>
    </row>
    <row r="3246" spans="11:19" x14ac:dyDescent="0.3">
      <c r="K3246" s="16">
        <f t="shared" si="50"/>
        <v>44151</v>
      </c>
      <c r="L3246" s="17">
        <v>0.16666666666666666</v>
      </c>
      <c r="M3246" s="14">
        <v>321</v>
      </c>
      <c r="N3246" s="14">
        <v>0</v>
      </c>
      <c r="O3246" s="14">
        <v>0</v>
      </c>
      <c r="P3246" s="14">
        <v>321</v>
      </c>
      <c r="Q3246">
        <v>8705</v>
      </c>
      <c r="R3246">
        <v>1373</v>
      </c>
      <c r="S3246">
        <v>0</v>
      </c>
    </row>
    <row r="3247" spans="11:19" x14ac:dyDescent="0.3">
      <c r="K3247" s="16">
        <f t="shared" si="50"/>
        <v>44151</v>
      </c>
      <c r="L3247" s="17">
        <v>0.20833333333333334</v>
      </c>
      <c r="M3247" s="14">
        <v>321</v>
      </c>
      <c r="N3247" s="14">
        <v>0</v>
      </c>
      <c r="O3247" s="14">
        <v>0</v>
      </c>
      <c r="P3247" s="14">
        <v>321</v>
      </c>
      <c r="Q3247">
        <v>9348</v>
      </c>
      <c r="R3247">
        <v>1313</v>
      </c>
      <c r="S3247">
        <v>0</v>
      </c>
    </row>
    <row r="3248" spans="11:19" x14ac:dyDescent="0.3">
      <c r="K3248" s="16">
        <f t="shared" si="50"/>
        <v>44151</v>
      </c>
      <c r="L3248" s="17">
        <v>0.25</v>
      </c>
      <c r="M3248" s="14">
        <v>321</v>
      </c>
      <c r="N3248" s="14">
        <v>523</v>
      </c>
      <c r="O3248" s="14">
        <v>0</v>
      </c>
      <c r="P3248" s="14">
        <v>844</v>
      </c>
      <c r="Q3248">
        <v>10556</v>
      </c>
      <c r="R3248">
        <v>1322</v>
      </c>
      <c r="S3248">
        <v>0</v>
      </c>
    </row>
    <row r="3249" spans="11:19" x14ac:dyDescent="0.3">
      <c r="K3249" s="16">
        <f t="shared" si="50"/>
        <v>44151</v>
      </c>
      <c r="L3249" s="17">
        <v>0.29166666666666669</v>
      </c>
      <c r="M3249" s="14">
        <v>321</v>
      </c>
      <c r="N3249" s="14">
        <v>0</v>
      </c>
      <c r="O3249" s="14">
        <v>0</v>
      </c>
      <c r="P3249" s="14">
        <v>321</v>
      </c>
      <c r="Q3249">
        <v>11440</v>
      </c>
      <c r="R3249">
        <v>1144</v>
      </c>
      <c r="S3249">
        <v>6</v>
      </c>
    </row>
    <row r="3250" spans="11:19" x14ac:dyDescent="0.3">
      <c r="K3250" s="16">
        <f t="shared" si="50"/>
        <v>44151</v>
      </c>
      <c r="L3250" s="17">
        <v>0.33333333333333331</v>
      </c>
      <c r="M3250" s="14">
        <v>321</v>
      </c>
      <c r="N3250" s="14">
        <v>0</v>
      </c>
      <c r="O3250" s="14">
        <v>0</v>
      </c>
      <c r="P3250" s="14">
        <v>321</v>
      </c>
      <c r="Q3250">
        <v>11655</v>
      </c>
      <c r="R3250">
        <v>1292</v>
      </c>
      <c r="S3250">
        <v>138</v>
      </c>
    </row>
    <row r="3251" spans="11:19" x14ac:dyDescent="0.3">
      <c r="K3251" s="16">
        <f t="shared" si="50"/>
        <v>44151</v>
      </c>
      <c r="L3251" s="17">
        <v>0.375</v>
      </c>
      <c r="M3251" s="14">
        <v>321</v>
      </c>
      <c r="N3251" s="14">
        <v>0</v>
      </c>
      <c r="O3251" s="14">
        <v>0</v>
      </c>
      <c r="P3251" s="14">
        <v>321</v>
      </c>
      <c r="Q3251">
        <v>11719</v>
      </c>
      <c r="R3251">
        <v>1187</v>
      </c>
      <c r="S3251">
        <v>569</v>
      </c>
    </row>
    <row r="3252" spans="11:19" x14ac:dyDescent="0.3">
      <c r="K3252" s="16">
        <f t="shared" si="50"/>
        <v>44151</v>
      </c>
      <c r="L3252" s="17">
        <v>0.41666666666666669</v>
      </c>
      <c r="M3252" s="14">
        <v>321</v>
      </c>
      <c r="N3252" s="14">
        <v>0</v>
      </c>
      <c r="O3252" s="14">
        <v>0</v>
      </c>
      <c r="P3252" s="14">
        <v>321</v>
      </c>
      <c r="Q3252">
        <v>11649</v>
      </c>
      <c r="R3252">
        <v>1316</v>
      </c>
      <c r="S3252">
        <v>1053</v>
      </c>
    </row>
    <row r="3253" spans="11:19" x14ac:dyDescent="0.3">
      <c r="K3253" s="16">
        <f t="shared" si="50"/>
        <v>44151</v>
      </c>
      <c r="L3253" s="17">
        <v>0.45833333333333331</v>
      </c>
      <c r="M3253" s="14">
        <v>321</v>
      </c>
      <c r="N3253" s="14">
        <v>385</v>
      </c>
      <c r="O3253" s="14">
        <v>0</v>
      </c>
      <c r="P3253" s="14">
        <v>706</v>
      </c>
      <c r="Q3253">
        <v>11676</v>
      </c>
      <c r="R3253">
        <v>1173</v>
      </c>
      <c r="S3253">
        <v>1391</v>
      </c>
    </row>
    <row r="3254" spans="11:19" x14ac:dyDescent="0.3">
      <c r="K3254" s="16">
        <f t="shared" si="50"/>
        <v>44151</v>
      </c>
      <c r="L3254" s="17">
        <v>0.5</v>
      </c>
      <c r="M3254" s="14">
        <v>321</v>
      </c>
      <c r="N3254" s="14">
        <v>335</v>
      </c>
      <c r="O3254" s="14">
        <v>0</v>
      </c>
      <c r="P3254" s="14">
        <v>656</v>
      </c>
      <c r="Q3254">
        <v>11667</v>
      </c>
      <c r="R3254">
        <v>1073</v>
      </c>
      <c r="S3254">
        <v>1532</v>
      </c>
    </row>
    <row r="3255" spans="11:19" x14ac:dyDescent="0.3">
      <c r="K3255" s="16">
        <f t="shared" si="50"/>
        <v>44151</v>
      </c>
      <c r="L3255" s="17">
        <v>0.54166666666666663</v>
      </c>
      <c r="M3255" s="14">
        <v>321</v>
      </c>
      <c r="N3255" s="14">
        <v>0</v>
      </c>
      <c r="O3255" s="14">
        <v>0</v>
      </c>
      <c r="P3255" s="14">
        <v>321</v>
      </c>
      <c r="Q3255">
        <v>11354</v>
      </c>
      <c r="R3255">
        <v>1073</v>
      </c>
      <c r="S3255">
        <v>1528</v>
      </c>
    </row>
    <row r="3256" spans="11:19" x14ac:dyDescent="0.3">
      <c r="K3256" s="16">
        <f t="shared" si="50"/>
        <v>44151</v>
      </c>
      <c r="L3256" s="17">
        <v>0.58333333333333337</v>
      </c>
      <c r="M3256" s="14">
        <v>321</v>
      </c>
      <c r="N3256" s="14">
        <v>0</v>
      </c>
      <c r="O3256" s="14">
        <v>0</v>
      </c>
      <c r="P3256" s="14">
        <v>321</v>
      </c>
      <c r="Q3256">
        <v>11064</v>
      </c>
      <c r="R3256">
        <v>1009</v>
      </c>
      <c r="S3256">
        <v>1240</v>
      </c>
    </row>
    <row r="3257" spans="11:19" x14ac:dyDescent="0.3">
      <c r="K3257" s="16">
        <f t="shared" si="50"/>
        <v>44151</v>
      </c>
      <c r="L3257" s="17">
        <v>0.625</v>
      </c>
      <c r="M3257" s="14">
        <v>321</v>
      </c>
      <c r="N3257" s="14">
        <v>402</v>
      </c>
      <c r="O3257" s="14">
        <v>0</v>
      </c>
      <c r="P3257" s="14">
        <v>723</v>
      </c>
      <c r="Q3257">
        <v>10780</v>
      </c>
      <c r="R3257">
        <v>866</v>
      </c>
      <c r="S3257">
        <v>782</v>
      </c>
    </row>
    <row r="3258" spans="11:19" x14ac:dyDescent="0.3">
      <c r="K3258" s="16">
        <f t="shared" si="50"/>
        <v>44151</v>
      </c>
      <c r="L3258" s="17">
        <v>0.66666666666666663</v>
      </c>
      <c r="M3258" s="14">
        <v>321</v>
      </c>
      <c r="N3258" s="14">
        <v>780</v>
      </c>
      <c r="O3258" s="14">
        <v>0</v>
      </c>
      <c r="P3258" s="14">
        <v>1101</v>
      </c>
      <c r="Q3258">
        <v>10735</v>
      </c>
      <c r="R3258">
        <v>986</v>
      </c>
      <c r="S3258">
        <v>238</v>
      </c>
    </row>
    <row r="3259" spans="11:19" x14ac:dyDescent="0.3">
      <c r="K3259" s="16">
        <f t="shared" si="50"/>
        <v>44151</v>
      </c>
      <c r="L3259" s="17">
        <v>0.70833333333333337</v>
      </c>
      <c r="M3259" s="14">
        <v>321</v>
      </c>
      <c r="N3259" s="14">
        <v>0</v>
      </c>
      <c r="O3259" s="14">
        <v>0</v>
      </c>
      <c r="P3259" s="14">
        <v>321</v>
      </c>
      <c r="Q3259">
        <v>11359</v>
      </c>
      <c r="R3259">
        <v>994</v>
      </c>
      <c r="S3259">
        <v>13</v>
      </c>
    </row>
    <row r="3260" spans="11:19" x14ac:dyDescent="0.3">
      <c r="K3260" s="16">
        <f t="shared" si="50"/>
        <v>44151</v>
      </c>
      <c r="L3260" s="17">
        <v>0.75</v>
      </c>
      <c r="M3260" s="14">
        <v>321</v>
      </c>
      <c r="N3260" s="14">
        <v>1674</v>
      </c>
      <c r="O3260" s="14">
        <v>0</v>
      </c>
      <c r="P3260" s="14">
        <v>1995</v>
      </c>
      <c r="Q3260">
        <v>12104</v>
      </c>
      <c r="R3260">
        <v>862</v>
      </c>
      <c r="S3260">
        <v>0</v>
      </c>
    </row>
    <row r="3261" spans="11:19" x14ac:dyDescent="0.3">
      <c r="K3261" s="16">
        <f t="shared" si="50"/>
        <v>44151</v>
      </c>
      <c r="L3261" s="17">
        <v>0.79166666666666663</v>
      </c>
      <c r="M3261" s="14">
        <v>321</v>
      </c>
      <c r="N3261" s="14">
        <v>0</v>
      </c>
      <c r="O3261" s="14">
        <v>0</v>
      </c>
      <c r="P3261" s="14">
        <v>321</v>
      </c>
      <c r="Q3261">
        <v>12079</v>
      </c>
      <c r="R3261">
        <v>752</v>
      </c>
      <c r="S3261">
        <v>0</v>
      </c>
    </row>
    <row r="3262" spans="11:19" x14ac:dyDescent="0.3">
      <c r="K3262" s="16">
        <f t="shared" si="50"/>
        <v>44151</v>
      </c>
      <c r="L3262" s="17">
        <v>0.83333333333333337</v>
      </c>
      <c r="M3262" s="14">
        <v>321</v>
      </c>
      <c r="N3262" s="14">
        <v>1674</v>
      </c>
      <c r="O3262" s="14">
        <v>0</v>
      </c>
      <c r="P3262" s="14">
        <v>1995</v>
      </c>
      <c r="Q3262">
        <v>11272</v>
      </c>
      <c r="R3262">
        <v>740</v>
      </c>
      <c r="S3262">
        <v>0</v>
      </c>
    </row>
    <row r="3263" spans="11:19" x14ac:dyDescent="0.3">
      <c r="K3263" s="16">
        <f t="shared" si="50"/>
        <v>44151</v>
      </c>
      <c r="L3263" s="17">
        <v>0.875</v>
      </c>
      <c r="M3263" s="14">
        <v>321</v>
      </c>
      <c r="N3263" s="14">
        <v>1194</v>
      </c>
      <c r="O3263" s="14">
        <v>0</v>
      </c>
      <c r="P3263" s="14">
        <v>1515</v>
      </c>
      <c r="Q3263">
        <v>10646</v>
      </c>
      <c r="R3263">
        <v>731</v>
      </c>
      <c r="S3263">
        <v>0</v>
      </c>
    </row>
    <row r="3264" spans="11:19" x14ac:dyDescent="0.3">
      <c r="K3264" s="16">
        <f t="shared" si="50"/>
        <v>44151</v>
      </c>
      <c r="L3264" s="17">
        <v>0.91666666666666663</v>
      </c>
      <c r="M3264" s="14">
        <v>321</v>
      </c>
      <c r="N3264" s="14">
        <v>1558</v>
      </c>
      <c r="O3264" s="14">
        <v>0</v>
      </c>
      <c r="P3264" s="14">
        <v>1879</v>
      </c>
      <c r="Q3264">
        <v>10847</v>
      </c>
      <c r="R3264">
        <v>574</v>
      </c>
      <c r="S3264">
        <v>0</v>
      </c>
    </row>
    <row r="3265" spans="11:19" x14ac:dyDescent="0.3">
      <c r="K3265" s="16">
        <f t="shared" si="50"/>
        <v>44151</v>
      </c>
      <c r="L3265" s="17">
        <v>0.95833333333333337</v>
      </c>
      <c r="M3265" s="14">
        <v>321</v>
      </c>
      <c r="N3265" s="14">
        <v>1674</v>
      </c>
      <c r="O3265" s="14">
        <v>0</v>
      </c>
      <c r="P3265" s="14">
        <v>1995</v>
      </c>
      <c r="Q3265">
        <v>10985</v>
      </c>
      <c r="R3265">
        <v>594</v>
      </c>
      <c r="S3265">
        <v>0</v>
      </c>
    </row>
    <row r="3266" spans="11:19" x14ac:dyDescent="0.3">
      <c r="K3266" s="16">
        <f t="shared" si="50"/>
        <v>44152</v>
      </c>
      <c r="L3266" s="17">
        <v>0</v>
      </c>
      <c r="M3266" s="14">
        <v>321</v>
      </c>
      <c r="N3266" s="14">
        <v>1120</v>
      </c>
      <c r="O3266" s="14">
        <v>0</v>
      </c>
      <c r="P3266" s="14">
        <v>1441</v>
      </c>
      <c r="Q3266">
        <v>10509</v>
      </c>
      <c r="R3266">
        <v>693</v>
      </c>
      <c r="S3266">
        <v>0</v>
      </c>
    </row>
    <row r="3267" spans="11:19" x14ac:dyDescent="0.3">
      <c r="K3267" s="16">
        <f t="shared" si="50"/>
        <v>44152</v>
      </c>
      <c r="L3267" s="17">
        <v>4.1666666666666664E-2</v>
      </c>
      <c r="M3267" s="14">
        <v>321</v>
      </c>
      <c r="N3267" s="14">
        <v>744</v>
      </c>
      <c r="O3267" s="14">
        <v>0</v>
      </c>
      <c r="P3267" s="14">
        <v>1065</v>
      </c>
      <c r="Q3267">
        <v>10178</v>
      </c>
      <c r="R3267">
        <v>741</v>
      </c>
      <c r="S3267">
        <v>0</v>
      </c>
    </row>
    <row r="3268" spans="11:19" x14ac:dyDescent="0.3">
      <c r="K3268" s="16">
        <f t="shared" si="50"/>
        <v>44152</v>
      </c>
      <c r="L3268" s="17">
        <v>8.3333333333333329E-2</v>
      </c>
      <c r="M3268" s="14">
        <v>321</v>
      </c>
      <c r="N3268" s="14">
        <v>481</v>
      </c>
      <c r="O3268" s="14">
        <v>0</v>
      </c>
      <c r="P3268" s="14">
        <v>802</v>
      </c>
      <c r="Q3268">
        <v>9934</v>
      </c>
      <c r="R3268">
        <v>760</v>
      </c>
      <c r="S3268">
        <v>0</v>
      </c>
    </row>
    <row r="3269" spans="11:19" x14ac:dyDescent="0.3">
      <c r="K3269" s="16">
        <f t="shared" si="50"/>
        <v>44152</v>
      </c>
      <c r="L3269" s="17">
        <v>0.125</v>
      </c>
      <c r="M3269" s="14">
        <v>321</v>
      </c>
      <c r="N3269" s="14">
        <v>219</v>
      </c>
      <c r="O3269" s="14">
        <v>0</v>
      </c>
      <c r="P3269" s="14">
        <v>540</v>
      </c>
      <c r="Q3269">
        <v>9590</v>
      </c>
      <c r="R3269">
        <v>677</v>
      </c>
      <c r="S3269">
        <v>0</v>
      </c>
    </row>
    <row r="3270" spans="11:19" x14ac:dyDescent="0.3">
      <c r="K3270" s="16">
        <f t="shared" si="50"/>
        <v>44152</v>
      </c>
      <c r="L3270" s="17">
        <v>0.16666666666666666</v>
      </c>
      <c r="M3270" s="14">
        <v>321</v>
      </c>
      <c r="N3270" s="14">
        <v>422</v>
      </c>
      <c r="O3270" s="14">
        <v>0</v>
      </c>
      <c r="P3270" s="14">
        <v>743</v>
      </c>
      <c r="Q3270">
        <v>9604</v>
      </c>
      <c r="R3270">
        <v>486</v>
      </c>
      <c r="S3270">
        <v>0</v>
      </c>
    </row>
    <row r="3271" spans="11:19" x14ac:dyDescent="0.3">
      <c r="K3271" s="16">
        <f t="shared" si="50"/>
        <v>44152</v>
      </c>
      <c r="L3271" s="17">
        <v>0.20833333333333334</v>
      </c>
      <c r="M3271" s="14">
        <v>321</v>
      </c>
      <c r="N3271" s="14">
        <v>0</v>
      </c>
      <c r="O3271" s="14">
        <v>0</v>
      </c>
      <c r="P3271" s="14">
        <v>321</v>
      </c>
      <c r="Q3271">
        <v>10210</v>
      </c>
      <c r="R3271">
        <v>498</v>
      </c>
      <c r="S3271">
        <v>0</v>
      </c>
    </row>
    <row r="3272" spans="11:19" x14ac:dyDescent="0.3">
      <c r="K3272" s="16">
        <f t="shared" si="50"/>
        <v>44152</v>
      </c>
      <c r="L3272" s="17">
        <v>0.25</v>
      </c>
      <c r="M3272" s="14">
        <v>321</v>
      </c>
      <c r="N3272" s="14">
        <v>2221</v>
      </c>
      <c r="O3272" s="14">
        <v>0</v>
      </c>
      <c r="P3272" s="14">
        <v>2542</v>
      </c>
      <c r="Q3272">
        <v>11430</v>
      </c>
      <c r="R3272">
        <v>498</v>
      </c>
      <c r="S3272">
        <v>0</v>
      </c>
    </row>
    <row r="3273" spans="11:19" x14ac:dyDescent="0.3">
      <c r="K3273" s="16">
        <f t="shared" si="50"/>
        <v>44152</v>
      </c>
      <c r="L3273" s="17">
        <v>0.29166666666666669</v>
      </c>
      <c r="M3273" s="14">
        <v>321</v>
      </c>
      <c r="N3273" s="14">
        <v>2443</v>
      </c>
      <c r="O3273" s="14">
        <v>0</v>
      </c>
      <c r="P3273" s="14">
        <v>2764</v>
      </c>
      <c r="Q3273">
        <v>12342</v>
      </c>
      <c r="R3273">
        <v>482</v>
      </c>
      <c r="S3273">
        <v>5</v>
      </c>
    </row>
    <row r="3274" spans="11:19" x14ac:dyDescent="0.3">
      <c r="K3274" s="16">
        <f t="shared" si="50"/>
        <v>44152</v>
      </c>
      <c r="L3274" s="17">
        <v>0.33333333333333331</v>
      </c>
      <c r="M3274" s="14">
        <v>321</v>
      </c>
      <c r="N3274" s="14">
        <v>227</v>
      </c>
      <c r="O3274" s="14">
        <v>0</v>
      </c>
      <c r="P3274" s="14">
        <v>548</v>
      </c>
      <c r="Q3274">
        <v>12450</v>
      </c>
      <c r="R3274">
        <v>415</v>
      </c>
      <c r="S3274">
        <v>178</v>
      </c>
    </row>
    <row r="3275" spans="11:19" x14ac:dyDescent="0.3">
      <c r="K3275" s="16">
        <f t="shared" si="50"/>
        <v>44152</v>
      </c>
      <c r="L3275" s="17">
        <v>0.375</v>
      </c>
      <c r="M3275" s="14">
        <v>321</v>
      </c>
      <c r="N3275" s="14">
        <v>2443</v>
      </c>
      <c r="O3275" s="14">
        <v>0</v>
      </c>
      <c r="P3275" s="14">
        <v>2764</v>
      </c>
      <c r="Q3275">
        <v>12362</v>
      </c>
      <c r="R3275">
        <v>375</v>
      </c>
      <c r="S3275">
        <v>780</v>
      </c>
    </row>
    <row r="3276" spans="11:19" x14ac:dyDescent="0.3">
      <c r="K3276" s="16">
        <f t="shared" si="50"/>
        <v>44152</v>
      </c>
      <c r="L3276" s="17">
        <v>0.41666666666666669</v>
      </c>
      <c r="M3276" s="14">
        <v>321</v>
      </c>
      <c r="N3276" s="14">
        <v>1632</v>
      </c>
      <c r="O3276" s="14">
        <v>0</v>
      </c>
      <c r="P3276" s="14">
        <v>1953</v>
      </c>
      <c r="Q3276">
        <v>12163</v>
      </c>
      <c r="R3276">
        <v>367</v>
      </c>
      <c r="S3276">
        <v>1435</v>
      </c>
    </row>
    <row r="3277" spans="11:19" x14ac:dyDescent="0.3">
      <c r="K3277" s="16">
        <f t="shared" si="50"/>
        <v>44152</v>
      </c>
      <c r="L3277" s="17">
        <v>0.45833333333333331</v>
      </c>
      <c r="M3277" s="14">
        <v>321</v>
      </c>
      <c r="N3277" s="14">
        <v>1052</v>
      </c>
      <c r="O3277" s="14">
        <v>0</v>
      </c>
      <c r="P3277" s="14">
        <v>1373</v>
      </c>
      <c r="Q3277">
        <v>12048</v>
      </c>
      <c r="R3277">
        <v>384</v>
      </c>
      <c r="S3277">
        <v>1884</v>
      </c>
    </row>
    <row r="3278" spans="11:19" x14ac:dyDescent="0.3">
      <c r="K3278" s="16">
        <f t="shared" si="50"/>
        <v>44152</v>
      </c>
      <c r="L3278" s="17">
        <v>0.5</v>
      </c>
      <c r="M3278" s="14">
        <v>321</v>
      </c>
      <c r="N3278" s="14">
        <v>0</v>
      </c>
      <c r="O3278" s="14">
        <v>0</v>
      </c>
      <c r="P3278" s="14">
        <v>321</v>
      </c>
      <c r="Q3278">
        <v>11895</v>
      </c>
      <c r="R3278">
        <v>356</v>
      </c>
      <c r="S3278">
        <v>2052</v>
      </c>
    </row>
    <row r="3279" spans="11:19" x14ac:dyDescent="0.3">
      <c r="K3279" s="16">
        <f t="shared" si="50"/>
        <v>44152</v>
      </c>
      <c r="L3279" s="17">
        <v>0.54166666666666663</v>
      </c>
      <c r="M3279" s="14">
        <v>321</v>
      </c>
      <c r="N3279" s="14">
        <v>620</v>
      </c>
      <c r="O3279" s="14">
        <v>0</v>
      </c>
      <c r="P3279" s="14">
        <v>941</v>
      </c>
      <c r="Q3279">
        <v>11551</v>
      </c>
      <c r="R3279">
        <v>261</v>
      </c>
      <c r="S3279">
        <v>1942</v>
      </c>
    </row>
    <row r="3280" spans="11:19" x14ac:dyDescent="0.3">
      <c r="K3280" s="16">
        <f t="shared" si="50"/>
        <v>44152</v>
      </c>
      <c r="L3280" s="17">
        <v>0.58333333333333337</v>
      </c>
      <c r="M3280" s="14">
        <v>321</v>
      </c>
      <c r="N3280" s="14">
        <v>861</v>
      </c>
      <c r="O3280" s="14">
        <v>0</v>
      </c>
      <c r="P3280" s="14">
        <v>1182</v>
      </c>
      <c r="Q3280">
        <v>11288</v>
      </c>
      <c r="R3280">
        <v>158</v>
      </c>
      <c r="S3280">
        <v>1539</v>
      </c>
    </row>
    <row r="3281" spans="11:19" x14ac:dyDescent="0.3">
      <c r="K3281" s="16">
        <f t="shared" si="50"/>
        <v>44152</v>
      </c>
      <c r="L3281" s="17">
        <v>0.625</v>
      </c>
      <c r="M3281" s="14">
        <v>321</v>
      </c>
      <c r="N3281" s="14">
        <v>1222</v>
      </c>
      <c r="O3281" s="14">
        <v>0</v>
      </c>
      <c r="P3281" s="14">
        <v>1543</v>
      </c>
      <c r="Q3281">
        <v>11090</v>
      </c>
      <c r="R3281">
        <v>217</v>
      </c>
      <c r="S3281">
        <v>920</v>
      </c>
    </row>
    <row r="3282" spans="11:19" x14ac:dyDescent="0.3">
      <c r="K3282" s="16">
        <f t="shared" si="50"/>
        <v>44152</v>
      </c>
      <c r="L3282" s="17">
        <v>0.66666666666666663</v>
      </c>
      <c r="M3282" s="14">
        <v>321</v>
      </c>
      <c r="N3282" s="14">
        <v>1928</v>
      </c>
      <c r="O3282" s="14">
        <v>0</v>
      </c>
      <c r="P3282" s="14">
        <v>2249</v>
      </c>
      <c r="Q3282">
        <v>11155</v>
      </c>
      <c r="R3282">
        <v>246</v>
      </c>
      <c r="S3282">
        <v>249</v>
      </c>
    </row>
    <row r="3283" spans="11:19" x14ac:dyDescent="0.3">
      <c r="K3283" s="16">
        <f t="shared" si="50"/>
        <v>44152</v>
      </c>
      <c r="L3283" s="17">
        <v>0.70833333333333337</v>
      </c>
      <c r="M3283" s="14">
        <v>321</v>
      </c>
      <c r="N3283" s="14">
        <v>2443</v>
      </c>
      <c r="O3283" s="14">
        <v>0</v>
      </c>
      <c r="P3283" s="14">
        <v>2764</v>
      </c>
      <c r="Q3283">
        <v>11880</v>
      </c>
      <c r="R3283">
        <v>157</v>
      </c>
      <c r="S3283">
        <v>12</v>
      </c>
    </row>
    <row r="3284" spans="11:19" x14ac:dyDescent="0.3">
      <c r="K3284" s="16">
        <f t="shared" si="50"/>
        <v>44152</v>
      </c>
      <c r="L3284" s="17">
        <v>0.75</v>
      </c>
      <c r="M3284" s="14">
        <v>321</v>
      </c>
      <c r="N3284" s="14">
        <v>838</v>
      </c>
      <c r="O3284" s="14">
        <v>0</v>
      </c>
      <c r="P3284" s="14">
        <v>1159</v>
      </c>
      <c r="Q3284">
        <v>12672</v>
      </c>
      <c r="R3284">
        <v>199</v>
      </c>
      <c r="S3284">
        <v>0</v>
      </c>
    </row>
    <row r="3285" spans="11:19" x14ac:dyDescent="0.3">
      <c r="K3285" s="16">
        <f t="shared" si="50"/>
        <v>44152</v>
      </c>
      <c r="L3285" s="17">
        <v>0.79166666666666663</v>
      </c>
      <c r="M3285" s="14">
        <v>321</v>
      </c>
      <c r="N3285" s="14">
        <v>2443</v>
      </c>
      <c r="O3285" s="14">
        <v>0</v>
      </c>
      <c r="P3285" s="14">
        <v>2764</v>
      </c>
      <c r="Q3285">
        <v>12671</v>
      </c>
      <c r="R3285">
        <v>178</v>
      </c>
      <c r="S3285">
        <v>0</v>
      </c>
    </row>
    <row r="3286" spans="11:19" x14ac:dyDescent="0.3">
      <c r="K3286" s="16">
        <f t="shared" si="50"/>
        <v>44152</v>
      </c>
      <c r="L3286" s="17">
        <v>0.83333333333333337</v>
      </c>
      <c r="M3286" s="14">
        <v>321</v>
      </c>
      <c r="N3286" s="14">
        <v>2443</v>
      </c>
      <c r="O3286" s="14">
        <v>0</v>
      </c>
      <c r="P3286" s="14">
        <v>2764</v>
      </c>
      <c r="Q3286">
        <v>11820</v>
      </c>
      <c r="R3286">
        <v>190</v>
      </c>
      <c r="S3286">
        <v>0</v>
      </c>
    </row>
    <row r="3287" spans="11:19" x14ac:dyDescent="0.3">
      <c r="K3287" s="16">
        <f t="shared" si="50"/>
        <v>44152</v>
      </c>
      <c r="L3287" s="17">
        <v>0.875</v>
      </c>
      <c r="M3287" s="14">
        <v>321</v>
      </c>
      <c r="N3287" s="14">
        <v>0</v>
      </c>
      <c r="O3287" s="14">
        <v>0</v>
      </c>
      <c r="P3287" s="14">
        <v>321</v>
      </c>
      <c r="Q3287">
        <v>11178</v>
      </c>
      <c r="R3287">
        <v>220</v>
      </c>
      <c r="S3287">
        <v>0</v>
      </c>
    </row>
    <row r="3288" spans="11:19" x14ac:dyDescent="0.3">
      <c r="K3288" s="16">
        <f t="shared" si="50"/>
        <v>44152</v>
      </c>
      <c r="L3288" s="17">
        <v>0.91666666666666663</v>
      </c>
      <c r="M3288" s="14">
        <v>321</v>
      </c>
      <c r="N3288" s="14">
        <v>0</v>
      </c>
      <c r="O3288" s="14">
        <v>0</v>
      </c>
      <c r="P3288" s="14">
        <v>321</v>
      </c>
      <c r="Q3288">
        <v>11357</v>
      </c>
      <c r="R3288">
        <v>248</v>
      </c>
      <c r="S3288">
        <v>0</v>
      </c>
    </row>
    <row r="3289" spans="11:19" x14ac:dyDescent="0.3">
      <c r="K3289" s="16">
        <f t="shared" si="50"/>
        <v>44152</v>
      </c>
      <c r="L3289" s="17">
        <v>0.95833333333333337</v>
      </c>
      <c r="M3289" s="14">
        <v>321</v>
      </c>
      <c r="N3289" s="14">
        <v>0</v>
      </c>
      <c r="O3289" s="14">
        <v>0</v>
      </c>
      <c r="P3289" s="14">
        <v>321</v>
      </c>
      <c r="Q3289">
        <v>11488</v>
      </c>
      <c r="R3289">
        <v>242</v>
      </c>
      <c r="S3289">
        <v>0</v>
      </c>
    </row>
    <row r="3290" spans="11:19" x14ac:dyDescent="0.3">
      <c r="K3290" s="16">
        <f t="shared" si="50"/>
        <v>44153</v>
      </c>
      <c r="L3290" s="17">
        <v>0</v>
      </c>
      <c r="M3290" s="14">
        <v>321</v>
      </c>
      <c r="N3290" s="14">
        <v>227</v>
      </c>
      <c r="O3290" s="14">
        <v>0</v>
      </c>
      <c r="P3290" s="14">
        <v>548</v>
      </c>
      <c r="Q3290">
        <v>10850</v>
      </c>
      <c r="R3290">
        <v>256</v>
      </c>
      <c r="S3290">
        <v>0</v>
      </c>
    </row>
    <row r="3291" spans="11:19" x14ac:dyDescent="0.3">
      <c r="K3291" s="16">
        <f t="shared" ref="K3291:K3354" si="51">K3267+1</f>
        <v>44153</v>
      </c>
      <c r="L3291" s="17">
        <v>4.1666666666666664E-2</v>
      </c>
      <c r="M3291" s="14">
        <v>321</v>
      </c>
      <c r="N3291" s="14">
        <v>1560</v>
      </c>
      <c r="O3291" s="14">
        <v>0</v>
      </c>
      <c r="P3291" s="14">
        <v>1881</v>
      </c>
      <c r="Q3291">
        <v>10523</v>
      </c>
      <c r="R3291">
        <v>268</v>
      </c>
      <c r="S3291">
        <v>0</v>
      </c>
    </row>
    <row r="3292" spans="11:19" x14ac:dyDescent="0.3">
      <c r="K3292" s="16">
        <f t="shared" si="51"/>
        <v>44153</v>
      </c>
      <c r="L3292" s="17">
        <v>8.3333333333333329E-2</v>
      </c>
      <c r="M3292" s="14">
        <v>321</v>
      </c>
      <c r="N3292" s="14">
        <v>1225</v>
      </c>
      <c r="O3292" s="14">
        <v>0</v>
      </c>
      <c r="P3292" s="14">
        <v>1546</v>
      </c>
      <c r="Q3292">
        <v>10279</v>
      </c>
      <c r="R3292">
        <v>360</v>
      </c>
      <c r="S3292">
        <v>0</v>
      </c>
    </row>
    <row r="3293" spans="11:19" x14ac:dyDescent="0.3">
      <c r="K3293" s="16">
        <f t="shared" si="51"/>
        <v>44153</v>
      </c>
      <c r="L3293" s="17">
        <v>0.125</v>
      </c>
      <c r="M3293" s="14">
        <v>321</v>
      </c>
      <c r="N3293" s="14">
        <v>0</v>
      </c>
      <c r="O3293" s="14">
        <v>0</v>
      </c>
      <c r="P3293" s="14">
        <v>321</v>
      </c>
      <c r="Q3293">
        <v>9925</v>
      </c>
      <c r="R3293">
        <v>464</v>
      </c>
      <c r="S3293">
        <v>0</v>
      </c>
    </row>
    <row r="3294" spans="11:19" x14ac:dyDescent="0.3">
      <c r="K3294" s="16">
        <f t="shared" si="51"/>
        <v>44153</v>
      </c>
      <c r="L3294" s="17">
        <v>0.16666666666666666</v>
      </c>
      <c r="M3294" s="14">
        <v>321</v>
      </c>
      <c r="N3294" s="14">
        <v>784</v>
      </c>
      <c r="O3294" s="14">
        <v>0</v>
      </c>
      <c r="P3294" s="14">
        <v>1105</v>
      </c>
      <c r="Q3294">
        <v>9928</v>
      </c>
      <c r="R3294">
        <v>446</v>
      </c>
      <c r="S3294">
        <v>0</v>
      </c>
    </row>
    <row r="3295" spans="11:19" x14ac:dyDescent="0.3">
      <c r="K3295" s="16">
        <f t="shared" si="51"/>
        <v>44153</v>
      </c>
      <c r="L3295" s="17">
        <v>0.20833333333333334</v>
      </c>
      <c r="M3295" s="14">
        <v>321</v>
      </c>
      <c r="N3295" s="14">
        <v>1460</v>
      </c>
      <c r="O3295" s="14">
        <v>0</v>
      </c>
      <c r="P3295" s="14">
        <v>1781</v>
      </c>
      <c r="Q3295">
        <v>10529</v>
      </c>
      <c r="R3295">
        <v>368</v>
      </c>
      <c r="S3295">
        <v>0</v>
      </c>
    </row>
    <row r="3296" spans="11:19" x14ac:dyDescent="0.3">
      <c r="K3296" s="16">
        <f t="shared" si="51"/>
        <v>44153</v>
      </c>
      <c r="L3296" s="17">
        <v>0.25</v>
      </c>
      <c r="M3296" s="14">
        <v>321</v>
      </c>
      <c r="N3296" s="14">
        <v>2606</v>
      </c>
      <c r="O3296" s="14">
        <v>0</v>
      </c>
      <c r="P3296" s="14">
        <v>2927</v>
      </c>
      <c r="Q3296">
        <v>11745</v>
      </c>
      <c r="R3296">
        <v>425</v>
      </c>
      <c r="S3296">
        <v>0</v>
      </c>
    </row>
    <row r="3297" spans="11:19" x14ac:dyDescent="0.3">
      <c r="K3297" s="16">
        <f t="shared" si="51"/>
        <v>44153</v>
      </c>
      <c r="L3297" s="17">
        <v>0.29166666666666669</v>
      </c>
      <c r="M3297" s="14">
        <v>321</v>
      </c>
      <c r="N3297" s="14">
        <v>550</v>
      </c>
      <c r="O3297" s="14">
        <v>0</v>
      </c>
      <c r="P3297" s="14">
        <v>871</v>
      </c>
      <c r="Q3297">
        <v>12650</v>
      </c>
      <c r="R3297">
        <v>465</v>
      </c>
      <c r="S3297">
        <v>5</v>
      </c>
    </row>
    <row r="3298" spans="11:19" x14ac:dyDescent="0.3">
      <c r="K3298" s="16">
        <f t="shared" si="51"/>
        <v>44153</v>
      </c>
      <c r="L3298" s="17">
        <v>0.33333333333333331</v>
      </c>
      <c r="M3298" s="14">
        <v>321</v>
      </c>
      <c r="N3298" s="14">
        <v>2628</v>
      </c>
      <c r="O3298" s="14">
        <v>0</v>
      </c>
      <c r="P3298" s="14">
        <v>2949</v>
      </c>
      <c r="Q3298">
        <v>12753</v>
      </c>
      <c r="R3298">
        <v>629</v>
      </c>
      <c r="S3298">
        <v>153</v>
      </c>
    </row>
    <row r="3299" spans="11:19" x14ac:dyDescent="0.3">
      <c r="K3299" s="16">
        <f t="shared" si="51"/>
        <v>44153</v>
      </c>
      <c r="L3299" s="17">
        <v>0.375</v>
      </c>
      <c r="M3299" s="14">
        <v>321</v>
      </c>
      <c r="N3299" s="14">
        <v>0</v>
      </c>
      <c r="O3299" s="14">
        <v>0</v>
      </c>
      <c r="P3299" s="14">
        <v>321</v>
      </c>
      <c r="Q3299">
        <v>12688</v>
      </c>
      <c r="R3299">
        <v>580</v>
      </c>
      <c r="S3299">
        <v>683</v>
      </c>
    </row>
    <row r="3300" spans="11:19" x14ac:dyDescent="0.3">
      <c r="K3300" s="16">
        <f t="shared" si="51"/>
        <v>44153</v>
      </c>
      <c r="L3300" s="17">
        <v>0.41666666666666669</v>
      </c>
      <c r="M3300" s="14">
        <v>321</v>
      </c>
      <c r="N3300" s="14">
        <v>1867</v>
      </c>
      <c r="O3300" s="14">
        <v>0</v>
      </c>
      <c r="P3300" s="14">
        <v>2188</v>
      </c>
      <c r="Q3300">
        <v>12524</v>
      </c>
      <c r="R3300">
        <v>716</v>
      </c>
      <c r="S3300">
        <v>1210</v>
      </c>
    </row>
    <row r="3301" spans="11:19" x14ac:dyDescent="0.3">
      <c r="K3301" s="16">
        <f t="shared" si="51"/>
        <v>44153</v>
      </c>
      <c r="L3301" s="17">
        <v>0.45833333333333331</v>
      </c>
      <c r="M3301" s="14">
        <v>321</v>
      </c>
      <c r="N3301" s="14">
        <v>1446</v>
      </c>
      <c r="O3301" s="14">
        <v>0</v>
      </c>
      <c r="P3301" s="14">
        <v>1767</v>
      </c>
      <c r="Q3301">
        <v>12449</v>
      </c>
      <c r="R3301">
        <v>765</v>
      </c>
      <c r="S3301">
        <v>1507</v>
      </c>
    </row>
    <row r="3302" spans="11:19" x14ac:dyDescent="0.3">
      <c r="K3302" s="16">
        <f t="shared" si="51"/>
        <v>44153</v>
      </c>
      <c r="L3302" s="17">
        <v>0.5</v>
      </c>
      <c r="M3302" s="14">
        <v>321</v>
      </c>
      <c r="N3302" s="14">
        <v>0</v>
      </c>
      <c r="O3302" s="14">
        <v>0</v>
      </c>
      <c r="P3302" s="14">
        <v>321</v>
      </c>
      <c r="Q3302">
        <v>12360</v>
      </c>
      <c r="R3302">
        <v>717</v>
      </c>
      <c r="S3302">
        <v>1606</v>
      </c>
    </row>
    <row r="3303" spans="11:19" x14ac:dyDescent="0.3">
      <c r="K3303" s="16">
        <f t="shared" si="51"/>
        <v>44153</v>
      </c>
      <c r="L3303" s="17">
        <v>0.54166666666666663</v>
      </c>
      <c r="M3303" s="14">
        <v>321</v>
      </c>
      <c r="N3303" s="14">
        <v>1214</v>
      </c>
      <c r="O3303" s="14">
        <v>0</v>
      </c>
      <c r="P3303" s="14">
        <v>1535</v>
      </c>
      <c r="Q3303">
        <v>12021</v>
      </c>
      <c r="R3303">
        <v>609</v>
      </c>
      <c r="S3303">
        <v>1468</v>
      </c>
    </row>
    <row r="3304" spans="11:19" x14ac:dyDescent="0.3">
      <c r="K3304" s="16">
        <f t="shared" si="51"/>
        <v>44153</v>
      </c>
      <c r="L3304" s="17">
        <v>0.58333333333333337</v>
      </c>
      <c r="M3304" s="14">
        <v>321</v>
      </c>
      <c r="N3304" s="14">
        <v>0</v>
      </c>
      <c r="O3304" s="14">
        <v>0</v>
      </c>
      <c r="P3304" s="14">
        <v>321</v>
      </c>
      <c r="Q3304">
        <v>11780</v>
      </c>
      <c r="R3304">
        <v>647</v>
      </c>
      <c r="S3304">
        <v>1112</v>
      </c>
    </row>
    <row r="3305" spans="11:19" x14ac:dyDescent="0.3">
      <c r="K3305" s="16">
        <f t="shared" si="51"/>
        <v>44153</v>
      </c>
      <c r="L3305" s="17">
        <v>0.625</v>
      </c>
      <c r="M3305" s="14">
        <v>321</v>
      </c>
      <c r="N3305" s="14">
        <v>1564</v>
      </c>
      <c r="O3305" s="14">
        <v>0</v>
      </c>
      <c r="P3305" s="14">
        <v>1885</v>
      </c>
      <c r="Q3305">
        <v>11620</v>
      </c>
      <c r="R3305">
        <v>693</v>
      </c>
      <c r="S3305">
        <v>630</v>
      </c>
    </row>
    <row r="3306" spans="11:19" x14ac:dyDescent="0.3">
      <c r="K3306" s="16">
        <f t="shared" si="51"/>
        <v>44153</v>
      </c>
      <c r="L3306" s="17">
        <v>0.66666666666666663</v>
      </c>
      <c r="M3306" s="14">
        <v>321</v>
      </c>
      <c r="N3306" s="14">
        <v>1950</v>
      </c>
      <c r="O3306" s="14">
        <v>0</v>
      </c>
      <c r="P3306" s="14">
        <v>2271</v>
      </c>
      <c r="Q3306">
        <v>11669</v>
      </c>
      <c r="R3306">
        <v>841</v>
      </c>
      <c r="S3306">
        <v>143</v>
      </c>
    </row>
    <row r="3307" spans="11:19" x14ac:dyDescent="0.3">
      <c r="K3307" s="16">
        <f t="shared" si="51"/>
        <v>44153</v>
      </c>
      <c r="L3307" s="17">
        <v>0.70833333333333337</v>
      </c>
      <c r="M3307" s="14">
        <v>321</v>
      </c>
      <c r="N3307" s="14">
        <v>98</v>
      </c>
      <c r="O3307" s="14">
        <v>0</v>
      </c>
      <c r="P3307" s="14">
        <v>419</v>
      </c>
      <c r="Q3307">
        <v>12417</v>
      </c>
      <c r="R3307">
        <v>678</v>
      </c>
      <c r="S3307">
        <v>6</v>
      </c>
    </row>
    <row r="3308" spans="11:19" x14ac:dyDescent="0.3">
      <c r="K3308" s="16">
        <f t="shared" si="51"/>
        <v>44153</v>
      </c>
      <c r="L3308" s="17">
        <v>0.75</v>
      </c>
      <c r="M3308" s="14">
        <v>321</v>
      </c>
      <c r="N3308" s="14">
        <v>736</v>
      </c>
      <c r="O3308" s="14">
        <v>0</v>
      </c>
      <c r="P3308" s="14">
        <v>1057</v>
      </c>
      <c r="Q3308">
        <v>13119</v>
      </c>
      <c r="R3308">
        <v>745</v>
      </c>
      <c r="S3308">
        <v>0</v>
      </c>
    </row>
    <row r="3309" spans="11:19" x14ac:dyDescent="0.3">
      <c r="K3309" s="16">
        <f t="shared" si="51"/>
        <v>44153</v>
      </c>
      <c r="L3309" s="17">
        <v>0.79166666666666663</v>
      </c>
      <c r="M3309" s="14">
        <v>321</v>
      </c>
      <c r="N3309" s="14">
        <v>2628</v>
      </c>
      <c r="O3309" s="14">
        <v>0</v>
      </c>
      <c r="P3309" s="14">
        <v>2949</v>
      </c>
      <c r="Q3309">
        <v>12886</v>
      </c>
      <c r="R3309">
        <v>602</v>
      </c>
      <c r="S3309">
        <v>0</v>
      </c>
    </row>
    <row r="3310" spans="11:19" x14ac:dyDescent="0.3">
      <c r="K3310" s="16">
        <f t="shared" si="51"/>
        <v>44153</v>
      </c>
      <c r="L3310" s="17">
        <v>0.83333333333333337</v>
      </c>
      <c r="M3310" s="14">
        <v>321</v>
      </c>
      <c r="N3310" s="14">
        <v>2628</v>
      </c>
      <c r="O3310" s="14">
        <v>0</v>
      </c>
      <c r="P3310" s="14">
        <v>2949</v>
      </c>
      <c r="Q3310">
        <v>11926</v>
      </c>
      <c r="R3310">
        <v>543</v>
      </c>
      <c r="S3310">
        <v>0</v>
      </c>
    </row>
    <row r="3311" spans="11:19" x14ac:dyDescent="0.3">
      <c r="K3311" s="16">
        <f t="shared" si="51"/>
        <v>44153</v>
      </c>
      <c r="L3311" s="17">
        <v>0.875</v>
      </c>
      <c r="M3311" s="14">
        <v>321</v>
      </c>
      <c r="N3311" s="14">
        <v>1933</v>
      </c>
      <c r="O3311" s="14">
        <v>0</v>
      </c>
      <c r="P3311" s="14">
        <v>2254</v>
      </c>
      <c r="Q3311">
        <v>11230</v>
      </c>
      <c r="R3311">
        <v>573</v>
      </c>
      <c r="S3311">
        <v>0</v>
      </c>
    </row>
    <row r="3312" spans="11:19" x14ac:dyDescent="0.3">
      <c r="K3312" s="16">
        <f t="shared" si="51"/>
        <v>44153</v>
      </c>
      <c r="L3312" s="17">
        <v>0.91666666666666663</v>
      </c>
      <c r="M3312" s="14">
        <v>321</v>
      </c>
      <c r="N3312" s="14">
        <v>0</v>
      </c>
      <c r="O3312" s="14">
        <v>0</v>
      </c>
      <c r="P3312" s="14">
        <v>321</v>
      </c>
      <c r="Q3312">
        <v>11366</v>
      </c>
      <c r="R3312">
        <v>502</v>
      </c>
      <c r="S3312">
        <v>0</v>
      </c>
    </row>
    <row r="3313" spans="11:19" x14ac:dyDescent="0.3">
      <c r="K3313" s="16">
        <f t="shared" si="51"/>
        <v>44153</v>
      </c>
      <c r="L3313" s="17">
        <v>0.95833333333333337</v>
      </c>
      <c r="M3313" s="14">
        <v>321</v>
      </c>
      <c r="N3313" s="14">
        <v>0</v>
      </c>
      <c r="O3313" s="14">
        <v>0</v>
      </c>
      <c r="P3313" s="14">
        <v>321</v>
      </c>
      <c r="Q3313">
        <v>11461</v>
      </c>
      <c r="R3313">
        <v>515</v>
      </c>
      <c r="S3313">
        <v>0</v>
      </c>
    </row>
    <row r="3314" spans="11:19" x14ac:dyDescent="0.3">
      <c r="K3314" s="16">
        <f t="shared" si="51"/>
        <v>44154</v>
      </c>
      <c r="L3314" s="17">
        <v>0</v>
      </c>
      <c r="M3314" s="14">
        <v>321</v>
      </c>
      <c r="N3314" s="14">
        <v>1479</v>
      </c>
      <c r="O3314" s="14">
        <v>0</v>
      </c>
      <c r="P3314" s="14">
        <v>1800</v>
      </c>
      <c r="Q3314">
        <v>10798</v>
      </c>
      <c r="R3314">
        <v>619</v>
      </c>
      <c r="S3314">
        <v>0</v>
      </c>
    </row>
    <row r="3315" spans="11:19" x14ac:dyDescent="0.3">
      <c r="K3315" s="16">
        <f t="shared" si="51"/>
        <v>44154</v>
      </c>
      <c r="L3315" s="17">
        <v>4.1666666666666664E-2</v>
      </c>
      <c r="M3315" s="14">
        <v>321</v>
      </c>
      <c r="N3315" s="14">
        <v>0</v>
      </c>
      <c r="O3315" s="14">
        <v>0</v>
      </c>
      <c r="P3315" s="14">
        <v>321</v>
      </c>
      <c r="Q3315">
        <v>10447</v>
      </c>
      <c r="R3315">
        <v>646</v>
      </c>
      <c r="S3315">
        <v>0</v>
      </c>
    </row>
    <row r="3316" spans="11:19" x14ac:dyDescent="0.3">
      <c r="K3316" s="16">
        <f t="shared" si="51"/>
        <v>44154</v>
      </c>
      <c r="L3316" s="17">
        <v>8.3333333333333329E-2</v>
      </c>
      <c r="M3316" s="14">
        <v>321</v>
      </c>
      <c r="N3316" s="14">
        <v>801</v>
      </c>
      <c r="O3316" s="14">
        <v>0</v>
      </c>
      <c r="P3316" s="14">
        <v>1122</v>
      </c>
      <c r="Q3316">
        <v>10177</v>
      </c>
      <c r="R3316">
        <v>679</v>
      </c>
      <c r="S3316">
        <v>0</v>
      </c>
    </row>
    <row r="3317" spans="11:19" x14ac:dyDescent="0.3">
      <c r="K3317" s="16">
        <f t="shared" si="51"/>
        <v>44154</v>
      </c>
      <c r="L3317" s="17">
        <v>0.125</v>
      </c>
      <c r="M3317" s="14">
        <v>321</v>
      </c>
      <c r="N3317" s="14">
        <v>0</v>
      </c>
      <c r="O3317" s="14">
        <v>0</v>
      </c>
      <c r="P3317" s="14">
        <v>321</v>
      </c>
      <c r="Q3317">
        <v>9798</v>
      </c>
      <c r="R3317">
        <v>741</v>
      </c>
      <c r="S3317">
        <v>0</v>
      </c>
    </row>
    <row r="3318" spans="11:19" x14ac:dyDescent="0.3">
      <c r="K3318" s="16">
        <f t="shared" si="51"/>
        <v>44154</v>
      </c>
      <c r="L3318" s="17">
        <v>0.16666666666666666</v>
      </c>
      <c r="M3318" s="14">
        <v>321</v>
      </c>
      <c r="N3318" s="14">
        <v>362</v>
      </c>
      <c r="O3318" s="14">
        <v>0</v>
      </c>
      <c r="P3318" s="14">
        <v>683</v>
      </c>
      <c r="Q3318">
        <v>9777</v>
      </c>
      <c r="R3318">
        <v>715</v>
      </c>
      <c r="S3318">
        <v>0</v>
      </c>
    </row>
    <row r="3319" spans="11:19" x14ac:dyDescent="0.3">
      <c r="K3319" s="16">
        <f t="shared" si="51"/>
        <v>44154</v>
      </c>
      <c r="L3319" s="17">
        <v>0.20833333333333334</v>
      </c>
      <c r="M3319" s="14">
        <v>321</v>
      </c>
      <c r="N3319" s="14">
        <v>0</v>
      </c>
      <c r="O3319" s="14">
        <v>0</v>
      </c>
      <c r="P3319" s="14">
        <v>321</v>
      </c>
      <c r="Q3319">
        <v>10363</v>
      </c>
      <c r="R3319">
        <v>769</v>
      </c>
      <c r="S3319">
        <v>0</v>
      </c>
    </row>
    <row r="3320" spans="11:19" x14ac:dyDescent="0.3">
      <c r="K3320" s="16">
        <f t="shared" si="51"/>
        <v>44154</v>
      </c>
      <c r="L3320" s="17">
        <v>0.25</v>
      </c>
      <c r="M3320" s="14">
        <v>321</v>
      </c>
      <c r="N3320" s="14">
        <v>0</v>
      </c>
      <c r="O3320" s="14">
        <v>0</v>
      </c>
      <c r="P3320" s="14">
        <v>321</v>
      </c>
      <c r="Q3320">
        <v>11566</v>
      </c>
      <c r="R3320">
        <v>784</v>
      </c>
      <c r="S3320">
        <v>0</v>
      </c>
    </row>
    <row r="3321" spans="11:19" x14ac:dyDescent="0.3">
      <c r="K3321" s="16">
        <f t="shared" si="51"/>
        <v>44154</v>
      </c>
      <c r="L3321" s="17">
        <v>0.29166666666666669</v>
      </c>
      <c r="M3321" s="14">
        <v>321</v>
      </c>
      <c r="N3321" s="14">
        <v>2322</v>
      </c>
      <c r="O3321" s="14">
        <v>0</v>
      </c>
      <c r="P3321" s="14">
        <v>2643</v>
      </c>
      <c r="Q3321">
        <v>12480</v>
      </c>
      <c r="R3321">
        <v>1028</v>
      </c>
      <c r="S3321">
        <v>5</v>
      </c>
    </row>
    <row r="3322" spans="11:19" x14ac:dyDescent="0.3">
      <c r="K3322" s="16">
        <f t="shared" si="51"/>
        <v>44154</v>
      </c>
      <c r="L3322" s="17">
        <v>0.33333333333333331</v>
      </c>
      <c r="M3322" s="14">
        <v>321</v>
      </c>
      <c r="N3322" s="14">
        <v>0</v>
      </c>
      <c r="O3322" s="14">
        <v>0</v>
      </c>
      <c r="P3322" s="14">
        <v>321</v>
      </c>
      <c r="Q3322">
        <v>12609</v>
      </c>
      <c r="R3322">
        <v>908</v>
      </c>
      <c r="S3322">
        <v>124</v>
      </c>
    </row>
    <row r="3323" spans="11:19" x14ac:dyDescent="0.3">
      <c r="K3323" s="16">
        <f t="shared" si="51"/>
        <v>44154</v>
      </c>
      <c r="L3323" s="17">
        <v>0.375</v>
      </c>
      <c r="M3323" s="14">
        <v>321</v>
      </c>
      <c r="N3323" s="14">
        <v>2322</v>
      </c>
      <c r="O3323" s="14">
        <v>0</v>
      </c>
      <c r="P3323" s="14">
        <v>2643</v>
      </c>
      <c r="Q3323">
        <v>12587</v>
      </c>
      <c r="R3323">
        <v>943</v>
      </c>
      <c r="S3323">
        <v>562</v>
      </c>
    </row>
    <row r="3324" spans="11:19" x14ac:dyDescent="0.3">
      <c r="K3324" s="16">
        <f t="shared" si="51"/>
        <v>44154</v>
      </c>
      <c r="L3324" s="17">
        <v>0.41666666666666669</v>
      </c>
      <c r="M3324" s="14">
        <v>321</v>
      </c>
      <c r="N3324" s="14">
        <v>1541</v>
      </c>
      <c r="O3324" s="14">
        <v>0</v>
      </c>
      <c r="P3324" s="14">
        <v>1862</v>
      </c>
      <c r="Q3324">
        <v>12460</v>
      </c>
      <c r="R3324">
        <v>1120</v>
      </c>
      <c r="S3324">
        <v>1065</v>
      </c>
    </row>
    <row r="3325" spans="11:19" x14ac:dyDescent="0.3">
      <c r="K3325" s="16">
        <f t="shared" si="51"/>
        <v>44154</v>
      </c>
      <c r="L3325" s="17">
        <v>0.45833333333333331</v>
      </c>
      <c r="M3325" s="14">
        <v>321</v>
      </c>
      <c r="N3325" s="14">
        <v>1158</v>
      </c>
      <c r="O3325" s="14">
        <v>0</v>
      </c>
      <c r="P3325" s="14">
        <v>1479</v>
      </c>
      <c r="Q3325">
        <v>12428</v>
      </c>
      <c r="R3325">
        <v>1133</v>
      </c>
      <c r="S3325">
        <v>1404</v>
      </c>
    </row>
    <row r="3326" spans="11:19" x14ac:dyDescent="0.3">
      <c r="K3326" s="16">
        <f t="shared" si="51"/>
        <v>44154</v>
      </c>
      <c r="L3326" s="17">
        <v>0.5</v>
      </c>
      <c r="M3326" s="14">
        <v>321</v>
      </c>
      <c r="N3326" s="14">
        <v>885</v>
      </c>
      <c r="O3326" s="14">
        <v>0</v>
      </c>
      <c r="P3326" s="14">
        <v>1206</v>
      </c>
      <c r="Q3326">
        <v>12351</v>
      </c>
      <c r="R3326">
        <v>1192</v>
      </c>
      <c r="S3326">
        <v>1541</v>
      </c>
    </row>
    <row r="3327" spans="11:19" x14ac:dyDescent="0.3">
      <c r="K3327" s="16">
        <f t="shared" si="51"/>
        <v>44154</v>
      </c>
      <c r="L3327" s="17">
        <v>0.54166666666666663</v>
      </c>
      <c r="M3327" s="14">
        <v>321</v>
      </c>
      <c r="N3327" s="14">
        <v>488</v>
      </c>
      <c r="O3327" s="14">
        <v>0</v>
      </c>
      <c r="P3327" s="14">
        <v>809</v>
      </c>
      <c r="Q3327">
        <v>12059</v>
      </c>
      <c r="R3327">
        <v>1385</v>
      </c>
      <c r="S3327">
        <v>1453</v>
      </c>
    </row>
    <row r="3328" spans="11:19" x14ac:dyDescent="0.3">
      <c r="K3328" s="16">
        <f t="shared" si="51"/>
        <v>44154</v>
      </c>
      <c r="L3328" s="17">
        <v>0.58333333333333337</v>
      </c>
      <c r="M3328" s="14">
        <v>321</v>
      </c>
      <c r="N3328" s="14">
        <v>0</v>
      </c>
      <c r="O3328" s="14">
        <v>0</v>
      </c>
      <c r="P3328" s="14">
        <v>321</v>
      </c>
      <c r="Q3328">
        <v>11858</v>
      </c>
      <c r="R3328">
        <v>1562</v>
      </c>
      <c r="S3328">
        <v>1139</v>
      </c>
    </row>
    <row r="3329" spans="11:19" x14ac:dyDescent="0.3">
      <c r="K3329" s="16">
        <f t="shared" si="51"/>
        <v>44154</v>
      </c>
      <c r="L3329" s="17">
        <v>0.625</v>
      </c>
      <c r="M3329" s="14">
        <v>321</v>
      </c>
      <c r="N3329" s="14">
        <v>818</v>
      </c>
      <c r="O3329" s="14">
        <v>0</v>
      </c>
      <c r="P3329" s="14">
        <v>1139</v>
      </c>
      <c r="Q3329">
        <v>11698</v>
      </c>
      <c r="R3329">
        <v>1481</v>
      </c>
      <c r="S3329">
        <v>663</v>
      </c>
    </row>
    <row r="3330" spans="11:19" x14ac:dyDescent="0.3">
      <c r="K3330" s="16">
        <f t="shared" si="51"/>
        <v>44154</v>
      </c>
      <c r="L3330" s="17">
        <v>0.66666666666666663</v>
      </c>
      <c r="M3330" s="14">
        <v>321</v>
      </c>
      <c r="N3330" s="14">
        <v>1534</v>
      </c>
      <c r="O3330" s="14">
        <v>0</v>
      </c>
      <c r="P3330" s="14">
        <v>1855</v>
      </c>
      <c r="Q3330">
        <v>11804</v>
      </c>
      <c r="R3330">
        <v>1349</v>
      </c>
      <c r="S3330">
        <v>184</v>
      </c>
    </row>
    <row r="3331" spans="11:19" x14ac:dyDescent="0.3">
      <c r="K3331" s="16">
        <f t="shared" si="51"/>
        <v>44154</v>
      </c>
      <c r="L3331" s="17">
        <v>0.70833333333333337</v>
      </c>
      <c r="M3331" s="14">
        <v>321</v>
      </c>
      <c r="N3331" s="14">
        <v>0</v>
      </c>
      <c r="O3331" s="14">
        <v>0</v>
      </c>
      <c r="P3331" s="14">
        <v>321</v>
      </c>
      <c r="Q3331">
        <v>12557</v>
      </c>
      <c r="R3331">
        <v>1251</v>
      </c>
      <c r="S3331">
        <v>8</v>
      </c>
    </row>
    <row r="3332" spans="11:19" x14ac:dyDescent="0.3">
      <c r="K3332" s="16">
        <f t="shared" si="51"/>
        <v>44154</v>
      </c>
      <c r="L3332" s="17">
        <v>0.75</v>
      </c>
      <c r="M3332" s="14">
        <v>321</v>
      </c>
      <c r="N3332" s="14">
        <v>746</v>
      </c>
      <c r="O3332" s="14">
        <v>0</v>
      </c>
      <c r="P3332" s="14">
        <v>1067</v>
      </c>
      <c r="Q3332">
        <v>13291</v>
      </c>
      <c r="R3332">
        <v>904</v>
      </c>
      <c r="S3332">
        <v>0</v>
      </c>
    </row>
    <row r="3333" spans="11:19" x14ac:dyDescent="0.3">
      <c r="K3333" s="16">
        <f t="shared" si="51"/>
        <v>44154</v>
      </c>
      <c r="L3333" s="17">
        <v>0.79166666666666663</v>
      </c>
      <c r="M3333" s="14">
        <v>321</v>
      </c>
      <c r="N3333" s="14">
        <v>354</v>
      </c>
      <c r="O3333" s="14">
        <v>0</v>
      </c>
      <c r="P3333" s="14">
        <v>675</v>
      </c>
      <c r="Q3333">
        <v>13060</v>
      </c>
      <c r="R3333">
        <v>1070</v>
      </c>
      <c r="S3333">
        <v>0</v>
      </c>
    </row>
    <row r="3334" spans="11:19" x14ac:dyDescent="0.3">
      <c r="K3334" s="16">
        <f t="shared" si="51"/>
        <v>44154</v>
      </c>
      <c r="L3334" s="17">
        <v>0.83333333333333337</v>
      </c>
      <c r="M3334" s="14">
        <v>321</v>
      </c>
      <c r="N3334" s="14">
        <v>0</v>
      </c>
      <c r="O3334" s="14">
        <v>0</v>
      </c>
      <c r="P3334" s="14">
        <v>321</v>
      </c>
      <c r="Q3334">
        <v>12171</v>
      </c>
      <c r="R3334">
        <v>996</v>
      </c>
      <c r="S3334">
        <v>0</v>
      </c>
    </row>
    <row r="3335" spans="11:19" x14ac:dyDescent="0.3">
      <c r="K3335" s="16">
        <f t="shared" si="51"/>
        <v>44154</v>
      </c>
      <c r="L3335" s="17">
        <v>0.875</v>
      </c>
      <c r="M3335" s="14">
        <v>321</v>
      </c>
      <c r="N3335" s="14">
        <v>1773</v>
      </c>
      <c r="O3335" s="14">
        <v>0</v>
      </c>
      <c r="P3335" s="14">
        <v>2094</v>
      </c>
      <c r="Q3335">
        <v>11505</v>
      </c>
      <c r="R3335">
        <v>1005</v>
      </c>
      <c r="S3335">
        <v>0</v>
      </c>
    </row>
    <row r="3336" spans="11:19" x14ac:dyDescent="0.3">
      <c r="K3336" s="16">
        <f t="shared" si="51"/>
        <v>44154</v>
      </c>
      <c r="L3336" s="17">
        <v>0.91666666666666663</v>
      </c>
      <c r="M3336" s="14">
        <v>321</v>
      </c>
      <c r="N3336" s="14">
        <v>0</v>
      </c>
      <c r="O3336" s="14">
        <v>0</v>
      </c>
      <c r="P3336" s="14">
        <v>321</v>
      </c>
      <c r="Q3336">
        <v>11647</v>
      </c>
      <c r="R3336">
        <v>902</v>
      </c>
      <c r="S3336">
        <v>0</v>
      </c>
    </row>
    <row r="3337" spans="11:19" x14ac:dyDescent="0.3">
      <c r="K3337" s="16">
        <f t="shared" si="51"/>
        <v>44154</v>
      </c>
      <c r="L3337" s="17">
        <v>0.95833333333333337</v>
      </c>
      <c r="M3337" s="14">
        <v>321</v>
      </c>
      <c r="N3337" s="14">
        <v>2085</v>
      </c>
      <c r="O3337" s="14">
        <v>0</v>
      </c>
      <c r="P3337" s="14">
        <v>2406</v>
      </c>
      <c r="Q3337">
        <v>11746</v>
      </c>
      <c r="R3337">
        <v>944</v>
      </c>
      <c r="S3337">
        <v>0</v>
      </c>
    </row>
    <row r="3338" spans="11:19" x14ac:dyDescent="0.3">
      <c r="K3338" s="16">
        <f t="shared" si="51"/>
        <v>44155</v>
      </c>
      <c r="L3338" s="17">
        <v>0</v>
      </c>
      <c r="M3338" s="14">
        <v>321</v>
      </c>
      <c r="N3338" s="14">
        <v>0</v>
      </c>
      <c r="O3338" s="14">
        <v>0</v>
      </c>
      <c r="P3338" s="14">
        <v>321</v>
      </c>
      <c r="Q3338">
        <v>11177</v>
      </c>
      <c r="R3338">
        <v>822</v>
      </c>
      <c r="S3338">
        <v>0</v>
      </c>
    </row>
    <row r="3339" spans="11:19" x14ac:dyDescent="0.3">
      <c r="K3339" s="16">
        <f t="shared" si="51"/>
        <v>44155</v>
      </c>
      <c r="L3339" s="17">
        <v>4.1666666666666664E-2</v>
      </c>
      <c r="M3339" s="14">
        <v>321</v>
      </c>
      <c r="N3339" s="14">
        <v>0</v>
      </c>
      <c r="O3339" s="14">
        <v>0</v>
      </c>
      <c r="P3339" s="14">
        <v>321</v>
      </c>
      <c r="Q3339">
        <v>10852</v>
      </c>
      <c r="R3339">
        <v>944</v>
      </c>
      <c r="S3339">
        <v>0</v>
      </c>
    </row>
    <row r="3340" spans="11:19" x14ac:dyDescent="0.3">
      <c r="K3340" s="16">
        <f t="shared" si="51"/>
        <v>44155</v>
      </c>
      <c r="L3340" s="17">
        <v>8.3333333333333329E-2</v>
      </c>
      <c r="M3340" s="14">
        <v>321</v>
      </c>
      <c r="N3340" s="14">
        <v>0</v>
      </c>
      <c r="O3340" s="14">
        <v>0</v>
      </c>
      <c r="P3340" s="14">
        <v>321</v>
      </c>
      <c r="Q3340">
        <v>10606</v>
      </c>
      <c r="R3340">
        <v>912</v>
      </c>
      <c r="S3340">
        <v>0</v>
      </c>
    </row>
    <row r="3341" spans="11:19" x14ac:dyDescent="0.3">
      <c r="K3341" s="16">
        <f t="shared" si="51"/>
        <v>44155</v>
      </c>
      <c r="L3341" s="17">
        <v>0.125</v>
      </c>
      <c r="M3341" s="14">
        <v>321</v>
      </c>
      <c r="N3341" s="14">
        <v>712</v>
      </c>
      <c r="O3341" s="14">
        <v>0</v>
      </c>
      <c r="P3341" s="14">
        <v>1033</v>
      </c>
      <c r="Q3341">
        <v>10231</v>
      </c>
      <c r="R3341">
        <v>820</v>
      </c>
      <c r="S3341">
        <v>0</v>
      </c>
    </row>
    <row r="3342" spans="11:19" x14ac:dyDescent="0.3">
      <c r="K3342" s="16">
        <f t="shared" si="51"/>
        <v>44155</v>
      </c>
      <c r="L3342" s="17">
        <v>0.16666666666666666</v>
      </c>
      <c r="M3342" s="14">
        <v>321</v>
      </c>
      <c r="N3342" s="14">
        <v>0</v>
      </c>
      <c r="O3342" s="14">
        <v>0</v>
      </c>
      <c r="P3342" s="14">
        <v>321</v>
      </c>
      <c r="Q3342">
        <v>10229</v>
      </c>
      <c r="R3342">
        <v>838</v>
      </c>
      <c r="S3342">
        <v>0</v>
      </c>
    </row>
    <row r="3343" spans="11:19" x14ac:dyDescent="0.3">
      <c r="K3343" s="16">
        <f t="shared" si="51"/>
        <v>44155</v>
      </c>
      <c r="L3343" s="17">
        <v>0.20833333333333334</v>
      </c>
      <c r="M3343" s="14">
        <v>321</v>
      </c>
      <c r="N3343" s="14">
        <v>1280</v>
      </c>
      <c r="O3343" s="14">
        <v>0</v>
      </c>
      <c r="P3343" s="14">
        <v>1601</v>
      </c>
      <c r="Q3343">
        <v>10818</v>
      </c>
      <c r="R3343">
        <v>834</v>
      </c>
      <c r="S3343">
        <v>0</v>
      </c>
    </row>
    <row r="3344" spans="11:19" x14ac:dyDescent="0.3">
      <c r="K3344" s="16">
        <f t="shared" si="51"/>
        <v>44155</v>
      </c>
      <c r="L3344" s="17">
        <v>0.25</v>
      </c>
      <c r="M3344" s="14">
        <v>321</v>
      </c>
      <c r="N3344" s="14">
        <v>0</v>
      </c>
      <c r="O3344" s="14">
        <v>0</v>
      </c>
      <c r="P3344" s="14">
        <v>321</v>
      </c>
      <c r="Q3344">
        <v>12007</v>
      </c>
      <c r="R3344">
        <v>711</v>
      </c>
      <c r="S3344">
        <v>0</v>
      </c>
    </row>
    <row r="3345" spans="11:19" x14ac:dyDescent="0.3">
      <c r="K3345" s="16">
        <f t="shared" si="51"/>
        <v>44155</v>
      </c>
      <c r="L3345" s="17">
        <v>0.29166666666666669</v>
      </c>
      <c r="M3345" s="14">
        <v>321</v>
      </c>
      <c r="N3345" s="14">
        <v>644</v>
      </c>
      <c r="O3345" s="14">
        <v>0</v>
      </c>
      <c r="P3345" s="14">
        <v>965</v>
      </c>
      <c r="Q3345">
        <v>12925</v>
      </c>
      <c r="R3345">
        <v>644</v>
      </c>
      <c r="S3345">
        <v>3</v>
      </c>
    </row>
    <row r="3346" spans="11:19" x14ac:dyDescent="0.3">
      <c r="K3346" s="16">
        <f t="shared" si="51"/>
        <v>44155</v>
      </c>
      <c r="L3346" s="17">
        <v>0.33333333333333331</v>
      </c>
      <c r="M3346" s="14">
        <v>321</v>
      </c>
      <c r="N3346" s="14">
        <v>2611</v>
      </c>
      <c r="O3346" s="14">
        <v>0</v>
      </c>
      <c r="P3346" s="14">
        <v>2932</v>
      </c>
      <c r="Q3346">
        <v>13074</v>
      </c>
      <c r="R3346">
        <v>752</v>
      </c>
      <c r="S3346">
        <v>108</v>
      </c>
    </row>
    <row r="3347" spans="11:19" x14ac:dyDescent="0.3">
      <c r="K3347" s="16">
        <f t="shared" si="51"/>
        <v>44155</v>
      </c>
      <c r="L3347" s="17">
        <v>0.375</v>
      </c>
      <c r="M3347" s="14">
        <v>321</v>
      </c>
      <c r="N3347" s="14">
        <v>2611</v>
      </c>
      <c r="O3347" s="14">
        <v>0</v>
      </c>
      <c r="P3347" s="14">
        <v>2932</v>
      </c>
      <c r="Q3347">
        <v>13101</v>
      </c>
      <c r="R3347">
        <v>943</v>
      </c>
      <c r="S3347">
        <v>531</v>
      </c>
    </row>
    <row r="3348" spans="11:19" x14ac:dyDescent="0.3">
      <c r="K3348" s="16">
        <f t="shared" si="51"/>
        <v>44155</v>
      </c>
      <c r="L3348" s="17">
        <v>0.41666666666666669</v>
      </c>
      <c r="M3348" s="14">
        <v>321</v>
      </c>
      <c r="N3348" s="14">
        <v>2131</v>
      </c>
      <c r="O3348" s="14">
        <v>0</v>
      </c>
      <c r="P3348" s="14">
        <v>2452</v>
      </c>
      <c r="Q3348">
        <v>12910</v>
      </c>
      <c r="R3348">
        <v>945</v>
      </c>
      <c r="S3348">
        <v>1099</v>
      </c>
    </row>
    <row r="3349" spans="11:19" x14ac:dyDescent="0.3">
      <c r="K3349" s="16">
        <f t="shared" si="51"/>
        <v>44155</v>
      </c>
      <c r="L3349" s="17">
        <v>0.45833333333333331</v>
      </c>
      <c r="M3349" s="14">
        <v>321</v>
      </c>
      <c r="N3349" s="14">
        <v>1638</v>
      </c>
      <c r="O3349" s="14">
        <v>0</v>
      </c>
      <c r="P3349" s="14">
        <v>1959</v>
      </c>
      <c r="Q3349">
        <v>12802</v>
      </c>
      <c r="R3349">
        <v>960</v>
      </c>
      <c r="S3349">
        <v>1470</v>
      </c>
    </row>
    <row r="3350" spans="11:19" x14ac:dyDescent="0.3">
      <c r="K3350" s="16">
        <f t="shared" si="51"/>
        <v>44155</v>
      </c>
      <c r="L3350" s="17">
        <v>0.5</v>
      </c>
      <c r="M3350" s="14">
        <v>321</v>
      </c>
      <c r="N3350" s="14">
        <v>0</v>
      </c>
      <c r="O3350" s="14">
        <v>0</v>
      </c>
      <c r="P3350" s="14">
        <v>321</v>
      </c>
      <c r="Q3350">
        <v>12674</v>
      </c>
      <c r="R3350">
        <v>917</v>
      </c>
      <c r="S3350">
        <v>1638</v>
      </c>
    </row>
    <row r="3351" spans="11:19" x14ac:dyDescent="0.3">
      <c r="K3351" s="16">
        <f t="shared" si="51"/>
        <v>44155</v>
      </c>
      <c r="L3351" s="17">
        <v>0.54166666666666663</v>
      </c>
      <c r="M3351" s="14">
        <v>321</v>
      </c>
      <c r="N3351" s="14">
        <v>1158</v>
      </c>
      <c r="O3351" s="14">
        <v>0</v>
      </c>
      <c r="P3351" s="14">
        <v>1479</v>
      </c>
      <c r="Q3351">
        <v>12295</v>
      </c>
      <c r="R3351">
        <v>910</v>
      </c>
      <c r="S3351">
        <v>1493</v>
      </c>
    </row>
    <row r="3352" spans="11:19" x14ac:dyDescent="0.3">
      <c r="K3352" s="16">
        <f t="shared" si="51"/>
        <v>44155</v>
      </c>
      <c r="L3352" s="17">
        <v>0.58333333333333337</v>
      </c>
      <c r="M3352" s="14">
        <v>321</v>
      </c>
      <c r="N3352" s="14">
        <v>1094</v>
      </c>
      <c r="O3352" s="14">
        <v>0</v>
      </c>
      <c r="P3352" s="14">
        <v>1415</v>
      </c>
      <c r="Q3352">
        <v>12011</v>
      </c>
      <c r="R3352">
        <v>965</v>
      </c>
      <c r="S3352">
        <v>1216</v>
      </c>
    </row>
    <row r="3353" spans="11:19" x14ac:dyDescent="0.3">
      <c r="K3353" s="16">
        <f t="shared" si="51"/>
        <v>44155</v>
      </c>
      <c r="L3353" s="17">
        <v>0.625</v>
      </c>
      <c r="M3353" s="14">
        <v>321</v>
      </c>
      <c r="N3353" s="14">
        <v>1388</v>
      </c>
      <c r="O3353" s="14">
        <v>0</v>
      </c>
      <c r="P3353" s="14">
        <v>1709</v>
      </c>
      <c r="Q3353">
        <v>11742</v>
      </c>
      <c r="R3353">
        <v>907</v>
      </c>
      <c r="S3353">
        <v>710</v>
      </c>
    </row>
    <row r="3354" spans="11:19" x14ac:dyDescent="0.3">
      <c r="K3354" s="16">
        <f t="shared" si="51"/>
        <v>44155</v>
      </c>
      <c r="L3354" s="17">
        <v>0.66666666666666663</v>
      </c>
      <c r="M3354" s="14">
        <v>321</v>
      </c>
      <c r="N3354" s="14">
        <v>0</v>
      </c>
      <c r="O3354" s="14">
        <v>0</v>
      </c>
      <c r="P3354" s="14">
        <v>321</v>
      </c>
      <c r="Q3354">
        <v>11743</v>
      </c>
      <c r="R3354">
        <v>905</v>
      </c>
      <c r="S3354">
        <v>186</v>
      </c>
    </row>
    <row r="3355" spans="11:19" x14ac:dyDescent="0.3">
      <c r="K3355" s="16">
        <f t="shared" ref="K3355:K3418" si="52">K3331+1</f>
        <v>44155</v>
      </c>
      <c r="L3355" s="17">
        <v>0.70833333333333337</v>
      </c>
      <c r="M3355" s="14">
        <v>321</v>
      </c>
      <c r="N3355" s="14">
        <v>2611</v>
      </c>
      <c r="O3355" s="14">
        <v>0</v>
      </c>
      <c r="P3355" s="14">
        <v>2932</v>
      </c>
      <c r="Q3355">
        <v>12466</v>
      </c>
      <c r="R3355">
        <v>935</v>
      </c>
      <c r="S3355">
        <v>6</v>
      </c>
    </row>
    <row r="3356" spans="11:19" x14ac:dyDescent="0.3">
      <c r="K3356" s="16">
        <f t="shared" si="52"/>
        <v>44155</v>
      </c>
      <c r="L3356" s="17">
        <v>0.75</v>
      </c>
      <c r="M3356" s="14">
        <v>321</v>
      </c>
      <c r="N3356" s="14">
        <v>603</v>
      </c>
      <c r="O3356" s="14">
        <v>0</v>
      </c>
      <c r="P3356" s="14">
        <v>924</v>
      </c>
      <c r="Q3356">
        <v>13121</v>
      </c>
      <c r="R3356">
        <v>877</v>
      </c>
      <c r="S3356">
        <v>0</v>
      </c>
    </row>
    <row r="3357" spans="11:19" x14ac:dyDescent="0.3">
      <c r="K3357" s="16">
        <f t="shared" si="52"/>
        <v>44155</v>
      </c>
      <c r="L3357" s="17">
        <v>0.79166666666666663</v>
      </c>
      <c r="M3357" s="14">
        <v>321</v>
      </c>
      <c r="N3357" s="14">
        <v>2611</v>
      </c>
      <c r="O3357" s="14">
        <v>0</v>
      </c>
      <c r="P3357" s="14">
        <v>2932</v>
      </c>
      <c r="Q3357">
        <v>13043</v>
      </c>
      <c r="R3357">
        <v>919</v>
      </c>
      <c r="S3357">
        <v>0</v>
      </c>
    </row>
    <row r="3358" spans="11:19" x14ac:dyDescent="0.3">
      <c r="K3358" s="16">
        <f t="shared" si="52"/>
        <v>44155</v>
      </c>
      <c r="L3358" s="17">
        <v>0.83333333333333337</v>
      </c>
      <c r="M3358" s="14">
        <v>321</v>
      </c>
      <c r="N3358" s="14">
        <v>2611</v>
      </c>
      <c r="O3358" s="14">
        <v>0</v>
      </c>
      <c r="P3358" s="14">
        <v>2932</v>
      </c>
      <c r="Q3358">
        <v>12333</v>
      </c>
      <c r="R3358">
        <v>970</v>
      </c>
      <c r="S3358">
        <v>0</v>
      </c>
    </row>
    <row r="3359" spans="11:19" x14ac:dyDescent="0.3">
      <c r="K3359" s="16">
        <f t="shared" si="52"/>
        <v>44155</v>
      </c>
      <c r="L3359" s="17">
        <v>0.875</v>
      </c>
      <c r="M3359" s="14">
        <v>321</v>
      </c>
      <c r="N3359" s="14">
        <v>0</v>
      </c>
      <c r="O3359" s="14">
        <v>0</v>
      </c>
      <c r="P3359" s="14">
        <v>321</v>
      </c>
      <c r="Q3359">
        <v>11793</v>
      </c>
      <c r="R3359">
        <v>1081</v>
      </c>
      <c r="S3359">
        <v>0</v>
      </c>
    </row>
    <row r="3360" spans="11:19" x14ac:dyDescent="0.3">
      <c r="K3360" s="16">
        <f t="shared" si="52"/>
        <v>44155</v>
      </c>
      <c r="L3360" s="17">
        <v>0.91666666666666663</v>
      </c>
      <c r="M3360" s="14">
        <v>321</v>
      </c>
      <c r="N3360" s="14">
        <v>2306</v>
      </c>
      <c r="O3360" s="14">
        <v>0</v>
      </c>
      <c r="P3360" s="14">
        <v>2627</v>
      </c>
      <c r="Q3360">
        <v>12065</v>
      </c>
      <c r="R3360">
        <v>1037</v>
      </c>
      <c r="S3360">
        <v>0</v>
      </c>
    </row>
    <row r="3361" spans="11:19" x14ac:dyDescent="0.3">
      <c r="K3361" s="16">
        <f t="shared" si="52"/>
        <v>44155</v>
      </c>
      <c r="L3361" s="17">
        <v>0.95833333333333337</v>
      </c>
      <c r="M3361" s="14">
        <v>321</v>
      </c>
      <c r="N3361" s="14">
        <v>0</v>
      </c>
      <c r="O3361" s="14">
        <v>0</v>
      </c>
      <c r="P3361" s="14">
        <v>321</v>
      </c>
      <c r="Q3361">
        <v>12214</v>
      </c>
      <c r="R3361">
        <v>893</v>
      </c>
      <c r="S3361">
        <v>0</v>
      </c>
    </row>
    <row r="3362" spans="11:19" x14ac:dyDescent="0.3">
      <c r="K3362" s="16">
        <f t="shared" si="52"/>
        <v>44156</v>
      </c>
      <c r="L3362" s="17">
        <v>0</v>
      </c>
      <c r="M3362" s="14">
        <v>321</v>
      </c>
      <c r="N3362" s="14">
        <v>1851</v>
      </c>
      <c r="O3362" s="14">
        <v>0</v>
      </c>
      <c r="P3362" s="14">
        <v>2172</v>
      </c>
      <c r="Q3362">
        <v>11457</v>
      </c>
      <c r="R3362">
        <v>827</v>
      </c>
      <c r="S3362">
        <v>0</v>
      </c>
    </row>
    <row r="3363" spans="11:19" x14ac:dyDescent="0.3">
      <c r="K3363" s="16">
        <f t="shared" si="52"/>
        <v>44156</v>
      </c>
      <c r="L3363" s="17">
        <v>4.1666666666666664E-2</v>
      </c>
      <c r="M3363" s="14">
        <v>321</v>
      </c>
      <c r="N3363" s="14">
        <v>1851</v>
      </c>
      <c r="O3363" s="14">
        <v>0</v>
      </c>
      <c r="P3363" s="14">
        <v>2172</v>
      </c>
      <c r="Q3363">
        <v>11125</v>
      </c>
      <c r="R3363">
        <v>800</v>
      </c>
      <c r="S3363">
        <v>0</v>
      </c>
    </row>
    <row r="3364" spans="11:19" x14ac:dyDescent="0.3">
      <c r="K3364" s="16">
        <f t="shared" si="52"/>
        <v>44156</v>
      </c>
      <c r="L3364" s="17">
        <v>8.3333333333333329E-2</v>
      </c>
      <c r="M3364" s="14">
        <v>321</v>
      </c>
      <c r="N3364" s="14">
        <v>1321</v>
      </c>
      <c r="O3364" s="14">
        <v>0</v>
      </c>
      <c r="P3364" s="14">
        <v>1642</v>
      </c>
      <c r="Q3364">
        <v>10855</v>
      </c>
      <c r="R3364">
        <v>843</v>
      </c>
      <c r="S3364">
        <v>0</v>
      </c>
    </row>
    <row r="3365" spans="11:19" x14ac:dyDescent="0.3">
      <c r="K3365" s="16">
        <f t="shared" si="52"/>
        <v>44156</v>
      </c>
      <c r="L3365" s="17">
        <v>0.125</v>
      </c>
      <c r="M3365" s="14">
        <v>321</v>
      </c>
      <c r="N3365" s="14">
        <v>1851</v>
      </c>
      <c r="O3365" s="14">
        <v>0</v>
      </c>
      <c r="P3365" s="14">
        <v>2172</v>
      </c>
      <c r="Q3365">
        <v>10434</v>
      </c>
      <c r="R3365">
        <v>927</v>
      </c>
      <c r="S3365">
        <v>0</v>
      </c>
    </row>
    <row r="3366" spans="11:19" x14ac:dyDescent="0.3">
      <c r="K3366" s="16">
        <f t="shared" si="52"/>
        <v>44156</v>
      </c>
      <c r="L3366" s="17">
        <v>0.16666666666666666</v>
      </c>
      <c r="M3366" s="14">
        <v>321</v>
      </c>
      <c r="N3366" s="14">
        <v>619</v>
      </c>
      <c r="O3366" s="14">
        <v>0</v>
      </c>
      <c r="P3366" s="14">
        <v>940</v>
      </c>
      <c r="Q3366">
        <v>10323</v>
      </c>
      <c r="R3366">
        <v>1016</v>
      </c>
      <c r="S3366">
        <v>0</v>
      </c>
    </row>
    <row r="3367" spans="11:19" x14ac:dyDescent="0.3">
      <c r="K3367" s="16">
        <f t="shared" si="52"/>
        <v>44156</v>
      </c>
      <c r="L3367" s="17">
        <v>0.20833333333333334</v>
      </c>
      <c r="M3367" s="14">
        <v>321</v>
      </c>
      <c r="N3367" s="14">
        <v>1851</v>
      </c>
      <c r="O3367" s="14">
        <v>0</v>
      </c>
      <c r="P3367" s="14">
        <v>2172</v>
      </c>
      <c r="Q3367">
        <v>10636</v>
      </c>
      <c r="R3367">
        <v>1050</v>
      </c>
      <c r="S3367">
        <v>0</v>
      </c>
    </row>
    <row r="3368" spans="11:19" x14ac:dyDescent="0.3">
      <c r="K3368" s="16">
        <f t="shared" si="52"/>
        <v>44156</v>
      </c>
      <c r="L3368" s="17">
        <v>0.25</v>
      </c>
      <c r="M3368" s="14">
        <v>321</v>
      </c>
      <c r="N3368" s="14">
        <v>1319</v>
      </c>
      <c r="O3368" s="14">
        <v>0</v>
      </c>
      <c r="P3368" s="14">
        <v>1640</v>
      </c>
      <c r="Q3368">
        <v>11216</v>
      </c>
      <c r="R3368">
        <v>1197</v>
      </c>
      <c r="S3368">
        <v>0</v>
      </c>
    </row>
    <row r="3369" spans="11:19" x14ac:dyDescent="0.3">
      <c r="K3369" s="16">
        <f t="shared" si="52"/>
        <v>44156</v>
      </c>
      <c r="L3369" s="17">
        <v>0.29166666666666669</v>
      </c>
      <c r="M3369" s="14">
        <v>321</v>
      </c>
      <c r="N3369" s="14">
        <v>1851</v>
      </c>
      <c r="O3369" s="14">
        <v>0</v>
      </c>
      <c r="P3369" s="14">
        <v>2172</v>
      </c>
      <c r="Q3369">
        <v>11725</v>
      </c>
      <c r="R3369">
        <v>1299</v>
      </c>
      <c r="S3369">
        <v>1</v>
      </c>
    </row>
    <row r="3370" spans="11:19" x14ac:dyDescent="0.3">
      <c r="K3370" s="16">
        <f t="shared" si="52"/>
        <v>44156</v>
      </c>
      <c r="L3370" s="17">
        <v>0.33333333333333331</v>
      </c>
      <c r="M3370" s="14">
        <v>321</v>
      </c>
      <c r="N3370" s="14">
        <v>1851</v>
      </c>
      <c r="O3370" s="14">
        <v>0</v>
      </c>
      <c r="P3370" s="14">
        <v>2172</v>
      </c>
      <c r="Q3370">
        <v>12082</v>
      </c>
      <c r="R3370">
        <v>1326</v>
      </c>
      <c r="S3370">
        <v>112</v>
      </c>
    </row>
    <row r="3371" spans="11:19" x14ac:dyDescent="0.3">
      <c r="K3371" s="16">
        <f t="shared" si="52"/>
        <v>44156</v>
      </c>
      <c r="L3371" s="17">
        <v>0.375</v>
      </c>
      <c r="M3371" s="14">
        <v>321</v>
      </c>
      <c r="N3371" s="14">
        <v>1642</v>
      </c>
      <c r="O3371" s="14">
        <v>0</v>
      </c>
      <c r="P3371" s="14">
        <v>1963</v>
      </c>
      <c r="Q3371">
        <v>12340</v>
      </c>
      <c r="R3371">
        <v>1436</v>
      </c>
      <c r="S3371">
        <v>530</v>
      </c>
    </row>
    <row r="3372" spans="11:19" x14ac:dyDescent="0.3">
      <c r="K3372" s="16">
        <f t="shared" si="52"/>
        <v>44156</v>
      </c>
      <c r="L3372" s="17">
        <v>0.41666666666666669</v>
      </c>
      <c r="M3372" s="14">
        <v>321</v>
      </c>
      <c r="N3372" s="14">
        <v>1232</v>
      </c>
      <c r="O3372" s="14">
        <v>0</v>
      </c>
      <c r="P3372" s="14">
        <v>1553</v>
      </c>
      <c r="Q3372">
        <v>12316</v>
      </c>
      <c r="R3372">
        <v>1371</v>
      </c>
      <c r="S3372">
        <v>981</v>
      </c>
    </row>
    <row r="3373" spans="11:19" x14ac:dyDescent="0.3">
      <c r="K3373" s="16">
        <f t="shared" si="52"/>
        <v>44156</v>
      </c>
      <c r="L3373" s="17">
        <v>0.45833333333333331</v>
      </c>
      <c r="M3373" s="14">
        <v>321</v>
      </c>
      <c r="N3373" s="14">
        <v>1176</v>
      </c>
      <c r="O3373" s="14">
        <v>0</v>
      </c>
      <c r="P3373" s="14">
        <v>1497</v>
      </c>
      <c r="Q3373">
        <v>12332</v>
      </c>
      <c r="R3373">
        <v>1214</v>
      </c>
      <c r="S3373">
        <v>1211</v>
      </c>
    </row>
    <row r="3374" spans="11:19" x14ac:dyDescent="0.3">
      <c r="K3374" s="16">
        <f t="shared" si="52"/>
        <v>44156</v>
      </c>
      <c r="L3374" s="17">
        <v>0.5</v>
      </c>
      <c r="M3374" s="14">
        <v>321</v>
      </c>
      <c r="N3374" s="14">
        <v>1045</v>
      </c>
      <c r="O3374" s="14">
        <v>0</v>
      </c>
      <c r="P3374" s="14">
        <v>1366</v>
      </c>
      <c r="Q3374">
        <v>12501</v>
      </c>
      <c r="R3374">
        <v>1437</v>
      </c>
      <c r="S3374">
        <v>1286</v>
      </c>
    </row>
    <row r="3375" spans="11:19" x14ac:dyDescent="0.3">
      <c r="K3375" s="16">
        <f t="shared" si="52"/>
        <v>44156</v>
      </c>
      <c r="L3375" s="17">
        <v>0.54166666666666663</v>
      </c>
      <c r="M3375" s="14">
        <v>321</v>
      </c>
      <c r="N3375" s="14">
        <v>683</v>
      </c>
      <c r="O3375" s="14">
        <v>0</v>
      </c>
      <c r="P3375" s="14">
        <v>1004</v>
      </c>
      <c r="Q3375">
        <v>12014</v>
      </c>
      <c r="R3375">
        <v>1417</v>
      </c>
      <c r="S3375">
        <v>1181</v>
      </c>
    </row>
    <row r="3376" spans="11:19" x14ac:dyDescent="0.3">
      <c r="K3376" s="16">
        <f t="shared" si="52"/>
        <v>44156</v>
      </c>
      <c r="L3376" s="17">
        <v>0.58333333333333337</v>
      </c>
      <c r="M3376" s="14">
        <v>321</v>
      </c>
      <c r="N3376" s="14">
        <v>695</v>
      </c>
      <c r="O3376" s="14">
        <v>0</v>
      </c>
      <c r="P3376" s="14">
        <v>1016</v>
      </c>
      <c r="Q3376">
        <v>11576</v>
      </c>
      <c r="R3376">
        <v>1235</v>
      </c>
      <c r="S3376">
        <v>914</v>
      </c>
    </row>
    <row r="3377" spans="11:19" x14ac:dyDescent="0.3">
      <c r="K3377" s="16">
        <f t="shared" si="52"/>
        <v>44156</v>
      </c>
      <c r="L3377" s="17">
        <v>0.625</v>
      </c>
      <c r="M3377" s="14">
        <v>321</v>
      </c>
      <c r="N3377" s="14">
        <v>701</v>
      </c>
      <c r="O3377" s="14">
        <v>0</v>
      </c>
      <c r="P3377" s="14">
        <v>1022</v>
      </c>
      <c r="Q3377">
        <v>11331</v>
      </c>
      <c r="R3377">
        <v>1384</v>
      </c>
      <c r="S3377">
        <v>514</v>
      </c>
    </row>
    <row r="3378" spans="11:19" x14ac:dyDescent="0.3">
      <c r="K3378" s="16">
        <f t="shared" si="52"/>
        <v>44156</v>
      </c>
      <c r="L3378" s="17">
        <v>0.66666666666666663</v>
      </c>
      <c r="M3378" s="14">
        <v>321</v>
      </c>
      <c r="N3378" s="14">
        <v>700</v>
      </c>
      <c r="O3378" s="14">
        <v>0</v>
      </c>
      <c r="P3378" s="14">
        <v>1021</v>
      </c>
      <c r="Q3378">
        <v>11307</v>
      </c>
      <c r="R3378">
        <v>1762</v>
      </c>
      <c r="S3378">
        <v>114</v>
      </c>
    </row>
    <row r="3379" spans="11:19" x14ac:dyDescent="0.3">
      <c r="K3379" s="16">
        <f t="shared" si="52"/>
        <v>44156</v>
      </c>
      <c r="L3379" s="17">
        <v>0.70833333333333337</v>
      </c>
      <c r="M3379" s="14">
        <v>321</v>
      </c>
      <c r="N3379" s="14">
        <v>1169</v>
      </c>
      <c r="O3379" s="14">
        <v>0</v>
      </c>
      <c r="P3379" s="14">
        <v>1490</v>
      </c>
      <c r="Q3379">
        <v>11943</v>
      </c>
      <c r="R3379">
        <v>2039</v>
      </c>
      <c r="S3379">
        <v>4</v>
      </c>
    </row>
    <row r="3380" spans="11:19" x14ac:dyDescent="0.3">
      <c r="K3380" s="16">
        <f t="shared" si="52"/>
        <v>44156</v>
      </c>
      <c r="L3380" s="17">
        <v>0.75</v>
      </c>
      <c r="M3380" s="14">
        <v>321</v>
      </c>
      <c r="N3380" s="14">
        <v>1508</v>
      </c>
      <c r="O3380" s="14">
        <v>0</v>
      </c>
      <c r="P3380" s="14">
        <v>1829</v>
      </c>
      <c r="Q3380">
        <v>12431</v>
      </c>
      <c r="R3380">
        <v>2188</v>
      </c>
      <c r="S3380">
        <v>0</v>
      </c>
    </row>
    <row r="3381" spans="11:19" x14ac:dyDescent="0.3">
      <c r="K3381" s="16">
        <f t="shared" si="52"/>
        <v>44156</v>
      </c>
      <c r="L3381" s="17">
        <v>0.79166666666666663</v>
      </c>
      <c r="M3381" s="14">
        <v>321</v>
      </c>
      <c r="N3381" s="14">
        <v>1099</v>
      </c>
      <c r="O3381" s="14">
        <v>0</v>
      </c>
      <c r="P3381" s="14">
        <v>1420</v>
      </c>
      <c r="Q3381">
        <v>12210</v>
      </c>
      <c r="R3381">
        <v>2381</v>
      </c>
      <c r="S3381">
        <v>0</v>
      </c>
    </row>
    <row r="3382" spans="11:19" x14ac:dyDescent="0.3">
      <c r="K3382" s="16">
        <f t="shared" si="52"/>
        <v>44156</v>
      </c>
      <c r="L3382" s="17">
        <v>0.83333333333333337</v>
      </c>
      <c r="M3382" s="14">
        <v>321</v>
      </c>
      <c r="N3382" s="14">
        <v>176</v>
      </c>
      <c r="O3382" s="14">
        <v>0</v>
      </c>
      <c r="P3382" s="14">
        <v>497</v>
      </c>
      <c r="Q3382">
        <v>11476</v>
      </c>
      <c r="R3382">
        <v>2578</v>
      </c>
      <c r="S3382">
        <v>0</v>
      </c>
    </row>
    <row r="3383" spans="11:19" x14ac:dyDescent="0.3">
      <c r="K3383" s="16">
        <f t="shared" si="52"/>
        <v>44156</v>
      </c>
      <c r="L3383" s="17">
        <v>0.875</v>
      </c>
      <c r="M3383" s="14">
        <v>321</v>
      </c>
      <c r="N3383" s="14">
        <v>0</v>
      </c>
      <c r="O3383" s="14">
        <v>0</v>
      </c>
      <c r="P3383" s="14">
        <v>321</v>
      </c>
      <c r="Q3383">
        <v>10876</v>
      </c>
      <c r="R3383">
        <v>2722</v>
      </c>
      <c r="S3383">
        <v>0</v>
      </c>
    </row>
    <row r="3384" spans="11:19" x14ac:dyDescent="0.3">
      <c r="K3384" s="16">
        <f t="shared" si="52"/>
        <v>44156</v>
      </c>
      <c r="L3384" s="17">
        <v>0.91666666666666663</v>
      </c>
      <c r="M3384" s="14">
        <v>321</v>
      </c>
      <c r="N3384" s="14">
        <v>0</v>
      </c>
      <c r="O3384" s="14">
        <v>0</v>
      </c>
      <c r="P3384" s="14">
        <v>321</v>
      </c>
      <c r="Q3384">
        <v>11151</v>
      </c>
      <c r="R3384">
        <v>2976</v>
      </c>
      <c r="S3384">
        <v>0</v>
      </c>
    </row>
    <row r="3385" spans="11:19" x14ac:dyDescent="0.3">
      <c r="K3385" s="16">
        <f t="shared" si="52"/>
        <v>44156</v>
      </c>
      <c r="L3385" s="17">
        <v>0.95833333333333337</v>
      </c>
      <c r="M3385" s="14">
        <v>321</v>
      </c>
      <c r="N3385" s="14">
        <v>0</v>
      </c>
      <c r="O3385" s="14">
        <v>0</v>
      </c>
      <c r="P3385" s="14">
        <v>321</v>
      </c>
      <c r="Q3385">
        <v>11357</v>
      </c>
      <c r="R3385">
        <v>3054</v>
      </c>
      <c r="S3385">
        <v>0</v>
      </c>
    </row>
    <row r="3386" spans="11:19" x14ac:dyDescent="0.3">
      <c r="K3386" s="16">
        <f t="shared" si="52"/>
        <v>44157</v>
      </c>
      <c r="L3386" s="17">
        <v>0</v>
      </c>
      <c r="M3386" s="14">
        <v>321</v>
      </c>
      <c r="N3386" s="14">
        <v>0</v>
      </c>
      <c r="O3386" s="14">
        <v>0</v>
      </c>
      <c r="P3386" s="14">
        <v>321</v>
      </c>
      <c r="Q3386">
        <v>10854</v>
      </c>
      <c r="R3386">
        <v>2918</v>
      </c>
      <c r="S3386">
        <v>0</v>
      </c>
    </row>
    <row r="3387" spans="11:19" x14ac:dyDescent="0.3">
      <c r="K3387" s="16">
        <f t="shared" si="52"/>
        <v>44157</v>
      </c>
      <c r="L3387" s="17">
        <v>4.1666666666666664E-2</v>
      </c>
      <c r="M3387" s="14">
        <v>321</v>
      </c>
      <c r="N3387" s="14">
        <v>0</v>
      </c>
      <c r="O3387" s="14">
        <v>0</v>
      </c>
      <c r="P3387" s="14">
        <v>321</v>
      </c>
      <c r="Q3387">
        <v>10487</v>
      </c>
      <c r="R3387">
        <v>2886</v>
      </c>
      <c r="S3387">
        <v>0</v>
      </c>
    </row>
    <row r="3388" spans="11:19" x14ac:dyDescent="0.3">
      <c r="K3388" s="16">
        <f t="shared" si="52"/>
        <v>44157</v>
      </c>
      <c r="L3388" s="17">
        <v>8.3333333333333329E-2</v>
      </c>
      <c r="M3388" s="14">
        <v>321</v>
      </c>
      <c r="N3388" s="14">
        <v>0</v>
      </c>
      <c r="O3388" s="14">
        <v>0</v>
      </c>
      <c r="P3388" s="14">
        <v>321</v>
      </c>
      <c r="Q3388">
        <v>10103</v>
      </c>
      <c r="R3388">
        <v>2889</v>
      </c>
      <c r="S3388">
        <v>0</v>
      </c>
    </row>
    <row r="3389" spans="11:19" x14ac:dyDescent="0.3">
      <c r="K3389" s="16">
        <f t="shared" si="52"/>
        <v>44157</v>
      </c>
      <c r="L3389" s="17">
        <v>0.125</v>
      </c>
      <c r="M3389" s="14">
        <v>321</v>
      </c>
      <c r="N3389" s="14">
        <v>0</v>
      </c>
      <c r="O3389" s="14">
        <v>0</v>
      </c>
      <c r="P3389" s="14">
        <v>321</v>
      </c>
      <c r="Q3389">
        <v>9568</v>
      </c>
      <c r="R3389">
        <v>3056</v>
      </c>
      <c r="S3389">
        <v>0</v>
      </c>
    </row>
    <row r="3390" spans="11:19" x14ac:dyDescent="0.3">
      <c r="K3390" s="16">
        <f t="shared" si="52"/>
        <v>44157</v>
      </c>
      <c r="L3390" s="17">
        <v>0.16666666666666666</v>
      </c>
      <c r="M3390" s="14">
        <v>321</v>
      </c>
      <c r="N3390" s="14">
        <v>0</v>
      </c>
      <c r="O3390" s="14">
        <v>0</v>
      </c>
      <c r="P3390" s="14">
        <v>321</v>
      </c>
      <c r="Q3390">
        <v>9295</v>
      </c>
      <c r="R3390">
        <v>3164</v>
      </c>
      <c r="S3390">
        <v>0</v>
      </c>
    </row>
    <row r="3391" spans="11:19" x14ac:dyDescent="0.3">
      <c r="K3391" s="16">
        <f t="shared" si="52"/>
        <v>44157</v>
      </c>
      <c r="L3391" s="17">
        <v>0.20833333333333334</v>
      </c>
      <c r="M3391" s="14">
        <v>321</v>
      </c>
      <c r="N3391" s="14">
        <v>134</v>
      </c>
      <c r="O3391" s="14">
        <v>0</v>
      </c>
      <c r="P3391" s="14">
        <v>455</v>
      </c>
      <c r="Q3391">
        <v>9347</v>
      </c>
      <c r="R3391">
        <v>3304</v>
      </c>
      <c r="S3391">
        <v>0</v>
      </c>
    </row>
    <row r="3392" spans="11:19" x14ac:dyDescent="0.3">
      <c r="K3392" s="16">
        <f t="shared" si="52"/>
        <v>44157</v>
      </c>
      <c r="L3392" s="17">
        <v>0.25</v>
      </c>
      <c r="M3392" s="14">
        <v>321</v>
      </c>
      <c r="N3392" s="14">
        <v>0</v>
      </c>
      <c r="O3392" s="14">
        <v>0</v>
      </c>
      <c r="P3392" s="14">
        <v>321</v>
      </c>
      <c r="Q3392">
        <v>9526</v>
      </c>
      <c r="R3392">
        <v>3421</v>
      </c>
      <c r="S3392">
        <v>0</v>
      </c>
    </row>
    <row r="3393" spans="11:19" x14ac:dyDescent="0.3">
      <c r="K3393" s="16">
        <f t="shared" si="52"/>
        <v>44157</v>
      </c>
      <c r="L3393" s="17">
        <v>0.29166666666666669</v>
      </c>
      <c r="M3393" s="14">
        <v>321</v>
      </c>
      <c r="N3393" s="14">
        <v>0</v>
      </c>
      <c r="O3393" s="14">
        <v>0</v>
      </c>
      <c r="P3393" s="14">
        <v>321</v>
      </c>
      <c r="Q3393">
        <v>9642</v>
      </c>
      <c r="R3393">
        <v>3473</v>
      </c>
      <c r="S3393">
        <v>0</v>
      </c>
    </row>
    <row r="3394" spans="11:19" x14ac:dyDescent="0.3">
      <c r="K3394" s="16">
        <f t="shared" si="52"/>
        <v>44157</v>
      </c>
      <c r="L3394" s="17">
        <v>0.33333333333333331</v>
      </c>
      <c r="M3394" s="14">
        <v>321</v>
      </c>
      <c r="N3394" s="14">
        <v>279</v>
      </c>
      <c r="O3394" s="14">
        <v>0</v>
      </c>
      <c r="P3394" s="14">
        <v>600</v>
      </c>
      <c r="Q3394">
        <v>9949</v>
      </c>
      <c r="R3394">
        <v>3714</v>
      </c>
      <c r="S3394">
        <v>88</v>
      </c>
    </row>
    <row r="3395" spans="11:19" x14ac:dyDescent="0.3">
      <c r="K3395" s="16">
        <f t="shared" si="52"/>
        <v>44157</v>
      </c>
      <c r="L3395" s="17">
        <v>0.375</v>
      </c>
      <c r="M3395" s="14">
        <v>321</v>
      </c>
      <c r="N3395" s="14">
        <v>0</v>
      </c>
      <c r="O3395" s="14">
        <v>0</v>
      </c>
      <c r="P3395" s="14">
        <v>321</v>
      </c>
      <c r="Q3395">
        <v>10344</v>
      </c>
      <c r="R3395">
        <v>3752</v>
      </c>
      <c r="S3395">
        <v>429</v>
      </c>
    </row>
    <row r="3396" spans="11:19" x14ac:dyDescent="0.3">
      <c r="K3396" s="16">
        <f t="shared" si="52"/>
        <v>44157</v>
      </c>
      <c r="L3396" s="17">
        <v>0.41666666666666669</v>
      </c>
      <c r="M3396" s="14">
        <v>321</v>
      </c>
      <c r="N3396" s="14">
        <v>0</v>
      </c>
      <c r="O3396" s="14">
        <v>0</v>
      </c>
      <c r="P3396" s="14">
        <v>321</v>
      </c>
      <c r="Q3396">
        <v>10571</v>
      </c>
      <c r="R3396">
        <v>3773</v>
      </c>
      <c r="S3396">
        <v>834</v>
      </c>
    </row>
    <row r="3397" spans="11:19" x14ac:dyDescent="0.3">
      <c r="K3397" s="16">
        <f t="shared" si="52"/>
        <v>44157</v>
      </c>
      <c r="L3397" s="17">
        <v>0.45833333333333331</v>
      </c>
      <c r="M3397" s="14">
        <v>321</v>
      </c>
      <c r="N3397" s="14">
        <v>0</v>
      </c>
      <c r="O3397" s="14">
        <v>205</v>
      </c>
      <c r="P3397" s="14">
        <v>526</v>
      </c>
      <c r="Q3397">
        <v>10774</v>
      </c>
      <c r="R3397">
        <v>3572</v>
      </c>
      <c r="S3397">
        <v>1127</v>
      </c>
    </row>
    <row r="3398" spans="11:19" x14ac:dyDescent="0.3">
      <c r="K3398" s="16">
        <f t="shared" si="52"/>
        <v>44157</v>
      </c>
      <c r="L3398" s="17">
        <v>0.5</v>
      </c>
      <c r="M3398" s="14">
        <v>321</v>
      </c>
      <c r="N3398" s="14">
        <v>0</v>
      </c>
      <c r="O3398" s="14">
        <v>0</v>
      </c>
      <c r="P3398" s="14">
        <v>321</v>
      </c>
      <c r="Q3398">
        <v>11107</v>
      </c>
      <c r="R3398">
        <v>3665</v>
      </c>
      <c r="S3398">
        <v>1242</v>
      </c>
    </row>
    <row r="3399" spans="11:19" x14ac:dyDescent="0.3">
      <c r="K3399" s="16">
        <f t="shared" si="52"/>
        <v>44157</v>
      </c>
      <c r="L3399" s="17">
        <v>0.54166666666666663</v>
      </c>
      <c r="M3399" s="14">
        <v>321</v>
      </c>
      <c r="N3399" s="14">
        <v>0</v>
      </c>
      <c r="O3399" s="14">
        <v>-284</v>
      </c>
      <c r="P3399" s="14">
        <v>37</v>
      </c>
      <c r="Q3399">
        <v>10537</v>
      </c>
      <c r="R3399">
        <v>3860</v>
      </c>
      <c r="S3399">
        <v>1169</v>
      </c>
    </row>
    <row r="3400" spans="11:19" x14ac:dyDescent="0.3">
      <c r="K3400" s="16">
        <f t="shared" si="52"/>
        <v>44157</v>
      </c>
      <c r="L3400" s="17">
        <v>0.58333333333333337</v>
      </c>
      <c r="M3400" s="14">
        <v>321</v>
      </c>
      <c r="N3400" s="14">
        <v>0</v>
      </c>
      <c r="O3400" s="14">
        <v>-560</v>
      </c>
      <c r="P3400" s="14">
        <v>-239</v>
      </c>
      <c r="Q3400">
        <v>10028</v>
      </c>
      <c r="R3400">
        <v>3850</v>
      </c>
      <c r="S3400">
        <v>946</v>
      </c>
    </row>
    <row r="3401" spans="11:19" x14ac:dyDescent="0.3">
      <c r="K3401" s="16">
        <f t="shared" si="52"/>
        <v>44157</v>
      </c>
      <c r="L3401" s="17">
        <v>0.625</v>
      </c>
      <c r="M3401" s="14">
        <v>321</v>
      </c>
      <c r="N3401" s="14">
        <v>0</v>
      </c>
      <c r="O3401" s="14">
        <v>-475</v>
      </c>
      <c r="P3401" s="14">
        <v>-154</v>
      </c>
      <c r="Q3401">
        <v>9747</v>
      </c>
      <c r="R3401">
        <v>3892</v>
      </c>
      <c r="S3401">
        <v>539</v>
      </c>
    </row>
    <row r="3402" spans="11:19" x14ac:dyDescent="0.3">
      <c r="K3402" s="16">
        <f t="shared" si="52"/>
        <v>44157</v>
      </c>
      <c r="L3402" s="17">
        <v>0.66666666666666663</v>
      </c>
      <c r="M3402" s="14">
        <v>321</v>
      </c>
      <c r="N3402" s="14">
        <v>0</v>
      </c>
      <c r="O3402" s="14">
        <v>-104</v>
      </c>
      <c r="P3402" s="14">
        <v>217</v>
      </c>
      <c r="Q3402">
        <v>9763</v>
      </c>
      <c r="R3402">
        <v>3937</v>
      </c>
      <c r="S3402">
        <v>139</v>
      </c>
    </row>
    <row r="3403" spans="11:19" x14ac:dyDescent="0.3">
      <c r="K3403" s="16">
        <f t="shared" si="52"/>
        <v>44157</v>
      </c>
      <c r="L3403" s="17">
        <v>0.70833333333333337</v>
      </c>
      <c r="M3403" s="14">
        <v>321</v>
      </c>
      <c r="N3403" s="14">
        <v>0</v>
      </c>
      <c r="O3403" s="14">
        <v>509</v>
      </c>
      <c r="P3403" s="14">
        <v>830</v>
      </c>
      <c r="Q3403">
        <v>10434</v>
      </c>
      <c r="R3403">
        <v>4131</v>
      </c>
      <c r="S3403">
        <v>3</v>
      </c>
    </row>
    <row r="3404" spans="11:19" x14ac:dyDescent="0.3">
      <c r="K3404" s="16">
        <f t="shared" si="52"/>
        <v>44157</v>
      </c>
      <c r="L3404" s="17">
        <v>0.75</v>
      </c>
      <c r="M3404" s="14">
        <v>321</v>
      </c>
      <c r="N3404" s="14">
        <v>0</v>
      </c>
      <c r="O3404" s="14">
        <v>0</v>
      </c>
      <c r="P3404" s="14">
        <v>321</v>
      </c>
      <c r="Q3404">
        <v>11081</v>
      </c>
      <c r="R3404">
        <v>4106</v>
      </c>
      <c r="S3404">
        <v>0</v>
      </c>
    </row>
    <row r="3405" spans="11:19" x14ac:dyDescent="0.3">
      <c r="K3405" s="16">
        <f t="shared" si="52"/>
        <v>44157</v>
      </c>
      <c r="L3405" s="17">
        <v>0.79166666666666663</v>
      </c>
      <c r="M3405" s="14">
        <v>321</v>
      </c>
      <c r="N3405" s="14">
        <v>0</v>
      </c>
      <c r="O3405" s="14">
        <v>425</v>
      </c>
      <c r="P3405" s="14">
        <v>746</v>
      </c>
      <c r="Q3405">
        <v>10811</v>
      </c>
      <c r="R3405">
        <v>3907</v>
      </c>
      <c r="S3405">
        <v>0</v>
      </c>
    </row>
    <row r="3406" spans="11:19" x14ac:dyDescent="0.3">
      <c r="K3406" s="16">
        <f t="shared" si="52"/>
        <v>44157</v>
      </c>
      <c r="L3406" s="17">
        <v>0.83333333333333337</v>
      </c>
      <c r="M3406" s="14">
        <v>321</v>
      </c>
      <c r="N3406" s="14">
        <v>0</v>
      </c>
      <c r="O3406" s="14">
        <v>0</v>
      </c>
      <c r="P3406" s="14">
        <v>321</v>
      </c>
      <c r="Q3406">
        <v>10350</v>
      </c>
      <c r="R3406">
        <v>3836</v>
      </c>
      <c r="S3406">
        <v>0</v>
      </c>
    </row>
    <row r="3407" spans="11:19" x14ac:dyDescent="0.3">
      <c r="K3407" s="16">
        <f t="shared" si="52"/>
        <v>44157</v>
      </c>
      <c r="L3407" s="17">
        <v>0.875</v>
      </c>
      <c r="M3407" s="14">
        <v>321</v>
      </c>
      <c r="N3407" s="14">
        <v>0</v>
      </c>
      <c r="O3407" s="14">
        <v>0</v>
      </c>
      <c r="P3407" s="14">
        <v>321</v>
      </c>
      <c r="Q3407">
        <v>9870</v>
      </c>
      <c r="R3407">
        <v>3587</v>
      </c>
      <c r="S3407">
        <v>0</v>
      </c>
    </row>
    <row r="3408" spans="11:19" x14ac:dyDescent="0.3">
      <c r="K3408" s="16">
        <f t="shared" si="52"/>
        <v>44157</v>
      </c>
      <c r="L3408" s="17">
        <v>0.91666666666666663</v>
      </c>
      <c r="M3408" s="14">
        <v>321</v>
      </c>
      <c r="N3408" s="14">
        <v>0</v>
      </c>
      <c r="O3408" s="14">
        <v>0</v>
      </c>
      <c r="P3408" s="14">
        <v>321</v>
      </c>
      <c r="Q3408">
        <v>10072</v>
      </c>
      <c r="R3408">
        <v>3362</v>
      </c>
      <c r="S3408">
        <v>0</v>
      </c>
    </row>
    <row r="3409" spans="11:19" x14ac:dyDescent="0.3">
      <c r="K3409" s="16">
        <f t="shared" si="52"/>
        <v>44157</v>
      </c>
      <c r="L3409" s="17">
        <v>0.95833333333333337</v>
      </c>
      <c r="M3409" s="14">
        <v>321</v>
      </c>
      <c r="N3409" s="14">
        <v>0</v>
      </c>
      <c r="O3409" s="14">
        <v>0</v>
      </c>
      <c r="P3409" s="14">
        <v>321</v>
      </c>
      <c r="Q3409">
        <v>10244</v>
      </c>
      <c r="R3409">
        <v>3482</v>
      </c>
      <c r="S3409">
        <v>0</v>
      </c>
    </row>
    <row r="3410" spans="11:19" x14ac:dyDescent="0.3">
      <c r="K3410" s="16">
        <f t="shared" si="52"/>
        <v>44158</v>
      </c>
      <c r="L3410" s="17">
        <v>0</v>
      </c>
      <c r="M3410" s="14">
        <v>321</v>
      </c>
      <c r="N3410" s="14">
        <v>351</v>
      </c>
      <c r="O3410" s="14">
        <v>0</v>
      </c>
      <c r="P3410" s="14">
        <v>672</v>
      </c>
      <c r="Q3410">
        <v>9835</v>
      </c>
      <c r="R3410">
        <v>3562</v>
      </c>
      <c r="S3410">
        <v>0</v>
      </c>
    </row>
    <row r="3411" spans="11:19" x14ac:dyDescent="0.3">
      <c r="K3411" s="16">
        <f t="shared" si="52"/>
        <v>44158</v>
      </c>
      <c r="L3411" s="17">
        <v>4.1666666666666664E-2</v>
      </c>
      <c r="M3411" s="14">
        <v>321</v>
      </c>
      <c r="N3411" s="14">
        <v>0</v>
      </c>
      <c r="O3411" s="14">
        <v>0</v>
      </c>
      <c r="P3411" s="14">
        <v>321</v>
      </c>
      <c r="Q3411">
        <v>9518</v>
      </c>
      <c r="R3411">
        <v>3226</v>
      </c>
      <c r="S3411">
        <v>0</v>
      </c>
    </row>
    <row r="3412" spans="11:19" x14ac:dyDescent="0.3">
      <c r="K3412" s="16">
        <f t="shared" si="52"/>
        <v>44158</v>
      </c>
      <c r="L3412" s="17">
        <v>8.3333333333333329E-2</v>
      </c>
      <c r="M3412" s="14">
        <v>321</v>
      </c>
      <c r="N3412" s="14">
        <v>0</v>
      </c>
      <c r="O3412" s="14">
        <v>0</v>
      </c>
      <c r="P3412" s="14">
        <v>321</v>
      </c>
      <c r="Q3412">
        <v>9226</v>
      </c>
      <c r="R3412">
        <v>3234</v>
      </c>
      <c r="S3412">
        <v>0</v>
      </c>
    </row>
    <row r="3413" spans="11:19" x14ac:dyDescent="0.3">
      <c r="K3413" s="16">
        <f t="shared" si="52"/>
        <v>44158</v>
      </c>
      <c r="L3413" s="17">
        <v>0.125</v>
      </c>
      <c r="M3413" s="14">
        <v>321</v>
      </c>
      <c r="N3413" s="14">
        <v>0</v>
      </c>
      <c r="O3413" s="14">
        <v>-227</v>
      </c>
      <c r="P3413" s="14">
        <v>94</v>
      </c>
      <c r="Q3413">
        <v>8805</v>
      </c>
      <c r="R3413">
        <v>3112</v>
      </c>
      <c r="S3413">
        <v>0</v>
      </c>
    </row>
    <row r="3414" spans="11:19" x14ac:dyDescent="0.3">
      <c r="K3414" s="16">
        <f t="shared" si="52"/>
        <v>44158</v>
      </c>
      <c r="L3414" s="17">
        <v>0.16666666666666666</v>
      </c>
      <c r="M3414" s="14">
        <v>321</v>
      </c>
      <c r="N3414" s="14">
        <v>0</v>
      </c>
      <c r="O3414" s="14">
        <v>-324</v>
      </c>
      <c r="P3414" s="14">
        <v>-3</v>
      </c>
      <c r="Q3414">
        <v>8800</v>
      </c>
      <c r="R3414">
        <v>2962</v>
      </c>
      <c r="S3414">
        <v>0</v>
      </c>
    </row>
    <row r="3415" spans="11:19" x14ac:dyDescent="0.3">
      <c r="K3415" s="16">
        <f t="shared" si="52"/>
        <v>44158</v>
      </c>
      <c r="L3415" s="17">
        <v>0.20833333333333334</v>
      </c>
      <c r="M3415" s="14">
        <v>321</v>
      </c>
      <c r="N3415" s="14">
        <v>0</v>
      </c>
      <c r="O3415" s="14">
        <v>0</v>
      </c>
      <c r="P3415" s="14">
        <v>321</v>
      </c>
      <c r="Q3415">
        <v>9434</v>
      </c>
      <c r="R3415">
        <v>2643</v>
      </c>
      <c r="S3415">
        <v>0</v>
      </c>
    </row>
    <row r="3416" spans="11:19" x14ac:dyDescent="0.3">
      <c r="K3416" s="16">
        <f t="shared" si="52"/>
        <v>44158</v>
      </c>
      <c r="L3416" s="17">
        <v>0.25</v>
      </c>
      <c r="M3416" s="14">
        <v>321</v>
      </c>
      <c r="N3416" s="14">
        <v>0</v>
      </c>
      <c r="O3416" s="14">
        <v>0</v>
      </c>
      <c r="P3416" s="14">
        <v>321</v>
      </c>
      <c r="Q3416">
        <v>10732</v>
      </c>
      <c r="R3416">
        <v>2741</v>
      </c>
      <c r="S3416">
        <v>0</v>
      </c>
    </row>
    <row r="3417" spans="11:19" x14ac:dyDescent="0.3">
      <c r="K3417" s="16">
        <f t="shared" si="52"/>
        <v>44158</v>
      </c>
      <c r="L3417" s="17">
        <v>0.29166666666666669</v>
      </c>
      <c r="M3417" s="14">
        <v>321</v>
      </c>
      <c r="N3417" s="14">
        <v>505</v>
      </c>
      <c r="O3417" s="14">
        <v>0</v>
      </c>
      <c r="P3417" s="14">
        <v>826</v>
      </c>
      <c r="Q3417">
        <v>11746</v>
      </c>
      <c r="R3417">
        <v>2500</v>
      </c>
      <c r="S3417">
        <v>4</v>
      </c>
    </row>
    <row r="3418" spans="11:19" x14ac:dyDescent="0.3">
      <c r="K3418" s="16">
        <f t="shared" si="52"/>
        <v>44158</v>
      </c>
      <c r="L3418" s="17">
        <v>0.33333333333333331</v>
      </c>
      <c r="M3418" s="14">
        <v>321</v>
      </c>
      <c r="N3418" s="14">
        <v>954</v>
      </c>
      <c r="O3418" s="14">
        <v>0</v>
      </c>
      <c r="P3418" s="14">
        <v>1275</v>
      </c>
      <c r="Q3418">
        <v>12027</v>
      </c>
      <c r="R3418">
        <v>2259</v>
      </c>
      <c r="S3418">
        <v>75</v>
      </c>
    </row>
    <row r="3419" spans="11:19" x14ac:dyDescent="0.3">
      <c r="K3419" s="16">
        <f t="shared" ref="K3419:K3482" si="53">K3395+1</f>
        <v>44158</v>
      </c>
      <c r="L3419" s="17">
        <v>0.375</v>
      </c>
      <c r="M3419" s="14">
        <v>321</v>
      </c>
      <c r="N3419" s="14">
        <v>1162</v>
      </c>
      <c r="O3419" s="14">
        <v>0</v>
      </c>
      <c r="P3419" s="14">
        <v>1483</v>
      </c>
      <c r="Q3419">
        <v>12202</v>
      </c>
      <c r="R3419">
        <v>1984</v>
      </c>
      <c r="S3419">
        <v>319</v>
      </c>
    </row>
    <row r="3420" spans="11:19" x14ac:dyDescent="0.3">
      <c r="K3420" s="16">
        <f t="shared" si="53"/>
        <v>44158</v>
      </c>
      <c r="L3420" s="17">
        <v>0.41666666666666669</v>
      </c>
      <c r="M3420" s="14">
        <v>321</v>
      </c>
      <c r="N3420" s="14">
        <v>797</v>
      </c>
      <c r="O3420" s="14">
        <v>0</v>
      </c>
      <c r="P3420" s="14">
        <v>1118</v>
      </c>
      <c r="Q3420">
        <v>12186</v>
      </c>
      <c r="R3420">
        <v>1982</v>
      </c>
      <c r="S3420">
        <v>671</v>
      </c>
    </row>
    <row r="3421" spans="11:19" x14ac:dyDescent="0.3">
      <c r="K3421" s="16">
        <f t="shared" si="53"/>
        <v>44158</v>
      </c>
      <c r="L3421" s="17">
        <v>0.45833333333333331</v>
      </c>
      <c r="M3421" s="14">
        <v>321</v>
      </c>
      <c r="N3421" s="14">
        <v>701</v>
      </c>
      <c r="O3421" s="14">
        <v>0</v>
      </c>
      <c r="P3421" s="14">
        <v>1022</v>
      </c>
      <c r="Q3421">
        <v>12247</v>
      </c>
      <c r="R3421">
        <v>1900</v>
      </c>
      <c r="S3421">
        <v>911</v>
      </c>
    </row>
    <row r="3422" spans="11:19" x14ac:dyDescent="0.3">
      <c r="K3422" s="16">
        <f t="shared" si="53"/>
        <v>44158</v>
      </c>
      <c r="L3422" s="17">
        <v>0.5</v>
      </c>
      <c r="M3422" s="14">
        <v>321</v>
      </c>
      <c r="N3422" s="14">
        <v>725</v>
      </c>
      <c r="O3422" s="14">
        <v>0</v>
      </c>
      <c r="P3422" s="14">
        <v>1046</v>
      </c>
      <c r="Q3422">
        <v>12243</v>
      </c>
      <c r="R3422">
        <v>1768</v>
      </c>
      <c r="S3422">
        <v>1015</v>
      </c>
    </row>
    <row r="3423" spans="11:19" x14ac:dyDescent="0.3">
      <c r="K3423" s="16">
        <f t="shared" si="53"/>
        <v>44158</v>
      </c>
      <c r="L3423" s="17">
        <v>0.54166666666666663</v>
      </c>
      <c r="M3423" s="14">
        <v>321</v>
      </c>
      <c r="N3423" s="14">
        <v>437</v>
      </c>
      <c r="O3423" s="14">
        <v>0</v>
      </c>
      <c r="P3423" s="14">
        <v>758</v>
      </c>
      <c r="Q3423">
        <v>12008</v>
      </c>
      <c r="R3423">
        <v>1819</v>
      </c>
      <c r="S3423">
        <v>1017</v>
      </c>
    </row>
    <row r="3424" spans="11:19" x14ac:dyDescent="0.3">
      <c r="K3424" s="16">
        <f t="shared" si="53"/>
        <v>44158</v>
      </c>
      <c r="L3424" s="17">
        <v>0.58333333333333337</v>
      </c>
      <c r="M3424" s="14">
        <v>321</v>
      </c>
      <c r="N3424" s="14">
        <v>632</v>
      </c>
      <c r="O3424" s="14">
        <v>0</v>
      </c>
      <c r="P3424" s="14">
        <v>953</v>
      </c>
      <c r="Q3424">
        <v>11764</v>
      </c>
      <c r="R3424">
        <v>1557</v>
      </c>
      <c r="S3424">
        <v>838</v>
      </c>
    </row>
    <row r="3425" spans="11:19" x14ac:dyDescent="0.3">
      <c r="K3425" s="16">
        <f t="shared" si="53"/>
        <v>44158</v>
      </c>
      <c r="L3425" s="17">
        <v>0.625</v>
      </c>
      <c r="M3425" s="14">
        <v>321</v>
      </c>
      <c r="N3425" s="14">
        <v>766</v>
      </c>
      <c r="O3425" s="14">
        <v>0</v>
      </c>
      <c r="P3425" s="14">
        <v>1087</v>
      </c>
      <c r="Q3425">
        <v>11558</v>
      </c>
      <c r="R3425">
        <v>1548</v>
      </c>
      <c r="S3425">
        <v>507</v>
      </c>
    </row>
    <row r="3426" spans="11:19" x14ac:dyDescent="0.3">
      <c r="K3426" s="16">
        <f t="shared" si="53"/>
        <v>44158</v>
      </c>
      <c r="L3426" s="17">
        <v>0.66666666666666663</v>
      </c>
      <c r="M3426" s="14">
        <v>321</v>
      </c>
      <c r="N3426" s="14">
        <v>1178</v>
      </c>
      <c r="O3426" s="14">
        <v>0</v>
      </c>
      <c r="P3426" s="14">
        <v>1499</v>
      </c>
      <c r="Q3426">
        <v>11645</v>
      </c>
      <c r="R3426">
        <v>1608</v>
      </c>
      <c r="S3426">
        <v>120</v>
      </c>
    </row>
    <row r="3427" spans="11:19" x14ac:dyDescent="0.3">
      <c r="K3427" s="16">
        <f t="shared" si="53"/>
        <v>44158</v>
      </c>
      <c r="L3427" s="17">
        <v>0.70833333333333337</v>
      </c>
      <c r="M3427" s="14">
        <v>321</v>
      </c>
      <c r="N3427" s="14">
        <v>1420</v>
      </c>
      <c r="O3427" s="14">
        <v>0</v>
      </c>
      <c r="P3427" s="14">
        <v>1741</v>
      </c>
      <c r="Q3427">
        <v>12282</v>
      </c>
      <c r="R3427">
        <v>1473</v>
      </c>
      <c r="S3427">
        <v>8</v>
      </c>
    </row>
    <row r="3428" spans="11:19" x14ac:dyDescent="0.3">
      <c r="K3428" s="16">
        <f t="shared" si="53"/>
        <v>44158</v>
      </c>
      <c r="L3428" s="17">
        <v>0.75</v>
      </c>
      <c r="M3428" s="14">
        <v>321</v>
      </c>
      <c r="N3428" s="14">
        <v>1420</v>
      </c>
      <c r="O3428" s="14">
        <v>441</v>
      </c>
      <c r="P3428" s="14">
        <v>2182</v>
      </c>
      <c r="Q3428">
        <v>12919</v>
      </c>
      <c r="R3428">
        <v>1274</v>
      </c>
      <c r="S3428">
        <v>0</v>
      </c>
    </row>
    <row r="3429" spans="11:19" x14ac:dyDescent="0.3">
      <c r="K3429" s="16">
        <f t="shared" si="53"/>
        <v>44158</v>
      </c>
      <c r="L3429" s="17">
        <v>0.79166666666666663</v>
      </c>
      <c r="M3429" s="14">
        <v>321</v>
      </c>
      <c r="N3429" s="14">
        <v>1420</v>
      </c>
      <c r="O3429" s="14">
        <v>0</v>
      </c>
      <c r="P3429" s="14">
        <v>1741</v>
      </c>
      <c r="Q3429">
        <v>12537</v>
      </c>
      <c r="R3429">
        <v>1262</v>
      </c>
      <c r="S3429">
        <v>0</v>
      </c>
    </row>
    <row r="3430" spans="11:19" x14ac:dyDescent="0.3">
      <c r="K3430" s="16">
        <f t="shared" si="53"/>
        <v>44158</v>
      </c>
      <c r="L3430" s="17">
        <v>0.83333333333333337</v>
      </c>
      <c r="M3430" s="14">
        <v>321</v>
      </c>
      <c r="N3430" s="14">
        <v>1420</v>
      </c>
      <c r="O3430" s="14">
        <v>0</v>
      </c>
      <c r="P3430" s="14">
        <v>1741</v>
      </c>
      <c r="Q3430">
        <v>11745</v>
      </c>
      <c r="R3430">
        <v>1299</v>
      </c>
      <c r="S3430">
        <v>0</v>
      </c>
    </row>
    <row r="3431" spans="11:19" x14ac:dyDescent="0.3">
      <c r="K3431" s="16">
        <f t="shared" si="53"/>
        <v>44158</v>
      </c>
      <c r="L3431" s="17">
        <v>0.875</v>
      </c>
      <c r="M3431" s="14">
        <v>321</v>
      </c>
      <c r="N3431" s="14">
        <v>968</v>
      </c>
      <c r="O3431" s="14">
        <v>0</v>
      </c>
      <c r="P3431" s="14">
        <v>1289</v>
      </c>
      <c r="Q3431">
        <v>11099</v>
      </c>
      <c r="R3431">
        <v>1402</v>
      </c>
      <c r="S3431">
        <v>0</v>
      </c>
    </row>
    <row r="3432" spans="11:19" x14ac:dyDescent="0.3">
      <c r="K3432" s="16">
        <f t="shared" si="53"/>
        <v>44158</v>
      </c>
      <c r="L3432" s="17">
        <v>0.91666666666666663</v>
      </c>
      <c r="M3432" s="14">
        <v>321</v>
      </c>
      <c r="N3432" s="14">
        <v>1019</v>
      </c>
      <c r="O3432" s="14">
        <v>0</v>
      </c>
      <c r="P3432" s="14">
        <v>1340</v>
      </c>
      <c r="Q3432">
        <v>11226</v>
      </c>
      <c r="R3432">
        <v>1484</v>
      </c>
      <c r="S3432">
        <v>0</v>
      </c>
    </row>
    <row r="3433" spans="11:19" x14ac:dyDescent="0.3">
      <c r="K3433" s="16">
        <f t="shared" si="53"/>
        <v>44158</v>
      </c>
      <c r="L3433" s="17">
        <v>0.95833333333333337</v>
      </c>
      <c r="M3433" s="14">
        <v>321</v>
      </c>
      <c r="N3433" s="14">
        <v>1125</v>
      </c>
      <c r="O3433" s="14">
        <v>0</v>
      </c>
      <c r="P3433" s="14">
        <v>1446</v>
      </c>
      <c r="Q3433">
        <v>11310</v>
      </c>
      <c r="R3433">
        <v>1466</v>
      </c>
      <c r="S3433">
        <v>0</v>
      </c>
    </row>
    <row r="3434" spans="11:19" x14ac:dyDescent="0.3">
      <c r="K3434" s="16">
        <f t="shared" si="53"/>
        <v>44159</v>
      </c>
      <c r="L3434" s="17">
        <v>0</v>
      </c>
      <c r="M3434" s="14">
        <v>321</v>
      </c>
      <c r="N3434" s="14">
        <v>631</v>
      </c>
      <c r="O3434" s="14">
        <v>0</v>
      </c>
      <c r="P3434" s="14">
        <v>952</v>
      </c>
      <c r="Q3434">
        <v>10794</v>
      </c>
      <c r="R3434">
        <v>1458</v>
      </c>
      <c r="S3434">
        <v>0</v>
      </c>
    </row>
    <row r="3435" spans="11:19" x14ac:dyDescent="0.3">
      <c r="K3435" s="16">
        <f t="shared" si="53"/>
        <v>44159</v>
      </c>
      <c r="L3435" s="17">
        <v>4.1666666666666664E-2</v>
      </c>
      <c r="M3435" s="14">
        <v>321</v>
      </c>
      <c r="N3435" s="14">
        <v>156</v>
      </c>
      <c r="O3435" s="14">
        <v>0</v>
      </c>
      <c r="P3435" s="14">
        <v>477</v>
      </c>
      <c r="Q3435">
        <v>10409</v>
      </c>
      <c r="R3435">
        <v>1552</v>
      </c>
      <c r="S3435">
        <v>0</v>
      </c>
    </row>
    <row r="3436" spans="11:19" x14ac:dyDescent="0.3">
      <c r="K3436" s="16">
        <f t="shared" si="53"/>
        <v>44159</v>
      </c>
      <c r="L3436" s="17">
        <v>8.3333333333333329E-2</v>
      </c>
      <c r="M3436" s="14">
        <v>321</v>
      </c>
      <c r="N3436" s="14">
        <v>0</v>
      </c>
      <c r="O3436" s="14">
        <v>0</v>
      </c>
      <c r="P3436" s="14">
        <v>321</v>
      </c>
      <c r="Q3436">
        <v>10114</v>
      </c>
      <c r="R3436">
        <v>1919</v>
      </c>
      <c r="S3436">
        <v>0</v>
      </c>
    </row>
    <row r="3437" spans="11:19" x14ac:dyDescent="0.3">
      <c r="K3437" s="16">
        <f t="shared" si="53"/>
        <v>44159</v>
      </c>
      <c r="L3437" s="17">
        <v>0.125</v>
      </c>
      <c r="M3437" s="14">
        <v>321</v>
      </c>
      <c r="N3437" s="14">
        <v>0</v>
      </c>
      <c r="O3437" s="14">
        <v>0</v>
      </c>
      <c r="P3437" s="14">
        <v>321</v>
      </c>
      <c r="Q3437">
        <v>9691</v>
      </c>
      <c r="R3437">
        <v>2291</v>
      </c>
      <c r="S3437">
        <v>0</v>
      </c>
    </row>
    <row r="3438" spans="11:19" x14ac:dyDescent="0.3">
      <c r="K3438" s="16">
        <f t="shared" si="53"/>
        <v>44159</v>
      </c>
      <c r="L3438" s="17">
        <v>0.16666666666666666</v>
      </c>
      <c r="M3438" s="14">
        <v>321</v>
      </c>
      <c r="N3438" s="14">
        <v>578</v>
      </c>
      <c r="O3438" s="14">
        <v>0</v>
      </c>
      <c r="P3438" s="14">
        <v>899</v>
      </c>
      <c r="Q3438">
        <v>9628</v>
      </c>
      <c r="R3438">
        <v>2885</v>
      </c>
      <c r="S3438">
        <v>0</v>
      </c>
    </row>
    <row r="3439" spans="11:19" x14ac:dyDescent="0.3">
      <c r="K3439" s="16">
        <f t="shared" si="53"/>
        <v>44159</v>
      </c>
      <c r="L3439" s="17">
        <v>0.20833333333333334</v>
      </c>
      <c r="M3439" s="14">
        <v>321</v>
      </c>
      <c r="N3439" s="14">
        <v>0</v>
      </c>
      <c r="O3439" s="14">
        <v>0</v>
      </c>
      <c r="P3439" s="14">
        <v>321</v>
      </c>
      <c r="Q3439">
        <v>10152</v>
      </c>
      <c r="R3439">
        <v>3129</v>
      </c>
      <c r="S3439">
        <v>0</v>
      </c>
    </row>
    <row r="3440" spans="11:19" x14ac:dyDescent="0.3">
      <c r="K3440" s="16">
        <f t="shared" si="53"/>
        <v>44159</v>
      </c>
      <c r="L3440" s="17">
        <v>0.25</v>
      </c>
      <c r="M3440" s="14">
        <v>321</v>
      </c>
      <c r="N3440" s="14">
        <v>0</v>
      </c>
      <c r="O3440" s="14">
        <v>0</v>
      </c>
      <c r="P3440" s="14">
        <v>321</v>
      </c>
      <c r="Q3440">
        <v>11309</v>
      </c>
      <c r="R3440">
        <v>3227</v>
      </c>
      <c r="S3440">
        <v>0</v>
      </c>
    </row>
    <row r="3441" spans="11:19" x14ac:dyDescent="0.3">
      <c r="K3441" s="16">
        <f t="shared" si="53"/>
        <v>44159</v>
      </c>
      <c r="L3441" s="17">
        <v>0.29166666666666669</v>
      </c>
      <c r="M3441" s="14">
        <v>321</v>
      </c>
      <c r="N3441" s="14">
        <v>87</v>
      </c>
      <c r="O3441" s="14">
        <v>0</v>
      </c>
      <c r="P3441" s="14">
        <v>408</v>
      </c>
      <c r="Q3441">
        <v>12211</v>
      </c>
      <c r="R3441">
        <v>3381</v>
      </c>
      <c r="S3441">
        <v>3</v>
      </c>
    </row>
    <row r="3442" spans="11:19" x14ac:dyDescent="0.3">
      <c r="K3442" s="16">
        <f t="shared" si="53"/>
        <v>44159</v>
      </c>
      <c r="L3442" s="17">
        <v>0.33333333333333331</v>
      </c>
      <c r="M3442" s="14">
        <v>321</v>
      </c>
      <c r="N3442" s="14">
        <v>265</v>
      </c>
      <c r="O3442" s="14">
        <v>0</v>
      </c>
      <c r="P3442" s="14">
        <v>586</v>
      </c>
      <c r="Q3442">
        <v>12328</v>
      </c>
      <c r="R3442">
        <v>3252</v>
      </c>
      <c r="S3442">
        <v>69</v>
      </c>
    </row>
    <row r="3443" spans="11:19" x14ac:dyDescent="0.3">
      <c r="K3443" s="16">
        <f t="shared" si="53"/>
        <v>44159</v>
      </c>
      <c r="L3443" s="17">
        <v>0.375</v>
      </c>
      <c r="M3443" s="14">
        <v>321</v>
      </c>
      <c r="N3443" s="14">
        <v>137</v>
      </c>
      <c r="O3443" s="14">
        <v>0</v>
      </c>
      <c r="P3443" s="14">
        <v>458</v>
      </c>
      <c r="Q3443">
        <v>12359</v>
      </c>
      <c r="R3443">
        <v>3128</v>
      </c>
      <c r="S3443">
        <v>354</v>
      </c>
    </row>
    <row r="3444" spans="11:19" x14ac:dyDescent="0.3">
      <c r="K3444" s="16">
        <f t="shared" si="53"/>
        <v>44159</v>
      </c>
      <c r="L3444" s="17">
        <v>0.41666666666666669</v>
      </c>
      <c r="M3444" s="14">
        <v>321</v>
      </c>
      <c r="N3444" s="14">
        <v>896</v>
      </c>
      <c r="O3444" s="14">
        <v>0</v>
      </c>
      <c r="P3444" s="14">
        <v>1217</v>
      </c>
      <c r="Q3444">
        <v>12244</v>
      </c>
      <c r="R3444">
        <v>3407</v>
      </c>
      <c r="S3444">
        <v>728</v>
      </c>
    </row>
    <row r="3445" spans="11:19" x14ac:dyDescent="0.3">
      <c r="K3445" s="16">
        <f t="shared" si="53"/>
        <v>44159</v>
      </c>
      <c r="L3445" s="17">
        <v>0.45833333333333331</v>
      </c>
      <c r="M3445" s="14">
        <v>321</v>
      </c>
      <c r="N3445" s="14">
        <v>896</v>
      </c>
      <c r="O3445" s="14">
        <v>0</v>
      </c>
      <c r="P3445" s="14">
        <v>1217</v>
      </c>
      <c r="Q3445">
        <v>12224</v>
      </c>
      <c r="R3445">
        <v>3635</v>
      </c>
      <c r="S3445">
        <v>980</v>
      </c>
    </row>
    <row r="3446" spans="11:19" x14ac:dyDescent="0.3">
      <c r="K3446" s="16">
        <f t="shared" si="53"/>
        <v>44159</v>
      </c>
      <c r="L3446" s="17">
        <v>0.5</v>
      </c>
      <c r="M3446" s="14">
        <v>321</v>
      </c>
      <c r="N3446" s="14">
        <v>0</v>
      </c>
      <c r="O3446" s="14">
        <v>0</v>
      </c>
      <c r="P3446" s="14">
        <v>321</v>
      </c>
      <c r="Q3446">
        <v>12140</v>
      </c>
      <c r="R3446">
        <v>3696</v>
      </c>
      <c r="S3446">
        <v>1095</v>
      </c>
    </row>
    <row r="3447" spans="11:19" x14ac:dyDescent="0.3">
      <c r="K3447" s="16">
        <f t="shared" si="53"/>
        <v>44159</v>
      </c>
      <c r="L3447" s="17">
        <v>0.54166666666666663</v>
      </c>
      <c r="M3447" s="14">
        <v>321</v>
      </c>
      <c r="N3447" s="14">
        <v>0</v>
      </c>
      <c r="O3447" s="14">
        <v>0</v>
      </c>
      <c r="P3447" s="14">
        <v>321</v>
      </c>
      <c r="Q3447">
        <v>11847</v>
      </c>
      <c r="R3447">
        <v>3965</v>
      </c>
      <c r="S3447">
        <v>1093</v>
      </c>
    </row>
    <row r="3448" spans="11:19" x14ac:dyDescent="0.3">
      <c r="K3448" s="16">
        <f t="shared" si="53"/>
        <v>44159</v>
      </c>
      <c r="L3448" s="17">
        <v>0.58333333333333337</v>
      </c>
      <c r="M3448" s="14">
        <v>321</v>
      </c>
      <c r="N3448" s="14">
        <v>0</v>
      </c>
      <c r="O3448" s="14">
        <v>0</v>
      </c>
      <c r="P3448" s="14">
        <v>321</v>
      </c>
      <c r="Q3448">
        <v>11645</v>
      </c>
      <c r="R3448">
        <v>4169</v>
      </c>
      <c r="S3448">
        <v>884</v>
      </c>
    </row>
    <row r="3449" spans="11:19" x14ac:dyDescent="0.3">
      <c r="K3449" s="16">
        <f t="shared" si="53"/>
        <v>44159</v>
      </c>
      <c r="L3449" s="17">
        <v>0.625</v>
      </c>
      <c r="M3449" s="14">
        <v>321</v>
      </c>
      <c r="N3449" s="14">
        <v>591</v>
      </c>
      <c r="O3449" s="14">
        <v>0</v>
      </c>
      <c r="P3449" s="14">
        <v>912</v>
      </c>
      <c r="Q3449">
        <v>11465</v>
      </c>
      <c r="R3449">
        <v>4173</v>
      </c>
      <c r="S3449">
        <v>500</v>
      </c>
    </row>
    <row r="3450" spans="11:19" x14ac:dyDescent="0.3">
      <c r="K3450" s="16">
        <f t="shared" si="53"/>
        <v>44159</v>
      </c>
      <c r="L3450" s="17">
        <v>0.66666666666666663</v>
      </c>
      <c r="M3450" s="14">
        <v>321</v>
      </c>
      <c r="N3450" s="14">
        <v>0</v>
      </c>
      <c r="O3450" s="14">
        <v>0</v>
      </c>
      <c r="P3450" s="14">
        <v>321</v>
      </c>
      <c r="Q3450">
        <v>11482</v>
      </c>
      <c r="R3450">
        <v>4320</v>
      </c>
      <c r="S3450">
        <v>120</v>
      </c>
    </row>
    <row r="3451" spans="11:19" x14ac:dyDescent="0.3">
      <c r="K3451" s="16">
        <f t="shared" si="53"/>
        <v>44159</v>
      </c>
      <c r="L3451" s="17">
        <v>0.70833333333333337</v>
      </c>
      <c r="M3451" s="14">
        <v>321</v>
      </c>
      <c r="N3451" s="14">
        <v>896</v>
      </c>
      <c r="O3451" s="14">
        <v>0</v>
      </c>
      <c r="P3451" s="14">
        <v>1217</v>
      </c>
      <c r="Q3451">
        <v>12085</v>
      </c>
      <c r="R3451">
        <v>4203</v>
      </c>
      <c r="S3451">
        <v>7</v>
      </c>
    </row>
    <row r="3452" spans="11:19" x14ac:dyDescent="0.3">
      <c r="K3452" s="16">
        <f t="shared" si="53"/>
        <v>44159</v>
      </c>
      <c r="L3452" s="17">
        <v>0.75</v>
      </c>
      <c r="M3452" s="14">
        <v>321</v>
      </c>
      <c r="N3452" s="14">
        <v>0</v>
      </c>
      <c r="O3452" s="14">
        <v>0</v>
      </c>
      <c r="P3452" s="14">
        <v>321</v>
      </c>
      <c r="Q3452">
        <v>12562</v>
      </c>
      <c r="R3452">
        <v>4124</v>
      </c>
      <c r="S3452">
        <v>0</v>
      </c>
    </row>
    <row r="3453" spans="11:19" x14ac:dyDescent="0.3">
      <c r="K3453" s="16">
        <f t="shared" si="53"/>
        <v>44159</v>
      </c>
      <c r="L3453" s="17">
        <v>0.79166666666666663</v>
      </c>
      <c r="M3453" s="14">
        <v>321</v>
      </c>
      <c r="N3453" s="14">
        <v>0</v>
      </c>
      <c r="O3453" s="14">
        <v>0</v>
      </c>
      <c r="P3453" s="14">
        <v>321</v>
      </c>
      <c r="Q3453">
        <v>12183</v>
      </c>
      <c r="R3453">
        <v>4018</v>
      </c>
      <c r="S3453">
        <v>0</v>
      </c>
    </row>
    <row r="3454" spans="11:19" x14ac:dyDescent="0.3">
      <c r="K3454" s="16">
        <f t="shared" si="53"/>
        <v>44159</v>
      </c>
      <c r="L3454" s="17">
        <v>0.83333333333333337</v>
      </c>
      <c r="M3454" s="14">
        <v>321</v>
      </c>
      <c r="N3454" s="14">
        <v>0</v>
      </c>
      <c r="O3454" s="14">
        <v>0</v>
      </c>
      <c r="P3454" s="14">
        <v>321</v>
      </c>
      <c r="Q3454">
        <v>11347</v>
      </c>
      <c r="R3454">
        <v>3930</v>
      </c>
      <c r="S3454">
        <v>0</v>
      </c>
    </row>
    <row r="3455" spans="11:19" x14ac:dyDescent="0.3">
      <c r="K3455" s="16">
        <f t="shared" si="53"/>
        <v>44159</v>
      </c>
      <c r="L3455" s="17">
        <v>0.875</v>
      </c>
      <c r="M3455" s="14">
        <v>321</v>
      </c>
      <c r="N3455" s="14">
        <v>669</v>
      </c>
      <c r="O3455" s="14">
        <v>0</v>
      </c>
      <c r="P3455" s="14">
        <v>990</v>
      </c>
      <c r="Q3455">
        <v>10707</v>
      </c>
      <c r="R3455">
        <v>4006</v>
      </c>
      <c r="S3455">
        <v>0</v>
      </c>
    </row>
    <row r="3456" spans="11:19" x14ac:dyDescent="0.3">
      <c r="K3456" s="16">
        <f t="shared" si="53"/>
        <v>44159</v>
      </c>
      <c r="L3456" s="17">
        <v>0.91666666666666663</v>
      </c>
      <c r="M3456" s="14">
        <v>321</v>
      </c>
      <c r="N3456" s="14">
        <v>0</v>
      </c>
      <c r="O3456" s="14">
        <v>0</v>
      </c>
      <c r="P3456" s="14">
        <v>321</v>
      </c>
      <c r="Q3456">
        <v>10821</v>
      </c>
      <c r="R3456">
        <v>3713</v>
      </c>
      <c r="S3456">
        <v>0</v>
      </c>
    </row>
    <row r="3457" spans="11:19" x14ac:dyDescent="0.3">
      <c r="K3457" s="16">
        <f t="shared" si="53"/>
        <v>44159</v>
      </c>
      <c r="L3457" s="17">
        <v>0.95833333333333337</v>
      </c>
      <c r="M3457" s="14">
        <v>321</v>
      </c>
      <c r="N3457" s="14">
        <v>574</v>
      </c>
      <c r="O3457" s="14">
        <v>0</v>
      </c>
      <c r="P3457" s="14">
        <v>895</v>
      </c>
      <c r="Q3457">
        <v>10912</v>
      </c>
      <c r="R3457">
        <v>3947</v>
      </c>
      <c r="S3457">
        <v>0</v>
      </c>
    </row>
    <row r="3458" spans="11:19" x14ac:dyDescent="0.3">
      <c r="K3458" s="16">
        <f t="shared" si="53"/>
        <v>44160</v>
      </c>
      <c r="L3458" s="17">
        <v>0</v>
      </c>
      <c r="M3458" s="14">
        <v>321</v>
      </c>
      <c r="N3458" s="14">
        <v>0</v>
      </c>
      <c r="O3458" s="14">
        <v>0</v>
      </c>
      <c r="P3458" s="14">
        <v>321</v>
      </c>
      <c r="Q3458">
        <v>10272</v>
      </c>
      <c r="R3458">
        <v>3489</v>
      </c>
      <c r="S3458">
        <v>0</v>
      </c>
    </row>
    <row r="3459" spans="11:19" x14ac:dyDescent="0.3">
      <c r="K3459" s="16">
        <f t="shared" si="53"/>
        <v>44160</v>
      </c>
      <c r="L3459" s="17">
        <v>4.1666666666666664E-2</v>
      </c>
      <c r="M3459" s="14">
        <v>321</v>
      </c>
      <c r="N3459" s="14">
        <v>0</v>
      </c>
      <c r="O3459" s="14">
        <v>0</v>
      </c>
      <c r="P3459" s="14">
        <v>321</v>
      </c>
      <c r="Q3459">
        <v>9879</v>
      </c>
      <c r="R3459">
        <v>3342</v>
      </c>
      <c r="S3459">
        <v>0</v>
      </c>
    </row>
    <row r="3460" spans="11:19" x14ac:dyDescent="0.3">
      <c r="K3460" s="16">
        <f t="shared" si="53"/>
        <v>44160</v>
      </c>
      <c r="L3460" s="17">
        <v>8.3333333333333329E-2</v>
      </c>
      <c r="M3460" s="14">
        <v>321</v>
      </c>
      <c r="N3460" s="14">
        <v>0</v>
      </c>
      <c r="O3460" s="14">
        <v>0</v>
      </c>
      <c r="P3460" s="14">
        <v>321</v>
      </c>
      <c r="Q3460">
        <v>9571</v>
      </c>
      <c r="R3460">
        <v>3193</v>
      </c>
      <c r="S3460">
        <v>0</v>
      </c>
    </row>
    <row r="3461" spans="11:19" x14ac:dyDescent="0.3">
      <c r="K3461" s="16">
        <f t="shared" si="53"/>
        <v>44160</v>
      </c>
      <c r="L3461" s="17">
        <v>0.125</v>
      </c>
      <c r="M3461" s="14">
        <v>321</v>
      </c>
      <c r="N3461" s="14">
        <v>0</v>
      </c>
      <c r="O3461" s="14">
        <v>-142</v>
      </c>
      <c r="P3461" s="14">
        <v>179</v>
      </c>
      <c r="Q3461">
        <v>9144</v>
      </c>
      <c r="R3461">
        <v>3361</v>
      </c>
      <c r="S3461">
        <v>0</v>
      </c>
    </row>
    <row r="3462" spans="11:19" x14ac:dyDescent="0.3">
      <c r="K3462" s="16">
        <f t="shared" si="53"/>
        <v>44160</v>
      </c>
      <c r="L3462" s="17">
        <v>0.16666666666666666</v>
      </c>
      <c r="M3462" s="14">
        <v>321</v>
      </c>
      <c r="N3462" s="14">
        <v>0</v>
      </c>
      <c r="O3462" s="14">
        <v>-251</v>
      </c>
      <c r="P3462" s="14">
        <v>70</v>
      </c>
      <c r="Q3462">
        <v>9089</v>
      </c>
      <c r="R3462">
        <v>3413</v>
      </c>
      <c r="S3462">
        <v>0</v>
      </c>
    </row>
    <row r="3463" spans="11:19" x14ac:dyDescent="0.3">
      <c r="K3463" s="16">
        <f t="shared" si="53"/>
        <v>44160</v>
      </c>
      <c r="L3463" s="17">
        <v>0.20833333333333334</v>
      </c>
      <c r="M3463" s="14">
        <v>321</v>
      </c>
      <c r="N3463" s="14">
        <v>0</v>
      </c>
      <c r="O3463" s="14">
        <v>0</v>
      </c>
      <c r="P3463" s="14">
        <v>321</v>
      </c>
      <c r="Q3463">
        <v>9619</v>
      </c>
      <c r="R3463">
        <v>3129</v>
      </c>
      <c r="S3463">
        <v>0</v>
      </c>
    </row>
    <row r="3464" spans="11:19" x14ac:dyDescent="0.3">
      <c r="K3464" s="16">
        <f t="shared" si="53"/>
        <v>44160</v>
      </c>
      <c r="L3464" s="17">
        <v>0.25</v>
      </c>
      <c r="M3464" s="14">
        <v>321</v>
      </c>
      <c r="N3464" s="14">
        <v>0</v>
      </c>
      <c r="O3464" s="14">
        <v>0</v>
      </c>
      <c r="P3464" s="14">
        <v>321</v>
      </c>
      <c r="Q3464">
        <v>10800</v>
      </c>
      <c r="R3464">
        <v>2906</v>
      </c>
      <c r="S3464">
        <v>0</v>
      </c>
    </row>
    <row r="3465" spans="11:19" x14ac:dyDescent="0.3">
      <c r="K3465" s="16">
        <f t="shared" si="53"/>
        <v>44160</v>
      </c>
      <c r="L3465" s="17">
        <v>0.29166666666666669</v>
      </c>
      <c r="M3465" s="14">
        <v>321</v>
      </c>
      <c r="N3465" s="14">
        <v>215</v>
      </c>
      <c r="O3465" s="14">
        <v>0</v>
      </c>
      <c r="P3465" s="14">
        <v>536</v>
      </c>
      <c r="Q3465">
        <v>11734</v>
      </c>
      <c r="R3465">
        <v>2773</v>
      </c>
      <c r="S3465">
        <v>3</v>
      </c>
    </row>
    <row r="3466" spans="11:19" x14ac:dyDescent="0.3">
      <c r="K3466" s="16">
        <f t="shared" si="53"/>
        <v>44160</v>
      </c>
      <c r="L3466" s="17">
        <v>0.33333333333333331</v>
      </c>
      <c r="M3466" s="14">
        <v>321</v>
      </c>
      <c r="N3466" s="14">
        <v>470</v>
      </c>
      <c r="O3466" s="14">
        <v>0</v>
      </c>
      <c r="P3466" s="14">
        <v>791</v>
      </c>
      <c r="Q3466">
        <v>11898</v>
      </c>
      <c r="R3466">
        <v>2622</v>
      </c>
      <c r="S3466">
        <v>61</v>
      </c>
    </row>
    <row r="3467" spans="11:19" x14ac:dyDescent="0.3">
      <c r="K3467" s="16">
        <f t="shared" si="53"/>
        <v>44160</v>
      </c>
      <c r="L3467" s="17">
        <v>0.375</v>
      </c>
      <c r="M3467" s="14">
        <v>321</v>
      </c>
      <c r="N3467" s="14">
        <v>400</v>
      </c>
      <c r="O3467" s="14">
        <v>0</v>
      </c>
      <c r="P3467" s="14">
        <v>721</v>
      </c>
      <c r="Q3467">
        <v>11982</v>
      </c>
      <c r="R3467">
        <v>2550</v>
      </c>
      <c r="S3467">
        <v>289</v>
      </c>
    </row>
    <row r="3468" spans="11:19" x14ac:dyDescent="0.3">
      <c r="K3468" s="16">
        <f t="shared" si="53"/>
        <v>44160</v>
      </c>
      <c r="L3468" s="17">
        <v>0.41666666666666669</v>
      </c>
      <c r="M3468" s="14">
        <v>321</v>
      </c>
      <c r="N3468" s="14">
        <v>175</v>
      </c>
      <c r="O3468" s="14">
        <v>0</v>
      </c>
      <c r="P3468" s="14">
        <v>496</v>
      </c>
      <c r="Q3468">
        <v>11947</v>
      </c>
      <c r="R3468">
        <v>2485</v>
      </c>
      <c r="S3468">
        <v>545</v>
      </c>
    </row>
    <row r="3469" spans="11:19" x14ac:dyDescent="0.3">
      <c r="K3469" s="16">
        <f t="shared" si="53"/>
        <v>44160</v>
      </c>
      <c r="L3469" s="17">
        <v>0.45833333333333331</v>
      </c>
      <c r="M3469" s="14">
        <v>321</v>
      </c>
      <c r="N3469" s="14">
        <v>545</v>
      </c>
      <c r="O3469" s="14">
        <v>0</v>
      </c>
      <c r="P3469" s="14">
        <v>866</v>
      </c>
      <c r="Q3469">
        <v>12010</v>
      </c>
      <c r="R3469">
        <v>2214</v>
      </c>
      <c r="S3469">
        <v>510</v>
      </c>
    </row>
    <row r="3470" spans="11:19" x14ac:dyDescent="0.3">
      <c r="K3470" s="16">
        <f t="shared" si="53"/>
        <v>44160</v>
      </c>
      <c r="L3470" s="17">
        <v>0.5</v>
      </c>
      <c r="M3470" s="14">
        <v>321</v>
      </c>
      <c r="N3470" s="14">
        <v>0</v>
      </c>
      <c r="O3470" s="14">
        <v>277</v>
      </c>
      <c r="P3470" s="14">
        <v>598</v>
      </c>
      <c r="Q3470">
        <v>11995</v>
      </c>
      <c r="R3470">
        <v>2434</v>
      </c>
      <c r="S3470">
        <v>543</v>
      </c>
    </row>
    <row r="3471" spans="11:19" x14ac:dyDescent="0.3">
      <c r="K3471" s="16">
        <f t="shared" si="53"/>
        <v>44160</v>
      </c>
      <c r="L3471" s="17">
        <v>0.54166666666666663</v>
      </c>
      <c r="M3471" s="14">
        <v>321</v>
      </c>
      <c r="N3471" s="14">
        <v>334</v>
      </c>
      <c r="O3471" s="14">
        <v>0</v>
      </c>
      <c r="P3471" s="14">
        <v>655</v>
      </c>
      <c r="Q3471">
        <v>11722</v>
      </c>
      <c r="R3471">
        <v>2181</v>
      </c>
      <c r="S3471">
        <v>466</v>
      </c>
    </row>
    <row r="3472" spans="11:19" x14ac:dyDescent="0.3">
      <c r="K3472" s="16">
        <f t="shared" si="53"/>
        <v>44160</v>
      </c>
      <c r="L3472" s="17">
        <v>0.58333333333333337</v>
      </c>
      <c r="M3472" s="14">
        <v>321</v>
      </c>
      <c r="N3472" s="14">
        <v>133</v>
      </c>
      <c r="O3472" s="14">
        <v>38</v>
      </c>
      <c r="P3472" s="14">
        <v>492</v>
      </c>
      <c r="Q3472">
        <v>11504</v>
      </c>
      <c r="R3472">
        <v>2212</v>
      </c>
      <c r="S3472">
        <v>378</v>
      </c>
    </row>
    <row r="3473" spans="11:19" x14ac:dyDescent="0.3">
      <c r="K3473" s="16">
        <f t="shared" si="53"/>
        <v>44160</v>
      </c>
      <c r="L3473" s="17">
        <v>0.625</v>
      </c>
      <c r="M3473" s="14">
        <v>321</v>
      </c>
      <c r="N3473" s="14">
        <v>0</v>
      </c>
      <c r="O3473" s="14">
        <v>0</v>
      </c>
      <c r="P3473" s="14">
        <v>321</v>
      </c>
      <c r="Q3473">
        <v>11244</v>
      </c>
      <c r="R3473">
        <v>2401</v>
      </c>
      <c r="S3473">
        <v>233</v>
      </c>
    </row>
    <row r="3474" spans="11:19" x14ac:dyDescent="0.3">
      <c r="K3474" s="16">
        <f t="shared" si="53"/>
        <v>44160</v>
      </c>
      <c r="L3474" s="17">
        <v>0.66666666666666663</v>
      </c>
      <c r="M3474" s="14">
        <v>321</v>
      </c>
      <c r="N3474" s="14">
        <v>0</v>
      </c>
      <c r="O3474" s="14">
        <v>0</v>
      </c>
      <c r="P3474" s="14">
        <v>321</v>
      </c>
      <c r="Q3474">
        <v>11155</v>
      </c>
      <c r="R3474">
        <v>2682</v>
      </c>
      <c r="S3474">
        <v>52</v>
      </c>
    </row>
    <row r="3475" spans="11:19" x14ac:dyDescent="0.3">
      <c r="K3475" s="16">
        <f t="shared" si="53"/>
        <v>44160</v>
      </c>
      <c r="L3475" s="17">
        <v>0.70833333333333337</v>
      </c>
      <c r="M3475" s="14">
        <v>321</v>
      </c>
      <c r="N3475" s="14">
        <v>0</v>
      </c>
      <c r="O3475" s="14">
        <v>0</v>
      </c>
      <c r="P3475" s="14">
        <v>321</v>
      </c>
      <c r="Q3475">
        <v>11626</v>
      </c>
      <c r="R3475">
        <v>3085</v>
      </c>
      <c r="S3475">
        <v>5</v>
      </c>
    </row>
    <row r="3476" spans="11:19" x14ac:dyDescent="0.3">
      <c r="K3476" s="16">
        <f t="shared" si="53"/>
        <v>44160</v>
      </c>
      <c r="L3476" s="17">
        <v>0.75</v>
      </c>
      <c r="M3476" s="14">
        <v>321</v>
      </c>
      <c r="N3476" s="14">
        <v>0</v>
      </c>
      <c r="O3476" s="14">
        <v>0</v>
      </c>
      <c r="P3476" s="14">
        <v>321</v>
      </c>
      <c r="Q3476">
        <v>12002</v>
      </c>
      <c r="R3476">
        <v>3346</v>
      </c>
      <c r="S3476">
        <v>0</v>
      </c>
    </row>
    <row r="3477" spans="11:19" x14ac:dyDescent="0.3">
      <c r="K3477" s="16">
        <f t="shared" si="53"/>
        <v>44160</v>
      </c>
      <c r="L3477" s="17">
        <v>0.79166666666666663</v>
      </c>
      <c r="M3477" s="14">
        <v>321</v>
      </c>
      <c r="N3477" s="14">
        <v>0</v>
      </c>
      <c r="O3477" s="14">
        <v>0</v>
      </c>
      <c r="P3477" s="14">
        <v>321</v>
      </c>
      <c r="Q3477">
        <v>11602</v>
      </c>
      <c r="R3477">
        <v>3389</v>
      </c>
      <c r="S3477">
        <v>0</v>
      </c>
    </row>
    <row r="3478" spans="11:19" x14ac:dyDescent="0.3">
      <c r="K3478" s="16">
        <f t="shared" si="53"/>
        <v>44160</v>
      </c>
      <c r="L3478" s="17">
        <v>0.83333333333333337</v>
      </c>
      <c r="M3478" s="14">
        <v>321</v>
      </c>
      <c r="N3478" s="14">
        <v>0</v>
      </c>
      <c r="O3478" s="14">
        <v>0</v>
      </c>
      <c r="P3478" s="14">
        <v>321</v>
      </c>
      <c r="Q3478">
        <v>10776</v>
      </c>
      <c r="R3478">
        <v>3437</v>
      </c>
      <c r="S3478">
        <v>0</v>
      </c>
    </row>
    <row r="3479" spans="11:19" x14ac:dyDescent="0.3">
      <c r="K3479" s="16">
        <f t="shared" si="53"/>
        <v>44160</v>
      </c>
      <c r="L3479" s="17">
        <v>0.875</v>
      </c>
      <c r="M3479" s="14">
        <v>321</v>
      </c>
      <c r="N3479" s="14">
        <v>0</v>
      </c>
      <c r="O3479" s="14">
        <v>0</v>
      </c>
      <c r="P3479" s="14">
        <v>321</v>
      </c>
      <c r="Q3479">
        <v>10131</v>
      </c>
      <c r="R3479">
        <v>3561</v>
      </c>
      <c r="S3479">
        <v>0</v>
      </c>
    </row>
    <row r="3480" spans="11:19" x14ac:dyDescent="0.3">
      <c r="K3480" s="16">
        <f t="shared" si="53"/>
        <v>44160</v>
      </c>
      <c r="L3480" s="17">
        <v>0.91666666666666663</v>
      </c>
      <c r="M3480" s="14">
        <v>321</v>
      </c>
      <c r="N3480" s="14">
        <v>0</v>
      </c>
      <c r="O3480" s="14">
        <v>0</v>
      </c>
      <c r="P3480" s="14">
        <v>321</v>
      </c>
      <c r="Q3480">
        <v>10231</v>
      </c>
      <c r="R3480">
        <v>3460</v>
      </c>
      <c r="S3480">
        <v>0</v>
      </c>
    </row>
    <row r="3481" spans="11:19" x14ac:dyDescent="0.3">
      <c r="K3481" s="16">
        <f t="shared" si="53"/>
        <v>44160</v>
      </c>
      <c r="L3481" s="17">
        <v>0.95833333333333337</v>
      </c>
      <c r="M3481" s="14">
        <v>321</v>
      </c>
      <c r="N3481" s="14">
        <v>0</v>
      </c>
      <c r="O3481" s="14">
        <v>0</v>
      </c>
      <c r="P3481" s="14">
        <v>321</v>
      </c>
      <c r="Q3481">
        <v>10319</v>
      </c>
      <c r="R3481">
        <v>3382</v>
      </c>
      <c r="S3481">
        <v>0</v>
      </c>
    </row>
    <row r="3482" spans="11:19" x14ac:dyDescent="0.3">
      <c r="K3482" s="16">
        <f t="shared" si="53"/>
        <v>44161</v>
      </c>
      <c r="L3482" s="17">
        <v>0</v>
      </c>
      <c r="M3482" s="14">
        <v>321</v>
      </c>
      <c r="N3482" s="14">
        <v>0</v>
      </c>
      <c r="O3482" s="14">
        <v>0</v>
      </c>
      <c r="P3482" s="14">
        <v>321</v>
      </c>
      <c r="Q3482">
        <v>9658</v>
      </c>
      <c r="R3482">
        <v>3288</v>
      </c>
      <c r="S3482">
        <v>0</v>
      </c>
    </row>
    <row r="3483" spans="11:19" x14ac:dyDescent="0.3">
      <c r="K3483" s="16">
        <f t="shared" ref="K3483:K3546" si="54">K3459+1</f>
        <v>44161</v>
      </c>
      <c r="L3483" s="17">
        <v>4.1666666666666664E-2</v>
      </c>
      <c r="M3483" s="14">
        <v>321</v>
      </c>
      <c r="N3483" s="14">
        <v>0</v>
      </c>
      <c r="O3483" s="14">
        <v>-61</v>
      </c>
      <c r="P3483" s="14">
        <v>260</v>
      </c>
      <c r="Q3483">
        <v>9242</v>
      </c>
      <c r="R3483">
        <v>3381</v>
      </c>
      <c r="S3483">
        <v>0</v>
      </c>
    </row>
    <row r="3484" spans="11:19" x14ac:dyDescent="0.3">
      <c r="K3484" s="16">
        <f t="shared" si="54"/>
        <v>44161</v>
      </c>
      <c r="L3484" s="17">
        <v>8.3333333333333329E-2</v>
      </c>
      <c r="M3484" s="14">
        <v>321</v>
      </c>
      <c r="N3484" s="14">
        <v>0</v>
      </c>
      <c r="O3484" s="14">
        <v>-363</v>
      </c>
      <c r="P3484" s="14">
        <v>-42</v>
      </c>
      <c r="Q3484">
        <v>8911</v>
      </c>
      <c r="R3484">
        <v>3352</v>
      </c>
      <c r="S3484">
        <v>0</v>
      </c>
    </row>
    <row r="3485" spans="11:19" x14ac:dyDescent="0.3">
      <c r="K3485" s="16">
        <f t="shared" si="54"/>
        <v>44161</v>
      </c>
      <c r="L3485" s="17">
        <v>0.125</v>
      </c>
      <c r="M3485" s="14">
        <v>321</v>
      </c>
      <c r="N3485" s="14">
        <v>0</v>
      </c>
      <c r="O3485" s="14">
        <v>-864</v>
      </c>
      <c r="P3485" s="14">
        <v>-543</v>
      </c>
      <c r="Q3485">
        <v>8471</v>
      </c>
      <c r="R3485">
        <v>3412</v>
      </c>
      <c r="S3485">
        <v>0</v>
      </c>
    </row>
    <row r="3486" spans="11:19" x14ac:dyDescent="0.3">
      <c r="K3486" s="16">
        <f t="shared" si="54"/>
        <v>44161</v>
      </c>
      <c r="L3486" s="17">
        <v>0.16666666666666666</v>
      </c>
      <c r="M3486" s="14">
        <v>321</v>
      </c>
      <c r="N3486" s="14">
        <v>0</v>
      </c>
      <c r="O3486" s="14">
        <v>-809</v>
      </c>
      <c r="P3486" s="14">
        <v>-488</v>
      </c>
      <c r="Q3486">
        <v>8397</v>
      </c>
      <c r="R3486">
        <v>3281</v>
      </c>
      <c r="S3486">
        <v>0</v>
      </c>
    </row>
    <row r="3487" spans="11:19" x14ac:dyDescent="0.3">
      <c r="K3487" s="16">
        <f t="shared" si="54"/>
        <v>44161</v>
      </c>
      <c r="L3487" s="17">
        <v>0.20833333333333334</v>
      </c>
      <c r="M3487" s="14">
        <v>321</v>
      </c>
      <c r="N3487" s="14">
        <v>0</v>
      </c>
      <c r="O3487" s="14">
        <v>-459</v>
      </c>
      <c r="P3487" s="14">
        <v>-138</v>
      </c>
      <c r="Q3487">
        <v>8895</v>
      </c>
      <c r="R3487">
        <v>3426</v>
      </c>
      <c r="S3487">
        <v>0</v>
      </c>
    </row>
    <row r="3488" spans="11:19" x14ac:dyDescent="0.3">
      <c r="K3488" s="16">
        <f t="shared" si="54"/>
        <v>44161</v>
      </c>
      <c r="L3488" s="17">
        <v>0.25</v>
      </c>
      <c r="M3488" s="14">
        <v>321</v>
      </c>
      <c r="N3488" s="14">
        <v>0</v>
      </c>
      <c r="O3488" s="14">
        <v>846</v>
      </c>
      <c r="P3488" s="14">
        <v>1167</v>
      </c>
      <c r="Q3488">
        <v>10050</v>
      </c>
      <c r="R3488">
        <v>3240</v>
      </c>
      <c r="S3488">
        <v>0</v>
      </c>
    </row>
    <row r="3489" spans="11:19" x14ac:dyDescent="0.3">
      <c r="K3489" s="16">
        <f t="shared" si="54"/>
        <v>44161</v>
      </c>
      <c r="L3489" s="17">
        <v>0.29166666666666669</v>
      </c>
      <c r="M3489" s="14">
        <v>321</v>
      </c>
      <c r="N3489" s="14">
        <v>0</v>
      </c>
      <c r="O3489" s="14">
        <v>0</v>
      </c>
      <c r="P3489" s="14">
        <v>321</v>
      </c>
      <c r="Q3489">
        <v>10977</v>
      </c>
      <c r="R3489">
        <v>3223</v>
      </c>
      <c r="S3489">
        <v>4</v>
      </c>
    </row>
    <row r="3490" spans="11:19" x14ac:dyDescent="0.3">
      <c r="K3490" s="16">
        <f t="shared" si="54"/>
        <v>44161</v>
      </c>
      <c r="L3490" s="17">
        <v>0.33333333333333331</v>
      </c>
      <c r="M3490" s="14">
        <v>321</v>
      </c>
      <c r="N3490" s="14">
        <v>0</v>
      </c>
      <c r="O3490" s="14">
        <v>0</v>
      </c>
      <c r="P3490" s="14">
        <v>321</v>
      </c>
      <c r="Q3490">
        <v>11176</v>
      </c>
      <c r="R3490">
        <v>3085</v>
      </c>
      <c r="S3490">
        <v>47</v>
      </c>
    </row>
    <row r="3491" spans="11:19" x14ac:dyDescent="0.3">
      <c r="K3491" s="16">
        <f t="shared" si="54"/>
        <v>44161</v>
      </c>
      <c r="L3491" s="17">
        <v>0.375</v>
      </c>
      <c r="M3491" s="14">
        <v>321</v>
      </c>
      <c r="N3491" s="14">
        <v>0</v>
      </c>
      <c r="O3491" s="14">
        <v>0</v>
      </c>
      <c r="P3491" s="14">
        <v>321</v>
      </c>
      <c r="Q3491">
        <v>11316</v>
      </c>
      <c r="R3491">
        <v>3011</v>
      </c>
      <c r="S3491">
        <v>230</v>
      </c>
    </row>
    <row r="3492" spans="11:19" x14ac:dyDescent="0.3">
      <c r="K3492" s="16">
        <f t="shared" si="54"/>
        <v>44161</v>
      </c>
      <c r="L3492" s="17">
        <v>0.41666666666666669</v>
      </c>
      <c r="M3492" s="14">
        <v>321</v>
      </c>
      <c r="N3492" s="14">
        <v>0</v>
      </c>
      <c r="O3492" s="14">
        <v>0</v>
      </c>
      <c r="P3492" s="14">
        <v>321</v>
      </c>
      <c r="Q3492">
        <v>11351</v>
      </c>
      <c r="R3492">
        <v>3074</v>
      </c>
      <c r="S3492">
        <v>431</v>
      </c>
    </row>
    <row r="3493" spans="11:19" x14ac:dyDescent="0.3">
      <c r="K3493" s="16">
        <f t="shared" si="54"/>
        <v>44161</v>
      </c>
      <c r="L3493" s="17">
        <v>0.45833333333333331</v>
      </c>
      <c r="M3493" s="14">
        <v>321</v>
      </c>
      <c r="N3493" s="14">
        <v>0</v>
      </c>
      <c r="O3493" s="14">
        <v>0</v>
      </c>
      <c r="P3493" s="14">
        <v>321</v>
      </c>
      <c r="Q3493">
        <v>11468</v>
      </c>
      <c r="R3493">
        <v>3120</v>
      </c>
      <c r="S3493">
        <v>533</v>
      </c>
    </row>
    <row r="3494" spans="11:19" x14ac:dyDescent="0.3">
      <c r="K3494" s="16">
        <f t="shared" si="54"/>
        <v>44161</v>
      </c>
      <c r="L3494" s="17">
        <v>0.5</v>
      </c>
      <c r="M3494" s="14">
        <v>321</v>
      </c>
      <c r="N3494" s="14">
        <v>0</v>
      </c>
      <c r="O3494" s="14">
        <v>0</v>
      </c>
      <c r="P3494" s="14">
        <v>321</v>
      </c>
      <c r="Q3494">
        <v>11493</v>
      </c>
      <c r="R3494">
        <v>3300</v>
      </c>
      <c r="S3494">
        <v>600</v>
      </c>
    </row>
    <row r="3495" spans="11:19" x14ac:dyDescent="0.3">
      <c r="K3495" s="16">
        <f t="shared" si="54"/>
        <v>44161</v>
      </c>
      <c r="L3495" s="17">
        <v>0.54166666666666663</v>
      </c>
      <c r="M3495" s="14">
        <v>321</v>
      </c>
      <c r="N3495" s="14">
        <v>0</v>
      </c>
      <c r="O3495" s="14">
        <v>0</v>
      </c>
      <c r="P3495" s="14">
        <v>321</v>
      </c>
      <c r="Q3495">
        <v>11252</v>
      </c>
      <c r="R3495">
        <v>3346</v>
      </c>
      <c r="S3495">
        <v>616</v>
      </c>
    </row>
    <row r="3496" spans="11:19" x14ac:dyDescent="0.3">
      <c r="K3496" s="16">
        <f t="shared" si="54"/>
        <v>44161</v>
      </c>
      <c r="L3496" s="17">
        <v>0.58333333333333337</v>
      </c>
      <c r="M3496" s="14">
        <v>321</v>
      </c>
      <c r="N3496" s="14">
        <v>0</v>
      </c>
      <c r="O3496" s="14">
        <v>0</v>
      </c>
      <c r="P3496" s="14">
        <v>321</v>
      </c>
      <c r="Q3496">
        <v>11051</v>
      </c>
      <c r="R3496">
        <v>3379</v>
      </c>
      <c r="S3496">
        <v>484</v>
      </c>
    </row>
    <row r="3497" spans="11:19" x14ac:dyDescent="0.3">
      <c r="K3497" s="16">
        <f t="shared" si="54"/>
        <v>44161</v>
      </c>
      <c r="L3497" s="17">
        <v>0.625</v>
      </c>
      <c r="M3497" s="14">
        <v>321</v>
      </c>
      <c r="N3497" s="14">
        <v>0</v>
      </c>
      <c r="O3497" s="14">
        <v>0</v>
      </c>
      <c r="P3497" s="14">
        <v>321</v>
      </c>
      <c r="Q3497">
        <v>10869</v>
      </c>
      <c r="R3497">
        <v>3438</v>
      </c>
      <c r="S3497">
        <v>297</v>
      </c>
    </row>
    <row r="3498" spans="11:19" x14ac:dyDescent="0.3">
      <c r="K3498" s="16">
        <f t="shared" si="54"/>
        <v>44161</v>
      </c>
      <c r="L3498" s="17">
        <v>0.66666666666666663</v>
      </c>
      <c r="M3498" s="14">
        <v>321</v>
      </c>
      <c r="N3498" s="14">
        <v>0</v>
      </c>
      <c r="O3498" s="14">
        <v>0</v>
      </c>
      <c r="P3498" s="14">
        <v>321</v>
      </c>
      <c r="Q3498">
        <v>10885</v>
      </c>
      <c r="R3498">
        <v>3633</v>
      </c>
      <c r="S3498">
        <v>59</v>
      </c>
    </row>
    <row r="3499" spans="11:19" x14ac:dyDescent="0.3">
      <c r="K3499" s="16">
        <f t="shared" si="54"/>
        <v>44161</v>
      </c>
      <c r="L3499" s="17">
        <v>0.70833333333333337</v>
      </c>
      <c r="M3499" s="14">
        <v>321</v>
      </c>
      <c r="N3499" s="14">
        <v>0</v>
      </c>
      <c r="O3499" s="14">
        <v>0</v>
      </c>
      <c r="P3499" s="14">
        <v>321</v>
      </c>
      <c r="Q3499">
        <v>11455</v>
      </c>
      <c r="R3499">
        <v>3844</v>
      </c>
      <c r="S3499">
        <v>6</v>
      </c>
    </row>
    <row r="3500" spans="11:19" x14ac:dyDescent="0.3">
      <c r="K3500" s="16">
        <f t="shared" si="54"/>
        <v>44161</v>
      </c>
      <c r="L3500" s="17">
        <v>0.75</v>
      </c>
      <c r="M3500" s="14">
        <v>321</v>
      </c>
      <c r="N3500" s="14">
        <v>0</v>
      </c>
      <c r="O3500" s="14">
        <v>1200</v>
      </c>
      <c r="P3500" s="14">
        <v>1521</v>
      </c>
      <c r="Q3500">
        <v>11917</v>
      </c>
      <c r="R3500">
        <v>3903</v>
      </c>
      <c r="S3500">
        <v>0</v>
      </c>
    </row>
    <row r="3501" spans="11:19" x14ac:dyDescent="0.3">
      <c r="K3501" s="16">
        <f t="shared" si="54"/>
        <v>44161</v>
      </c>
      <c r="L3501" s="17">
        <v>0.79166666666666663</v>
      </c>
      <c r="M3501" s="14">
        <v>321</v>
      </c>
      <c r="N3501" s="14">
        <v>0</v>
      </c>
      <c r="O3501" s="14">
        <v>0</v>
      </c>
      <c r="P3501" s="14">
        <v>321</v>
      </c>
      <c r="Q3501">
        <v>11544</v>
      </c>
      <c r="R3501">
        <v>3704</v>
      </c>
      <c r="S3501">
        <v>0</v>
      </c>
    </row>
    <row r="3502" spans="11:19" x14ac:dyDescent="0.3">
      <c r="K3502" s="16">
        <f t="shared" si="54"/>
        <v>44161</v>
      </c>
      <c r="L3502" s="17">
        <v>0.83333333333333337</v>
      </c>
      <c r="M3502" s="14">
        <v>321</v>
      </c>
      <c r="N3502" s="14">
        <v>0</v>
      </c>
      <c r="O3502" s="14">
        <v>0</v>
      </c>
      <c r="P3502" s="14">
        <v>321</v>
      </c>
      <c r="Q3502">
        <v>10737</v>
      </c>
      <c r="R3502">
        <v>3822</v>
      </c>
      <c r="S3502">
        <v>0</v>
      </c>
    </row>
    <row r="3503" spans="11:19" x14ac:dyDescent="0.3">
      <c r="K3503" s="16">
        <f t="shared" si="54"/>
        <v>44161</v>
      </c>
      <c r="L3503" s="17">
        <v>0.875</v>
      </c>
      <c r="M3503" s="14">
        <v>321</v>
      </c>
      <c r="N3503" s="14">
        <v>0</v>
      </c>
      <c r="O3503" s="14">
        <v>0</v>
      </c>
      <c r="P3503" s="14">
        <v>321</v>
      </c>
      <c r="Q3503">
        <v>10090</v>
      </c>
      <c r="R3503">
        <v>3751</v>
      </c>
      <c r="S3503">
        <v>0</v>
      </c>
    </row>
    <row r="3504" spans="11:19" x14ac:dyDescent="0.3">
      <c r="K3504" s="16">
        <f t="shared" si="54"/>
        <v>44161</v>
      </c>
      <c r="L3504" s="17">
        <v>0.91666666666666663</v>
      </c>
      <c r="M3504" s="14">
        <v>321</v>
      </c>
      <c r="N3504" s="14">
        <v>0</v>
      </c>
      <c r="O3504" s="14">
        <v>0</v>
      </c>
      <c r="P3504" s="14">
        <v>321</v>
      </c>
      <c r="Q3504">
        <v>10216</v>
      </c>
      <c r="R3504">
        <v>3657</v>
      </c>
      <c r="S3504">
        <v>0</v>
      </c>
    </row>
    <row r="3505" spans="11:19" x14ac:dyDescent="0.3">
      <c r="K3505" s="16">
        <f t="shared" si="54"/>
        <v>44161</v>
      </c>
      <c r="L3505" s="17">
        <v>0.95833333333333337</v>
      </c>
      <c r="M3505" s="14">
        <v>321</v>
      </c>
      <c r="N3505" s="14">
        <v>0</v>
      </c>
      <c r="O3505" s="14">
        <v>0</v>
      </c>
      <c r="P3505" s="14">
        <v>321</v>
      </c>
      <c r="Q3505">
        <v>10341</v>
      </c>
      <c r="R3505">
        <v>3796</v>
      </c>
      <c r="S3505">
        <v>0</v>
      </c>
    </row>
    <row r="3506" spans="11:19" x14ac:dyDescent="0.3">
      <c r="K3506" s="16">
        <f t="shared" si="54"/>
        <v>44162</v>
      </c>
      <c r="L3506" s="17">
        <v>0</v>
      </c>
      <c r="M3506" s="14">
        <v>321</v>
      </c>
      <c r="N3506" s="14">
        <v>0</v>
      </c>
      <c r="O3506" s="14">
        <v>-144</v>
      </c>
      <c r="P3506" s="14">
        <v>177</v>
      </c>
      <c r="Q3506">
        <v>9770</v>
      </c>
      <c r="R3506">
        <v>3989</v>
      </c>
      <c r="S3506">
        <v>0</v>
      </c>
    </row>
    <row r="3507" spans="11:19" x14ac:dyDescent="0.3">
      <c r="K3507" s="16">
        <f t="shared" si="54"/>
        <v>44162</v>
      </c>
      <c r="L3507" s="17">
        <v>4.1666666666666664E-2</v>
      </c>
      <c r="M3507" s="14">
        <v>321</v>
      </c>
      <c r="N3507" s="14">
        <v>0</v>
      </c>
      <c r="O3507" s="14">
        <v>-356</v>
      </c>
      <c r="P3507" s="14">
        <v>-35</v>
      </c>
      <c r="Q3507">
        <v>9398</v>
      </c>
      <c r="R3507">
        <v>3832</v>
      </c>
      <c r="S3507">
        <v>0</v>
      </c>
    </row>
    <row r="3508" spans="11:19" x14ac:dyDescent="0.3">
      <c r="K3508" s="16">
        <f t="shared" si="54"/>
        <v>44162</v>
      </c>
      <c r="L3508" s="17">
        <v>8.3333333333333329E-2</v>
      </c>
      <c r="M3508" s="14">
        <v>321</v>
      </c>
      <c r="N3508" s="14">
        <v>0</v>
      </c>
      <c r="O3508" s="14">
        <v>-475</v>
      </c>
      <c r="P3508" s="14">
        <v>-154</v>
      </c>
      <c r="Q3508">
        <v>9081</v>
      </c>
      <c r="R3508">
        <v>3635</v>
      </c>
      <c r="S3508">
        <v>0</v>
      </c>
    </row>
    <row r="3509" spans="11:19" x14ac:dyDescent="0.3">
      <c r="K3509" s="16">
        <f t="shared" si="54"/>
        <v>44162</v>
      </c>
      <c r="L3509" s="17">
        <v>0.125</v>
      </c>
      <c r="M3509" s="14">
        <v>321</v>
      </c>
      <c r="N3509" s="14">
        <v>0</v>
      </c>
      <c r="O3509" s="14">
        <v>-1147</v>
      </c>
      <c r="P3509" s="14">
        <v>-826</v>
      </c>
      <c r="Q3509">
        <v>8694</v>
      </c>
      <c r="R3509">
        <v>3758</v>
      </c>
      <c r="S3509">
        <v>0</v>
      </c>
    </row>
    <row r="3510" spans="11:19" x14ac:dyDescent="0.3">
      <c r="K3510" s="16">
        <f t="shared" si="54"/>
        <v>44162</v>
      </c>
      <c r="L3510" s="17">
        <v>0.16666666666666666</v>
      </c>
      <c r="M3510" s="14">
        <v>321</v>
      </c>
      <c r="N3510" s="14">
        <v>0</v>
      </c>
      <c r="O3510" s="14">
        <v>-924</v>
      </c>
      <c r="P3510" s="14">
        <v>-603</v>
      </c>
      <c r="Q3510">
        <v>8669</v>
      </c>
      <c r="R3510">
        <v>3508</v>
      </c>
      <c r="S3510">
        <v>0</v>
      </c>
    </row>
    <row r="3511" spans="11:19" x14ac:dyDescent="0.3">
      <c r="K3511" s="16">
        <f t="shared" si="54"/>
        <v>44162</v>
      </c>
      <c r="L3511" s="17">
        <v>0.20833333333333334</v>
      </c>
      <c r="M3511" s="14">
        <v>321</v>
      </c>
      <c r="N3511" s="14">
        <v>0</v>
      </c>
      <c r="O3511" s="14">
        <v>-346</v>
      </c>
      <c r="P3511" s="14">
        <v>-25</v>
      </c>
      <c r="Q3511">
        <v>9191</v>
      </c>
      <c r="R3511">
        <v>3449</v>
      </c>
      <c r="S3511">
        <v>0</v>
      </c>
    </row>
    <row r="3512" spans="11:19" x14ac:dyDescent="0.3">
      <c r="K3512" s="16">
        <f t="shared" si="54"/>
        <v>44162</v>
      </c>
      <c r="L3512" s="17">
        <v>0.25</v>
      </c>
      <c r="M3512" s="14">
        <v>321</v>
      </c>
      <c r="N3512" s="14">
        <v>0</v>
      </c>
      <c r="O3512" s="14">
        <v>0</v>
      </c>
      <c r="P3512" s="14">
        <v>321</v>
      </c>
      <c r="Q3512">
        <v>10336</v>
      </c>
      <c r="R3512">
        <v>3484</v>
      </c>
      <c r="S3512">
        <v>0</v>
      </c>
    </row>
    <row r="3513" spans="11:19" x14ac:dyDescent="0.3">
      <c r="K3513" s="16">
        <f t="shared" si="54"/>
        <v>44162</v>
      </c>
      <c r="L3513" s="17">
        <v>0.29166666666666669</v>
      </c>
      <c r="M3513" s="14">
        <v>321</v>
      </c>
      <c r="N3513" s="14">
        <v>0</v>
      </c>
      <c r="O3513" s="14">
        <v>0</v>
      </c>
      <c r="P3513" s="14">
        <v>321</v>
      </c>
      <c r="Q3513">
        <v>11300</v>
      </c>
      <c r="R3513">
        <v>3384</v>
      </c>
      <c r="S3513">
        <v>5</v>
      </c>
    </row>
    <row r="3514" spans="11:19" x14ac:dyDescent="0.3">
      <c r="K3514" s="16">
        <f t="shared" si="54"/>
        <v>44162</v>
      </c>
      <c r="L3514" s="17">
        <v>0.33333333333333331</v>
      </c>
      <c r="M3514" s="14">
        <v>321</v>
      </c>
      <c r="N3514" s="14">
        <v>0</v>
      </c>
      <c r="O3514" s="14">
        <v>0</v>
      </c>
      <c r="P3514" s="14">
        <v>321</v>
      </c>
      <c r="Q3514">
        <v>11478</v>
      </c>
      <c r="R3514">
        <v>3145</v>
      </c>
      <c r="S3514">
        <v>56</v>
      </c>
    </row>
    <row r="3515" spans="11:19" x14ac:dyDescent="0.3">
      <c r="K3515" s="16">
        <f t="shared" si="54"/>
        <v>44162</v>
      </c>
      <c r="L3515" s="17">
        <v>0.375</v>
      </c>
      <c r="M3515" s="14">
        <v>321</v>
      </c>
      <c r="N3515" s="14">
        <v>0</v>
      </c>
      <c r="O3515" s="14">
        <v>0</v>
      </c>
      <c r="P3515" s="14">
        <v>321</v>
      </c>
      <c r="Q3515">
        <v>11579</v>
      </c>
      <c r="R3515">
        <v>3104</v>
      </c>
      <c r="S3515">
        <v>288</v>
      </c>
    </row>
    <row r="3516" spans="11:19" x14ac:dyDescent="0.3">
      <c r="K3516" s="16">
        <f t="shared" si="54"/>
        <v>44162</v>
      </c>
      <c r="L3516" s="17">
        <v>0.41666666666666669</v>
      </c>
      <c r="M3516" s="14">
        <v>321</v>
      </c>
      <c r="N3516" s="14">
        <v>0</v>
      </c>
      <c r="O3516" s="14">
        <v>0</v>
      </c>
      <c r="P3516" s="14">
        <v>321</v>
      </c>
      <c r="Q3516">
        <v>11550</v>
      </c>
      <c r="R3516">
        <v>2854</v>
      </c>
      <c r="S3516">
        <v>585</v>
      </c>
    </row>
    <row r="3517" spans="11:19" x14ac:dyDescent="0.3">
      <c r="K3517" s="16">
        <f t="shared" si="54"/>
        <v>44162</v>
      </c>
      <c r="L3517" s="17">
        <v>0.45833333333333331</v>
      </c>
      <c r="M3517" s="14">
        <v>321</v>
      </c>
      <c r="N3517" s="14">
        <v>0</v>
      </c>
      <c r="O3517" s="14">
        <v>0</v>
      </c>
      <c r="P3517" s="14">
        <v>321</v>
      </c>
      <c r="Q3517">
        <v>11574</v>
      </c>
      <c r="R3517">
        <v>2625</v>
      </c>
      <c r="S3517">
        <v>717</v>
      </c>
    </row>
    <row r="3518" spans="11:19" x14ac:dyDescent="0.3">
      <c r="K3518" s="16">
        <f t="shared" si="54"/>
        <v>44162</v>
      </c>
      <c r="L3518" s="17">
        <v>0.5</v>
      </c>
      <c r="M3518" s="14">
        <v>321</v>
      </c>
      <c r="N3518" s="14">
        <v>0</v>
      </c>
      <c r="O3518" s="14">
        <v>0</v>
      </c>
      <c r="P3518" s="14">
        <v>321</v>
      </c>
      <c r="Q3518">
        <v>11575</v>
      </c>
      <c r="R3518">
        <v>2412</v>
      </c>
      <c r="S3518">
        <v>802</v>
      </c>
    </row>
    <row r="3519" spans="11:19" x14ac:dyDescent="0.3">
      <c r="K3519" s="16">
        <f t="shared" si="54"/>
        <v>44162</v>
      </c>
      <c r="L3519" s="17">
        <v>0.54166666666666663</v>
      </c>
      <c r="M3519" s="14">
        <v>321</v>
      </c>
      <c r="N3519" s="14">
        <v>0</v>
      </c>
      <c r="O3519" s="14">
        <v>0</v>
      </c>
      <c r="P3519" s="14">
        <v>321</v>
      </c>
      <c r="Q3519">
        <v>11281</v>
      </c>
      <c r="R3519">
        <v>2235</v>
      </c>
      <c r="S3519">
        <v>803</v>
      </c>
    </row>
    <row r="3520" spans="11:19" x14ac:dyDescent="0.3">
      <c r="K3520" s="16">
        <f t="shared" si="54"/>
        <v>44162</v>
      </c>
      <c r="L3520" s="17">
        <v>0.58333333333333337</v>
      </c>
      <c r="M3520" s="14">
        <v>321</v>
      </c>
      <c r="N3520" s="14">
        <v>0</v>
      </c>
      <c r="O3520" s="14">
        <v>0</v>
      </c>
      <c r="P3520" s="14">
        <v>321</v>
      </c>
      <c r="Q3520">
        <v>11065</v>
      </c>
      <c r="R3520">
        <v>1986</v>
      </c>
      <c r="S3520">
        <v>639</v>
      </c>
    </row>
    <row r="3521" spans="11:19" x14ac:dyDescent="0.3">
      <c r="K3521" s="16">
        <f t="shared" si="54"/>
        <v>44162</v>
      </c>
      <c r="L3521" s="17">
        <v>0.625</v>
      </c>
      <c r="M3521" s="14">
        <v>321</v>
      </c>
      <c r="N3521" s="14">
        <v>2</v>
      </c>
      <c r="O3521" s="14">
        <v>0</v>
      </c>
      <c r="P3521" s="14">
        <v>323</v>
      </c>
      <c r="Q3521">
        <v>10847</v>
      </c>
      <c r="R3521">
        <v>1725</v>
      </c>
      <c r="S3521">
        <v>379</v>
      </c>
    </row>
    <row r="3522" spans="11:19" x14ac:dyDescent="0.3">
      <c r="K3522" s="16">
        <f t="shared" si="54"/>
        <v>44162</v>
      </c>
      <c r="L3522" s="17">
        <v>0.66666666666666663</v>
      </c>
      <c r="M3522" s="14">
        <v>321</v>
      </c>
      <c r="N3522" s="14">
        <v>354</v>
      </c>
      <c r="O3522" s="14">
        <v>0</v>
      </c>
      <c r="P3522" s="14">
        <v>675</v>
      </c>
      <c r="Q3522">
        <v>10769</v>
      </c>
      <c r="R3522">
        <v>1603</v>
      </c>
      <c r="S3522">
        <v>69</v>
      </c>
    </row>
    <row r="3523" spans="11:19" x14ac:dyDescent="0.3">
      <c r="K3523" s="16">
        <f t="shared" si="54"/>
        <v>44162</v>
      </c>
      <c r="L3523" s="17">
        <v>0.70833333333333337</v>
      </c>
      <c r="M3523" s="14">
        <v>321</v>
      </c>
      <c r="N3523" s="14">
        <v>1006</v>
      </c>
      <c r="O3523" s="14">
        <v>308</v>
      </c>
      <c r="P3523" s="14">
        <v>1635</v>
      </c>
      <c r="Q3523">
        <v>11309</v>
      </c>
      <c r="R3523">
        <v>1244</v>
      </c>
      <c r="S3523">
        <v>7</v>
      </c>
    </row>
    <row r="3524" spans="11:19" x14ac:dyDescent="0.3">
      <c r="K3524" s="16">
        <f t="shared" si="54"/>
        <v>44162</v>
      </c>
      <c r="L3524" s="17">
        <v>0.75</v>
      </c>
      <c r="M3524" s="14">
        <v>321</v>
      </c>
      <c r="N3524" s="14">
        <v>1006</v>
      </c>
      <c r="O3524" s="14">
        <v>832</v>
      </c>
      <c r="P3524" s="14">
        <v>2159</v>
      </c>
      <c r="Q3524">
        <v>11680</v>
      </c>
      <c r="R3524">
        <v>1094</v>
      </c>
      <c r="S3524">
        <v>0</v>
      </c>
    </row>
    <row r="3525" spans="11:19" x14ac:dyDescent="0.3">
      <c r="K3525" s="16">
        <f t="shared" si="54"/>
        <v>44162</v>
      </c>
      <c r="L3525" s="17">
        <v>0.79166666666666663</v>
      </c>
      <c r="M3525" s="14">
        <v>321</v>
      </c>
      <c r="N3525" s="14">
        <v>572</v>
      </c>
      <c r="O3525" s="14">
        <v>1200</v>
      </c>
      <c r="P3525" s="14">
        <v>2093</v>
      </c>
      <c r="Q3525">
        <v>11465</v>
      </c>
      <c r="R3525">
        <v>949</v>
      </c>
      <c r="S3525">
        <v>0</v>
      </c>
    </row>
    <row r="3526" spans="11:19" x14ac:dyDescent="0.3">
      <c r="K3526" s="16">
        <f t="shared" si="54"/>
        <v>44162</v>
      </c>
      <c r="L3526" s="17">
        <v>0.83333333333333337</v>
      </c>
      <c r="M3526" s="14">
        <v>321</v>
      </c>
      <c r="N3526" s="14">
        <v>1006</v>
      </c>
      <c r="O3526" s="14">
        <v>65</v>
      </c>
      <c r="P3526" s="14">
        <v>1392</v>
      </c>
      <c r="Q3526">
        <v>10721</v>
      </c>
      <c r="R3526">
        <v>912</v>
      </c>
      <c r="S3526">
        <v>0</v>
      </c>
    </row>
    <row r="3527" spans="11:19" x14ac:dyDescent="0.3">
      <c r="K3527" s="16">
        <f t="shared" si="54"/>
        <v>44162</v>
      </c>
      <c r="L3527" s="17">
        <v>0.875</v>
      </c>
      <c r="M3527" s="14">
        <v>321</v>
      </c>
      <c r="N3527" s="14">
        <v>449</v>
      </c>
      <c r="O3527" s="14">
        <v>0</v>
      </c>
      <c r="P3527" s="14">
        <v>770</v>
      </c>
      <c r="Q3527">
        <v>10134</v>
      </c>
      <c r="R3527">
        <v>953</v>
      </c>
      <c r="S3527">
        <v>0</v>
      </c>
    </row>
    <row r="3528" spans="11:19" x14ac:dyDescent="0.3">
      <c r="K3528" s="16">
        <f t="shared" si="54"/>
        <v>44162</v>
      </c>
      <c r="L3528" s="17">
        <v>0.91666666666666663</v>
      </c>
      <c r="M3528" s="14">
        <v>321</v>
      </c>
      <c r="N3528" s="14">
        <v>588</v>
      </c>
      <c r="O3528" s="14">
        <v>0</v>
      </c>
      <c r="P3528" s="14">
        <v>909</v>
      </c>
      <c r="Q3528">
        <v>10365</v>
      </c>
      <c r="R3528">
        <v>1051</v>
      </c>
      <c r="S3528">
        <v>0</v>
      </c>
    </row>
    <row r="3529" spans="11:19" x14ac:dyDescent="0.3">
      <c r="K3529" s="16">
        <f t="shared" si="54"/>
        <v>44162</v>
      </c>
      <c r="L3529" s="17">
        <v>0.95833333333333337</v>
      </c>
      <c r="M3529" s="14">
        <v>321</v>
      </c>
      <c r="N3529" s="14">
        <v>469</v>
      </c>
      <c r="O3529" s="14">
        <v>311</v>
      </c>
      <c r="P3529" s="14">
        <v>1101</v>
      </c>
      <c r="Q3529">
        <v>10515</v>
      </c>
      <c r="R3529">
        <v>1013</v>
      </c>
      <c r="S3529">
        <v>0</v>
      </c>
    </row>
    <row r="3530" spans="11:19" x14ac:dyDescent="0.3">
      <c r="K3530" s="16">
        <f t="shared" si="54"/>
        <v>44163</v>
      </c>
      <c r="L3530" s="17">
        <v>0</v>
      </c>
      <c r="M3530" s="14">
        <v>321</v>
      </c>
      <c r="N3530" s="14">
        <v>0</v>
      </c>
      <c r="O3530" s="14">
        <v>0</v>
      </c>
      <c r="P3530" s="14">
        <v>321</v>
      </c>
      <c r="Q3530">
        <v>9829</v>
      </c>
      <c r="R3530">
        <v>1462</v>
      </c>
      <c r="S3530">
        <v>0</v>
      </c>
    </row>
    <row r="3531" spans="11:19" x14ac:dyDescent="0.3">
      <c r="K3531" s="16">
        <f t="shared" si="54"/>
        <v>44163</v>
      </c>
      <c r="L3531" s="17">
        <v>4.1666666666666664E-2</v>
      </c>
      <c r="M3531" s="14">
        <v>321</v>
      </c>
      <c r="N3531" s="14">
        <v>0</v>
      </c>
      <c r="O3531" s="14">
        <v>0</v>
      </c>
      <c r="P3531" s="14">
        <v>321</v>
      </c>
      <c r="Q3531">
        <v>9380</v>
      </c>
      <c r="R3531">
        <v>1402</v>
      </c>
      <c r="S3531">
        <v>0</v>
      </c>
    </row>
    <row r="3532" spans="11:19" x14ac:dyDescent="0.3">
      <c r="K3532" s="16">
        <f t="shared" si="54"/>
        <v>44163</v>
      </c>
      <c r="L3532" s="17">
        <v>8.3333333333333329E-2</v>
      </c>
      <c r="M3532" s="14">
        <v>321</v>
      </c>
      <c r="N3532" s="14">
        <v>0</v>
      </c>
      <c r="O3532" s="14">
        <v>0</v>
      </c>
      <c r="P3532" s="14">
        <v>321</v>
      </c>
      <c r="Q3532">
        <v>8988</v>
      </c>
      <c r="R3532">
        <v>1282</v>
      </c>
      <c r="S3532">
        <v>0</v>
      </c>
    </row>
    <row r="3533" spans="11:19" x14ac:dyDescent="0.3">
      <c r="K3533" s="16">
        <f t="shared" si="54"/>
        <v>44163</v>
      </c>
      <c r="L3533" s="17">
        <v>0.125</v>
      </c>
      <c r="M3533" s="14">
        <v>321</v>
      </c>
      <c r="N3533" s="14">
        <v>0</v>
      </c>
      <c r="O3533" s="14">
        <v>0</v>
      </c>
      <c r="P3533" s="14">
        <v>321</v>
      </c>
      <c r="Q3533">
        <v>8507</v>
      </c>
      <c r="R3533">
        <v>1284</v>
      </c>
      <c r="S3533">
        <v>0</v>
      </c>
    </row>
    <row r="3534" spans="11:19" x14ac:dyDescent="0.3">
      <c r="K3534" s="16">
        <f t="shared" si="54"/>
        <v>44163</v>
      </c>
      <c r="L3534" s="17">
        <v>0.16666666666666666</v>
      </c>
      <c r="M3534" s="14">
        <v>321</v>
      </c>
      <c r="N3534" s="14">
        <v>0</v>
      </c>
      <c r="O3534" s="14">
        <v>0</v>
      </c>
      <c r="P3534" s="14">
        <v>321</v>
      </c>
      <c r="Q3534">
        <v>8301</v>
      </c>
      <c r="R3534">
        <v>1240</v>
      </c>
      <c r="S3534">
        <v>0</v>
      </c>
    </row>
    <row r="3535" spans="11:19" x14ac:dyDescent="0.3">
      <c r="K3535" s="16">
        <f t="shared" si="54"/>
        <v>44163</v>
      </c>
      <c r="L3535" s="17">
        <v>0.20833333333333334</v>
      </c>
      <c r="M3535" s="14">
        <v>321</v>
      </c>
      <c r="N3535" s="14">
        <v>0</v>
      </c>
      <c r="O3535" s="14">
        <v>0</v>
      </c>
      <c r="P3535" s="14">
        <v>321</v>
      </c>
      <c r="Q3535">
        <v>8426</v>
      </c>
      <c r="R3535">
        <v>1280</v>
      </c>
      <c r="S3535">
        <v>0</v>
      </c>
    </row>
    <row r="3536" spans="11:19" x14ac:dyDescent="0.3">
      <c r="K3536" s="16">
        <f t="shared" si="54"/>
        <v>44163</v>
      </c>
      <c r="L3536" s="17">
        <v>0.25</v>
      </c>
      <c r="M3536" s="14">
        <v>321</v>
      </c>
      <c r="N3536" s="14">
        <v>0</v>
      </c>
      <c r="O3536" s="14">
        <v>0</v>
      </c>
      <c r="P3536" s="14">
        <v>321</v>
      </c>
      <c r="Q3536">
        <v>8770</v>
      </c>
      <c r="R3536">
        <v>1216</v>
      </c>
      <c r="S3536">
        <v>0</v>
      </c>
    </row>
    <row r="3537" spans="11:19" x14ac:dyDescent="0.3">
      <c r="K3537" s="16">
        <f t="shared" si="54"/>
        <v>44163</v>
      </c>
      <c r="L3537" s="17">
        <v>0.29166666666666669</v>
      </c>
      <c r="M3537" s="14">
        <v>321</v>
      </c>
      <c r="N3537" s="14">
        <v>0</v>
      </c>
      <c r="O3537" s="14">
        <v>0</v>
      </c>
      <c r="P3537" s="14">
        <v>321</v>
      </c>
      <c r="Q3537">
        <v>9082</v>
      </c>
      <c r="R3537">
        <v>992</v>
      </c>
      <c r="S3537">
        <v>3</v>
      </c>
    </row>
    <row r="3538" spans="11:19" x14ac:dyDescent="0.3">
      <c r="K3538" s="16">
        <f t="shared" si="54"/>
        <v>44163</v>
      </c>
      <c r="L3538" s="17">
        <v>0.33333333333333331</v>
      </c>
      <c r="M3538" s="14">
        <v>321</v>
      </c>
      <c r="N3538" s="14">
        <v>0</v>
      </c>
      <c r="O3538" s="14">
        <v>0</v>
      </c>
      <c r="P3538" s="14">
        <v>321</v>
      </c>
      <c r="Q3538">
        <v>9415</v>
      </c>
      <c r="R3538">
        <v>830</v>
      </c>
      <c r="S3538">
        <v>67</v>
      </c>
    </row>
    <row r="3539" spans="11:19" x14ac:dyDescent="0.3">
      <c r="K3539" s="16">
        <f t="shared" si="54"/>
        <v>44163</v>
      </c>
      <c r="L3539" s="17">
        <v>0.375</v>
      </c>
      <c r="M3539" s="14">
        <v>321</v>
      </c>
      <c r="N3539" s="14">
        <v>0</v>
      </c>
      <c r="O3539" s="14">
        <v>0</v>
      </c>
      <c r="P3539" s="14">
        <v>321</v>
      </c>
      <c r="Q3539">
        <v>9756</v>
      </c>
      <c r="R3539">
        <v>813</v>
      </c>
      <c r="S3539">
        <v>326</v>
      </c>
    </row>
    <row r="3540" spans="11:19" x14ac:dyDescent="0.3">
      <c r="K3540" s="16">
        <f t="shared" si="54"/>
        <v>44163</v>
      </c>
      <c r="L3540" s="17">
        <v>0.41666666666666669</v>
      </c>
      <c r="M3540" s="14">
        <v>321</v>
      </c>
      <c r="N3540" s="14">
        <v>0</v>
      </c>
      <c r="O3540" s="14">
        <v>0</v>
      </c>
      <c r="P3540" s="14">
        <v>321</v>
      </c>
      <c r="Q3540">
        <v>9842</v>
      </c>
      <c r="R3540">
        <v>773</v>
      </c>
      <c r="S3540">
        <v>647</v>
      </c>
    </row>
    <row r="3541" spans="11:19" x14ac:dyDescent="0.3">
      <c r="K3541" s="16">
        <f t="shared" si="54"/>
        <v>44163</v>
      </c>
      <c r="L3541" s="17">
        <v>0.45833333333333331</v>
      </c>
      <c r="M3541" s="14">
        <v>321</v>
      </c>
      <c r="N3541" s="14">
        <v>0</v>
      </c>
      <c r="O3541" s="14">
        <v>0</v>
      </c>
      <c r="P3541" s="14">
        <v>321</v>
      </c>
      <c r="Q3541">
        <v>9956</v>
      </c>
      <c r="R3541">
        <v>716</v>
      </c>
      <c r="S3541">
        <v>849</v>
      </c>
    </row>
    <row r="3542" spans="11:19" x14ac:dyDescent="0.3">
      <c r="K3542" s="16">
        <f t="shared" si="54"/>
        <v>44163</v>
      </c>
      <c r="L3542" s="17">
        <v>0.5</v>
      </c>
      <c r="M3542" s="14">
        <v>321</v>
      </c>
      <c r="N3542" s="14">
        <v>0</v>
      </c>
      <c r="O3542" s="14">
        <v>0</v>
      </c>
      <c r="P3542" s="14">
        <v>321</v>
      </c>
      <c r="Q3542">
        <v>10270</v>
      </c>
      <c r="R3542">
        <v>545</v>
      </c>
      <c r="S3542">
        <v>948</v>
      </c>
    </row>
    <row r="3543" spans="11:19" x14ac:dyDescent="0.3">
      <c r="K3543" s="16">
        <f t="shared" si="54"/>
        <v>44163</v>
      </c>
      <c r="L3543" s="17">
        <v>0.54166666666666663</v>
      </c>
      <c r="M3543" s="14">
        <v>321</v>
      </c>
      <c r="N3543" s="14">
        <v>0</v>
      </c>
      <c r="O3543" s="14">
        <v>0</v>
      </c>
      <c r="P3543" s="14">
        <v>321</v>
      </c>
      <c r="Q3543">
        <v>9818</v>
      </c>
      <c r="R3543">
        <v>475</v>
      </c>
      <c r="S3543">
        <v>929</v>
      </c>
    </row>
    <row r="3544" spans="11:19" x14ac:dyDescent="0.3">
      <c r="K3544" s="16">
        <f t="shared" si="54"/>
        <v>44163</v>
      </c>
      <c r="L3544" s="17">
        <v>0.58333333333333337</v>
      </c>
      <c r="M3544" s="14">
        <v>321</v>
      </c>
      <c r="N3544" s="14">
        <v>0</v>
      </c>
      <c r="O3544" s="14">
        <v>0</v>
      </c>
      <c r="P3544" s="14">
        <v>321</v>
      </c>
      <c r="Q3544">
        <v>9479</v>
      </c>
      <c r="R3544">
        <v>456</v>
      </c>
      <c r="S3544">
        <v>737</v>
      </c>
    </row>
    <row r="3545" spans="11:19" x14ac:dyDescent="0.3">
      <c r="K3545" s="16">
        <f t="shared" si="54"/>
        <v>44163</v>
      </c>
      <c r="L3545" s="17">
        <v>0.625</v>
      </c>
      <c r="M3545" s="14">
        <v>321</v>
      </c>
      <c r="N3545" s="14">
        <v>0</v>
      </c>
      <c r="O3545" s="14">
        <v>0</v>
      </c>
      <c r="P3545" s="14">
        <v>321</v>
      </c>
      <c r="Q3545">
        <v>9261</v>
      </c>
      <c r="R3545">
        <v>533</v>
      </c>
      <c r="S3545">
        <v>432</v>
      </c>
    </row>
    <row r="3546" spans="11:19" x14ac:dyDescent="0.3">
      <c r="K3546" s="16">
        <f t="shared" si="54"/>
        <v>44163</v>
      </c>
      <c r="L3546" s="17">
        <v>0.66666666666666663</v>
      </c>
      <c r="M3546" s="14">
        <v>321</v>
      </c>
      <c r="N3546" s="14">
        <v>0</v>
      </c>
      <c r="O3546" s="14">
        <v>0</v>
      </c>
      <c r="P3546" s="14">
        <v>321</v>
      </c>
      <c r="Q3546">
        <v>9186</v>
      </c>
      <c r="R3546">
        <v>530</v>
      </c>
      <c r="S3546">
        <v>105</v>
      </c>
    </row>
    <row r="3547" spans="11:19" x14ac:dyDescent="0.3">
      <c r="K3547" s="16">
        <f t="shared" ref="K3547:K3610" si="55">K3523+1</f>
        <v>44163</v>
      </c>
      <c r="L3547" s="17">
        <v>0.70833333333333337</v>
      </c>
      <c r="M3547" s="14">
        <v>321</v>
      </c>
      <c r="N3547" s="14">
        <v>0</v>
      </c>
      <c r="O3547" s="14">
        <v>0</v>
      </c>
      <c r="P3547" s="14">
        <v>321</v>
      </c>
      <c r="Q3547">
        <v>9794</v>
      </c>
      <c r="R3547">
        <v>456</v>
      </c>
      <c r="S3547">
        <v>5</v>
      </c>
    </row>
    <row r="3548" spans="11:19" x14ac:dyDescent="0.3">
      <c r="K3548" s="16">
        <f t="shared" si="55"/>
        <v>44163</v>
      </c>
      <c r="L3548" s="17">
        <v>0.75</v>
      </c>
      <c r="M3548" s="14">
        <v>321</v>
      </c>
      <c r="N3548" s="14">
        <v>0</v>
      </c>
      <c r="O3548" s="14">
        <v>0</v>
      </c>
      <c r="P3548" s="14">
        <v>321</v>
      </c>
      <c r="Q3548">
        <v>10197</v>
      </c>
      <c r="R3548">
        <v>375</v>
      </c>
      <c r="S3548">
        <v>0</v>
      </c>
    </row>
    <row r="3549" spans="11:19" x14ac:dyDescent="0.3">
      <c r="K3549" s="16">
        <f t="shared" si="55"/>
        <v>44163</v>
      </c>
      <c r="L3549" s="17">
        <v>0.79166666666666663</v>
      </c>
      <c r="M3549" s="14">
        <v>321</v>
      </c>
      <c r="N3549" s="14">
        <v>1040</v>
      </c>
      <c r="O3549" s="14">
        <v>0</v>
      </c>
      <c r="P3549" s="14">
        <v>1361</v>
      </c>
      <c r="Q3549">
        <v>10077</v>
      </c>
      <c r="R3549">
        <v>303</v>
      </c>
      <c r="S3549">
        <v>0</v>
      </c>
    </row>
    <row r="3550" spans="11:19" x14ac:dyDescent="0.3">
      <c r="K3550" s="16">
        <f t="shared" si="55"/>
        <v>44163</v>
      </c>
      <c r="L3550" s="17">
        <v>0.83333333333333337</v>
      </c>
      <c r="M3550" s="14">
        <v>321</v>
      </c>
      <c r="N3550" s="14">
        <v>0</v>
      </c>
      <c r="O3550" s="14">
        <v>0</v>
      </c>
      <c r="P3550" s="14">
        <v>321</v>
      </c>
      <c r="Q3550">
        <v>9461</v>
      </c>
      <c r="R3550">
        <v>271</v>
      </c>
      <c r="S3550">
        <v>0</v>
      </c>
    </row>
    <row r="3551" spans="11:19" x14ac:dyDescent="0.3">
      <c r="K3551" s="16">
        <f t="shared" si="55"/>
        <v>44163</v>
      </c>
      <c r="L3551" s="17">
        <v>0.875</v>
      </c>
      <c r="M3551" s="14">
        <v>321</v>
      </c>
      <c r="N3551" s="14">
        <v>0</v>
      </c>
      <c r="O3551" s="14">
        <v>0</v>
      </c>
      <c r="P3551" s="14">
        <v>321</v>
      </c>
      <c r="Q3551">
        <v>8972</v>
      </c>
      <c r="R3551">
        <v>312</v>
      </c>
      <c r="S3551">
        <v>0</v>
      </c>
    </row>
    <row r="3552" spans="11:19" x14ac:dyDescent="0.3">
      <c r="K3552" s="16">
        <f t="shared" si="55"/>
        <v>44163</v>
      </c>
      <c r="L3552" s="17">
        <v>0.91666666666666663</v>
      </c>
      <c r="M3552" s="14">
        <v>321</v>
      </c>
      <c r="N3552" s="14">
        <v>355</v>
      </c>
      <c r="O3552" s="14">
        <v>0</v>
      </c>
      <c r="P3552" s="14">
        <v>676</v>
      </c>
      <c r="Q3552">
        <v>9357</v>
      </c>
      <c r="R3552">
        <v>292</v>
      </c>
      <c r="S3552">
        <v>0</v>
      </c>
    </row>
    <row r="3553" spans="11:19" x14ac:dyDescent="0.3">
      <c r="K3553" s="16">
        <f t="shared" si="55"/>
        <v>44163</v>
      </c>
      <c r="L3553" s="17">
        <v>0.95833333333333337</v>
      </c>
      <c r="M3553" s="14">
        <v>321</v>
      </c>
      <c r="N3553" s="14">
        <v>697</v>
      </c>
      <c r="O3553" s="14">
        <v>0</v>
      </c>
      <c r="P3553" s="14">
        <v>1018</v>
      </c>
      <c r="Q3553">
        <v>9718</v>
      </c>
      <c r="R3553">
        <v>315</v>
      </c>
      <c r="S3553">
        <v>0</v>
      </c>
    </row>
    <row r="3554" spans="11:19" x14ac:dyDescent="0.3">
      <c r="K3554" s="16">
        <f t="shared" si="55"/>
        <v>44164</v>
      </c>
      <c r="L3554" s="17">
        <v>0</v>
      </c>
      <c r="M3554" s="14">
        <v>321</v>
      </c>
      <c r="N3554" s="14">
        <v>0</v>
      </c>
      <c r="O3554" s="14">
        <v>0</v>
      </c>
      <c r="P3554" s="14">
        <v>321</v>
      </c>
      <c r="Q3554">
        <v>9296</v>
      </c>
      <c r="R3554">
        <v>334</v>
      </c>
      <c r="S3554">
        <v>0</v>
      </c>
    </row>
    <row r="3555" spans="11:19" x14ac:dyDescent="0.3">
      <c r="K3555" s="16">
        <f t="shared" si="55"/>
        <v>44164</v>
      </c>
      <c r="L3555" s="17">
        <v>4.1666666666666664E-2</v>
      </c>
      <c r="M3555" s="14">
        <v>321</v>
      </c>
      <c r="N3555" s="14">
        <v>0</v>
      </c>
      <c r="O3555" s="14">
        <v>0</v>
      </c>
      <c r="P3555" s="14">
        <v>321</v>
      </c>
      <c r="Q3555">
        <v>8911</v>
      </c>
      <c r="R3555">
        <v>335</v>
      </c>
      <c r="S3555">
        <v>0</v>
      </c>
    </row>
    <row r="3556" spans="11:19" x14ac:dyDescent="0.3">
      <c r="K3556" s="16">
        <f t="shared" si="55"/>
        <v>44164</v>
      </c>
      <c r="L3556" s="17">
        <v>8.3333333333333329E-2</v>
      </c>
      <c r="M3556" s="14">
        <v>321</v>
      </c>
      <c r="N3556" s="14">
        <v>0</v>
      </c>
      <c r="O3556" s="14">
        <v>0</v>
      </c>
      <c r="P3556" s="14">
        <v>321</v>
      </c>
      <c r="Q3556">
        <v>8526</v>
      </c>
      <c r="R3556">
        <v>378</v>
      </c>
      <c r="S3556">
        <v>0</v>
      </c>
    </row>
    <row r="3557" spans="11:19" x14ac:dyDescent="0.3">
      <c r="K3557" s="16">
        <f t="shared" si="55"/>
        <v>44164</v>
      </c>
      <c r="L3557" s="17">
        <v>0.125</v>
      </c>
      <c r="M3557" s="14">
        <v>321</v>
      </c>
      <c r="N3557" s="14">
        <v>0</v>
      </c>
      <c r="O3557" s="14">
        <v>0</v>
      </c>
      <c r="P3557" s="14">
        <v>321</v>
      </c>
      <c r="Q3557">
        <v>7990</v>
      </c>
      <c r="R3557">
        <v>396</v>
      </c>
      <c r="S3557">
        <v>0</v>
      </c>
    </row>
    <row r="3558" spans="11:19" x14ac:dyDescent="0.3">
      <c r="K3558" s="16">
        <f t="shared" si="55"/>
        <v>44164</v>
      </c>
      <c r="L3558" s="17">
        <v>0.16666666666666666</v>
      </c>
      <c r="M3558" s="14">
        <v>321</v>
      </c>
      <c r="N3558" s="14">
        <v>0</v>
      </c>
      <c r="O3558" s="14">
        <v>0</v>
      </c>
      <c r="P3558" s="14">
        <v>321</v>
      </c>
      <c r="Q3558">
        <v>7760</v>
      </c>
      <c r="R3558">
        <v>605</v>
      </c>
      <c r="S3558">
        <v>0</v>
      </c>
    </row>
    <row r="3559" spans="11:19" x14ac:dyDescent="0.3">
      <c r="K3559" s="16">
        <f t="shared" si="55"/>
        <v>44164</v>
      </c>
      <c r="L3559" s="17">
        <v>0.20833333333333334</v>
      </c>
      <c r="M3559" s="14">
        <v>321</v>
      </c>
      <c r="N3559" s="14">
        <v>0</v>
      </c>
      <c r="O3559" s="14">
        <v>0</v>
      </c>
      <c r="P3559" s="14">
        <v>321</v>
      </c>
      <c r="Q3559">
        <v>7775</v>
      </c>
      <c r="R3559">
        <v>616</v>
      </c>
      <c r="S3559">
        <v>0</v>
      </c>
    </row>
    <row r="3560" spans="11:19" x14ac:dyDescent="0.3">
      <c r="K3560" s="16">
        <f t="shared" si="55"/>
        <v>44164</v>
      </c>
      <c r="L3560" s="17">
        <v>0.25</v>
      </c>
      <c r="M3560" s="14">
        <v>321</v>
      </c>
      <c r="N3560" s="14">
        <v>0</v>
      </c>
      <c r="O3560" s="14">
        <v>0</v>
      </c>
      <c r="P3560" s="14">
        <v>321</v>
      </c>
      <c r="Q3560">
        <v>7963</v>
      </c>
      <c r="R3560">
        <v>731</v>
      </c>
      <c r="S3560">
        <v>0</v>
      </c>
    </row>
    <row r="3561" spans="11:19" x14ac:dyDescent="0.3">
      <c r="K3561" s="16">
        <f t="shared" si="55"/>
        <v>44164</v>
      </c>
      <c r="L3561" s="17">
        <v>0.29166666666666669</v>
      </c>
      <c r="M3561" s="14">
        <v>321</v>
      </c>
      <c r="N3561" s="14">
        <v>0</v>
      </c>
      <c r="O3561" s="14">
        <v>0</v>
      </c>
      <c r="P3561" s="14">
        <v>321</v>
      </c>
      <c r="Q3561">
        <v>8132</v>
      </c>
      <c r="R3561">
        <v>661</v>
      </c>
      <c r="S3561">
        <v>2</v>
      </c>
    </row>
    <row r="3562" spans="11:19" x14ac:dyDescent="0.3">
      <c r="K3562" s="16">
        <f t="shared" si="55"/>
        <v>44164</v>
      </c>
      <c r="L3562" s="17">
        <v>0.33333333333333331</v>
      </c>
      <c r="M3562" s="14">
        <v>321</v>
      </c>
      <c r="N3562" s="14">
        <v>0</v>
      </c>
      <c r="O3562" s="14">
        <v>0</v>
      </c>
      <c r="P3562" s="14">
        <v>321</v>
      </c>
      <c r="Q3562">
        <v>8457</v>
      </c>
      <c r="R3562">
        <v>654</v>
      </c>
      <c r="S3562">
        <v>84</v>
      </c>
    </row>
    <row r="3563" spans="11:19" x14ac:dyDescent="0.3">
      <c r="K3563" s="16">
        <f t="shared" si="55"/>
        <v>44164</v>
      </c>
      <c r="L3563" s="17">
        <v>0.375</v>
      </c>
      <c r="M3563" s="14">
        <v>321</v>
      </c>
      <c r="N3563" s="14">
        <v>0</v>
      </c>
      <c r="O3563" s="14">
        <v>0</v>
      </c>
      <c r="P3563" s="14">
        <v>321</v>
      </c>
      <c r="Q3563">
        <v>8869</v>
      </c>
      <c r="R3563">
        <v>680</v>
      </c>
      <c r="S3563">
        <v>442</v>
      </c>
    </row>
    <row r="3564" spans="11:19" x14ac:dyDescent="0.3">
      <c r="K3564" s="16">
        <f t="shared" si="55"/>
        <v>44164</v>
      </c>
      <c r="L3564" s="17">
        <v>0.41666666666666669</v>
      </c>
      <c r="M3564" s="14">
        <v>321</v>
      </c>
      <c r="N3564" s="14">
        <v>0</v>
      </c>
      <c r="O3564" s="14">
        <v>0</v>
      </c>
      <c r="P3564" s="14">
        <v>321</v>
      </c>
      <c r="Q3564">
        <v>9169</v>
      </c>
      <c r="R3564">
        <v>634</v>
      </c>
      <c r="S3564">
        <v>908</v>
      </c>
    </row>
    <row r="3565" spans="11:19" x14ac:dyDescent="0.3">
      <c r="K3565" s="16">
        <f t="shared" si="55"/>
        <v>44164</v>
      </c>
      <c r="L3565" s="17">
        <v>0.45833333333333331</v>
      </c>
      <c r="M3565" s="14">
        <v>321</v>
      </c>
      <c r="N3565" s="14">
        <v>0</v>
      </c>
      <c r="O3565" s="14">
        <v>0</v>
      </c>
      <c r="P3565" s="14">
        <v>321</v>
      </c>
      <c r="Q3565">
        <v>9390</v>
      </c>
      <c r="R3565">
        <v>724</v>
      </c>
      <c r="S3565">
        <v>1296</v>
      </c>
    </row>
    <row r="3566" spans="11:19" x14ac:dyDescent="0.3">
      <c r="K3566" s="16">
        <f t="shared" si="55"/>
        <v>44164</v>
      </c>
      <c r="L3566" s="17">
        <v>0.5</v>
      </c>
      <c r="M3566" s="14">
        <v>321</v>
      </c>
      <c r="N3566" s="14">
        <v>0</v>
      </c>
      <c r="O3566" s="14">
        <v>0</v>
      </c>
      <c r="P3566" s="14">
        <v>321</v>
      </c>
      <c r="Q3566">
        <v>9721</v>
      </c>
      <c r="R3566">
        <v>761</v>
      </c>
      <c r="S3566">
        <v>1435</v>
      </c>
    </row>
    <row r="3567" spans="11:19" x14ac:dyDescent="0.3">
      <c r="K3567" s="16">
        <f t="shared" si="55"/>
        <v>44164</v>
      </c>
      <c r="L3567" s="17">
        <v>0.54166666666666663</v>
      </c>
      <c r="M3567" s="14">
        <v>321</v>
      </c>
      <c r="N3567" s="14">
        <v>0</v>
      </c>
      <c r="O3567" s="14">
        <v>0</v>
      </c>
      <c r="P3567" s="14">
        <v>321</v>
      </c>
      <c r="Q3567">
        <v>9138</v>
      </c>
      <c r="R3567">
        <v>880</v>
      </c>
      <c r="S3567">
        <v>1395</v>
      </c>
    </row>
    <row r="3568" spans="11:19" x14ac:dyDescent="0.3">
      <c r="K3568" s="16">
        <f t="shared" si="55"/>
        <v>44164</v>
      </c>
      <c r="L3568" s="17">
        <v>0.58333333333333337</v>
      </c>
      <c r="M3568" s="14">
        <v>321</v>
      </c>
      <c r="N3568" s="14">
        <v>0</v>
      </c>
      <c r="O3568" s="14">
        <v>0</v>
      </c>
      <c r="P3568" s="14">
        <v>321</v>
      </c>
      <c r="Q3568">
        <v>8665</v>
      </c>
      <c r="R3568">
        <v>929</v>
      </c>
      <c r="S3568">
        <v>1130</v>
      </c>
    </row>
    <row r="3569" spans="11:19" x14ac:dyDescent="0.3">
      <c r="K3569" s="16">
        <f t="shared" si="55"/>
        <v>44164</v>
      </c>
      <c r="L3569" s="17">
        <v>0.625</v>
      </c>
      <c r="M3569" s="14">
        <v>321</v>
      </c>
      <c r="N3569" s="14">
        <v>0</v>
      </c>
      <c r="O3569" s="14">
        <v>0</v>
      </c>
      <c r="P3569" s="14">
        <v>321</v>
      </c>
      <c r="Q3569">
        <v>8411</v>
      </c>
      <c r="R3569">
        <v>957</v>
      </c>
      <c r="S3569">
        <v>631</v>
      </c>
    </row>
    <row r="3570" spans="11:19" x14ac:dyDescent="0.3">
      <c r="K3570" s="16">
        <f t="shared" si="55"/>
        <v>44164</v>
      </c>
      <c r="L3570" s="17">
        <v>0.66666666666666663</v>
      </c>
      <c r="M3570" s="14">
        <v>321</v>
      </c>
      <c r="N3570" s="14">
        <v>0</v>
      </c>
      <c r="O3570" s="14">
        <v>0</v>
      </c>
      <c r="P3570" s="14">
        <v>321</v>
      </c>
      <c r="Q3570">
        <v>8415</v>
      </c>
      <c r="R3570">
        <v>1009</v>
      </c>
      <c r="S3570">
        <v>149</v>
      </c>
    </row>
    <row r="3571" spans="11:19" x14ac:dyDescent="0.3">
      <c r="K3571" s="16">
        <f t="shared" si="55"/>
        <v>44164</v>
      </c>
      <c r="L3571" s="17">
        <v>0.70833333333333337</v>
      </c>
      <c r="M3571" s="14">
        <v>321</v>
      </c>
      <c r="N3571" s="14">
        <v>0</v>
      </c>
      <c r="O3571" s="14">
        <v>0</v>
      </c>
      <c r="P3571" s="14">
        <v>321</v>
      </c>
      <c r="Q3571">
        <v>9179</v>
      </c>
      <c r="R3571">
        <v>1093</v>
      </c>
      <c r="S3571">
        <v>7</v>
      </c>
    </row>
    <row r="3572" spans="11:19" x14ac:dyDescent="0.3">
      <c r="K3572" s="16">
        <f t="shared" si="55"/>
        <v>44164</v>
      </c>
      <c r="L3572" s="17">
        <v>0.75</v>
      </c>
      <c r="M3572" s="14">
        <v>321</v>
      </c>
      <c r="N3572" s="14">
        <v>0</v>
      </c>
      <c r="O3572" s="14">
        <v>0</v>
      </c>
      <c r="P3572" s="14">
        <v>321</v>
      </c>
      <c r="Q3572">
        <v>9832</v>
      </c>
      <c r="R3572">
        <v>1158</v>
      </c>
      <c r="S3572">
        <v>0</v>
      </c>
    </row>
    <row r="3573" spans="11:19" x14ac:dyDescent="0.3">
      <c r="K3573" s="16">
        <f t="shared" si="55"/>
        <v>44164</v>
      </c>
      <c r="L3573" s="17">
        <v>0.79166666666666663</v>
      </c>
      <c r="M3573" s="14">
        <v>321</v>
      </c>
      <c r="N3573" s="14">
        <v>0</v>
      </c>
      <c r="O3573" s="14">
        <v>0</v>
      </c>
      <c r="P3573" s="14">
        <v>321</v>
      </c>
      <c r="Q3573">
        <v>10071</v>
      </c>
      <c r="R3573">
        <v>1223</v>
      </c>
      <c r="S3573">
        <v>0</v>
      </c>
    </row>
    <row r="3574" spans="11:19" x14ac:dyDescent="0.3">
      <c r="K3574" s="16">
        <f t="shared" si="55"/>
        <v>44164</v>
      </c>
      <c r="L3574" s="17">
        <v>0.83333333333333337</v>
      </c>
      <c r="M3574" s="14">
        <v>321</v>
      </c>
      <c r="N3574" s="14">
        <v>0</v>
      </c>
      <c r="O3574" s="14">
        <v>0</v>
      </c>
      <c r="P3574" s="14">
        <v>321</v>
      </c>
      <c r="Q3574">
        <v>9728</v>
      </c>
      <c r="R3574">
        <v>1312</v>
      </c>
      <c r="S3574">
        <v>0</v>
      </c>
    </row>
    <row r="3575" spans="11:19" x14ac:dyDescent="0.3">
      <c r="K3575" s="16">
        <f t="shared" si="55"/>
        <v>44164</v>
      </c>
      <c r="L3575" s="17">
        <v>0.875</v>
      </c>
      <c r="M3575" s="14">
        <v>321</v>
      </c>
      <c r="N3575" s="14">
        <v>0</v>
      </c>
      <c r="O3575" s="14">
        <v>0</v>
      </c>
      <c r="P3575" s="14">
        <v>321</v>
      </c>
      <c r="Q3575">
        <v>9253</v>
      </c>
      <c r="R3575">
        <v>1373</v>
      </c>
      <c r="S3575">
        <v>0</v>
      </c>
    </row>
    <row r="3576" spans="11:19" x14ac:dyDescent="0.3">
      <c r="K3576" s="16">
        <f t="shared" si="55"/>
        <v>44164</v>
      </c>
      <c r="L3576" s="17">
        <v>0.91666666666666663</v>
      </c>
      <c r="M3576" s="14">
        <v>321</v>
      </c>
      <c r="N3576" s="14">
        <v>0</v>
      </c>
      <c r="O3576" s="14">
        <v>0</v>
      </c>
      <c r="P3576" s="14">
        <v>321</v>
      </c>
      <c r="Q3576">
        <v>9565</v>
      </c>
      <c r="R3576">
        <v>1338</v>
      </c>
      <c r="S3576">
        <v>0</v>
      </c>
    </row>
    <row r="3577" spans="11:19" x14ac:dyDescent="0.3">
      <c r="K3577" s="16">
        <f t="shared" si="55"/>
        <v>44164</v>
      </c>
      <c r="L3577" s="17">
        <v>0.95833333333333337</v>
      </c>
      <c r="M3577" s="14">
        <v>321</v>
      </c>
      <c r="N3577" s="14">
        <v>0</v>
      </c>
      <c r="O3577" s="14">
        <v>0</v>
      </c>
      <c r="P3577" s="14">
        <v>321</v>
      </c>
      <c r="Q3577">
        <v>9853</v>
      </c>
      <c r="R3577">
        <v>1376</v>
      </c>
      <c r="S3577">
        <v>0</v>
      </c>
    </row>
    <row r="3578" spans="11:19" x14ac:dyDescent="0.3">
      <c r="K3578" s="16">
        <f t="shared" si="55"/>
        <v>44165</v>
      </c>
      <c r="L3578" s="17">
        <v>0</v>
      </c>
      <c r="M3578" s="14">
        <v>321</v>
      </c>
      <c r="N3578" s="14">
        <v>0</v>
      </c>
      <c r="O3578" s="14">
        <v>0</v>
      </c>
      <c r="P3578" s="14">
        <v>321</v>
      </c>
      <c r="Q3578">
        <v>9506</v>
      </c>
      <c r="R3578">
        <v>1299</v>
      </c>
      <c r="S3578">
        <v>0</v>
      </c>
    </row>
    <row r="3579" spans="11:19" x14ac:dyDescent="0.3">
      <c r="K3579" s="16">
        <f t="shared" si="55"/>
        <v>44165</v>
      </c>
      <c r="L3579" s="17">
        <v>4.1666666666666664E-2</v>
      </c>
      <c r="M3579" s="14">
        <v>321</v>
      </c>
      <c r="N3579" s="14">
        <v>0</v>
      </c>
      <c r="O3579" s="14">
        <v>0</v>
      </c>
      <c r="P3579" s="14">
        <v>321</v>
      </c>
      <c r="Q3579">
        <v>9241</v>
      </c>
      <c r="R3579">
        <v>1203</v>
      </c>
      <c r="S3579">
        <v>0</v>
      </c>
    </row>
    <row r="3580" spans="11:19" x14ac:dyDescent="0.3">
      <c r="K3580" s="16">
        <f t="shared" si="55"/>
        <v>44165</v>
      </c>
      <c r="L3580" s="17">
        <v>8.3333333333333329E-2</v>
      </c>
      <c r="M3580" s="14">
        <v>321</v>
      </c>
      <c r="N3580" s="14">
        <v>0</v>
      </c>
      <c r="O3580" s="14">
        <v>0</v>
      </c>
      <c r="P3580" s="14">
        <v>321</v>
      </c>
      <c r="Q3580">
        <v>8998</v>
      </c>
      <c r="R3580">
        <v>1330</v>
      </c>
      <c r="S3580">
        <v>0</v>
      </c>
    </row>
    <row r="3581" spans="11:19" x14ac:dyDescent="0.3">
      <c r="K3581" s="16">
        <f t="shared" si="55"/>
        <v>44165</v>
      </c>
      <c r="L3581" s="17">
        <v>0.125</v>
      </c>
      <c r="M3581" s="14">
        <v>321</v>
      </c>
      <c r="N3581" s="14">
        <v>0</v>
      </c>
      <c r="O3581" s="14">
        <v>0</v>
      </c>
      <c r="P3581" s="14">
        <v>321</v>
      </c>
      <c r="Q3581">
        <v>8641</v>
      </c>
      <c r="R3581">
        <v>1427</v>
      </c>
      <c r="S3581">
        <v>0</v>
      </c>
    </row>
    <row r="3582" spans="11:19" x14ac:dyDescent="0.3">
      <c r="K3582" s="16">
        <f t="shared" si="55"/>
        <v>44165</v>
      </c>
      <c r="L3582" s="17">
        <v>0.16666666666666666</v>
      </c>
      <c r="M3582" s="14">
        <v>321</v>
      </c>
      <c r="N3582" s="14">
        <v>0</v>
      </c>
      <c r="O3582" s="14">
        <v>0</v>
      </c>
      <c r="P3582" s="14">
        <v>321</v>
      </c>
      <c r="Q3582">
        <v>8668</v>
      </c>
      <c r="R3582">
        <v>1462</v>
      </c>
      <c r="S3582">
        <v>0</v>
      </c>
    </row>
    <row r="3583" spans="11:19" x14ac:dyDescent="0.3">
      <c r="K3583" s="16">
        <f t="shared" si="55"/>
        <v>44165</v>
      </c>
      <c r="L3583" s="17">
        <v>0.20833333333333334</v>
      </c>
      <c r="M3583" s="14">
        <v>321</v>
      </c>
      <c r="N3583" s="14">
        <v>0</v>
      </c>
      <c r="O3583" s="14">
        <v>0</v>
      </c>
      <c r="P3583" s="14">
        <v>321</v>
      </c>
      <c r="Q3583">
        <v>9317</v>
      </c>
      <c r="R3583">
        <v>1541</v>
      </c>
      <c r="S3583">
        <v>0</v>
      </c>
    </row>
    <row r="3584" spans="11:19" x14ac:dyDescent="0.3">
      <c r="K3584" s="16">
        <f t="shared" si="55"/>
        <v>44165</v>
      </c>
      <c r="L3584" s="17">
        <v>0.25</v>
      </c>
      <c r="M3584" s="14">
        <v>321</v>
      </c>
      <c r="N3584" s="14">
        <v>410</v>
      </c>
      <c r="O3584" s="14">
        <v>0</v>
      </c>
      <c r="P3584" s="14">
        <v>731</v>
      </c>
      <c r="Q3584">
        <v>10601</v>
      </c>
      <c r="R3584">
        <v>1471</v>
      </c>
      <c r="S3584">
        <v>0</v>
      </c>
    </row>
    <row r="3585" spans="11:19" x14ac:dyDescent="0.3">
      <c r="K3585" s="16">
        <f t="shared" si="55"/>
        <v>44165</v>
      </c>
      <c r="L3585" s="17">
        <v>0.29166666666666669</v>
      </c>
      <c r="M3585" s="14">
        <v>321</v>
      </c>
      <c r="N3585" s="14">
        <v>0</v>
      </c>
      <c r="O3585" s="14">
        <v>0</v>
      </c>
      <c r="P3585" s="14">
        <v>321</v>
      </c>
      <c r="Q3585">
        <v>11551</v>
      </c>
      <c r="R3585">
        <v>1266</v>
      </c>
      <c r="S3585">
        <v>1</v>
      </c>
    </row>
    <row r="3586" spans="11:19" x14ac:dyDescent="0.3">
      <c r="K3586" s="16">
        <f t="shared" si="55"/>
        <v>44165</v>
      </c>
      <c r="L3586" s="17">
        <v>0.33333333333333331</v>
      </c>
      <c r="M3586" s="14">
        <v>321</v>
      </c>
      <c r="N3586" s="14">
        <v>1513</v>
      </c>
      <c r="O3586" s="14">
        <v>0</v>
      </c>
      <c r="P3586" s="14">
        <v>1834</v>
      </c>
      <c r="Q3586">
        <v>11677</v>
      </c>
      <c r="R3586">
        <v>1281</v>
      </c>
      <c r="S3586">
        <v>82</v>
      </c>
    </row>
    <row r="3587" spans="11:19" x14ac:dyDescent="0.3">
      <c r="K3587" s="16">
        <f t="shared" si="55"/>
        <v>44165</v>
      </c>
      <c r="L3587" s="17">
        <v>0.375</v>
      </c>
      <c r="M3587" s="14">
        <v>321</v>
      </c>
      <c r="N3587" s="14">
        <v>0</v>
      </c>
      <c r="O3587" s="14">
        <v>0</v>
      </c>
      <c r="P3587" s="14">
        <v>321</v>
      </c>
      <c r="Q3587">
        <v>11601</v>
      </c>
      <c r="R3587">
        <v>1240</v>
      </c>
      <c r="S3587">
        <v>484</v>
      </c>
    </row>
    <row r="3588" spans="11:19" x14ac:dyDescent="0.3">
      <c r="K3588" s="16">
        <f t="shared" si="55"/>
        <v>44165</v>
      </c>
      <c r="L3588" s="17">
        <v>0.41666666666666669</v>
      </c>
      <c r="M3588" s="14">
        <v>321</v>
      </c>
      <c r="N3588" s="14">
        <v>347</v>
      </c>
      <c r="O3588" s="14">
        <v>0</v>
      </c>
      <c r="P3588" s="14">
        <v>668</v>
      </c>
      <c r="Q3588">
        <v>11372</v>
      </c>
      <c r="R3588">
        <v>1247</v>
      </c>
      <c r="S3588">
        <v>1041</v>
      </c>
    </row>
    <row r="3589" spans="11:19" x14ac:dyDescent="0.3">
      <c r="K3589" s="16">
        <f t="shared" si="55"/>
        <v>44165</v>
      </c>
      <c r="L3589" s="17">
        <v>0.45833333333333331</v>
      </c>
      <c r="M3589" s="14">
        <v>321</v>
      </c>
      <c r="N3589" s="14">
        <v>0</v>
      </c>
      <c r="O3589" s="14">
        <v>0</v>
      </c>
      <c r="P3589" s="14">
        <v>321</v>
      </c>
      <c r="Q3589">
        <v>11253</v>
      </c>
      <c r="R3589">
        <v>1225</v>
      </c>
      <c r="S3589">
        <v>1510</v>
      </c>
    </row>
    <row r="3590" spans="11:19" x14ac:dyDescent="0.3">
      <c r="K3590" s="16">
        <f t="shared" si="55"/>
        <v>44165</v>
      </c>
      <c r="L3590" s="17">
        <v>0.5</v>
      </c>
      <c r="M3590" s="14">
        <v>321</v>
      </c>
      <c r="N3590" s="14">
        <v>0</v>
      </c>
      <c r="O3590" s="14">
        <v>0</v>
      </c>
      <c r="P3590" s="14">
        <v>321</v>
      </c>
      <c r="Q3590">
        <v>11160</v>
      </c>
      <c r="R3590">
        <v>1078</v>
      </c>
      <c r="S3590">
        <v>1691</v>
      </c>
    </row>
    <row r="3591" spans="11:19" x14ac:dyDescent="0.3">
      <c r="K3591" s="16">
        <f t="shared" si="55"/>
        <v>44165</v>
      </c>
      <c r="L3591" s="17">
        <v>0.54166666666666663</v>
      </c>
      <c r="M3591" s="14">
        <v>321</v>
      </c>
      <c r="N3591" s="14">
        <v>0</v>
      </c>
      <c r="O3591" s="14">
        <v>0</v>
      </c>
      <c r="P3591" s="14">
        <v>321</v>
      </c>
      <c r="Q3591">
        <v>10872</v>
      </c>
      <c r="R3591">
        <v>999</v>
      </c>
      <c r="S3591">
        <v>1588</v>
      </c>
    </row>
    <row r="3592" spans="11:19" x14ac:dyDescent="0.3">
      <c r="K3592" s="16">
        <f t="shared" si="55"/>
        <v>44165</v>
      </c>
      <c r="L3592" s="17">
        <v>0.58333333333333337</v>
      </c>
      <c r="M3592" s="14">
        <v>321</v>
      </c>
      <c r="N3592" s="14">
        <v>0</v>
      </c>
      <c r="O3592" s="14">
        <v>0</v>
      </c>
      <c r="P3592" s="14">
        <v>321</v>
      </c>
      <c r="Q3592">
        <v>10659</v>
      </c>
      <c r="R3592">
        <v>1022</v>
      </c>
      <c r="S3592">
        <v>1235</v>
      </c>
    </row>
    <row r="3593" spans="11:19" x14ac:dyDescent="0.3">
      <c r="K3593" s="16">
        <f t="shared" si="55"/>
        <v>44165</v>
      </c>
      <c r="L3593" s="17">
        <v>0.625</v>
      </c>
      <c r="M3593" s="14">
        <v>321</v>
      </c>
      <c r="N3593" s="14">
        <v>0</v>
      </c>
      <c r="O3593" s="14">
        <v>0</v>
      </c>
      <c r="P3593" s="14">
        <v>321</v>
      </c>
      <c r="Q3593">
        <v>10504</v>
      </c>
      <c r="R3593">
        <v>1128</v>
      </c>
      <c r="S3593">
        <v>671</v>
      </c>
    </row>
    <row r="3594" spans="11:19" x14ac:dyDescent="0.3">
      <c r="K3594" s="16">
        <f t="shared" si="55"/>
        <v>44165</v>
      </c>
      <c r="L3594" s="17">
        <v>0.66666666666666663</v>
      </c>
      <c r="M3594" s="14">
        <v>321</v>
      </c>
      <c r="N3594" s="14">
        <v>0</v>
      </c>
      <c r="O3594" s="14">
        <v>0</v>
      </c>
      <c r="P3594" s="14">
        <v>321</v>
      </c>
      <c r="Q3594">
        <v>10579</v>
      </c>
      <c r="R3594">
        <v>1195</v>
      </c>
      <c r="S3594">
        <v>153</v>
      </c>
    </row>
    <row r="3595" spans="11:19" x14ac:dyDescent="0.3">
      <c r="K3595" s="16">
        <f t="shared" si="55"/>
        <v>44165</v>
      </c>
      <c r="L3595" s="17">
        <v>0.70833333333333337</v>
      </c>
      <c r="M3595" s="14">
        <v>321</v>
      </c>
      <c r="N3595" s="14">
        <v>0</v>
      </c>
      <c r="O3595" s="14">
        <v>0</v>
      </c>
      <c r="P3595" s="14">
        <v>321</v>
      </c>
      <c r="Q3595">
        <v>11361</v>
      </c>
      <c r="R3595">
        <v>1095</v>
      </c>
      <c r="S3595">
        <v>5</v>
      </c>
    </row>
    <row r="3596" spans="11:19" x14ac:dyDescent="0.3">
      <c r="K3596" s="16">
        <f t="shared" si="55"/>
        <v>44165</v>
      </c>
      <c r="L3596" s="17">
        <v>0.75</v>
      </c>
      <c r="M3596" s="14">
        <v>321</v>
      </c>
      <c r="N3596" s="14">
        <v>1513</v>
      </c>
      <c r="O3596" s="14">
        <v>0</v>
      </c>
      <c r="P3596" s="14">
        <v>1834</v>
      </c>
      <c r="Q3596">
        <v>12038</v>
      </c>
      <c r="R3596">
        <v>1072</v>
      </c>
      <c r="S3596">
        <v>0</v>
      </c>
    </row>
    <row r="3597" spans="11:19" x14ac:dyDescent="0.3">
      <c r="K3597" s="16">
        <f t="shared" si="55"/>
        <v>44165</v>
      </c>
      <c r="L3597" s="17">
        <v>0.79166666666666663</v>
      </c>
      <c r="M3597" s="14">
        <v>321</v>
      </c>
      <c r="N3597" s="14">
        <v>1513</v>
      </c>
      <c r="O3597" s="14">
        <v>0</v>
      </c>
      <c r="P3597" s="14">
        <v>1834</v>
      </c>
      <c r="Q3597">
        <v>11995</v>
      </c>
      <c r="R3597">
        <v>1060</v>
      </c>
      <c r="S3597">
        <v>0</v>
      </c>
    </row>
    <row r="3598" spans="11:19" x14ac:dyDescent="0.3">
      <c r="K3598" s="16">
        <f t="shared" si="55"/>
        <v>44165</v>
      </c>
      <c r="L3598" s="17">
        <v>0.83333333333333337</v>
      </c>
      <c r="M3598" s="14">
        <v>321</v>
      </c>
      <c r="N3598" s="14">
        <v>0</v>
      </c>
      <c r="O3598" s="14">
        <v>0</v>
      </c>
      <c r="P3598" s="14">
        <v>321</v>
      </c>
      <c r="Q3598">
        <v>11156</v>
      </c>
      <c r="R3598">
        <v>1032</v>
      </c>
      <c r="S3598">
        <v>0</v>
      </c>
    </row>
    <row r="3599" spans="11:19" x14ac:dyDescent="0.3">
      <c r="K3599" s="16">
        <f t="shared" si="55"/>
        <v>44165</v>
      </c>
      <c r="L3599" s="17">
        <v>0.875</v>
      </c>
      <c r="M3599" s="14">
        <v>321</v>
      </c>
      <c r="N3599" s="14">
        <v>0</v>
      </c>
      <c r="O3599" s="14">
        <v>0</v>
      </c>
      <c r="P3599" s="14">
        <v>321</v>
      </c>
      <c r="Q3599">
        <v>10486</v>
      </c>
      <c r="R3599">
        <v>973</v>
      </c>
      <c r="S3599">
        <v>0</v>
      </c>
    </row>
    <row r="3600" spans="11:19" x14ac:dyDescent="0.3">
      <c r="K3600" s="16">
        <f t="shared" si="55"/>
        <v>44165</v>
      </c>
      <c r="L3600" s="17">
        <v>0.91666666666666663</v>
      </c>
      <c r="M3600" s="14">
        <v>321</v>
      </c>
      <c r="N3600" s="14">
        <v>1060</v>
      </c>
      <c r="O3600" s="14">
        <v>0</v>
      </c>
      <c r="P3600" s="14">
        <v>1381</v>
      </c>
      <c r="Q3600">
        <v>10701</v>
      </c>
      <c r="R3600">
        <v>916</v>
      </c>
      <c r="S3600">
        <v>0</v>
      </c>
    </row>
    <row r="3601" spans="11:19" x14ac:dyDescent="0.3">
      <c r="K3601" s="16">
        <f t="shared" si="55"/>
        <v>44165</v>
      </c>
      <c r="L3601" s="17">
        <v>0.95833333333333337</v>
      </c>
      <c r="M3601" s="14">
        <v>321</v>
      </c>
      <c r="N3601" s="14">
        <v>0</v>
      </c>
      <c r="O3601" s="14">
        <v>0</v>
      </c>
      <c r="P3601" s="14">
        <v>321</v>
      </c>
      <c r="Q3601">
        <v>10884</v>
      </c>
      <c r="R3601">
        <v>927</v>
      </c>
      <c r="S3601">
        <v>0</v>
      </c>
    </row>
    <row r="3602" spans="11:19" x14ac:dyDescent="0.3">
      <c r="K3602" s="16">
        <f t="shared" si="55"/>
        <v>44166</v>
      </c>
      <c r="L3602" s="17">
        <v>0</v>
      </c>
      <c r="M3602" s="14">
        <v>321</v>
      </c>
      <c r="N3602" s="14">
        <v>0</v>
      </c>
      <c r="O3602" s="14">
        <v>0</v>
      </c>
      <c r="P3602" s="14">
        <v>321</v>
      </c>
      <c r="Q3602">
        <v>10352</v>
      </c>
      <c r="R3602">
        <v>1070</v>
      </c>
      <c r="S3602">
        <v>0</v>
      </c>
    </row>
    <row r="3603" spans="11:19" x14ac:dyDescent="0.3">
      <c r="K3603" s="16">
        <f t="shared" si="55"/>
        <v>44166</v>
      </c>
      <c r="L3603" s="17">
        <v>4.1666666666666664E-2</v>
      </c>
      <c r="M3603" s="14">
        <v>321</v>
      </c>
      <c r="N3603" s="14">
        <v>290</v>
      </c>
      <c r="O3603" s="14">
        <v>0</v>
      </c>
      <c r="P3603" s="14">
        <v>611</v>
      </c>
      <c r="Q3603">
        <v>10071</v>
      </c>
      <c r="R3603">
        <v>1079</v>
      </c>
      <c r="S3603">
        <v>0</v>
      </c>
    </row>
    <row r="3604" spans="11:19" x14ac:dyDescent="0.3">
      <c r="K3604" s="16">
        <f t="shared" si="55"/>
        <v>44166</v>
      </c>
      <c r="L3604" s="17">
        <v>8.3333333333333329E-2</v>
      </c>
      <c r="M3604" s="14">
        <v>321</v>
      </c>
      <c r="N3604" s="14">
        <v>0</v>
      </c>
      <c r="O3604" s="14">
        <v>0</v>
      </c>
      <c r="P3604" s="14">
        <v>321</v>
      </c>
      <c r="Q3604">
        <v>9798</v>
      </c>
      <c r="R3604">
        <v>1265</v>
      </c>
      <c r="S3604">
        <v>0</v>
      </c>
    </row>
    <row r="3605" spans="11:19" x14ac:dyDescent="0.3">
      <c r="K3605" s="16">
        <f t="shared" si="55"/>
        <v>44166</v>
      </c>
      <c r="L3605" s="17">
        <v>0.125</v>
      </c>
      <c r="M3605" s="14">
        <v>321</v>
      </c>
      <c r="N3605" s="14">
        <v>0</v>
      </c>
      <c r="O3605" s="14">
        <v>0</v>
      </c>
      <c r="P3605" s="14">
        <v>321</v>
      </c>
      <c r="Q3605">
        <v>9417</v>
      </c>
      <c r="R3605">
        <v>1256</v>
      </c>
      <c r="S3605">
        <v>0</v>
      </c>
    </row>
    <row r="3606" spans="11:19" x14ac:dyDescent="0.3">
      <c r="K3606" s="16">
        <f t="shared" si="55"/>
        <v>44166</v>
      </c>
      <c r="L3606" s="17">
        <v>0.16666666666666666</v>
      </c>
      <c r="M3606" s="14">
        <v>321</v>
      </c>
      <c r="N3606" s="14">
        <v>0</v>
      </c>
      <c r="O3606" s="14">
        <v>0</v>
      </c>
      <c r="P3606" s="14">
        <v>321</v>
      </c>
      <c r="Q3606">
        <v>9412</v>
      </c>
      <c r="R3606">
        <v>1281</v>
      </c>
      <c r="S3606">
        <v>0</v>
      </c>
    </row>
    <row r="3607" spans="11:19" x14ac:dyDescent="0.3">
      <c r="K3607" s="16">
        <f t="shared" si="55"/>
        <v>44166</v>
      </c>
      <c r="L3607" s="17">
        <v>0.20833333333333334</v>
      </c>
      <c r="M3607" s="14">
        <v>321</v>
      </c>
      <c r="N3607" s="14">
        <v>0</v>
      </c>
      <c r="O3607" s="14">
        <v>0</v>
      </c>
      <c r="P3607" s="14">
        <v>321</v>
      </c>
      <c r="Q3607">
        <v>9979</v>
      </c>
      <c r="R3607">
        <v>1279</v>
      </c>
      <c r="S3607">
        <v>0</v>
      </c>
    </row>
    <row r="3608" spans="11:19" x14ac:dyDescent="0.3">
      <c r="K3608" s="16">
        <f t="shared" si="55"/>
        <v>44166</v>
      </c>
      <c r="L3608" s="17">
        <v>0.25</v>
      </c>
      <c r="M3608" s="14">
        <v>321</v>
      </c>
      <c r="N3608" s="14">
        <v>1396</v>
      </c>
      <c r="O3608" s="14">
        <v>0</v>
      </c>
      <c r="P3608" s="14">
        <v>1717</v>
      </c>
      <c r="Q3608">
        <v>11206</v>
      </c>
      <c r="R3608">
        <v>1088</v>
      </c>
      <c r="S3608">
        <v>0</v>
      </c>
    </row>
    <row r="3609" spans="11:19" x14ac:dyDescent="0.3">
      <c r="K3609" s="16">
        <f t="shared" si="55"/>
        <v>44166</v>
      </c>
      <c r="L3609" s="17">
        <v>0.29166666666666669</v>
      </c>
      <c r="M3609" s="14">
        <v>321</v>
      </c>
      <c r="N3609" s="14">
        <v>1996</v>
      </c>
      <c r="O3609" s="14">
        <v>0</v>
      </c>
      <c r="P3609" s="14">
        <v>2317</v>
      </c>
      <c r="Q3609">
        <v>12111</v>
      </c>
      <c r="R3609">
        <v>945</v>
      </c>
      <c r="S3609">
        <v>1</v>
      </c>
    </row>
    <row r="3610" spans="11:19" x14ac:dyDescent="0.3">
      <c r="K3610" s="16">
        <f t="shared" si="55"/>
        <v>44166</v>
      </c>
      <c r="L3610" s="17">
        <v>0.33333333333333331</v>
      </c>
      <c r="M3610" s="14">
        <v>321</v>
      </c>
      <c r="N3610" s="14">
        <v>1996</v>
      </c>
      <c r="O3610" s="14">
        <v>0</v>
      </c>
      <c r="P3610" s="14">
        <v>2317</v>
      </c>
      <c r="Q3610">
        <v>12153</v>
      </c>
      <c r="R3610">
        <v>940</v>
      </c>
      <c r="S3610">
        <v>74</v>
      </c>
    </row>
    <row r="3611" spans="11:19" x14ac:dyDescent="0.3">
      <c r="K3611" s="16">
        <f t="shared" ref="K3611:K3674" si="56">K3587+1</f>
        <v>44166</v>
      </c>
      <c r="L3611" s="17">
        <v>0.375</v>
      </c>
      <c r="M3611" s="14">
        <v>321</v>
      </c>
      <c r="N3611" s="14">
        <v>0</v>
      </c>
      <c r="O3611" s="14">
        <v>0</v>
      </c>
      <c r="P3611" s="14">
        <v>321</v>
      </c>
      <c r="Q3611">
        <v>12000</v>
      </c>
      <c r="R3611">
        <v>860</v>
      </c>
      <c r="S3611">
        <v>456</v>
      </c>
    </row>
    <row r="3612" spans="11:19" x14ac:dyDescent="0.3">
      <c r="K3612" s="16">
        <f t="shared" si="56"/>
        <v>44166</v>
      </c>
      <c r="L3612" s="17">
        <v>0.41666666666666669</v>
      </c>
      <c r="M3612" s="14">
        <v>321</v>
      </c>
      <c r="N3612" s="14">
        <v>1228</v>
      </c>
      <c r="O3612" s="14">
        <v>0</v>
      </c>
      <c r="P3612" s="14">
        <v>1549</v>
      </c>
      <c r="Q3612">
        <v>11711</v>
      </c>
      <c r="R3612">
        <v>756</v>
      </c>
      <c r="S3612">
        <v>987</v>
      </c>
    </row>
    <row r="3613" spans="11:19" x14ac:dyDescent="0.3">
      <c r="K3613" s="16">
        <f t="shared" si="56"/>
        <v>44166</v>
      </c>
      <c r="L3613" s="17">
        <v>0.45833333333333331</v>
      </c>
      <c r="M3613" s="14">
        <v>321</v>
      </c>
      <c r="N3613" s="14">
        <v>0</v>
      </c>
      <c r="O3613" s="14">
        <v>0</v>
      </c>
      <c r="P3613" s="14">
        <v>321</v>
      </c>
      <c r="Q3613">
        <v>11559</v>
      </c>
      <c r="R3613">
        <v>796</v>
      </c>
      <c r="S3613">
        <v>1416</v>
      </c>
    </row>
    <row r="3614" spans="11:19" x14ac:dyDescent="0.3">
      <c r="K3614" s="16">
        <f t="shared" si="56"/>
        <v>44166</v>
      </c>
      <c r="L3614" s="17">
        <v>0.5</v>
      </c>
      <c r="M3614" s="14">
        <v>321</v>
      </c>
      <c r="N3614" s="14">
        <v>253</v>
      </c>
      <c r="O3614" s="14">
        <v>0</v>
      </c>
      <c r="P3614" s="14">
        <v>574</v>
      </c>
      <c r="Q3614">
        <v>11420</v>
      </c>
      <c r="R3614">
        <v>848</v>
      </c>
      <c r="S3614">
        <v>1580</v>
      </c>
    </row>
    <row r="3615" spans="11:19" x14ac:dyDescent="0.3">
      <c r="K3615" s="16">
        <f t="shared" si="56"/>
        <v>44166</v>
      </c>
      <c r="L3615" s="17">
        <v>0.54166666666666663</v>
      </c>
      <c r="M3615" s="14">
        <v>321</v>
      </c>
      <c r="N3615" s="14">
        <v>0</v>
      </c>
      <c r="O3615" s="14">
        <v>0</v>
      </c>
      <c r="P3615" s="14">
        <v>321</v>
      </c>
      <c r="Q3615">
        <v>11098</v>
      </c>
      <c r="R3615">
        <v>811</v>
      </c>
      <c r="S3615">
        <v>1462</v>
      </c>
    </row>
    <row r="3616" spans="11:19" x14ac:dyDescent="0.3">
      <c r="K3616" s="16">
        <f t="shared" si="56"/>
        <v>44166</v>
      </c>
      <c r="L3616" s="17">
        <v>0.58333333333333337</v>
      </c>
      <c r="M3616" s="14">
        <v>321</v>
      </c>
      <c r="N3616" s="14">
        <v>212</v>
      </c>
      <c r="O3616" s="14">
        <v>0</v>
      </c>
      <c r="P3616" s="14">
        <v>533</v>
      </c>
      <c r="Q3616">
        <v>10911</v>
      </c>
      <c r="R3616">
        <v>822</v>
      </c>
      <c r="S3616">
        <v>1136</v>
      </c>
    </row>
    <row r="3617" spans="11:19" x14ac:dyDescent="0.3">
      <c r="K3617" s="16">
        <f t="shared" si="56"/>
        <v>44166</v>
      </c>
      <c r="L3617" s="17">
        <v>0.625</v>
      </c>
      <c r="M3617" s="14">
        <v>321</v>
      </c>
      <c r="N3617" s="14">
        <v>0</v>
      </c>
      <c r="O3617" s="14">
        <v>0</v>
      </c>
      <c r="P3617" s="14">
        <v>321</v>
      </c>
      <c r="Q3617">
        <v>10807</v>
      </c>
      <c r="R3617">
        <v>765</v>
      </c>
      <c r="S3617">
        <v>604</v>
      </c>
    </row>
    <row r="3618" spans="11:19" x14ac:dyDescent="0.3">
      <c r="K3618" s="16">
        <f t="shared" si="56"/>
        <v>44166</v>
      </c>
      <c r="L3618" s="17">
        <v>0.66666666666666663</v>
      </c>
      <c r="M3618" s="14">
        <v>321</v>
      </c>
      <c r="N3618" s="14">
        <v>1320</v>
      </c>
      <c r="O3618" s="14">
        <v>0</v>
      </c>
      <c r="P3618" s="14">
        <v>1641</v>
      </c>
      <c r="Q3618">
        <v>10928</v>
      </c>
      <c r="R3618">
        <v>719</v>
      </c>
      <c r="S3618">
        <v>146</v>
      </c>
    </row>
    <row r="3619" spans="11:19" x14ac:dyDescent="0.3">
      <c r="K3619" s="16">
        <f t="shared" si="56"/>
        <v>44166</v>
      </c>
      <c r="L3619" s="17">
        <v>0.70833333333333337</v>
      </c>
      <c r="M3619" s="14">
        <v>321</v>
      </c>
      <c r="N3619" s="14">
        <v>1996</v>
      </c>
      <c r="O3619" s="14">
        <v>0</v>
      </c>
      <c r="P3619" s="14">
        <v>2317</v>
      </c>
      <c r="Q3619">
        <v>11722</v>
      </c>
      <c r="R3619">
        <v>599</v>
      </c>
      <c r="S3619">
        <v>4</v>
      </c>
    </row>
    <row r="3620" spans="11:19" x14ac:dyDescent="0.3">
      <c r="K3620" s="16">
        <f t="shared" si="56"/>
        <v>44166</v>
      </c>
      <c r="L3620" s="17">
        <v>0.75</v>
      </c>
      <c r="M3620" s="14">
        <v>321</v>
      </c>
      <c r="N3620" s="14">
        <v>1996</v>
      </c>
      <c r="O3620" s="14">
        <v>0</v>
      </c>
      <c r="P3620" s="14">
        <v>2317</v>
      </c>
      <c r="Q3620">
        <v>12368</v>
      </c>
      <c r="R3620">
        <v>487</v>
      </c>
      <c r="S3620">
        <v>0</v>
      </c>
    </row>
    <row r="3621" spans="11:19" x14ac:dyDescent="0.3">
      <c r="K3621" s="16">
        <f t="shared" si="56"/>
        <v>44166</v>
      </c>
      <c r="L3621" s="17">
        <v>0.79166666666666663</v>
      </c>
      <c r="M3621" s="14">
        <v>321</v>
      </c>
      <c r="N3621" s="14">
        <v>173</v>
      </c>
      <c r="O3621" s="14">
        <v>0</v>
      </c>
      <c r="P3621" s="14">
        <v>494</v>
      </c>
      <c r="Q3621">
        <v>12257</v>
      </c>
      <c r="R3621">
        <v>441</v>
      </c>
      <c r="S3621">
        <v>0</v>
      </c>
    </row>
    <row r="3622" spans="11:19" x14ac:dyDescent="0.3">
      <c r="K3622" s="16">
        <f t="shared" si="56"/>
        <v>44166</v>
      </c>
      <c r="L3622" s="17">
        <v>0.83333333333333337</v>
      </c>
      <c r="M3622" s="14">
        <v>321</v>
      </c>
      <c r="N3622" s="14">
        <v>0</v>
      </c>
      <c r="O3622" s="14">
        <v>0</v>
      </c>
      <c r="P3622" s="14">
        <v>321</v>
      </c>
      <c r="Q3622">
        <v>11369</v>
      </c>
      <c r="R3622">
        <v>391</v>
      </c>
      <c r="S3622">
        <v>0</v>
      </c>
    </row>
    <row r="3623" spans="11:19" x14ac:dyDescent="0.3">
      <c r="K3623" s="16">
        <f t="shared" si="56"/>
        <v>44166</v>
      </c>
      <c r="L3623" s="17">
        <v>0.875</v>
      </c>
      <c r="M3623" s="14">
        <v>321</v>
      </c>
      <c r="N3623" s="14">
        <v>0</v>
      </c>
      <c r="O3623" s="14">
        <v>0</v>
      </c>
      <c r="P3623" s="14">
        <v>321</v>
      </c>
      <c r="Q3623">
        <v>10670</v>
      </c>
      <c r="R3623">
        <v>349</v>
      </c>
      <c r="S3623">
        <v>0</v>
      </c>
    </row>
    <row r="3624" spans="11:19" x14ac:dyDescent="0.3">
      <c r="K3624" s="16">
        <f t="shared" si="56"/>
        <v>44166</v>
      </c>
      <c r="L3624" s="17">
        <v>0.91666666666666663</v>
      </c>
      <c r="M3624" s="14">
        <v>321</v>
      </c>
      <c r="N3624" s="14">
        <v>1724</v>
      </c>
      <c r="O3624" s="14">
        <v>0</v>
      </c>
      <c r="P3624" s="14">
        <v>2045</v>
      </c>
      <c r="Q3624">
        <v>10851</v>
      </c>
      <c r="R3624">
        <v>400</v>
      </c>
      <c r="S3624">
        <v>0</v>
      </c>
    </row>
    <row r="3625" spans="11:19" x14ac:dyDescent="0.3">
      <c r="K3625" s="16">
        <f t="shared" si="56"/>
        <v>44166</v>
      </c>
      <c r="L3625" s="17">
        <v>0.95833333333333337</v>
      </c>
      <c r="M3625" s="14">
        <v>321</v>
      </c>
      <c r="N3625" s="14">
        <v>0</v>
      </c>
      <c r="O3625" s="14">
        <v>0</v>
      </c>
      <c r="P3625" s="14">
        <v>321</v>
      </c>
      <c r="Q3625">
        <v>11010</v>
      </c>
      <c r="R3625">
        <v>500</v>
      </c>
      <c r="S3625">
        <v>0</v>
      </c>
    </row>
    <row r="3626" spans="11:19" x14ac:dyDescent="0.3">
      <c r="K3626" s="16">
        <f t="shared" si="56"/>
        <v>44167</v>
      </c>
      <c r="L3626" s="17">
        <v>0</v>
      </c>
      <c r="M3626" s="14">
        <v>321</v>
      </c>
      <c r="N3626" s="14">
        <v>1239</v>
      </c>
      <c r="O3626" s="14">
        <v>0</v>
      </c>
      <c r="P3626" s="14">
        <v>1560</v>
      </c>
      <c r="Q3626">
        <v>10513</v>
      </c>
      <c r="R3626">
        <v>567</v>
      </c>
      <c r="S3626">
        <v>0</v>
      </c>
    </row>
    <row r="3627" spans="11:19" x14ac:dyDescent="0.3">
      <c r="K3627" s="16">
        <f t="shared" si="56"/>
        <v>44167</v>
      </c>
      <c r="L3627" s="17">
        <v>4.1666666666666664E-2</v>
      </c>
      <c r="M3627" s="14">
        <v>321</v>
      </c>
      <c r="N3627" s="14">
        <v>0</v>
      </c>
      <c r="O3627" s="14">
        <v>0</v>
      </c>
      <c r="P3627" s="14">
        <v>321</v>
      </c>
      <c r="Q3627">
        <v>10243</v>
      </c>
      <c r="R3627">
        <v>646</v>
      </c>
      <c r="S3627">
        <v>0</v>
      </c>
    </row>
    <row r="3628" spans="11:19" x14ac:dyDescent="0.3">
      <c r="K3628" s="16">
        <f t="shared" si="56"/>
        <v>44167</v>
      </c>
      <c r="L3628" s="17">
        <v>8.3333333333333329E-2</v>
      </c>
      <c r="M3628" s="14">
        <v>321</v>
      </c>
      <c r="N3628" s="14">
        <v>619</v>
      </c>
      <c r="O3628" s="14">
        <v>0</v>
      </c>
      <c r="P3628" s="14">
        <v>940</v>
      </c>
      <c r="Q3628">
        <v>9984</v>
      </c>
      <c r="R3628">
        <v>662</v>
      </c>
      <c r="S3628">
        <v>0</v>
      </c>
    </row>
    <row r="3629" spans="11:19" x14ac:dyDescent="0.3">
      <c r="K3629" s="16">
        <f t="shared" si="56"/>
        <v>44167</v>
      </c>
      <c r="L3629" s="17">
        <v>0.125</v>
      </c>
      <c r="M3629" s="14">
        <v>321</v>
      </c>
      <c r="N3629" s="14">
        <v>245</v>
      </c>
      <c r="O3629" s="14">
        <v>0</v>
      </c>
      <c r="P3629" s="14">
        <v>566</v>
      </c>
      <c r="Q3629">
        <v>9612</v>
      </c>
      <c r="R3629">
        <v>662</v>
      </c>
      <c r="S3629">
        <v>0</v>
      </c>
    </row>
    <row r="3630" spans="11:19" x14ac:dyDescent="0.3">
      <c r="K3630" s="16">
        <f t="shared" si="56"/>
        <v>44167</v>
      </c>
      <c r="L3630" s="17">
        <v>0.16666666666666666</v>
      </c>
      <c r="M3630" s="14">
        <v>321</v>
      </c>
      <c r="N3630" s="14">
        <v>188</v>
      </c>
      <c r="O3630" s="14">
        <v>0</v>
      </c>
      <c r="P3630" s="14">
        <v>509</v>
      </c>
      <c r="Q3630">
        <v>9616</v>
      </c>
      <c r="R3630">
        <v>722</v>
      </c>
      <c r="S3630">
        <v>0</v>
      </c>
    </row>
    <row r="3631" spans="11:19" x14ac:dyDescent="0.3">
      <c r="K3631" s="16">
        <f t="shared" si="56"/>
        <v>44167</v>
      </c>
      <c r="L3631" s="17">
        <v>0.20833333333333334</v>
      </c>
      <c r="M3631" s="14">
        <v>321</v>
      </c>
      <c r="N3631" s="14">
        <v>0</v>
      </c>
      <c r="O3631" s="14">
        <v>0</v>
      </c>
      <c r="P3631" s="14">
        <v>321</v>
      </c>
      <c r="Q3631">
        <v>10201</v>
      </c>
      <c r="R3631">
        <v>580</v>
      </c>
      <c r="S3631">
        <v>0</v>
      </c>
    </row>
    <row r="3632" spans="11:19" x14ac:dyDescent="0.3">
      <c r="K3632" s="16">
        <f t="shared" si="56"/>
        <v>44167</v>
      </c>
      <c r="L3632" s="17">
        <v>0.25</v>
      </c>
      <c r="M3632" s="14">
        <v>321</v>
      </c>
      <c r="N3632" s="14">
        <v>2195</v>
      </c>
      <c r="O3632" s="14">
        <v>0</v>
      </c>
      <c r="P3632" s="14">
        <v>2516</v>
      </c>
      <c r="Q3632">
        <v>11456</v>
      </c>
      <c r="R3632">
        <v>538</v>
      </c>
      <c r="S3632">
        <v>0</v>
      </c>
    </row>
    <row r="3633" spans="11:19" x14ac:dyDescent="0.3">
      <c r="K3633" s="16">
        <f t="shared" si="56"/>
        <v>44167</v>
      </c>
      <c r="L3633" s="17">
        <v>0.29166666666666669</v>
      </c>
      <c r="M3633" s="14">
        <v>321</v>
      </c>
      <c r="N3633" s="14">
        <v>2429</v>
      </c>
      <c r="O3633" s="14">
        <v>0</v>
      </c>
      <c r="P3633" s="14">
        <v>2750</v>
      </c>
      <c r="Q3633">
        <v>12401</v>
      </c>
      <c r="R3633">
        <v>473</v>
      </c>
      <c r="S3633">
        <v>3</v>
      </c>
    </row>
    <row r="3634" spans="11:19" x14ac:dyDescent="0.3">
      <c r="K3634" s="16">
        <f t="shared" si="56"/>
        <v>44167</v>
      </c>
      <c r="L3634" s="17">
        <v>0.33333333333333331</v>
      </c>
      <c r="M3634" s="14">
        <v>321</v>
      </c>
      <c r="N3634" s="14">
        <v>2429</v>
      </c>
      <c r="O3634" s="14">
        <v>0</v>
      </c>
      <c r="P3634" s="14">
        <v>2750</v>
      </c>
      <c r="Q3634">
        <v>12487</v>
      </c>
      <c r="R3634">
        <v>435</v>
      </c>
      <c r="S3634">
        <v>68</v>
      </c>
    </row>
    <row r="3635" spans="11:19" x14ac:dyDescent="0.3">
      <c r="K3635" s="16">
        <f t="shared" si="56"/>
        <v>44167</v>
      </c>
      <c r="L3635" s="17">
        <v>0.375</v>
      </c>
      <c r="M3635" s="14">
        <v>321</v>
      </c>
      <c r="N3635" s="14">
        <v>2429</v>
      </c>
      <c r="O3635" s="14">
        <v>0</v>
      </c>
      <c r="P3635" s="14">
        <v>2750</v>
      </c>
      <c r="Q3635">
        <v>12362</v>
      </c>
      <c r="R3635">
        <v>439</v>
      </c>
      <c r="S3635">
        <v>409</v>
      </c>
    </row>
    <row r="3636" spans="11:19" x14ac:dyDescent="0.3">
      <c r="K3636" s="16">
        <f t="shared" si="56"/>
        <v>44167</v>
      </c>
      <c r="L3636" s="17">
        <v>0.41666666666666669</v>
      </c>
      <c r="M3636" s="14">
        <v>321</v>
      </c>
      <c r="N3636" s="14">
        <v>0</v>
      </c>
      <c r="O3636" s="14">
        <v>0</v>
      </c>
      <c r="P3636" s="14">
        <v>321</v>
      </c>
      <c r="Q3636">
        <v>12099</v>
      </c>
      <c r="R3636">
        <v>446</v>
      </c>
      <c r="S3636">
        <v>928</v>
      </c>
    </row>
    <row r="3637" spans="11:19" x14ac:dyDescent="0.3">
      <c r="K3637" s="16">
        <f t="shared" si="56"/>
        <v>44167</v>
      </c>
      <c r="L3637" s="17">
        <v>0.45833333333333331</v>
      </c>
      <c r="M3637" s="14">
        <v>321</v>
      </c>
      <c r="N3637" s="14">
        <v>1325</v>
      </c>
      <c r="O3637" s="14">
        <v>0</v>
      </c>
      <c r="P3637" s="14">
        <v>1646</v>
      </c>
      <c r="Q3637">
        <v>11923</v>
      </c>
      <c r="R3637">
        <v>472</v>
      </c>
      <c r="S3637">
        <v>1385</v>
      </c>
    </row>
    <row r="3638" spans="11:19" x14ac:dyDescent="0.3">
      <c r="K3638" s="16">
        <f t="shared" si="56"/>
        <v>44167</v>
      </c>
      <c r="L3638" s="17">
        <v>0.5</v>
      </c>
      <c r="M3638" s="14">
        <v>321</v>
      </c>
      <c r="N3638" s="14">
        <v>0</v>
      </c>
      <c r="O3638" s="14">
        <v>0</v>
      </c>
      <c r="P3638" s="14">
        <v>321</v>
      </c>
      <c r="Q3638">
        <v>11744</v>
      </c>
      <c r="R3638">
        <v>561</v>
      </c>
      <c r="S3638">
        <v>1578</v>
      </c>
    </row>
    <row r="3639" spans="11:19" x14ac:dyDescent="0.3">
      <c r="K3639" s="16">
        <f t="shared" si="56"/>
        <v>44167</v>
      </c>
      <c r="L3639" s="17">
        <v>0.54166666666666663</v>
      </c>
      <c r="M3639" s="14">
        <v>321</v>
      </c>
      <c r="N3639" s="14">
        <v>0</v>
      </c>
      <c r="O3639" s="14">
        <v>0</v>
      </c>
      <c r="P3639" s="14">
        <v>321</v>
      </c>
      <c r="Q3639">
        <v>11407</v>
      </c>
      <c r="R3639">
        <v>512</v>
      </c>
      <c r="S3639">
        <v>1485</v>
      </c>
    </row>
    <row r="3640" spans="11:19" x14ac:dyDescent="0.3">
      <c r="K3640" s="16">
        <f t="shared" si="56"/>
        <v>44167</v>
      </c>
      <c r="L3640" s="17">
        <v>0.58333333333333337</v>
      </c>
      <c r="M3640" s="14">
        <v>321</v>
      </c>
      <c r="N3640" s="14">
        <v>0</v>
      </c>
      <c r="O3640" s="14">
        <v>0</v>
      </c>
      <c r="P3640" s="14">
        <v>321</v>
      </c>
      <c r="Q3640">
        <v>11189</v>
      </c>
      <c r="R3640">
        <v>526</v>
      </c>
      <c r="S3640">
        <v>1153</v>
      </c>
    </row>
    <row r="3641" spans="11:19" x14ac:dyDescent="0.3">
      <c r="K3641" s="16">
        <f t="shared" si="56"/>
        <v>44167</v>
      </c>
      <c r="L3641" s="17">
        <v>0.625</v>
      </c>
      <c r="M3641" s="14">
        <v>321</v>
      </c>
      <c r="N3641" s="14">
        <v>1131</v>
      </c>
      <c r="O3641" s="14">
        <v>0</v>
      </c>
      <c r="P3641" s="14">
        <v>1452</v>
      </c>
      <c r="Q3641">
        <v>11053</v>
      </c>
      <c r="R3641">
        <v>558</v>
      </c>
      <c r="S3641">
        <v>621</v>
      </c>
    </row>
    <row r="3642" spans="11:19" x14ac:dyDescent="0.3">
      <c r="K3642" s="16">
        <f t="shared" si="56"/>
        <v>44167</v>
      </c>
      <c r="L3642" s="17">
        <v>0.66666666666666663</v>
      </c>
      <c r="M3642" s="14">
        <v>321</v>
      </c>
      <c r="N3642" s="14">
        <v>1780</v>
      </c>
      <c r="O3642" s="14">
        <v>0</v>
      </c>
      <c r="P3642" s="14">
        <v>2101</v>
      </c>
      <c r="Q3642">
        <v>11182</v>
      </c>
      <c r="R3642">
        <v>513</v>
      </c>
      <c r="S3642">
        <v>144</v>
      </c>
    </row>
    <row r="3643" spans="11:19" x14ac:dyDescent="0.3">
      <c r="K3643" s="16">
        <f t="shared" si="56"/>
        <v>44167</v>
      </c>
      <c r="L3643" s="17">
        <v>0.70833333333333337</v>
      </c>
      <c r="M3643" s="14">
        <v>321</v>
      </c>
      <c r="N3643" s="14">
        <v>2429</v>
      </c>
      <c r="O3643" s="14">
        <v>0</v>
      </c>
      <c r="P3643" s="14">
        <v>2750</v>
      </c>
      <c r="Q3643">
        <v>11992</v>
      </c>
      <c r="R3643">
        <v>427</v>
      </c>
      <c r="S3643">
        <v>4</v>
      </c>
    </row>
    <row r="3644" spans="11:19" x14ac:dyDescent="0.3">
      <c r="K3644" s="16">
        <f t="shared" si="56"/>
        <v>44167</v>
      </c>
      <c r="L3644" s="17">
        <v>0.75</v>
      </c>
      <c r="M3644" s="14">
        <v>321</v>
      </c>
      <c r="N3644" s="14">
        <v>2429</v>
      </c>
      <c r="O3644" s="14">
        <v>0</v>
      </c>
      <c r="P3644" s="14">
        <v>2750</v>
      </c>
      <c r="Q3644">
        <v>12663</v>
      </c>
      <c r="R3644">
        <v>370</v>
      </c>
      <c r="S3644">
        <v>0</v>
      </c>
    </row>
    <row r="3645" spans="11:19" x14ac:dyDescent="0.3">
      <c r="K3645" s="16">
        <f t="shared" si="56"/>
        <v>44167</v>
      </c>
      <c r="L3645" s="17">
        <v>0.79166666666666663</v>
      </c>
      <c r="M3645" s="14">
        <v>321</v>
      </c>
      <c r="N3645" s="14">
        <v>2429</v>
      </c>
      <c r="O3645" s="14">
        <v>0</v>
      </c>
      <c r="P3645" s="14">
        <v>2750</v>
      </c>
      <c r="Q3645">
        <v>12574</v>
      </c>
      <c r="R3645">
        <v>342</v>
      </c>
      <c r="S3645">
        <v>0</v>
      </c>
    </row>
    <row r="3646" spans="11:19" x14ac:dyDescent="0.3">
      <c r="K3646" s="16">
        <f t="shared" si="56"/>
        <v>44167</v>
      </c>
      <c r="L3646" s="17">
        <v>0.83333333333333337</v>
      </c>
      <c r="M3646" s="14">
        <v>321</v>
      </c>
      <c r="N3646" s="14">
        <v>2429</v>
      </c>
      <c r="O3646" s="14">
        <v>0</v>
      </c>
      <c r="P3646" s="14">
        <v>2750</v>
      </c>
      <c r="Q3646">
        <v>11708</v>
      </c>
      <c r="R3646">
        <v>313</v>
      </c>
      <c r="S3646">
        <v>0</v>
      </c>
    </row>
    <row r="3647" spans="11:19" x14ac:dyDescent="0.3">
      <c r="K3647" s="16">
        <f t="shared" si="56"/>
        <v>44167</v>
      </c>
      <c r="L3647" s="17">
        <v>0.875</v>
      </c>
      <c r="M3647" s="14">
        <v>321</v>
      </c>
      <c r="N3647" s="14">
        <v>1980</v>
      </c>
      <c r="O3647" s="14">
        <v>0</v>
      </c>
      <c r="P3647" s="14">
        <v>2301</v>
      </c>
      <c r="Q3647">
        <v>11014</v>
      </c>
      <c r="R3647">
        <v>300</v>
      </c>
      <c r="S3647">
        <v>0</v>
      </c>
    </row>
    <row r="3648" spans="11:19" x14ac:dyDescent="0.3">
      <c r="K3648" s="16">
        <f t="shared" si="56"/>
        <v>44167</v>
      </c>
      <c r="L3648" s="17">
        <v>0.91666666666666663</v>
      </c>
      <c r="M3648" s="14">
        <v>321</v>
      </c>
      <c r="N3648" s="14">
        <v>0</v>
      </c>
      <c r="O3648" s="14">
        <v>0</v>
      </c>
      <c r="P3648" s="14">
        <v>321</v>
      </c>
      <c r="Q3648">
        <v>11196</v>
      </c>
      <c r="R3648">
        <v>223</v>
      </c>
      <c r="S3648">
        <v>0</v>
      </c>
    </row>
    <row r="3649" spans="11:19" x14ac:dyDescent="0.3">
      <c r="K3649" s="16">
        <f t="shared" si="56"/>
        <v>44167</v>
      </c>
      <c r="L3649" s="17">
        <v>0.95833333333333337</v>
      </c>
      <c r="M3649" s="14">
        <v>321</v>
      </c>
      <c r="N3649" s="14">
        <v>2393</v>
      </c>
      <c r="O3649" s="14">
        <v>0</v>
      </c>
      <c r="P3649" s="14">
        <v>2714</v>
      </c>
      <c r="Q3649">
        <v>11347</v>
      </c>
      <c r="R3649">
        <v>230</v>
      </c>
      <c r="S3649">
        <v>0</v>
      </c>
    </row>
    <row r="3650" spans="11:19" x14ac:dyDescent="0.3">
      <c r="K3650" s="16">
        <f t="shared" si="56"/>
        <v>44168</v>
      </c>
      <c r="L3650" s="17">
        <v>0</v>
      </c>
      <c r="M3650" s="14">
        <v>321</v>
      </c>
      <c r="N3650" s="14">
        <v>0</v>
      </c>
      <c r="O3650" s="14">
        <v>0</v>
      </c>
      <c r="P3650" s="14">
        <v>321</v>
      </c>
      <c r="Q3650">
        <v>10854</v>
      </c>
      <c r="R3650">
        <v>239</v>
      </c>
      <c r="S3650">
        <v>0</v>
      </c>
    </row>
    <row r="3651" spans="11:19" x14ac:dyDescent="0.3">
      <c r="K3651" s="16">
        <f t="shared" si="56"/>
        <v>44168</v>
      </c>
      <c r="L3651" s="17">
        <v>4.1666666666666664E-2</v>
      </c>
      <c r="M3651" s="14">
        <v>321</v>
      </c>
      <c r="N3651" s="14">
        <v>0</v>
      </c>
      <c r="O3651" s="14">
        <v>0</v>
      </c>
      <c r="P3651" s="14">
        <v>321</v>
      </c>
      <c r="Q3651">
        <v>10589</v>
      </c>
      <c r="R3651">
        <v>258</v>
      </c>
      <c r="S3651">
        <v>0</v>
      </c>
    </row>
    <row r="3652" spans="11:19" x14ac:dyDescent="0.3">
      <c r="K3652" s="16">
        <f t="shared" si="56"/>
        <v>44168</v>
      </c>
      <c r="L3652" s="17">
        <v>8.3333333333333329E-2</v>
      </c>
      <c r="M3652" s="14">
        <v>321</v>
      </c>
      <c r="N3652" s="14">
        <v>1304</v>
      </c>
      <c r="O3652" s="14">
        <v>0</v>
      </c>
      <c r="P3652" s="14">
        <v>1625</v>
      </c>
      <c r="Q3652">
        <v>10334</v>
      </c>
      <c r="R3652">
        <v>326</v>
      </c>
      <c r="S3652">
        <v>0</v>
      </c>
    </row>
    <row r="3653" spans="11:19" x14ac:dyDescent="0.3">
      <c r="K3653" s="16">
        <f t="shared" si="56"/>
        <v>44168</v>
      </c>
      <c r="L3653" s="17">
        <v>0.125</v>
      </c>
      <c r="M3653" s="14">
        <v>321</v>
      </c>
      <c r="N3653" s="14">
        <v>910</v>
      </c>
      <c r="O3653" s="14">
        <v>0</v>
      </c>
      <c r="P3653" s="14">
        <v>1231</v>
      </c>
      <c r="Q3653">
        <v>9960</v>
      </c>
      <c r="R3653">
        <v>345</v>
      </c>
      <c r="S3653">
        <v>0</v>
      </c>
    </row>
    <row r="3654" spans="11:19" x14ac:dyDescent="0.3">
      <c r="K3654" s="16">
        <f t="shared" si="56"/>
        <v>44168</v>
      </c>
      <c r="L3654" s="17">
        <v>0.16666666666666666</v>
      </c>
      <c r="M3654" s="14">
        <v>321</v>
      </c>
      <c r="N3654" s="14">
        <v>0</v>
      </c>
      <c r="O3654" s="14">
        <v>0</v>
      </c>
      <c r="P3654" s="14">
        <v>321</v>
      </c>
      <c r="Q3654">
        <v>9962</v>
      </c>
      <c r="R3654">
        <v>536</v>
      </c>
      <c r="S3654">
        <v>0</v>
      </c>
    </row>
    <row r="3655" spans="11:19" x14ac:dyDescent="0.3">
      <c r="K3655" s="16">
        <f t="shared" si="56"/>
        <v>44168</v>
      </c>
      <c r="L3655" s="17">
        <v>0.20833333333333334</v>
      </c>
      <c r="M3655" s="14">
        <v>321</v>
      </c>
      <c r="N3655" s="14">
        <v>1239</v>
      </c>
      <c r="O3655" s="14">
        <v>0</v>
      </c>
      <c r="P3655" s="14">
        <v>1560</v>
      </c>
      <c r="Q3655">
        <v>10551</v>
      </c>
      <c r="R3655">
        <v>602</v>
      </c>
      <c r="S3655">
        <v>0</v>
      </c>
    </row>
    <row r="3656" spans="11:19" x14ac:dyDescent="0.3">
      <c r="K3656" s="16">
        <f t="shared" si="56"/>
        <v>44168</v>
      </c>
      <c r="L3656" s="17">
        <v>0.25</v>
      </c>
      <c r="M3656" s="14">
        <v>321</v>
      </c>
      <c r="N3656" s="14">
        <v>2404</v>
      </c>
      <c r="O3656" s="14">
        <v>0</v>
      </c>
      <c r="P3656" s="14">
        <v>2725</v>
      </c>
      <c r="Q3656">
        <v>11799</v>
      </c>
      <c r="R3656">
        <v>644</v>
      </c>
      <c r="S3656">
        <v>0</v>
      </c>
    </row>
    <row r="3657" spans="11:19" x14ac:dyDescent="0.3">
      <c r="K3657" s="16">
        <f t="shared" si="56"/>
        <v>44168</v>
      </c>
      <c r="L3657" s="17">
        <v>0.29166666666666669</v>
      </c>
      <c r="M3657" s="14">
        <v>321</v>
      </c>
      <c r="N3657" s="14">
        <v>2404</v>
      </c>
      <c r="O3657" s="14">
        <v>0</v>
      </c>
      <c r="P3657" s="14">
        <v>2725</v>
      </c>
      <c r="Q3657">
        <v>12749</v>
      </c>
      <c r="R3657">
        <v>622</v>
      </c>
      <c r="S3657">
        <v>0</v>
      </c>
    </row>
    <row r="3658" spans="11:19" x14ac:dyDescent="0.3">
      <c r="K3658" s="16">
        <f t="shared" si="56"/>
        <v>44168</v>
      </c>
      <c r="L3658" s="17">
        <v>0.33333333333333331</v>
      </c>
      <c r="M3658" s="14">
        <v>321</v>
      </c>
      <c r="N3658" s="14">
        <v>466</v>
      </c>
      <c r="O3658" s="14">
        <v>0</v>
      </c>
      <c r="P3658" s="14">
        <v>787</v>
      </c>
      <c r="Q3658">
        <v>12831</v>
      </c>
      <c r="R3658">
        <v>660</v>
      </c>
      <c r="S3658">
        <v>62</v>
      </c>
    </row>
    <row r="3659" spans="11:19" x14ac:dyDescent="0.3">
      <c r="K3659" s="16">
        <f t="shared" si="56"/>
        <v>44168</v>
      </c>
      <c r="L3659" s="17">
        <v>0.375</v>
      </c>
      <c r="M3659" s="14">
        <v>321</v>
      </c>
      <c r="N3659" s="14">
        <v>0</v>
      </c>
      <c r="O3659" s="14">
        <v>0</v>
      </c>
      <c r="P3659" s="14">
        <v>321</v>
      </c>
      <c r="Q3659">
        <v>12692</v>
      </c>
      <c r="R3659">
        <v>614</v>
      </c>
      <c r="S3659">
        <v>455</v>
      </c>
    </row>
    <row r="3660" spans="11:19" x14ac:dyDescent="0.3">
      <c r="K3660" s="16">
        <f t="shared" si="56"/>
        <v>44168</v>
      </c>
      <c r="L3660" s="17">
        <v>0.41666666666666669</v>
      </c>
      <c r="M3660" s="14">
        <v>321</v>
      </c>
      <c r="N3660" s="14">
        <v>2103</v>
      </c>
      <c r="O3660" s="14">
        <v>0</v>
      </c>
      <c r="P3660" s="14">
        <v>2424</v>
      </c>
      <c r="Q3660">
        <v>12413</v>
      </c>
      <c r="R3660">
        <v>561</v>
      </c>
      <c r="S3660">
        <v>1007</v>
      </c>
    </row>
    <row r="3661" spans="11:19" x14ac:dyDescent="0.3">
      <c r="K3661" s="16">
        <f t="shared" si="56"/>
        <v>44168</v>
      </c>
      <c r="L3661" s="17">
        <v>0.45833333333333331</v>
      </c>
      <c r="M3661" s="14">
        <v>321</v>
      </c>
      <c r="N3661" s="14">
        <v>0</v>
      </c>
      <c r="O3661" s="14">
        <v>0</v>
      </c>
      <c r="P3661" s="14">
        <v>321</v>
      </c>
      <c r="Q3661">
        <v>12205</v>
      </c>
      <c r="R3661">
        <v>614</v>
      </c>
      <c r="S3661">
        <v>1486</v>
      </c>
    </row>
    <row r="3662" spans="11:19" x14ac:dyDescent="0.3">
      <c r="K3662" s="16">
        <f t="shared" si="56"/>
        <v>44168</v>
      </c>
      <c r="L3662" s="17">
        <v>0.5</v>
      </c>
      <c r="M3662" s="14">
        <v>321</v>
      </c>
      <c r="N3662" s="14">
        <v>761</v>
      </c>
      <c r="O3662" s="14">
        <v>0</v>
      </c>
      <c r="P3662" s="14">
        <v>1082</v>
      </c>
      <c r="Q3662">
        <v>12007</v>
      </c>
      <c r="R3662">
        <v>835</v>
      </c>
      <c r="S3662">
        <v>1670</v>
      </c>
    </row>
    <row r="3663" spans="11:19" x14ac:dyDescent="0.3">
      <c r="K3663" s="16">
        <f t="shared" si="56"/>
        <v>44168</v>
      </c>
      <c r="L3663" s="17">
        <v>0.54166666666666663</v>
      </c>
      <c r="M3663" s="14">
        <v>321</v>
      </c>
      <c r="N3663" s="14">
        <v>341</v>
      </c>
      <c r="O3663" s="14">
        <v>0</v>
      </c>
      <c r="P3663" s="14">
        <v>662</v>
      </c>
      <c r="Q3663">
        <v>11649</v>
      </c>
      <c r="R3663">
        <v>993</v>
      </c>
      <c r="S3663">
        <v>1574</v>
      </c>
    </row>
    <row r="3664" spans="11:19" x14ac:dyDescent="0.3">
      <c r="K3664" s="16">
        <f t="shared" si="56"/>
        <v>44168</v>
      </c>
      <c r="L3664" s="17">
        <v>0.58333333333333337</v>
      </c>
      <c r="M3664" s="14">
        <v>321</v>
      </c>
      <c r="N3664" s="14">
        <v>412</v>
      </c>
      <c r="O3664" s="14">
        <v>0</v>
      </c>
      <c r="P3664" s="14">
        <v>733</v>
      </c>
      <c r="Q3664">
        <v>11404</v>
      </c>
      <c r="R3664">
        <v>1027</v>
      </c>
      <c r="S3664">
        <v>1222</v>
      </c>
    </row>
    <row r="3665" spans="11:19" x14ac:dyDescent="0.3">
      <c r="K3665" s="16">
        <f t="shared" si="56"/>
        <v>44168</v>
      </c>
      <c r="L3665" s="17">
        <v>0.625</v>
      </c>
      <c r="M3665" s="14">
        <v>321</v>
      </c>
      <c r="N3665" s="14">
        <v>845</v>
      </c>
      <c r="O3665" s="14">
        <v>0</v>
      </c>
      <c r="P3665" s="14">
        <v>1166</v>
      </c>
      <c r="Q3665">
        <v>11281</v>
      </c>
      <c r="R3665">
        <v>1042</v>
      </c>
      <c r="S3665">
        <v>651</v>
      </c>
    </row>
    <row r="3666" spans="11:19" x14ac:dyDescent="0.3">
      <c r="K3666" s="16">
        <f t="shared" si="56"/>
        <v>44168</v>
      </c>
      <c r="L3666" s="17">
        <v>0.66666666666666663</v>
      </c>
      <c r="M3666" s="14">
        <v>321</v>
      </c>
      <c r="N3666" s="14">
        <v>1414</v>
      </c>
      <c r="O3666" s="14">
        <v>0</v>
      </c>
      <c r="P3666" s="14">
        <v>1735</v>
      </c>
      <c r="Q3666">
        <v>11426</v>
      </c>
      <c r="R3666">
        <v>1128</v>
      </c>
      <c r="S3666">
        <v>139</v>
      </c>
    </row>
    <row r="3667" spans="11:19" x14ac:dyDescent="0.3">
      <c r="K3667" s="16">
        <f t="shared" si="56"/>
        <v>44168</v>
      </c>
      <c r="L3667" s="17">
        <v>0.70833333333333337</v>
      </c>
      <c r="M3667" s="14">
        <v>321</v>
      </c>
      <c r="N3667" s="14">
        <v>2404</v>
      </c>
      <c r="O3667" s="14">
        <v>0</v>
      </c>
      <c r="P3667" s="14">
        <v>2725</v>
      </c>
      <c r="Q3667">
        <v>12253</v>
      </c>
      <c r="R3667">
        <v>1078</v>
      </c>
      <c r="S3667">
        <v>2</v>
      </c>
    </row>
    <row r="3668" spans="11:19" x14ac:dyDescent="0.3">
      <c r="K3668" s="16">
        <f t="shared" si="56"/>
        <v>44168</v>
      </c>
      <c r="L3668" s="17">
        <v>0.75</v>
      </c>
      <c r="M3668" s="14">
        <v>321</v>
      </c>
      <c r="N3668" s="14">
        <v>237</v>
      </c>
      <c r="O3668" s="14">
        <v>0</v>
      </c>
      <c r="P3668" s="14">
        <v>558</v>
      </c>
      <c r="Q3668">
        <v>12912</v>
      </c>
      <c r="R3668">
        <v>1026</v>
      </c>
      <c r="S3668">
        <v>0</v>
      </c>
    </row>
    <row r="3669" spans="11:19" x14ac:dyDescent="0.3">
      <c r="K3669" s="16">
        <f t="shared" si="56"/>
        <v>44168</v>
      </c>
      <c r="L3669" s="17">
        <v>0.79166666666666663</v>
      </c>
      <c r="M3669" s="14">
        <v>321</v>
      </c>
      <c r="N3669" s="14">
        <v>2404</v>
      </c>
      <c r="O3669" s="14">
        <v>0</v>
      </c>
      <c r="P3669" s="14">
        <v>2725</v>
      </c>
      <c r="Q3669">
        <v>12805</v>
      </c>
      <c r="R3669">
        <v>998</v>
      </c>
      <c r="S3669">
        <v>0</v>
      </c>
    </row>
    <row r="3670" spans="11:19" x14ac:dyDescent="0.3">
      <c r="K3670" s="16">
        <f t="shared" si="56"/>
        <v>44168</v>
      </c>
      <c r="L3670" s="17">
        <v>0.83333333333333337</v>
      </c>
      <c r="M3670" s="14">
        <v>321</v>
      </c>
      <c r="N3670" s="14">
        <v>2053</v>
      </c>
      <c r="O3670" s="14">
        <v>0</v>
      </c>
      <c r="P3670" s="14">
        <v>2374</v>
      </c>
      <c r="Q3670">
        <v>11921</v>
      </c>
      <c r="R3670">
        <v>1127</v>
      </c>
      <c r="S3670">
        <v>0</v>
      </c>
    </row>
    <row r="3671" spans="11:19" x14ac:dyDescent="0.3">
      <c r="K3671" s="16">
        <f t="shared" si="56"/>
        <v>44168</v>
      </c>
      <c r="L3671" s="17">
        <v>0.875</v>
      </c>
      <c r="M3671" s="14">
        <v>321</v>
      </c>
      <c r="N3671" s="14">
        <v>1401</v>
      </c>
      <c r="O3671" s="14">
        <v>0</v>
      </c>
      <c r="P3671" s="14">
        <v>1722</v>
      </c>
      <c r="Q3671">
        <v>11227</v>
      </c>
      <c r="R3671">
        <v>1091</v>
      </c>
      <c r="S3671">
        <v>0</v>
      </c>
    </row>
    <row r="3672" spans="11:19" x14ac:dyDescent="0.3">
      <c r="K3672" s="16">
        <f t="shared" si="56"/>
        <v>44168</v>
      </c>
      <c r="L3672" s="17">
        <v>0.91666666666666663</v>
      </c>
      <c r="M3672" s="14">
        <v>321</v>
      </c>
      <c r="N3672" s="14">
        <v>1614</v>
      </c>
      <c r="O3672" s="14">
        <v>0</v>
      </c>
      <c r="P3672" s="14">
        <v>1935</v>
      </c>
      <c r="Q3672">
        <v>11394</v>
      </c>
      <c r="R3672">
        <v>1052</v>
      </c>
      <c r="S3672">
        <v>0</v>
      </c>
    </row>
    <row r="3673" spans="11:19" x14ac:dyDescent="0.3">
      <c r="K3673" s="16">
        <f t="shared" si="56"/>
        <v>44168</v>
      </c>
      <c r="L3673" s="17">
        <v>0.95833333333333337</v>
      </c>
      <c r="M3673" s="14">
        <v>321</v>
      </c>
      <c r="N3673" s="14">
        <v>1613</v>
      </c>
      <c r="O3673" s="14">
        <v>0</v>
      </c>
      <c r="P3673" s="14">
        <v>1934</v>
      </c>
      <c r="Q3673">
        <v>11525</v>
      </c>
      <c r="R3673">
        <v>1187</v>
      </c>
      <c r="S3673">
        <v>0</v>
      </c>
    </row>
    <row r="3674" spans="11:19" x14ac:dyDescent="0.3">
      <c r="K3674" s="16">
        <f t="shared" si="56"/>
        <v>44169</v>
      </c>
      <c r="L3674" s="17">
        <v>0</v>
      </c>
      <c r="M3674" s="14">
        <v>359</v>
      </c>
      <c r="N3674" s="14">
        <v>1184</v>
      </c>
      <c r="O3674" s="14">
        <v>0</v>
      </c>
      <c r="P3674" s="14">
        <v>1543</v>
      </c>
      <c r="Q3674">
        <v>10964</v>
      </c>
      <c r="R3674">
        <v>1034</v>
      </c>
      <c r="S3674">
        <v>0</v>
      </c>
    </row>
    <row r="3675" spans="11:19" x14ac:dyDescent="0.3">
      <c r="K3675" s="16">
        <f t="shared" ref="K3675:K3738" si="57">K3651+1</f>
        <v>44169</v>
      </c>
      <c r="L3675" s="17">
        <v>4.1666666666666664E-2</v>
      </c>
      <c r="M3675" s="14">
        <v>359</v>
      </c>
      <c r="N3675" s="14">
        <v>0</v>
      </c>
      <c r="O3675" s="14">
        <v>0</v>
      </c>
      <c r="P3675" s="14">
        <v>359</v>
      </c>
      <c r="Q3675">
        <v>10677</v>
      </c>
      <c r="R3675">
        <v>958</v>
      </c>
      <c r="S3675">
        <v>0</v>
      </c>
    </row>
    <row r="3676" spans="11:19" x14ac:dyDescent="0.3">
      <c r="K3676" s="16">
        <f t="shared" si="57"/>
        <v>44169</v>
      </c>
      <c r="L3676" s="17">
        <v>8.3333333333333329E-2</v>
      </c>
      <c r="M3676" s="14">
        <v>359</v>
      </c>
      <c r="N3676" s="14">
        <v>671</v>
      </c>
      <c r="O3676" s="14">
        <v>0</v>
      </c>
      <c r="P3676" s="14">
        <v>1030</v>
      </c>
      <c r="Q3676">
        <v>10405</v>
      </c>
      <c r="R3676">
        <v>991</v>
      </c>
      <c r="S3676">
        <v>0</v>
      </c>
    </row>
    <row r="3677" spans="11:19" x14ac:dyDescent="0.3">
      <c r="K3677" s="16">
        <f t="shared" si="57"/>
        <v>44169</v>
      </c>
      <c r="L3677" s="17">
        <v>0.125</v>
      </c>
      <c r="M3677" s="14">
        <v>359</v>
      </c>
      <c r="N3677" s="14">
        <v>0</v>
      </c>
      <c r="O3677" s="14">
        <v>0</v>
      </c>
      <c r="P3677" s="14">
        <v>359</v>
      </c>
      <c r="Q3677">
        <v>10023</v>
      </c>
      <c r="R3677">
        <v>1058</v>
      </c>
      <c r="S3677">
        <v>0</v>
      </c>
    </row>
    <row r="3678" spans="11:19" x14ac:dyDescent="0.3">
      <c r="K3678" s="16">
        <f t="shared" si="57"/>
        <v>44169</v>
      </c>
      <c r="L3678" s="17">
        <v>0.16666666666666666</v>
      </c>
      <c r="M3678" s="14">
        <v>359</v>
      </c>
      <c r="N3678" s="14">
        <v>0</v>
      </c>
      <c r="O3678" s="14">
        <v>0</v>
      </c>
      <c r="P3678" s="14">
        <v>359</v>
      </c>
      <c r="Q3678">
        <v>10015</v>
      </c>
      <c r="R3678">
        <v>1045</v>
      </c>
      <c r="S3678">
        <v>0</v>
      </c>
    </row>
    <row r="3679" spans="11:19" x14ac:dyDescent="0.3">
      <c r="K3679" s="16">
        <f t="shared" si="57"/>
        <v>44169</v>
      </c>
      <c r="L3679" s="17">
        <v>0.20833333333333334</v>
      </c>
      <c r="M3679" s="14">
        <v>359</v>
      </c>
      <c r="N3679" s="14">
        <v>507</v>
      </c>
      <c r="O3679" s="14">
        <v>0</v>
      </c>
      <c r="P3679" s="14">
        <v>866</v>
      </c>
      <c r="Q3679">
        <v>10587</v>
      </c>
      <c r="R3679">
        <v>999</v>
      </c>
      <c r="S3679">
        <v>0</v>
      </c>
    </row>
    <row r="3680" spans="11:19" x14ac:dyDescent="0.3">
      <c r="K3680" s="16">
        <f t="shared" si="57"/>
        <v>44169</v>
      </c>
      <c r="L3680" s="17">
        <v>0.25</v>
      </c>
      <c r="M3680" s="14">
        <v>359</v>
      </c>
      <c r="N3680" s="14">
        <v>0</v>
      </c>
      <c r="O3680" s="14">
        <v>0</v>
      </c>
      <c r="P3680" s="14">
        <v>359</v>
      </c>
      <c r="Q3680">
        <v>11858</v>
      </c>
      <c r="R3680">
        <v>910</v>
      </c>
      <c r="S3680">
        <v>0</v>
      </c>
    </row>
    <row r="3681" spans="11:19" x14ac:dyDescent="0.3">
      <c r="K3681" s="16">
        <f t="shared" si="57"/>
        <v>44169</v>
      </c>
      <c r="L3681" s="17">
        <v>0.29166666666666669</v>
      </c>
      <c r="M3681" s="14">
        <v>359</v>
      </c>
      <c r="N3681" s="14">
        <v>329</v>
      </c>
      <c r="O3681" s="14">
        <v>0</v>
      </c>
      <c r="P3681" s="14">
        <v>688</v>
      </c>
      <c r="Q3681">
        <v>12850</v>
      </c>
      <c r="R3681">
        <v>840</v>
      </c>
      <c r="S3681">
        <v>1</v>
      </c>
    </row>
    <row r="3682" spans="11:19" x14ac:dyDescent="0.3">
      <c r="K3682" s="16">
        <f t="shared" si="57"/>
        <v>44169</v>
      </c>
      <c r="L3682" s="17">
        <v>0.33333333333333331</v>
      </c>
      <c r="M3682" s="14">
        <v>359</v>
      </c>
      <c r="N3682" s="14">
        <v>450</v>
      </c>
      <c r="O3682" s="14">
        <v>0</v>
      </c>
      <c r="P3682" s="14">
        <v>809</v>
      </c>
      <c r="Q3682">
        <v>12936</v>
      </c>
      <c r="R3682">
        <v>724</v>
      </c>
      <c r="S3682">
        <v>80</v>
      </c>
    </row>
    <row r="3683" spans="11:19" x14ac:dyDescent="0.3">
      <c r="K3683" s="16">
        <f t="shared" si="57"/>
        <v>44169</v>
      </c>
      <c r="L3683" s="17">
        <v>0.375</v>
      </c>
      <c r="M3683" s="14">
        <v>359</v>
      </c>
      <c r="N3683" s="14">
        <v>1888</v>
      </c>
      <c r="O3683" s="14">
        <v>0</v>
      </c>
      <c r="P3683" s="14">
        <v>2247</v>
      </c>
      <c r="Q3683">
        <v>12829</v>
      </c>
      <c r="R3683">
        <v>566</v>
      </c>
      <c r="S3683">
        <v>530</v>
      </c>
    </row>
    <row r="3684" spans="11:19" x14ac:dyDescent="0.3">
      <c r="K3684" s="16">
        <f t="shared" si="57"/>
        <v>44169</v>
      </c>
      <c r="L3684" s="17">
        <v>0.41666666666666669</v>
      </c>
      <c r="M3684" s="14">
        <v>359</v>
      </c>
      <c r="N3684" s="14">
        <v>0</v>
      </c>
      <c r="O3684" s="14">
        <v>0</v>
      </c>
      <c r="P3684" s="14">
        <v>359</v>
      </c>
      <c r="Q3684">
        <v>12589</v>
      </c>
      <c r="R3684">
        <v>526</v>
      </c>
      <c r="S3684">
        <v>1095</v>
      </c>
    </row>
    <row r="3685" spans="11:19" x14ac:dyDescent="0.3">
      <c r="K3685" s="16">
        <f t="shared" si="57"/>
        <v>44169</v>
      </c>
      <c r="L3685" s="17">
        <v>0.45833333333333331</v>
      </c>
      <c r="M3685" s="14">
        <v>359</v>
      </c>
      <c r="N3685" s="14">
        <v>0</v>
      </c>
      <c r="O3685" s="14">
        <v>0</v>
      </c>
      <c r="P3685" s="14">
        <v>359</v>
      </c>
      <c r="Q3685">
        <v>12412</v>
      </c>
      <c r="R3685">
        <v>573</v>
      </c>
      <c r="S3685">
        <v>1520</v>
      </c>
    </row>
    <row r="3686" spans="11:19" x14ac:dyDescent="0.3">
      <c r="K3686" s="16">
        <f t="shared" si="57"/>
        <v>44169</v>
      </c>
      <c r="L3686" s="17">
        <v>0.5</v>
      </c>
      <c r="M3686" s="14">
        <v>359</v>
      </c>
      <c r="N3686" s="14">
        <v>1101</v>
      </c>
      <c r="O3686" s="14">
        <v>0</v>
      </c>
      <c r="P3686" s="14">
        <v>1460</v>
      </c>
      <c r="Q3686">
        <v>12224</v>
      </c>
      <c r="R3686">
        <v>653</v>
      </c>
      <c r="S3686">
        <v>1690</v>
      </c>
    </row>
    <row r="3687" spans="11:19" x14ac:dyDescent="0.3">
      <c r="K3687" s="16">
        <f t="shared" si="57"/>
        <v>44169</v>
      </c>
      <c r="L3687" s="17">
        <v>0.54166666666666663</v>
      </c>
      <c r="M3687" s="14">
        <v>359</v>
      </c>
      <c r="N3687" s="14">
        <v>0</v>
      </c>
      <c r="O3687" s="14">
        <v>0</v>
      </c>
      <c r="P3687" s="14">
        <v>359</v>
      </c>
      <c r="Q3687">
        <v>11796</v>
      </c>
      <c r="R3687">
        <v>566</v>
      </c>
      <c r="S3687">
        <v>1602</v>
      </c>
    </row>
    <row r="3688" spans="11:19" x14ac:dyDescent="0.3">
      <c r="K3688" s="16">
        <f t="shared" si="57"/>
        <v>44169</v>
      </c>
      <c r="L3688" s="17">
        <v>0.58333333333333337</v>
      </c>
      <c r="M3688" s="14">
        <v>359</v>
      </c>
      <c r="N3688" s="14">
        <v>901</v>
      </c>
      <c r="O3688" s="14">
        <v>0</v>
      </c>
      <c r="P3688" s="14">
        <v>1260</v>
      </c>
      <c r="Q3688">
        <v>11502</v>
      </c>
      <c r="R3688">
        <v>545</v>
      </c>
      <c r="S3688">
        <v>1275</v>
      </c>
    </row>
    <row r="3689" spans="11:19" x14ac:dyDescent="0.3">
      <c r="K3689" s="16">
        <f t="shared" si="57"/>
        <v>44169</v>
      </c>
      <c r="L3689" s="17">
        <v>0.625</v>
      </c>
      <c r="M3689" s="14">
        <v>359</v>
      </c>
      <c r="N3689" s="14">
        <v>0</v>
      </c>
      <c r="O3689" s="14">
        <v>0</v>
      </c>
      <c r="P3689" s="14">
        <v>359</v>
      </c>
      <c r="Q3689">
        <v>11274</v>
      </c>
      <c r="R3689">
        <v>638</v>
      </c>
      <c r="S3689">
        <v>710</v>
      </c>
    </row>
    <row r="3690" spans="11:19" x14ac:dyDescent="0.3">
      <c r="K3690" s="16">
        <f t="shared" si="57"/>
        <v>44169</v>
      </c>
      <c r="L3690" s="17">
        <v>0.66666666666666663</v>
      </c>
      <c r="M3690" s="14">
        <v>359</v>
      </c>
      <c r="N3690" s="14">
        <v>1662</v>
      </c>
      <c r="O3690" s="14">
        <v>0</v>
      </c>
      <c r="P3690" s="14">
        <v>2021</v>
      </c>
      <c r="Q3690">
        <v>11284</v>
      </c>
      <c r="R3690">
        <v>679</v>
      </c>
      <c r="S3690">
        <v>159</v>
      </c>
    </row>
    <row r="3691" spans="11:19" x14ac:dyDescent="0.3">
      <c r="K3691" s="16">
        <f t="shared" si="57"/>
        <v>44169</v>
      </c>
      <c r="L3691" s="17">
        <v>0.70833333333333337</v>
      </c>
      <c r="M3691" s="14">
        <v>359</v>
      </c>
      <c r="N3691" s="14">
        <v>1888</v>
      </c>
      <c r="O3691" s="14">
        <v>0</v>
      </c>
      <c r="P3691" s="14">
        <v>2247</v>
      </c>
      <c r="Q3691">
        <v>12029</v>
      </c>
      <c r="R3691">
        <v>689</v>
      </c>
      <c r="S3691">
        <v>3</v>
      </c>
    </row>
    <row r="3692" spans="11:19" x14ac:dyDescent="0.3">
      <c r="K3692" s="16">
        <f t="shared" si="57"/>
        <v>44169</v>
      </c>
      <c r="L3692" s="17">
        <v>0.75</v>
      </c>
      <c r="M3692" s="14">
        <v>359</v>
      </c>
      <c r="N3692" s="14">
        <v>1888</v>
      </c>
      <c r="O3692" s="14">
        <v>0</v>
      </c>
      <c r="P3692" s="14">
        <v>2247</v>
      </c>
      <c r="Q3692">
        <v>12529</v>
      </c>
      <c r="R3692">
        <v>720</v>
      </c>
      <c r="S3692">
        <v>0</v>
      </c>
    </row>
    <row r="3693" spans="11:19" x14ac:dyDescent="0.3">
      <c r="K3693" s="16">
        <f t="shared" si="57"/>
        <v>44169</v>
      </c>
      <c r="L3693" s="17">
        <v>0.79166666666666663</v>
      </c>
      <c r="M3693" s="14">
        <v>359</v>
      </c>
      <c r="N3693" s="14">
        <v>1888</v>
      </c>
      <c r="O3693" s="14">
        <v>0</v>
      </c>
      <c r="P3693" s="14">
        <v>2247</v>
      </c>
      <c r="Q3693">
        <v>12438</v>
      </c>
      <c r="R3693">
        <v>816</v>
      </c>
      <c r="S3693">
        <v>0</v>
      </c>
    </row>
    <row r="3694" spans="11:19" x14ac:dyDescent="0.3">
      <c r="K3694" s="16">
        <f t="shared" si="57"/>
        <v>44169</v>
      </c>
      <c r="L3694" s="17">
        <v>0.83333333333333337</v>
      </c>
      <c r="M3694" s="14">
        <v>359</v>
      </c>
      <c r="N3694" s="14">
        <v>1888</v>
      </c>
      <c r="O3694" s="14">
        <v>0</v>
      </c>
      <c r="P3694" s="14">
        <v>2247</v>
      </c>
      <c r="Q3694">
        <v>11697</v>
      </c>
      <c r="R3694">
        <v>838</v>
      </c>
      <c r="S3694">
        <v>0</v>
      </c>
    </row>
    <row r="3695" spans="11:19" x14ac:dyDescent="0.3">
      <c r="K3695" s="16">
        <f t="shared" si="57"/>
        <v>44169</v>
      </c>
      <c r="L3695" s="17">
        <v>0.875</v>
      </c>
      <c r="M3695" s="14">
        <v>359</v>
      </c>
      <c r="N3695" s="14">
        <v>1456</v>
      </c>
      <c r="O3695" s="14">
        <v>0</v>
      </c>
      <c r="P3695" s="14">
        <v>1815</v>
      </c>
      <c r="Q3695">
        <v>11132</v>
      </c>
      <c r="R3695">
        <v>903</v>
      </c>
      <c r="S3695">
        <v>0</v>
      </c>
    </row>
    <row r="3696" spans="11:19" x14ac:dyDescent="0.3">
      <c r="K3696" s="16">
        <f t="shared" si="57"/>
        <v>44169</v>
      </c>
      <c r="L3696" s="17">
        <v>0.91666666666666663</v>
      </c>
      <c r="M3696" s="14">
        <v>359</v>
      </c>
      <c r="N3696" s="14">
        <v>1654</v>
      </c>
      <c r="O3696" s="14">
        <v>0</v>
      </c>
      <c r="P3696" s="14">
        <v>2013</v>
      </c>
      <c r="Q3696">
        <v>11385</v>
      </c>
      <c r="R3696">
        <v>964</v>
      </c>
      <c r="S3696">
        <v>0</v>
      </c>
    </row>
    <row r="3697" spans="11:19" x14ac:dyDescent="0.3">
      <c r="K3697" s="16">
        <f t="shared" si="57"/>
        <v>44169</v>
      </c>
      <c r="L3697" s="17">
        <v>0.95833333333333337</v>
      </c>
      <c r="M3697" s="14">
        <v>359</v>
      </c>
      <c r="N3697" s="14">
        <v>0</v>
      </c>
      <c r="O3697" s="14">
        <v>0</v>
      </c>
      <c r="P3697" s="14">
        <v>359</v>
      </c>
      <c r="Q3697">
        <v>11546</v>
      </c>
      <c r="R3697">
        <v>1075</v>
      </c>
      <c r="S3697">
        <v>0</v>
      </c>
    </row>
    <row r="3698" spans="11:19" x14ac:dyDescent="0.3">
      <c r="K3698" s="16">
        <f t="shared" si="57"/>
        <v>44170</v>
      </c>
      <c r="L3698" s="17">
        <v>0</v>
      </c>
      <c r="M3698" s="14">
        <v>359</v>
      </c>
      <c r="N3698" s="14">
        <v>0</v>
      </c>
      <c r="O3698" s="14">
        <v>0</v>
      </c>
      <c r="P3698" s="14">
        <v>359</v>
      </c>
      <c r="Q3698">
        <v>10912</v>
      </c>
      <c r="R3698">
        <v>979</v>
      </c>
      <c r="S3698">
        <v>0</v>
      </c>
    </row>
    <row r="3699" spans="11:19" x14ac:dyDescent="0.3">
      <c r="K3699" s="16">
        <f t="shared" si="57"/>
        <v>44170</v>
      </c>
      <c r="L3699" s="17">
        <v>4.1666666666666664E-2</v>
      </c>
      <c r="M3699" s="14">
        <v>359</v>
      </c>
      <c r="N3699" s="14">
        <v>907</v>
      </c>
      <c r="O3699" s="14">
        <v>0</v>
      </c>
      <c r="P3699" s="14">
        <v>1266</v>
      </c>
      <c r="Q3699">
        <v>10547</v>
      </c>
      <c r="R3699">
        <v>896</v>
      </c>
      <c r="S3699">
        <v>0</v>
      </c>
    </row>
    <row r="3700" spans="11:19" x14ac:dyDescent="0.3">
      <c r="K3700" s="16">
        <f t="shared" si="57"/>
        <v>44170</v>
      </c>
      <c r="L3700" s="17">
        <v>8.3333333333333329E-2</v>
      </c>
      <c r="M3700" s="14">
        <v>359</v>
      </c>
      <c r="N3700" s="14">
        <v>554</v>
      </c>
      <c r="O3700" s="14">
        <v>0</v>
      </c>
      <c r="P3700" s="14">
        <v>913</v>
      </c>
      <c r="Q3700">
        <v>10225</v>
      </c>
      <c r="R3700">
        <v>929</v>
      </c>
      <c r="S3700">
        <v>0</v>
      </c>
    </row>
    <row r="3701" spans="11:19" x14ac:dyDescent="0.3">
      <c r="K3701" s="16">
        <f t="shared" si="57"/>
        <v>44170</v>
      </c>
      <c r="L3701" s="17">
        <v>0.125</v>
      </c>
      <c r="M3701" s="14">
        <v>359</v>
      </c>
      <c r="N3701" s="14">
        <v>0</v>
      </c>
      <c r="O3701" s="14">
        <v>0</v>
      </c>
      <c r="P3701" s="14">
        <v>359</v>
      </c>
      <c r="Q3701">
        <v>9772</v>
      </c>
      <c r="R3701">
        <v>1115</v>
      </c>
      <c r="S3701">
        <v>0</v>
      </c>
    </row>
    <row r="3702" spans="11:19" x14ac:dyDescent="0.3">
      <c r="K3702" s="16">
        <f t="shared" si="57"/>
        <v>44170</v>
      </c>
      <c r="L3702" s="17">
        <v>0.16666666666666666</v>
      </c>
      <c r="M3702" s="14">
        <v>359</v>
      </c>
      <c r="N3702" s="14">
        <v>0</v>
      </c>
      <c r="O3702" s="14">
        <v>0</v>
      </c>
      <c r="P3702" s="14">
        <v>359</v>
      </c>
      <c r="Q3702">
        <v>9613</v>
      </c>
      <c r="R3702">
        <v>1180</v>
      </c>
      <c r="S3702">
        <v>0</v>
      </c>
    </row>
    <row r="3703" spans="11:19" x14ac:dyDescent="0.3">
      <c r="K3703" s="16">
        <f t="shared" si="57"/>
        <v>44170</v>
      </c>
      <c r="L3703" s="17">
        <v>0.20833333333333334</v>
      </c>
      <c r="M3703" s="14">
        <v>359</v>
      </c>
      <c r="N3703" s="14">
        <v>213</v>
      </c>
      <c r="O3703" s="14">
        <v>0</v>
      </c>
      <c r="P3703" s="14">
        <v>572</v>
      </c>
      <c r="Q3703">
        <v>9815</v>
      </c>
      <c r="R3703">
        <v>870</v>
      </c>
      <c r="S3703">
        <v>0</v>
      </c>
    </row>
    <row r="3704" spans="11:19" x14ac:dyDescent="0.3">
      <c r="K3704" s="16">
        <f t="shared" si="57"/>
        <v>44170</v>
      </c>
      <c r="L3704" s="17">
        <v>0.25</v>
      </c>
      <c r="M3704" s="14">
        <v>359</v>
      </c>
      <c r="N3704" s="14">
        <v>0</v>
      </c>
      <c r="O3704" s="14">
        <v>0</v>
      </c>
      <c r="P3704" s="14">
        <v>359</v>
      </c>
      <c r="Q3704">
        <v>10248</v>
      </c>
      <c r="R3704">
        <v>877</v>
      </c>
      <c r="S3704">
        <v>0</v>
      </c>
    </row>
    <row r="3705" spans="11:19" x14ac:dyDescent="0.3">
      <c r="K3705" s="16">
        <f t="shared" si="57"/>
        <v>44170</v>
      </c>
      <c r="L3705" s="17">
        <v>0.29166666666666669</v>
      </c>
      <c r="M3705" s="14">
        <v>359</v>
      </c>
      <c r="N3705" s="14">
        <v>945</v>
      </c>
      <c r="O3705" s="14">
        <v>0</v>
      </c>
      <c r="P3705" s="14">
        <v>1304</v>
      </c>
      <c r="Q3705">
        <v>10676</v>
      </c>
      <c r="R3705">
        <v>990</v>
      </c>
      <c r="S3705">
        <v>0</v>
      </c>
    </row>
    <row r="3706" spans="11:19" x14ac:dyDescent="0.3">
      <c r="K3706" s="16">
        <f t="shared" si="57"/>
        <v>44170</v>
      </c>
      <c r="L3706" s="17">
        <v>0.33333333333333331</v>
      </c>
      <c r="M3706" s="14">
        <v>359</v>
      </c>
      <c r="N3706" s="14">
        <v>0</v>
      </c>
      <c r="O3706" s="14">
        <v>0</v>
      </c>
      <c r="P3706" s="14">
        <v>359</v>
      </c>
      <c r="Q3706">
        <v>11083</v>
      </c>
      <c r="R3706">
        <v>1108</v>
      </c>
      <c r="S3706">
        <v>69</v>
      </c>
    </row>
    <row r="3707" spans="11:19" x14ac:dyDescent="0.3">
      <c r="K3707" s="16">
        <f t="shared" si="57"/>
        <v>44170</v>
      </c>
      <c r="L3707" s="17">
        <v>0.375</v>
      </c>
      <c r="M3707" s="14">
        <v>359</v>
      </c>
      <c r="N3707" s="14">
        <v>1089</v>
      </c>
      <c r="O3707" s="14">
        <v>0</v>
      </c>
      <c r="P3707" s="14">
        <v>1448</v>
      </c>
      <c r="Q3707">
        <v>11355</v>
      </c>
      <c r="R3707">
        <v>1006</v>
      </c>
      <c r="S3707">
        <v>503</v>
      </c>
    </row>
    <row r="3708" spans="11:19" x14ac:dyDescent="0.3">
      <c r="K3708" s="16">
        <f t="shared" si="57"/>
        <v>44170</v>
      </c>
      <c r="L3708" s="17">
        <v>0.41666666666666669</v>
      </c>
      <c r="M3708" s="14">
        <v>359</v>
      </c>
      <c r="N3708" s="14">
        <v>584</v>
      </c>
      <c r="O3708" s="14">
        <v>0</v>
      </c>
      <c r="P3708" s="14">
        <v>943</v>
      </c>
      <c r="Q3708">
        <v>11300</v>
      </c>
      <c r="R3708">
        <v>895</v>
      </c>
      <c r="S3708">
        <v>1059</v>
      </c>
    </row>
    <row r="3709" spans="11:19" x14ac:dyDescent="0.3">
      <c r="K3709" s="16">
        <f t="shared" si="57"/>
        <v>44170</v>
      </c>
      <c r="L3709" s="17">
        <v>0.45833333333333331</v>
      </c>
      <c r="M3709" s="14">
        <v>359</v>
      </c>
      <c r="N3709" s="14">
        <v>0</v>
      </c>
      <c r="O3709" s="14">
        <v>0</v>
      </c>
      <c r="P3709" s="14">
        <v>359</v>
      </c>
      <c r="Q3709">
        <v>11263</v>
      </c>
      <c r="R3709">
        <v>878</v>
      </c>
      <c r="S3709">
        <v>1433</v>
      </c>
    </row>
    <row r="3710" spans="11:19" x14ac:dyDescent="0.3">
      <c r="K3710" s="16">
        <f t="shared" si="57"/>
        <v>44170</v>
      </c>
      <c r="L3710" s="17">
        <v>0.5</v>
      </c>
      <c r="M3710" s="14">
        <v>359</v>
      </c>
      <c r="N3710" s="14">
        <v>0</v>
      </c>
      <c r="O3710" s="14">
        <v>0</v>
      </c>
      <c r="P3710" s="14">
        <v>359</v>
      </c>
      <c r="Q3710">
        <v>11436</v>
      </c>
      <c r="R3710">
        <v>1052</v>
      </c>
      <c r="S3710">
        <v>1565</v>
      </c>
    </row>
    <row r="3711" spans="11:19" x14ac:dyDescent="0.3">
      <c r="K3711" s="16">
        <f t="shared" si="57"/>
        <v>44170</v>
      </c>
      <c r="L3711" s="17">
        <v>0.54166666666666663</v>
      </c>
      <c r="M3711" s="14">
        <v>359</v>
      </c>
      <c r="N3711" s="14">
        <v>0</v>
      </c>
      <c r="O3711" s="14">
        <v>0</v>
      </c>
      <c r="P3711" s="14">
        <v>359</v>
      </c>
      <c r="Q3711">
        <v>10937</v>
      </c>
      <c r="R3711">
        <v>920</v>
      </c>
      <c r="S3711">
        <v>1433</v>
      </c>
    </row>
    <row r="3712" spans="11:19" x14ac:dyDescent="0.3">
      <c r="K3712" s="16">
        <f t="shared" si="57"/>
        <v>44170</v>
      </c>
      <c r="L3712" s="17">
        <v>0.58333333333333337</v>
      </c>
      <c r="M3712" s="14">
        <v>359</v>
      </c>
      <c r="N3712" s="14">
        <v>0</v>
      </c>
      <c r="O3712" s="14">
        <v>0</v>
      </c>
      <c r="P3712" s="14">
        <v>359</v>
      </c>
      <c r="Q3712">
        <v>10568</v>
      </c>
      <c r="R3712">
        <v>944</v>
      </c>
      <c r="S3712">
        <v>1052</v>
      </c>
    </row>
    <row r="3713" spans="11:19" x14ac:dyDescent="0.3">
      <c r="K3713" s="16">
        <f t="shared" si="57"/>
        <v>44170</v>
      </c>
      <c r="L3713" s="17">
        <v>0.625</v>
      </c>
      <c r="M3713" s="14">
        <v>359</v>
      </c>
      <c r="N3713" s="14">
        <v>7</v>
      </c>
      <c r="O3713" s="14">
        <v>0</v>
      </c>
      <c r="P3713" s="14">
        <v>366</v>
      </c>
      <c r="Q3713">
        <v>10381</v>
      </c>
      <c r="R3713">
        <v>1074</v>
      </c>
      <c r="S3713">
        <v>534</v>
      </c>
    </row>
    <row r="3714" spans="11:19" x14ac:dyDescent="0.3">
      <c r="K3714" s="16">
        <f t="shared" si="57"/>
        <v>44170</v>
      </c>
      <c r="L3714" s="17">
        <v>0.66666666666666663</v>
      </c>
      <c r="M3714" s="14">
        <v>359</v>
      </c>
      <c r="N3714" s="14">
        <v>693</v>
      </c>
      <c r="O3714" s="14">
        <v>0</v>
      </c>
      <c r="P3714" s="14">
        <v>1052</v>
      </c>
      <c r="Q3714">
        <v>10452</v>
      </c>
      <c r="R3714">
        <v>896</v>
      </c>
      <c r="S3714">
        <v>98</v>
      </c>
    </row>
    <row r="3715" spans="11:19" x14ac:dyDescent="0.3">
      <c r="K3715" s="16">
        <f t="shared" si="57"/>
        <v>44170</v>
      </c>
      <c r="L3715" s="17">
        <v>0.70833333333333337</v>
      </c>
      <c r="M3715" s="14">
        <v>359</v>
      </c>
      <c r="N3715" s="14">
        <v>0</v>
      </c>
      <c r="O3715" s="14">
        <v>0</v>
      </c>
      <c r="P3715" s="14">
        <v>359</v>
      </c>
      <c r="Q3715">
        <v>11210</v>
      </c>
      <c r="R3715">
        <v>886</v>
      </c>
      <c r="S3715">
        <v>3</v>
      </c>
    </row>
    <row r="3716" spans="11:19" x14ac:dyDescent="0.3">
      <c r="K3716" s="16">
        <f t="shared" si="57"/>
        <v>44170</v>
      </c>
      <c r="L3716" s="17">
        <v>0.75</v>
      </c>
      <c r="M3716" s="14">
        <v>359</v>
      </c>
      <c r="N3716" s="14">
        <v>0</v>
      </c>
      <c r="O3716" s="14">
        <v>0</v>
      </c>
      <c r="P3716" s="14">
        <v>359</v>
      </c>
      <c r="Q3716">
        <v>11643</v>
      </c>
      <c r="R3716">
        <v>749</v>
      </c>
      <c r="S3716">
        <v>0</v>
      </c>
    </row>
    <row r="3717" spans="11:19" x14ac:dyDescent="0.3">
      <c r="K3717" s="16">
        <f t="shared" si="57"/>
        <v>44170</v>
      </c>
      <c r="L3717" s="17">
        <v>0.79166666666666663</v>
      </c>
      <c r="M3717" s="14">
        <v>359</v>
      </c>
      <c r="N3717" s="14">
        <v>1406</v>
      </c>
      <c r="O3717" s="14">
        <v>0</v>
      </c>
      <c r="P3717" s="14">
        <v>1765</v>
      </c>
      <c r="Q3717">
        <v>11562</v>
      </c>
      <c r="R3717">
        <v>778</v>
      </c>
      <c r="S3717">
        <v>0</v>
      </c>
    </row>
    <row r="3718" spans="11:19" x14ac:dyDescent="0.3">
      <c r="K3718" s="16">
        <f t="shared" si="57"/>
        <v>44170</v>
      </c>
      <c r="L3718" s="17">
        <v>0.83333333333333337</v>
      </c>
      <c r="M3718" s="14">
        <v>359</v>
      </c>
      <c r="N3718" s="14">
        <v>1395</v>
      </c>
      <c r="O3718" s="14">
        <v>0</v>
      </c>
      <c r="P3718" s="14">
        <v>1754</v>
      </c>
      <c r="Q3718">
        <v>10889</v>
      </c>
      <c r="R3718">
        <v>759</v>
      </c>
      <c r="S3718">
        <v>0</v>
      </c>
    </row>
    <row r="3719" spans="11:19" x14ac:dyDescent="0.3">
      <c r="K3719" s="16">
        <f t="shared" si="57"/>
        <v>44170</v>
      </c>
      <c r="L3719" s="17">
        <v>0.875</v>
      </c>
      <c r="M3719" s="14">
        <v>359</v>
      </c>
      <c r="N3719" s="14">
        <v>977</v>
      </c>
      <c r="O3719" s="14">
        <v>0</v>
      </c>
      <c r="P3719" s="14">
        <v>1336</v>
      </c>
      <c r="Q3719">
        <v>10372</v>
      </c>
      <c r="R3719">
        <v>666</v>
      </c>
      <c r="S3719">
        <v>0</v>
      </c>
    </row>
    <row r="3720" spans="11:19" x14ac:dyDescent="0.3">
      <c r="K3720" s="16">
        <f t="shared" si="57"/>
        <v>44170</v>
      </c>
      <c r="L3720" s="17">
        <v>0.91666666666666663</v>
      </c>
      <c r="M3720" s="14">
        <v>359</v>
      </c>
      <c r="N3720" s="14">
        <v>1276</v>
      </c>
      <c r="O3720" s="14">
        <v>0</v>
      </c>
      <c r="P3720" s="14">
        <v>1635</v>
      </c>
      <c r="Q3720">
        <v>10728</v>
      </c>
      <c r="R3720">
        <v>724</v>
      </c>
      <c r="S3720">
        <v>0</v>
      </c>
    </row>
    <row r="3721" spans="11:19" x14ac:dyDescent="0.3">
      <c r="K3721" s="16">
        <f t="shared" si="57"/>
        <v>44170</v>
      </c>
      <c r="L3721" s="17">
        <v>0.95833333333333337</v>
      </c>
      <c r="M3721" s="14">
        <v>359</v>
      </c>
      <c r="N3721" s="14">
        <v>0</v>
      </c>
      <c r="O3721" s="14">
        <v>0</v>
      </c>
      <c r="P3721" s="14">
        <v>359</v>
      </c>
      <c r="Q3721">
        <v>11064</v>
      </c>
      <c r="R3721">
        <v>677</v>
      </c>
      <c r="S3721">
        <v>0</v>
      </c>
    </row>
    <row r="3722" spans="11:19" x14ac:dyDescent="0.3">
      <c r="K3722" s="16">
        <f t="shared" si="57"/>
        <v>44171</v>
      </c>
      <c r="L3722" s="17">
        <v>0</v>
      </c>
      <c r="M3722" s="14">
        <v>359</v>
      </c>
      <c r="N3722" s="14">
        <v>860</v>
      </c>
      <c r="O3722" s="14">
        <v>0</v>
      </c>
      <c r="P3722" s="14">
        <v>1219</v>
      </c>
      <c r="Q3722">
        <v>10626</v>
      </c>
      <c r="R3722">
        <v>1026</v>
      </c>
      <c r="S3722">
        <v>0</v>
      </c>
    </row>
    <row r="3723" spans="11:19" x14ac:dyDescent="0.3">
      <c r="K3723" s="16">
        <f t="shared" si="57"/>
        <v>44171</v>
      </c>
      <c r="L3723" s="17">
        <v>4.1666666666666664E-2</v>
      </c>
      <c r="M3723" s="14">
        <v>359</v>
      </c>
      <c r="N3723" s="14">
        <v>368</v>
      </c>
      <c r="O3723" s="14">
        <v>0</v>
      </c>
      <c r="P3723" s="14">
        <v>727</v>
      </c>
      <c r="Q3723">
        <v>10272</v>
      </c>
      <c r="R3723">
        <v>1161</v>
      </c>
      <c r="S3723">
        <v>0</v>
      </c>
    </row>
    <row r="3724" spans="11:19" x14ac:dyDescent="0.3">
      <c r="K3724" s="16">
        <f t="shared" si="57"/>
        <v>44171</v>
      </c>
      <c r="L3724" s="17">
        <v>8.3333333333333329E-2</v>
      </c>
      <c r="M3724" s="14">
        <v>359</v>
      </c>
      <c r="N3724" s="14">
        <v>69</v>
      </c>
      <c r="O3724" s="14">
        <v>0</v>
      </c>
      <c r="P3724" s="14">
        <v>428</v>
      </c>
      <c r="Q3724">
        <v>9912</v>
      </c>
      <c r="R3724">
        <v>1101</v>
      </c>
      <c r="S3724">
        <v>0</v>
      </c>
    </row>
    <row r="3725" spans="11:19" x14ac:dyDescent="0.3">
      <c r="K3725" s="16">
        <f t="shared" si="57"/>
        <v>44171</v>
      </c>
      <c r="L3725" s="17">
        <v>0.125</v>
      </c>
      <c r="M3725" s="14">
        <v>359</v>
      </c>
      <c r="N3725" s="14">
        <v>0</v>
      </c>
      <c r="O3725" s="14">
        <v>0</v>
      </c>
      <c r="P3725" s="14">
        <v>359</v>
      </c>
      <c r="Q3725">
        <v>9388</v>
      </c>
      <c r="R3725">
        <v>1045</v>
      </c>
      <c r="S3725">
        <v>0</v>
      </c>
    </row>
    <row r="3726" spans="11:19" x14ac:dyDescent="0.3">
      <c r="K3726" s="16">
        <f t="shared" si="57"/>
        <v>44171</v>
      </c>
      <c r="L3726" s="17">
        <v>0.16666666666666666</v>
      </c>
      <c r="M3726" s="14">
        <v>359</v>
      </c>
      <c r="N3726" s="14">
        <v>0</v>
      </c>
      <c r="O3726" s="14">
        <v>0</v>
      </c>
      <c r="P3726" s="14">
        <v>359</v>
      </c>
      <c r="Q3726">
        <v>9135</v>
      </c>
      <c r="R3726">
        <v>916</v>
      </c>
      <c r="S3726">
        <v>0</v>
      </c>
    </row>
    <row r="3727" spans="11:19" x14ac:dyDescent="0.3">
      <c r="K3727" s="16">
        <f t="shared" si="57"/>
        <v>44171</v>
      </c>
      <c r="L3727" s="17">
        <v>0.20833333333333334</v>
      </c>
      <c r="M3727" s="14">
        <v>359</v>
      </c>
      <c r="N3727" s="14">
        <v>0</v>
      </c>
      <c r="O3727" s="14">
        <v>0</v>
      </c>
      <c r="P3727" s="14">
        <v>359</v>
      </c>
      <c r="Q3727">
        <v>9174</v>
      </c>
      <c r="R3727">
        <v>851</v>
      </c>
      <c r="S3727">
        <v>0</v>
      </c>
    </row>
    <row r="3728" spans="11:19" x14ac:dyDescent="0.3">
      <c r="K3728" s="16">
        <f t="shared" si="57"/>
        <v>44171</v>
      </c>
      <c r="L3728" s="17">
        <v>0.25</v>
      </c>
      <c r="M3728" s="14">
        <v>359</v>
      </c>
      <c r="N3728" s="14">
        <v>0</v>
      </c>
      <c r="O3728" s="14">
        <v>0</v>
      </c>
      <c r="P3728" s="14">
        <v>359</v>
      </c>
      <c r="Q3728">
        <v>9382</v>
      </c>
      <c r="R3728">
        <v>769</v>
      </c>
      <c r="S3728">
        <v>0</v>
      </c>
    </row>
    <row r="3729" spans="11:19" x14ac:dyDescent="0.3">
      <c r="K3729" s="16">
        <f t="shared" si="57"/>
        <v>44171</v>
      </c>
      <c r="L3729" s="17">
        <v>0.29166666666666669</v>
      </c>
      <c r="M3729" s="14">
        <v>359</v>
      </c>
      <c r="N3729" s="14">
        <v>0</v>
      </c>
      <c r="O3729" s="14">
        <v>0</v>
      </c>
      <c r="P3729" s="14">
        <v>359</v>
      </c>
      <c r="Q3729">
        <v>9612</v>
      </c>
      <c r="R3729">
        <v>757</v>
      </c>
      <c r="S3729">
        <v>0</v>
      </c>
    </row>
    <row r="3730" spans="11:19" x14ac:dyDescent="0.3">
      <c r="K3730" s="16">
        <f t="shared" si="57"/>
        <v>44171</v>
      </c>
      <c r="L3730" s="17">
        <v>0.33333333333333331</v>
      </c>
      <c r="M3730" s="14">
        <v>359</v>
      </c>
      <c r="N3730" s="14">
        <v>564</v>
      </c>
      <c r="O3730" s="14">
        <v>0</v>
      </c>
      <c r="P3730" s="14">
        <v>923</v>
      </c>
      <c r="Q3730">
        <v>9989</v>
      </c>
      <c r="R3730">
        <v>622</v>
      </c>
      <c r="S3730">
        <v>55</v>
      </c>
    </row>
    <row r="3731" spans="11:19" x14ac:dyDescent="0.3">
      <c r="K3731" s="16">
        <f t="shared" si="57"/>
        <v>44171</v>
      </c>
      <c r="L3731" s="17">
        <v>0.375</v>
      </c>
      <c r="M3731" s="14">
        <v>359</v>
      </c>
      <c r="N3731" s="14">
        <v>874</v>
      </c>
      <c r="O3731" s="14">
        <v>0</v>
      </c>
      <c r="P3731" s="14">
        <v>1233</v>
      </c>
      <c r="Q3731">
        <v>10443</v>
      </c>
      <c r="R3731">
        <v>551</v>
      </c>
      <c r="S3731">
        <v>262</v>
      </c>
    </row>
    <row r="3732" spans="11:19" x14ac:dyDescent="0.3">
      <c r="K3732" s="16">
        <f t="shared" si="57"/>
        <v>44171</v>
      </c>
      <c r="L3732" s="17">
        <v>0.41666666666666669</v>
      </c>
      <c r="M3732" s="14">
        <v>359</v>
      </c>
      <c r="N3732" s="14">
        <v>0</v>
      </c>
      <c r="O3732" s="14">
        <v>0</v>
      </c>
      <c r="P3732" s="14">
        <v>359</v>
      </c>
      <c r="Q3732">
        <v>10765</v>
      </c>
      <c r="R3732">
        <v>458</v>
      </c>
      <c r="S3732">
        <v>558</v>
      </c>
    </row>
    <row r="3733" spans="11:19" x14ac:dyDescent="0.3">
      <c r="K3733" s="16">
        <f t="shared" si="57"/>
        <v>44171</v>
      </c>
      <c r="L3733" s="17">
        <v>0.45833333333333331</v>
      </c>
      <c r="M3733" s="14">
        <v>359</v>
      </c>
      <c r="N3733" s="14">
        <v>0</v>
      </c>
      <c r="O3733" s="14">
        <v>0</v>
      </c>
      <c r="P3733" s="14">
        <v>359</v>
      </c>
      <c r="Q3733">
        <v>10968</v>
      </c>
      <c r="R3733">
        <v>443</v>
      </c>
      <c r="S3733">
        <v>745</v>
      </c>
    </row>
    <row r="3734" spans="11:19" x14ac:dyDescent="0.3">
      <c r="K3734" s="16">
        <f t="shared" si="57"/>
        <v>44171</v>
      </c>
      <c r="L3734" s="17">
        <v>0.5</v>
      </c>
      <c r="M3734" s="14">
        <v>359</v>
      </c>
      <c r="N3734" s="14">
        <v>1266</v>
      </c>
      <c r="O3734" s="14">
        <v>0</v>
      </c>
      <c r="P3734" s="14">
        <v>1625</v>
      </c>
      <c r="Q3734">
        <v>11282</v>
      </c>
      <c r="R3734">
        <v>411</v>
      </c>
      <c r="S3734">
        <v>840</v>
      </c>
    </row>
    <row r="3735" spans="11:19" x14ac:dyDescent="0.3">
      <c r="K3735" s="16">
        <f t="shared" si="57"/>
        <v>44171</v>
      </c>
      <c r="L3735" s="17">
        <v>0.54166666666666663</v>
      </c>
      <c r="M3735" s="14">
        <v>359</v>
      </c>
      <c r="N3735" s="14">
        <v>0</v>
      </c>
      <c r="O3735" s="14">
        <v>0</v>
      </c>
      <c r="P3735" s="14">
        <v>359</v>
      </c>
      <c r="Q3735">
        <v>10752</v>
      </c>
      <c r="R3735">
        <v>335</v>
      </c>
      <c r="S3735">
        <v>863</v>
      </c>
    </row>
    <row r="3736" spans="11:19" x14ac:dyDescent="0.3">
      <c r="K3736" s="16">
        <f t="shared" si="57"/>
        <v>44171</v>
      </c>
      <c r="L3736" s="17">
        <v>0.58333333333333337</v>
      </c>
      <c r="M3736" s="14">
        <v>359</v>
      </c>
      <c r="N3736" s="14">
        <v>455</v>
      </c>
      <c r="O3736" s="14">
        <v>0</v>
      </c>
      <c r="P3736" s="14">
        <v>814</v>
      </c>
      <c r="Q3736">
        <v>10328</v>
      </c>
      <c r="R3736">
        <v>452</v>
      </c>
      <c r="S3736">
        <v>655</v>
      </c>
    </row>
    <row r="3737" spans="11:19" x14ac:dyDescent="0.3">
      <c r="K3737" s="16">
        <f t="shared" si="57"/>
        <v>44171</v>
      </c>
      <c r="L3737" s="17">
        <v>0.625</v>
      </c>
      <c r="M3737" s="14">
        <v>359</v>
      </c>
      <c r="N3737" s="14">
        <v>0</v>
      </c>
      <c r="O3737" s="14">
        <v>0</v>
      </c>
      <c r="P3737" s="14">
        <v>359</v>
      </c>
      <c r="Q3737">
        <v>10158</v>
      </c>
      <c r="R3737">
        <v>434</v>
      </c>
      <c r="S3737">
        <v>358</v>
      </c>
    </row>
    <row r="3738" spans="11:19" x14ac:dyDescent="0.3">
      <c r="K3738" s="16">
        <f t="shared" si="57"/>
        <v>44171</v>
      </c>
      <c r="L3738" s="17">
        <v>0.66666666666666663</v>
      </c>
      <c r="M3738" s="14">
        <v>359</v>
      </c>
      <c r="N3738" s="14">
        <v>856</v>
      </c>
      <c r="O3738" s="14">
        <v>0</v>
      </c>
      <c r="P3738" s="14">
        <v>1215</v>
      </c>
      <c r="Q3738">
        <v>10244</v>
      </c>
      <c r="R3738">
        <v>535</v>
      </c>
      <c r="S3738">
        <v>88</v>
      </c>
    </row>
    <row r="3739" spans="11:19" x14ac:dyDescent="0.3">
      <c r="K3739" s="16">
        <f t="shared" ref="K3739:K3802" si="58">K3715+1</f>
        <v>44171</v>
      </c>
      <c r="L3739" s="17">
        <v>0.70833333333333337</v>
      </c>
      <c r="M3739" s="14">
        <v>359</v>
      </c>
      <c r="N3739" s="14">
        <v>1427</v>
      </c>
      <c r="O3739" s="14">
        <v>0</v>
      </c>
      <c r="P3739" s="14">
        <v>1786</v>
      </c>
      <c r="Q3739">
        <v>11018</v>
      </c>
      <c r="R3739">
        <v>599</v>
      </c>
      <c r="S3739">
        <v>4</v>
      </c>
    </row>
    <row r="3740" spans="11:19" x14ac:dyDescent="0.3">
      <c r="K3740" s="16">
        <f t="shared" si="58"/>
        <v>44171</v>
      </c>
      <c r="L3740" s="17">
        <v>0.75</v>
      </c>
      <c r="M3740" s="14">
        <v>359</v>
      </c>
      <c r="N3740" s="14">
        <v>1427</v>
      </c>
      <c r="O3740" s="14">
        <v>0</v>
      </c>
      <c r="P3740" s="14">
        <v>1786</v>
      </c>
      <c r="Q3740">
        <v>11575</v>
      </c>
      <c r="R3740">
        <v>670</v>
      </c>
      <c r="S3740">
        <v>0</v>
      </c>
    </row>
    <row r="3741" spans="11:19" x14ac:dyDescent="0.3">
      <c r="K3741" s="16">
        <f t="shared" si="58"/>
        <v>44171</v>
      </c>
      <c r="L3741" s="17">
        <v>0.79166666666666663</v>
      </c>
      <c r="M3741" s="14">
        <v>359</v>
      </c>
      <c r="N3741" s="14">
        <v>1427</v>
      </c>
      <c r="O3741" s="14">
        <v>0</v>
      </c>
      <c r="P3741" s="14">
        <v>1786</v>
      </c>
      <c r="Q3741">
        <v>11588</v>
      </c>
      <c r="R3741">
        <v>656</v>
      </c>
      <c r="S3741">
        <v>0</v>
      </c>
    </row>
    <row r="3742" spans="11:19" x14ac:dyDescent="0.3">
      <c r="K3742" s="16">
        <f t="shared" si="58"/>
        <v>44171</v>
      </c>
      <c r="L3742" s="17">
        <v>0.83333333333333337</v>
      </c>
      <c r="M3742" s="14">
        <v>359</v>
      </c>
      <c r="N3742" s="14">
        <v>0</v>
      </c>
      <c r="O3742" s="14">
        <v>0</v>
      </c>
      <c r="P3742" s="14">
        <v>359</v>
      </c>
      <c r="Q3742">
        <v>11103</v>
      </c>
      <c r="R3742">
        <v>621</v>
      </c>
      <c r="S3742">
        <v>0</v>
      </c>
    </row>
    <row r="3743" spans="11:19" x14ac:dyDescent="0.3">
      <c r="K3743" s="16">
        <f t="shared" si="58"/>
        <v>44171</v>
      </c>
      <c r="L3743" s="17">
        <v>0.875</v>
      </c>
      <c r="M3743" s="14">
        <v>359</v>
      </c>
      <c r="N3743" s="14">
        <v>1183</v>
      </c>
      <c r="O3743" s="14">
        <v>0</v>
      </c>
      <c r="P3743" s="14">
        <v>1542</v>
      </c>
      <c r="Q3743">
        <v>10542</v>
      </c>
      <c r="R3743">
        <v>630</v>
      </c>
      <c r="S3743">
        <v>0</v>
      </c>
    </row>
    <row r="3744" spans="11:19" x14ac:dyDescent="0.3">
      <c r="K3744" s="16">
        <f t="shared" si="58"/>
        <v>44171</v>
      </c>
      <c r="L3744" s="17">
        <v>0.91666666666666663</v>
      </c>
      <c r="M3744" s="14">
        <v>359</v>
      </c>
      <c r="N3744" s="14">
        <v>1427</v>
      </c>
      <c r="O3744" s="14">
        <v>0</v>
      </c>
      <c r="P3744" s="14">
        <v>1786</v>
      </c>
      <c r="Q3744">
        <v>10768</v>
      </c>
      <c r="R3744">
        <v>528</v>
      </c>
      <c r="S3744">
        <v>0</v>
      </c>
    </row>
    <row r="3745" spans="11:19" x14ac:dyDescent="0.3">
      <c r="K3745" s="16">
        <f t="shared" si="58"/>
        <v>44171</v>
      </c>
      <c r="L3745" s="17">
        <v>0.95833333333333337</v>
      </c>
      <c r="M3745" s="14">
        <v>359</v>
      </c>
      <c r="N3745" s="14">
        <v>1427</v>
      </c>
      <c r="O3745" s="14">
        <v>0</v>
      </c>
      <c r="P3745" s="14">
        <v>1786</v>
      </c>
      <c r="Q3745">
        <v>10989</v>
      </c>
      <c r="R3745">
        <v>527</v>
      </c>
      <c r="S3745">
        <v>0</v>
      </c>
    </row>
    <row r="3746" spans="11:19" x14ac:dyDescent="0.3">
      <c r="K3746" s="16">
        <f t="shared" si="58"/>
        <v>44172</v>
      </c>
      <c r="L3746" s="17">
        <v>0</v>
      </c>
      <c r="M3746" s="14">
        <v>359</v>
      </c>
      <c r="N3746" s="14">
        <v>1485</v>
      </c>
      <c r="O3746" s="14">
        <v>0</v>
      </c>
      <c r="P3746" s="14">
        <v>1844</v>
      </c>
      <c r="Q3746">
        <v>10627</v>
      </c>
      <c r="R3746">
        <v>396</v>
      </c>
      <c r="S3746">
        <v>0</v>
      </c>
    </row>
    <row r="3747" spans="11:19" x14ac:dyDescent="0.3">
      <c r="K3747" s="16">
        <f t="shared" si="58"/>
        <v>44172</v>
      </c>
      <c r="L3747" s="17">
        <v>4.1666666666666664E-2</v>
      </c>
      <c r="M3747" s="14">
        <v>359</v>
      </c>
      <c r="N3747" s="14">
        <v>1168</v>
      </c>
      <c r="O3747" s="14">
        <v>0</v>
      </c>
      <c r="P3747" s="14">
        <v>1527</v>
      </c>
      <c r="Q3747">
        <v>10358</v>
      </c>
      <c r="R3747">
        <v>446</v>
      </c>
      <c r="S3747">
        <v>0</v>
      </c>
    </row>
    <row r="3748" spans="11:19" x14ac:dyDescent="0.3">
      <c r="K3748" s="16">
        <f t="shared" si="58"/>
        <v>44172</v>
      </c>
      <c r="L3748" s="17">
        <v>8.3333333333333329E-2</v>
      </c>
      <c r="M3748" s="14">
        <v>359</v>
      </c>
      <c r="N3748" s="14">
        <v>874</v>
      </c>
      <c r="O3748" s="14">
        <v>0</v>
      </c>
      <c r="P3748" s="14">
        <v>1233</v>
      </c>
      <c r="Q3748">
        <v>10110</v>
      </c>
      <c r="R3748">
        <v>492</v>
      </c>
      <c r="S3748">
        <v>0</v>
      </c>
    </row>
    <row r="3749" spans="11:19" x14ac:dyDescent="0.3">
      <c r="K3749" s="16">
        <f t="shared" si="58"/>
        <v>44172</v>
      </c>
      <c r="L3749" s="17">
        <v>0.125</v>
      </c>
      <c r="M3749" s="14">
        <v>359</v>
      </c>
      <c r="N3749" s="14">
        <v>503</v>
      </c>
      <c r="O3749" s="14">
        <v>0</v>
      </c>
      <c r="P3749" s="14">
        <v>862</v>
      </c>
      <c r="Q3749">
        <v>9727</v>
      </c>
      <c r="R3749">
        <v>481</v>
      </c>
      <c r="S3749">
        <v>0</v>
      </c>
    </row>
    <row r="3750" spans="11:19" x14ac:dyDescent="0.3">
      <c r="K3750" s="16">
        <f t="shared" si="58"/>
        <v>44172</v>
      </c>
      <c r="L3750" s="17">
        <v>0.16666666666666666</v>
      </c>
      <c r="M3750" s="14">
        <v>359</v>
      </c>
      <c r="N3750" s="14">
        <v>492</v>
      </c>
      <c r="O3750" s="14">
        <v>0</v>
      </c>
      <c r="P3750" s="14">
        <v>851</v>
      </c>
      <c r="Q3750">
        <v>9735</v>
      </c>
      <c r="R3750">
        <v>503</v>
      </c>
      <c r="S3750">
        <v>0</v>
      </c>
    </row>
    <row r="3751" spans="11:19" x14ac:dyDescent="0.3">
      <c r="K3751" s="16">
        <f t="shared" si="58"/>
        <v>44172</v>
      </c>
      <c r="L3751" s="17">
        <v>0.20833333333333334</v>
      </c>
      <c r="M3751" s="14">
        <v>359</v>
      </c>
      <c r="N3751" s="14">
        <v>0</v>
      </c>
      <c r="O3751" s="14">
        <v>0</v>
      </c>
      <c r="P3751" s="14">
        <v>359</v>
      </c>
      <c r="Q3751">
        <v>10382</v>
      </c>
      <c r="R3751">
        <v>610</v>
      </c>
      <c r="S3751">
        <v>0</v>
      </c>
    </row>
    <row r="3752" spans="11:19" x14ac:dyDescent="0.3">
      <c r="K3752" s="16">
        <f t="shared" si="58"/>
        <v>44172</v>
      </c>
      <c r="L3752" s="17">
        <v>0.25</v>
      </c>
      <c r="M3752" s="14">
        <v>359</v>
      </c>
      <c r="N3752" s="14">
        <v>1566</v>
      </c>
      <c r="O3752" s="14">
        <v>0</v>
      </c>
      <c r="P3752" s="14">
        <v>1925</v>
      </c>
      <c r="Q3752">
        <v>11670</v>
      </c>
      <c r="R3752">
        <v>689</v>
      </c>
      <c r="S3752">
        <v>0</v>
      </c>
    </row>
    <row r="3753" spans="11:19" x14ac:dyDescent="0.3">
      <c r="K3753" s="16">
        <f t="shared" si="58"/>
        <v>44172</v>
      </c>
      <c r="L3753" s="17">
        <v>0.29166666666666669</v>
      </c>
      <c r="M3753" s="14">
        <v>359</v>
      </c>
      <c r="N3753" s="14">
        <v>1566</v>
      </c>
      <c r="O3753" s="14">
        <v>0</v>
      </c>
      <c r="P3753" s="14">
        <v>1925</v>
      </c>
      <c r="Q3753">
        <v>12719</v>
      </c>
      <c r="R3753">
        <v>818</v>
      </c>
      <c r="S3753">
        <v>0</v>
      </c>
    </row>
    <row r="3754" spans="11:19" x14ac:dyDescent="0.3">
      <c r="K3754" s="16">
        <f t="shared" si="58"/>
        <v>44172</v>
      </c>
      <c r="L3754" s="17">
        <v>0.33333333333333331</v>
      </c>
      <c r="M3754" s="14">
        <v>359</v>
      </c>
      <c r="N3754" s="14">
        <v>1566</v>
      </c>
      <c r="O3754" s="14">
        <v>0</v>
      </c>
      <c r="P3754" s="14">
        <v>1925</v>
      </c>
      <c r="Q3754">
        <v>12967</v>
      </c>
      <c r="R3754">
        <v>856</v>
      </c>
      <c r="S3754">
        <v>46</v>
      </c>
    </row>
    <row r="3755" spans="11:19" x14ac:dyDescent="0.3">
      <c r="K3755" s="16">
        <f t="shared" si="58"/>
        <v>44172</v>
      </c>
      <c r="L3755" s="17">
        <v>0.375</v>
      </c>
      <c r="M3755" s="14">
        <v>359</v>
      </c>
      <c r="N3755" s="14">
        <v>1566</v>
      </c>
      <c r="O3755" s="14">
        <v>0</v>
      </c>
      <c r="P3755" s="14">
        <v>1925</v>
      </c>
      <c r="Q3755">
        <v>12990</v>
      </c>
      <c r="R3755">
        <v>993</v>
      </c>
      <c r="S3755">
        <v>302</v>
      </c>
    </row>
    <row r="3756" spans="11:19" x14ac:dyDescent="0.3">
      <c r="K3756" s="16">
        <f t="shared" si="58"/>
        <v>44172</v>
      </c>
      <c r="L3756" s="17">
        <v>0.41666666666666669</v>
      </c>
      <c r="M3756" s="14">
        <v>359</v>
      </c>
      <c r="N3756" s="14">
        <v>0</v>
      </c>
      <c r="O3756" s="14">
        <v>0</v>
      </c>
      <c r="P3756" s="14">
        <v>359</v>
      </c>
      <c r="Q3756">
        <v>12937</v>
      </c>
      <c r="R3756">
        <v>1210</v>
      </c>
      <c r="S3756">
        <v>653</v>
      </c>
    </row>
    <row r="3757" spans="11:19" x14ac:dyDescent="0.3">
      <c r="K3757" s="16">
        <f t="shared" si="58"/>
        <v>44172</v>
      </c>
      <c r="L3757" s="17">
        <v>0.45833333333333331</v>
      </c>
      <c r="M3757" s="14">
        <v>359</v>
      </c>
      <c r="N3757" s="14">
        <v>1566</v>
      </c>
      <c r="O3757" s="14">
        <v>0</v>
      </c>
      <c r="P3757" s="14">
        <v>1925</v>
      </c>
      <c r="Q3757">
        <v>13007</v>
      </c>
      <c r="R3757">
        <v>1449</v>
      </c>
      <c r="S3757">
        <v>813</v>
      </c>
    </row>
    <row r="3758" spans="11:19" x14ac:dyDescent="0.3">
      <c r="K3758" s="16">
        <f t="shared" si="58"/>
        <v>44172</v>
      </c>
      <c r="L3758" s="17">
        <v>0.5</v>
      </c>
      <c r="M3758" s="14">
        <v>359</v>
      </c>
      <c r="N3758" s="14">
        <v>1538</v>
      </c>
      <c r="O3758" s="14">
        <v>0</v>
      </c>
      <c r="P3758" s="14">
        <v>1897</v>
      </c>
      <c r="Q3758">
        <v>13002</v>
      </c>
      <c r="R3758">
        <v>1806</v>
      </c>
      <c r="S3758">
        <v>888</v>
      </c>
    </row>
    <row r="3759" spans="11:19" x14ac:dyDescent="0.3">
      <c r="K3759" s="16">
        <f t="shared" si="58"/>
        <v>44172</v>
      </c>
      <c r="L3759" s="17">
        <v>0.54166666666666663</v>
      </c>
      <c r="M3759" s="14">
        <v>359</v>
      </c>
      <c r="N3759" s="14">
        <v>1095</v>
      </c>
      <c r="O3759" s="14">
        <v>0</v>
      </c>
      <c r="P3759" s="14">
        <v>1454</v>
      </c>
      <c r="Q3759">
        <v>12751</v>
      </c>
      <c r="R3759">
        <v>2064</v>
      </c>
      <c r="S3759">
        <v>822</v>
      </c>
    </row>
    <row r="3760" spans="11:19" x14ac:dyDescent="0.3">
      <c r="K3760" s="16">
        <f t="shared" si="58"/>
        <v>44172</v>
      </c>
      <c r="L3760" s="17">
        <v>0.58333333333333337</v>
      </c>
      <c r="M3760" s="14">
        <v>359</v>
      </c>
      <c r="N3760" s="14">
        <v>686</v>
      </c>
      <c r="O3760" s="14">
        <v>0</v>
      </c>
      <c r="P3760" s="14">
        <v>1045</v>
      </c>
      <c r="Q3760">
        <v>12524</v>
      </c>
      <c r="R3760">
        <v>2428</v>
      </c>
      <c r="S3760">
        <v>640</v>
      </c>
    </row>
    <row r="3761" spans="11:19" x14ac:dyDescent="0.3">
      <c r="K3761" s="16">
        <f t="shared" si="58"/>
        <v>44172</v>
      </c>
      <c r="L3761" s="17">
        <v>0.625</v>
      </c>
      <c r="M3761" s="14">
        <v>359</v>
      </c>
      <c r="N3761" s="14">
        <v>871</v>
      </c>
      <c r="O3761" s="14">
        <v>0</v>
      </c>
      <c r="P3761" s="14">
        <v>1230</v>
      </c>
      <c r="Q3761">
        <v>12331</v>
      </c>
      <c r="R3761">
        <v>2344</v>
      </c>
      <c r="S3761">
        <v>345</v>
      </c>
    </row>
    <row r="3762" spans="11:19" x14ac:dyDescent="0.3">
      <c r="K3762" s="16">
        <f t="shared" si="58"/>
        <v>44172</v>
      </c>
      <c r="L3762" s="17">
        <v>0.66666666666666663</v>
      </c>
      <c r="M3762" s="14">
        <v>359</v>
      </c>
      <c r="N3762" s="14">
        <v>818</v>
      </c>
      <c r="O3762" s="14">
        <v>0</v>
      </c>
      <c r="P3762" s="14">
        <v>1177</v>
      </c>
      <c r="Q3762">
        <v>12329</v>
      </c>
      <c r="R3762">
        <v>2679</v>
      </c>
      <c r="S3762">
        <v>60</v>
      </c>
    </row>
    <row r="3763" spans="11:19" x14ac:dyDescent="0.3">
      <c r="K3763" s="16">
        <f t="shared" si="58"/>
        <v>44172</v>
      </c>
      <c r="L3763" s="17">
        <v>0.70833333333333337</v>
      </c>
      <c r="M3763" s="14">
        <v>359</v>
      </c>
      <c r="N3763" s="14">
        <v>1243</v>
      </c>
      <c r="O3763" s="14">
        <v>0</v>
      </c>
      <c r="P3763" s="14">
        <v>1602</v>
      </c>
      <c r="Q3763">
        <v>12904</v>
      </c>
      <c r="R3763">
        <v>2888</v>
      </c>
      <c r="S3763">
        <v>2</v>
      </c>
    </row>
    <row r="3764" spans="11:19" x14ac:dyDescent="0.3">
      <c r="K3764" s="16">
        <f t="shared" si="58"/>
        <v>44172</v>
      </c>
      <c r="L3764" s="17">
        <v>0.75</v>
      </c>
      <c r="M3764" s="14">
        <v>359</v>
      </c>
      <c r="N3764" s="14">
        <v>1405</v>
      </c>
      <c r="O3764" s="14">
        <v>0</v>
      </c>
      <c r="P3764" s="14">
        <v>1764</v>
      </c>
      <c r="Q3764">
        <v>13249</v>
      </c>
      <c r="R3764">
        <v>3073</v>
      </c>
      <c r="S3764">
        <v>0</v>
      </c>
    </row>
    <row r="3765" spans="11:19" x14ac:dyDescent="0.3">
      <c r="K3765" s="16">
        <f t="shared" si="58"/>
        <v>44172</v>
      </c>
      <c r="L3765" s="17">
        <v>0.79166666666666663</v>
      </c>
      <c r="M3765" s="14">
        <v>359</v>
      </c>
      <c r="N3765" s="14">
        <v>0</v>
      </c>
      <c r="O3765" s="14">
        <v>0</v>
      </c>
      <c r="P3765" s="14">
        <v>359</v>
      </c>
      <c r="Q3765">
        <v>12991</v>
      </c>
      <c r="R3765">
        <v>3376</v>
      </c>
      <c r="S3765">
        <v>0</v>
      </c>
    </row>
    <row r="3766" spans="11:19" x14ac:dyDescent="0.3">
      <c r="K3766" s="16">
        <f t="shared" si="58"/>
        <v>44172</v>
      </c>
      <c r="L3766" s="17">
        <v>0.83333333333333337</v>
      </c>
      <c r="M3766" s="14">
        <v>359</v>
      </c>
      <c r="N3766" s="14">
        <v>0</v>
      </c>
      <c r="O3766" s="14">
        <v>0</v>
      </c>
      <c r="P3766" s="14">
        <v>359</v>
      </c>
      <c r="Q3766">
        <v>12084</v>
      </c>
      <c r="R3766">
        <v>3578</v>
      </c>
      <c r="S3766">
        <v>0</v>
      </c>
    </row>
    <row r="3767" spans="11:19" x14ac:dyDescent="0.3">
      <c r="K3767" s="16">
        <f t="shared" si="58"/>
        <v>44172</v>
      </c>
      <c r="L3767" s="17">
        <v>0.875</v>
      </c>
      <c r="M3767" s="14">
        <v>359</v>
      </c>
      <c r="N3767" s="14">
        <v>0</v>
      </c>
      <c r="O3767" s="14">
        <v>0</v>
      </c>
      <c r="P3767" s="14">
        <v>359</v>
      </c>
      <c r="Q3767">
        <v>11352</v>
      </c>
      <c r="R3767">
        <v>3878</v>
      </c>
      <c r="S3767">
        <v>0</v>
      </c>
    </row>
    <row r="3768" spans="11:19" x14ac:dyDescent="0.3">
      <c r="K3768" s="16">
        <f t="shared" si="58"/>
        <v>44172</v>
      </c>
      <c r="L3768" s="17">
        <v>0.91666666666666663</v>
      </c>
      <c r="M3768" s="14">
        <v>359</v>
      </c>
      <c r="N3768" s="14">
        <v>0</v>
      </c>
      <c r="O3768" s="14">
        <v>0</v>
      </c>
      <c r="P3768" s="14">
        <v>359</v>
      </c>
      <c r="Q3768">
        <v>11467</v>
      </c>
      <c r="R3768">
        <v>3858</v>
      </c>
      <c r="S3768">
        <v>0</v>
      </c>
    </row>
    <row r="3769" spans="11:19" x14ac:dyDescent="0.3">
      <c r="K3769" s="16">
        <f t="shared" si="58"/>
        <v>44172</v>
      </c>
      <c r="L3769" s="17">
        <v>0.95833333333333337</v>
      </c>
      <c r="M3769" s="14">
        <v>359</v>
      </c>
      <c r="N3769" s="14">
        <v>0</v>
      </c>
      <c r="O3769" s="14">
        <v>0</v>
      </c>
      <c r="P3769" s="14">
        <v>359</v>
      </c>
      <c r="Q3769">
        <v>11541</v>
      </c>
      <c r="R3769">
        <v>3779</v>
      </c>
      <c r="S3769">
        <v>0</v>
      </c>
    </row>
    <row r="3770" spans="11:19" x14ac:dyDescent="0.3">
      <c r="K3770" s="16">
        <f t="shared" si="58"/>
        <v>44173</v>
      </c>
      <c r="L3770" s="17">
        <v>0</v>
      </c>
      <c r="M3770" s="14">
        <v>359</v>
      </c>
      <c r="N3770" s="14">
        <v>0</v>
      </c>
      <c r="O3770" s="14">
        <v>0</v>
      </c>
      <c r="P3770" s="14">
        <v>359</v>
      </c>
      <c r="Q3770">
        <v>11001</v>
      </c>
      <c r="R3770">
        <v>3657</v>
      </c>
      <c r="S3770">
        <v>0</v>
      </c>
    </row>
    <row r="3771" spans="11:19" x14ac:dyDescent="0.3">
      <c r="K3771" s="16">
        <f t="shared" si="58"/>
        <v>44173</v>
      </c>
      <c r="L3771" s="17">
        <v>4.1666666666666664E-2</v>
      </c>
      <c r="M3771" s="14">
        <v>359</v>
      </c>
      <c r="N3771" s="14">
        <v>0</v>
      </c>
      <c r="O3771" s="14">
        <v>0</v>
      </c>
      <c r="P3771" s="14">
        <v>359</v>
      </c>
      <c r="Q3771">
        <v>10646</v>
      </c>
      <c r="R3771">
        <v>3790</v>
      </c>
      <c r="S3771">
        <v>0</v>
      </c>
    </row>
    <row r="3772" spans="11:19" x14ac:dyDescent="0.3">
      <c r="K3772" s="16">
        <f t="shared" si="58"/>
        <v>44173</v>
      </c>
      <c r="L3772" s="17">
        <v>8.3333333333333329E-2</v>
      </c>
      <c r="M3772" s="14">
        <v>359</v>
      </c>
      <c r="N3772" s="14">
        <v>0</v>
      </c>
      <c r="O3772" s="14">
        <v>0</v>
      </c>
      <c r="P3772" s="14">
        <v>359</v>
      </c>
      <c r="Q3772">
        <v>10332</v>
      </c>
      <c r="R3772">
        <v>4003</v>
      </c>
      <c r="S3772">
        <v>0</v>
      </c>
    </row>
    <row r="3773" spans="11:19" x14ac:dyDescent="0.3">
      <c r="K3773" s="16">
        <f t="shared" si="58"/>
        <v>44173</v>
      </c>
      <c r="L3773" s="17">
        <v>0.125</v>
      </c>
      <c r="M3773" s="14">
        <v>359</v>
      </c>
      <c r="N3773" s="14">
        <v>0</v>
      </c>
      <c r="O3773" s="14">
        <v>-463</v>
      </c>
      <c r="P3773" s="14">
        <v>-104</v>
      </c>
      <c r="Q3773">
        <v>9884</v>
      </c>
      <c r="R3773">
        <v>4224</v>
      </c>
      <c r="S3773">
        <v>0</v>
      </c>
    </row>
    <row r="3774" spans="11:19" x14ac:dyDescent="0.3">
      <c r="K3774" s="16">
        <f t="shared" si="58"/>
        <v>44173</v>
      </c>
      <c r="L3774" s="17">
        <v>0.16666666666666666</v>
      </c>
      <c r="M3774" s="14">
        <v>359</v>
      </c>
      <c r="N3774" s="14">
        <v>0</v>
      </c>
      <c r="O3774" s="14">
        <v>-704</v>
      </c>
      <c r="P3774" s="14">
        <v>-345</v>
      </c>
      <c r="Q3774">
        <v>9798</v>
      </c>
      <c r="R3774">
        <v>4302</v>
      </c>
      <c r="S3774">
        <v>0</v>
      </c>
    </row>
    <row r="3775" spans="11:19" x14ac:dyDescent="0.3">
      <c r="K3775" s="16">
        <f t="shared" si="58"/>
        <v>44173</v>
      </c>
      <c r="L3775" s="17">
        <v>0.20833333333333334</v>
      </c>
      <c r="M3775" s="14">
        <v>359</v>
      </c>
      <c r="N3775" s="14">
        <v>0</v>
      </c>
      <c r="O3775" s="14">
        <v>-233</v>
      </c>
      <c r="P3775" s="14">
        <v>126</v>
      </c>
      <c r="Q3775">
        <v>10317</v>
      </c>
      <c r="R3775">
        <v>4349</v>
      </c>
      <c r="S3775">
        <v>0</v>
      </c>
    </row>
    <row r="3776" spans="11:19" x14ac:dyDescent="0.3">
      <c r="K3776" s="16">
        <f t="shared" si="58"/>
        <v>44173</v>
      </c>
      <c r="L3776" s="17">
        <v>0.25</v>
      </c>
      <c r="M3776" s="14">
        <v>359</v>
      </c>
      <c r="N3776" s="14">
        <v>0</v>
      </c>
      <c r="O3776" s="14">
        <v>0</v>
      </c>
      <c r="P3776" s="14">
        <v>359</v>
      </c>
      <c r="Q3776">
        <v>11512</v>
      </c>
      <c r="R3776">
        <v>4387</v>
      </c>
      <c r="S3776">
        <v>0</v>
      </c>
    </row>
    <row r="3777" spans="11:19" x14ac:dyDescent="0.3">
      <c r="K3777" s="16">
        <f t="shared" si="58"/>
        <v>44173</v>
      </c>
      <c r="L3777" s="17">
        <v>0.29166666666666669</v>
      </c>
      <c r="M3777" s="14">
        <v>359</v>
      </c>
      <c r="N3777" s="14">
        <v>0</v>
      </c>
      <c r="O3777" s="14">
        <v>0</v>
      </c>
      <c r="P3777" s="14">
        <v>359</v>
      </c>
      <c r="Q3777">
        <v>12476</v>
      </c>
      <c r="R3777">
        <v>4443</v>
      </c>
      <c r="S3777">
        <v>0</v>
      </c>
    </row>
    <row r="3778" spans="11:19" x14ac:dyDescent="0.3">
      <c r="K3778" s="16">
        <f t="shared" si="58"/>
        <v>44173</v>
      </c>
      <c r="L3778" s="17">
        <v>0.33333333333333331</v>
      </c>
      <c r="M3778" s="14">
        <v>359</v>
      </c>
      <c r="N3778" s="14">
        <v>0</v>
      </c>
      <c r="O3778" s="14">
        <v>0</v>
      </c>
      <c r="P3778" s="14">
        <v>359</v>
      </c>
      <c r="Q3778">
        <v>12635</v>
      </c>
      <c r="R3778">
        <v>4333</v>
      </c>
      <c r="S3778">
        <v>50</v>
      </c>
    </row>
    <row r="3779" spans="11:19" x14ac:dyDescent="0.3">
      <c r="K3779" s="16">
        <f t="shared" si="58"/>
        <v>44173</v>
      </c>
      <c r="L3779" s="17">
        <v>0.375</v>
      </c>
      <c r="M3779" s="14">
        <v>359</v>
      </c>
      <c r="N3779" s="14">
        <v>0</v>
      </c>
      <c r="O3779" s="14">
        <v>0</v>
      </c>
      <c r="P3779" s="14">
        <v>359</v>
      </c>
      <c r="Q3779">
        <v>12598</v>
      </c>
      <c r="R3779">
        <v>4296</v>
      </c>
      <c r="S3779">
        <v>187</v>
      </c>
    </row>
    <row r="3780" spans="11:19" x14ac:dyDescent="0.3">
      <c r="K3780" s="16">
        <f t="shared" si="58"/>
        <v>44173</v>
      </c>
      <c r="L3780" s="17">
        <v>0.41666666666666669</v>
      </c>
      <c r="M3780" s="14">
        <v>359</v>
      </c>
      <c r="N3780" s="14">
        <v>0</v>
      </c>
      <c r="O3780" s="14">
        <v>0</v>
      </c>
      <c r="P3780" s="14">
        <v>359</v>
      </c>
      <c r="Q3780">
        <v>12591</v>
      </c>
      <c r="R3780">
        <v>4201</v>
      </c>
      <c r="S3780">
        <v>426</v>
      </c>
    </row>
    <row r="3781" spans="11:19" x14ac:dyDescent="0.3">
      <c r="K3781" s="16">
        <f t="shared" si="58"/>
        <v>44173</v>
      </c>
      <c r="L3781" s="17">
        <v>0.45833333333333331</v>
      </c>
      <c r="M3781" s="14">
        <v>359</v>
      </c>
      <c r="N3781" s="14">
        <v>0</v>
      </c>
      <c r="O3781" s="14">
        <v>0</v>
      </c>
      <c r="P3781" s="14">
        <v>359</v>
      </c>
      <c r="Q3781">
        <v>12713</v>
      </c>
      <c r="R3781">
        <v>4228</v>
      </c>
      <c r="S3781">
        <v>529</v>
      </c>
    </row>
    <row r="3782" spans="11:19" x14ac:dyDescent="0.3">
      <c r="K3782" s="16">
        <f t="shared" si="58"/>
        <v>44173</v>
      </c>
      <c r="L3782" s="17">
        <v>0.5</v>
      </c>
      <c r="M3782" s="14">
        <v>359</v>
      </c>
      <c r="N3782" s="14">
        <v>0</v>
      </c>
      <c r="O3782" s="14">
        <v>0</v>
      </c>
      <c r="P3782" s="14">
        <v>359</v>
      </c>
      <c r="Q3782">
        <v>12733</v>
      </c>
      <c r="R3782">
        <v>4186</v>
      </c>
      <c r="S3782">
        <v>598</v>
      </c>
    </row>
    <row r="3783" spans="11:19" x14ac:dyDescent="0.3">
      <c r="K3783" s="16">
        <f t="shared" si="58"/>
        <v>44173</v>
      </c>
      <c r="L3783" s="17">
        <v>0.54166666666666663</v>
      </c>
      <c r="M3783" s="14">
        <v>359</v>
      </c>
      <c r="N3783" s="14">
        <v>0</v>
      </c>
      <c r="O3783" s="14">
        <v>0</v>
      </c>
      <c r="P3783" s="14">
        <v>359</v>
      </c>
      <c r="Q3783">
        <v>12467</v>
      </c>
      <c r="R3783">
        <v>4184</v>
      </c>
      <c r="S3783">
        <v>619</v>
      </c>
    </row>
    <row r="3784" spans="11:19" x14ac:dyDescent="0.3">
      <c r="K3784" s="16">
        <f t="shared" si="58"/>
        <v>44173</v>
      </c>
      <c r="L3784" s="17">
        <v>0.58333333333333337</v>
      </c>
      <c r="M3784" s="14">
        <v>359</v>
      </c>
      <c r="N3784" s="14">
        <v>0</v>
      </c>
      <c r="O3784" s="14">
        <v>0</v>
      </c>
      <c r="P3784" s="14">
        <v>359</v>
      </c>
      <c r="Q3784">
        <v>12238</v>
      </c>
      <c r="R3784">
        <v>3847</v>
      </c>
      <c r="S3784">
        <v>496</v>
      </c>
    </row>
    <row r="3785" spans="11:19" x14ac:dyDescent="0.3">
      <c r="K3785" s="16">
        <f t="shared" si="58"/>
        <v>44173</v>
      </c>
      <c r="L3785" s="17">
        <v>0.625</v>
      </c>
      <c r="M3785" s="14">
        <v>359</v>
      </c>
      <c r="N3785" s="14">
        <v>0</v>
      </c>
      <c r="O3785" s="14">
        <v>0</v>
      </c>
      <c r="P3785" s="14">
        <v>359</v>
      </c>
      <c r="Q3785">
        <v>12038</v>
      </c>
      <c r="R3785">
        <v>3741</v>
      </c>
      <c r="S3785">
        <v>239</v>
      </c>
    </row>
    <row r="3786" spans="11:19" x14ac:dyDescent="0.3">
      <c r="K3786" s="16">
        <f t="shared" si="58"/>
        <v>44173</v>
      </c>
      <c r="L3786" s="17">
        <v>0.66666666666666663</v>
      </c>
      <c r="M3786" s="14">
        <v>359</v>
      </c>
      <c r="N3786" s="14">
        <v>63</v>
      </c>
      <c r="O3786" s="14">
        <v>0</v>
      </c>
      <c r="P3786" s="14">
        <v>422</v>
      </c>
      <c r="Q3786">
        <v>12000</v>
      </c>
      <c r="R3786">
        <v>3115</v>
      </c>
      <c r="S3786">
        <v>50</v>
      </c>
    </row>
    <row r="3787" spans="11:19" x14ac:dyDescent="0.3">
      <c r="K3787" s="16">
        <f t="shared" si="58"/>
        <v>44173</v>
      </c>
      <c r="L3787" s="17">
        <v>0.70833333333333337</v>
      </c>
      <c r="M3787" s="14">
        <v>359</v>
      </c>
      <c r="N3787" s="14">
        <v>0</v>
      </c>
      <c r="O3787" s="14">
        <v>694</v>
      </c>
      <c r="P3787" s="14">
        <v>1053</v>
      </c>
      <c r="Q3787">
        <v>12503</v>
      </c>
      <c r="R3787">
        <v>3030</v>
      </c>
      <c r="S3787">
        <v>8</v>
      </c>
    </row>
    <row r="3788" spans="11:19" x14ac:dyDescent="0.3">
      <c r="K3788" s="16">
        <f t="shared" si="58"/>
        <v>44173</v>
      </c>
      <c r="L3788" s="17">
        <v>0.75</v>
      </c>
      <c r="M3788" s="14">
        <v>359</v>
      </c>
      <c r="N3788" s="14">
        <v>718</v>
      </c>
      <c r="O3788" s="14">
        <v>137</v>
      </c>
      <c r="P3788" s="14">
        <v>1214</v>
      </c>
      <c r="Q3788">
        <v>12741</v>
      </c>
      <c r="R3788">
        <v>3116</v>
      </c>
      <c r="S3788">
        <v>0</v>
      </c>
    </row>
    <row r="3789" spans="11:19" x14ac:dyDescent="0.3">
      <c r="K3789" s="16">
        <f t="shared" si="58"/>
        <v>44173</v>
      </c>
      <c r="L3789" s="17">
        <v>0.79166666666666663</v>
      </c>
      <c r="M3789" s="14">
        <v>359</v>
      </c>
      <c r="N3789" s="14">
        <v>284</v>
      </c>
      <c r="O3789" s="14">
        <v>290</v>
      </c>
      <c r="P3789" s="14">
        <v>933</v>
      </c>
      <c r="Q3789">
        <v>12348</v>
      </c>
      <c r="R3789">
        <v>3008</v>
      </c>
      <c r="S3789">
        <v>0</v>
      </c>
    </row>
    <row r="3790" spans="11:19" x14ac:dyDescent="0.3">
      <c r="K3790" s="16">
        <f t="shared" si="58"/>
        <v>44173</v>
      </c>
      <c r="L3790" s="17">
        <v>0.83333333333333337</v>
      </c>
      <c r="M3790" s="14">
        <v>359</v>
      </c>
      <c r="N3790" s="14">
        <v>0</v>
      </c>
      <c r="O3790" s="14">
        <v>0</v>
      </c>
      <c r="P3790" s="14">
        <v>359</v>
      </c>
      <c r="Q3790">
        <v>11518</v>
      </c>
      <c r="R3790">
        <v>3022</v>
      </c>
      <c r="S3790">
        <v>0</v>
      </c>
    </row>
    <row r="3791" spans="11:19" x14ac:dyDescent="0.3">
      <c r="K3791" s="16">
        <f t="shared" si="58"/>
        <v>44173</v>
      </c>
      <c r="L3791" s="17">
        <v>0.875</v>
      </c>
      <c r="M3791" s="14">
        <v>359</v>
      </c>
      <c r="N3791" s="14">
        <v>0</v>
      </c>
      <c r="O3791" s="14">
        <v>0</v>
      </c>
      <c r="P3791" s="14">
        <v>359</v>
      </c>
      <c r="Q3791">
        <v>10853</v>
      </c>
      <c r="R3791">
        <v>3211</v>
      </c>
      <c r="S3791">
        <v>0</v>
      </c>
    </row>
    <row r="3792" spans="11:19" x14ac:dyDescent="0.3">
      <c r="K3792" s="16">
        <f t="shared" si="58"/>
        <v>44173</v>
      </c>
      <c r="L3792" s="17">
        <v>0.91666666666666663</v>
      </c>
      <c r="M3792" s="14">
        <v>359</v>
      </c>
      <c r="N3792" s="14">
        <v>0</v>
      </c>
      <c r="O3792" s="14">
        <v>0</v>
      </c>
      <c r="P3792" s="14">
        <v>359</v>
      </c>
      <c r="Q3792">
        <v>10937</v>
      </c>
      <c r="R3792">
        <v>3120</v>
      </c>
      <c r="S3792">
        <v>0</v>
      </c>
    </row>
    <row r="3793" spans="11:19" x14ac:dyDescent="0.3">
      <c r="K3793" s="16">
        <f t="shared" si="58"/>
        <v>44173</v>
      </c>
      <c r="L3793" s="17">
        <v>0.95833333333333337</v>
      </c>
      <c r="M3793" s="14">
        <v>359</v>
      </c>
      <c r="N3793" s="14">
        <v>0</v>
      </c>
      <c r="O3793" s="14">
        <v>0</v>
      </c>
      <c r="P3793" s="14">
        <v>359</v>
      </c>
      <c r="Q3793">
        <v>11004</v>
      </c>
      <c r="R3793">
        <v>3034</v>
      </c>
      <c r="S3793">
        <v>0</v>
      </c>
    </row>
    <row r="3794" spans="11:19" x14ac:dyDescent="0.3">
      <c r="K3794" s="16">
        <f t="shared" si="58"/>
        <v>44174</v>
      </c>
      <c r="L3794" s="17">
        <v>0</v>
      </c>
      <c r="M3794" s="14">
        <v>359</v>
      </c>
      <c r="N3794" s="14">
        <v>0</v>
      </c>
      <c r="O3794" s="14">
        <v>0</v>
      </c>
      <c r="P3794" s="14">
        <v>359</v>
      </c>
      <c r="Q3794">
        <v>10405</v>
      </c>
      <c r="R3794">
        <v>3226</v>
      </c>
      <c r="S3794">
        <v>0</v>
      </c>
    </row>
    <row r="3795" spans="11:19" x14ac:dyDescent="0.3">
      <c r="K3795" s="16">
        <f t="shared" si="58"/>
        <v>44174</v>
      </c>
      <c r="L3795" s="17">
        <v>4.1666666666666664E-2</v>
      </c>
      <c r="M3795" s="14">
        <v>359</v>
      </c>
      <c r="N3795" s="14">
        <v>0</v>
      </c>
      <c r="O3795" s="14">
        <v>0</v>
      </c>
      <c r="P3795" s="14">
        <v>359</v>
      </c>
      <c r="Q3795">
        <v>10048</v>
      </c>
      <c r="R3795">
        <v>3075</v>
      </c>
      <c r="S3795">
        <v>0</v>
      </c>
    </row>
    <row r="3796" spans="11:19" x14ac:dyDescent="0.3">
      <c r="K3796" s="16">
        <f t="shared" si="58"/>
        <v>44174</v>
      </c>
      <c r="L3796" s="17">
        <v>8.3333333333333329E-2</v>
      </c>
      <c r="M3796" s="14">
        <v>359</v>
      </c>
      <c r="N3796" s="14">
        <v>0</v>
      </c>
      <c r="O3796" s="14">
        <v>0</v>
      </c>
      <c r="P3796" s="14">
        <v>359</v>
      </c>
      <c r="Q3796">
        <v>9743</v>
      </c>
      <c r="R3796">
        <v>3249</v>
      </c>
      <c r="S3796">
        <v>0</v>
      </c>
    </row>
    <row r="3797" spans="11:19" x14ac:dyDescent="0.3">
      <c r="K3797" s="16">
        <f t="shared" si="58"/>
        <v>44174</v>
      </c>
      <c r="L3797" s="17">
        <v>0.125</v>
      </c>
      <c r="M3797" s="14">
        <v>359</v>
      </c>
      <c r="N3797" s="14">
        <v>0</v>
      </c>
      <c r="O3797" s="14">
        <v>0</v>
      </c>
      <c r="P3797" s="14">
        <v>359</v>
      </c>
      <c r="Q3797">
        <v>9322</v>
      </c>
      <c r="R3797">
        <v>3212</v>
      </c>
      <c r="S3797">
        <v>0</v>
      </c>
    </row>
    <row r="3798" spans="11:19" x14ac:dyDescent="0.3">
      <c r="K3798" s="16">
        <f t="shared" si="58"/>
        <v>44174</v>
      </c>
      <c r="L3798" s="17">
        <v>0.16666666666666666</v>
      </c>
      <c r="M3798" s="14">
        <v>359</v>
      </c>
      <c r="N3798" s="14">
        <v>0</v>
      </c>
      <c r="O3798" s="14">
        <v>0</v>
      </c>
      <c r="P3798" s="14">
        <v>359</v>
      </c>
      <c r="Q3798">
        <v>9268</v>
      </c>
      <c r="R3798">
        <v>3070</v>
      </c>
      <c r="S3798">
        <v>0</v>
      </c>
    </row>
    <row r="3799" spans="11:19" x14ac:dyDescent="0.3">
      <c r="K3799" s="16">
        <f t="shared" si="58"/>
        <v>44174</v>
      </c>
      <c r="L3799" s="17">
        <v>0.20833333333333334</v>
      </c>
      <c r="M3799" s="14">
        <v>359</v>
      </c>
      <c r="N3799" s="14">
        <v>0</v>
      </c>
      <c r="O3799" s="14">
        <v>0</v>
      </c>
      <c r="P3799" s="14">
        <v>359</v>
      </c>
      <c r="Q3799">
        <v>9813</v>
      </c>
      <c r="R3799">
        <v>2679</v>
      </c>
      <c r="S3799">
        <v>0</v>
      </c>
    </row>
    <row r="3800" spans="11:19" x14ac:dyDescent="0.3">
      <c r="K3800" s="16">
        <f t="shared" si="58"/>
        <v>44174</v>
      </c>
      <c r="L3800" s="17">
        <v>0.25</v>
      </c>
      <c r="M3800" s="14">
        <v>359</v>
      </c>
      <c r="N3800" s="14">
        <v>0</v>
      </c>
      <c r="O3800" s="14">
        <v>0</v>
      </c>
      <c r="P3800" s="14">
        <v>359</v>
      </c>
      <c r="Q3800">
        <v>11059</v>
      </c>
      <c r="R3800">
        <v>2388</v>
      </c>
      <c r="S3800">
        <v>0</v>
      </c>
    </row>
    <row r="3801" spans="11:19" x14ac:dyDescent="0.3">
      <c r="K3801" s="16">
        <f t="shared" si="58"/>
        <v>44174</v>
      </c>
      <c r="L3801" s="17">
        <v>0.29166666666666669</v>
      </c>
      <c r="M3801" s="14">
        <v>359</v>
      </c>
      <c r="N3801" s="14">
        <v>1162</v>
      </c>
      <c r="O3801" s="14">
        <v>0</v>
      </c>
      <c r="P3801" s="14">
        <v>1521</v>
      </c>
      <c r="Q3801">
        <v>12094</v>
      </c>
      <c r="R3801">
        <v>2174</v>
      </c>
      <c r="S3801">
        <v>0</v>
      </c>
    </row>
    <row r="3802" spans="11:19" x14ac:dyDescent="0.3">
      <c r="K3802" s="16">
        <f t="shared" si="58"/>
        <v>44174</v>
      </c>
      <c r="L3802" s="17">
        <v>0.33333333333333331</v>
      </c>
      <c r="M3802" s="14">
        <v>359</v>
      </c>
      <c r="N3802" s="14">
        <v>1436</v>
      </c>
      <c r="O3802" s="14">
        <v>0</v>
      </c>
      <c r="P3802" s="14">
        <v>1795</v>
      </c>
      <c r="Q3802">
        <v>12326</v>
      </c>
      <c r="R3802">
        <v>1759</v>
      </c>
      <c r="S3802">
        <v>35</v>
      </c>
    </row>
    <row r="3803" spans="11:19" x14ac:dyDescent="0.3">
      <c r="K3803" s="16">
        <f t="shared" ref="K3803:K3866" si="59">K3779+1</f>
        <v>44174</v>
      </c>
      <c r="L3803" s="17">
        <v>0.375</v>
      </c>
      <c r="M3803" s="14">
        <v>359</v>
      </c>
      <c r="N3803" s="14">
        <v>0</v>
      </c>
      <c r="O3803" s="14">
        <v>0</v>
      </c>
      <c r="P3803" s="14">
        <v>359</v>
      </c>
      <c r="Q3803">
        <v>12320</v>
      </c>
      <c r="R3803">
        <v>1553</v>
      </c>
      <c r="S3803">
        <v>219</v>
      </c>
    </row>
    <row r="3804" spans="11:19" x14ac:dyDescent="0.3">
      <c r="K3804" s="16">
        <f t="shared" si="59"/>
        <v>44174</v>
      </c>
      <c r="L3804" s="17">
        <v>0.41666666666666669</v>
      </c>
      <c r="M3804" s="14">
        <v>359</v>
      </c>
      <c r="N3804" s="14">
        <v>1436</v>
      </c>
      <c r="O3804" s="14">
        <v>0</v>
      </c>
      <c r="P3804" s="14">
        <v>1795</v>
      </c>
      <c r="Q3804">
        <v>12332</v>
      </c>
      <c r="R3804">
        <v>1302</v>
      </c>
      <c r="S3804">
        <v>522</v>
      </c>
    </row>
    <row r="3805" spans="11:19" x14ac:dyDescent="0.3">
      <c r="K3805" s="16">
        <f t="shared" si="59"/>
        <v>44174</v>
      </c>
      <c r="L3805" s="17">
        <v>0.45833333333333331</v>
      </c>
      <c r="M3805" s="14">
        <v>359</v>
      </c>
      <c r="N3805" s="14">
        <v>0</v>
      </c>
      <c r="O3805" s="14">
        <v>0</v>
      </c>
      <c r="P3805" s="14">
        <v>359</v>
      </c>
      <c r="Q3805">
        <v>12442</v>
      </c>
      <c r="R3805">
        <v>1320</v>
      </c>
      <c r="S3805">
        <v>700</v>
      </c>
    </row>
    <row r="3806" spans="11:19" x14ac:dyDescent="0.3">
      <c r="K3806" s="16">
        <f t="shared" si="59"/>
        <v>44174</v>
      </c>
      <c r="L3806" s="17">
        <v>0.5</v>
      </c>
      <c r="M3806" s="14">
        <v>359</v>
      </c>
      <c r="N3806" s="14">
        <v>0</v>
      </c>
      <c r="O3806" s="14">
        <v>0</v>
      </c>
      <c r="P3806" s="14">
        <v>359</v>
      </c>
      <c r="Q3806">
        <v>12457</v>
      </c>
      <c r="R3806">
        <v>1240</v>
      </c>
      <c r="S3806">
        <v>777</v>
      </c>
    </row>
    <row r="3807" spans="11:19" x14ac:dyDescent="0.3">
      <c r="K3807" s="16">
        <f t="shared" si="59"/>
        <v>44174</v>
      </c>
      <c r="L3807" s="17">
        <v>0.54166666666666663</v>
      </c>
      <c r="M3807" s="14">
        <v>359</v>
      </c>
      <c r="N3807" s="14">
        <v>1436</v>
      </c>
      <c r="O3807" s="14">
        <v>0</v>
      </c>
      <c r="P3807" s="14">
        <v>1795</v>
      </c>
      <c r="Q3807">
        <v>12191</v>
      </c>
      <c r="R3807">
        <v>1190</v>
      </c>
      <c r="S3807">
        <v>742</v>
      </c>
    </row>
    <row r="3808" spans="11:19" x14ac:dyDescent="0.3">
      <c r="K3808" s="16">
        <f t="shared" si="59"/>
        <v>44174</v>
      </c>
      <c r="L3808" s="17">
        <v>0.58333333333333337</v>
      </c>
      <c r="M3808" s="14">
        <v>359</v>
      </c>
      <c r="N3808" s="14">
        <v>0</v>
      </c>
      <c r="O3808" s="14">
        <v>0</v>
      </c>
      <c r="P3808" s="14">
        <v>359</v>
      </c>
      <c r="Q3808">
        <v>11953</v>
      </c>
      <c r="R3808">
        <v>1114</v>
      </c>
      <c r="S3808">
        <v>611</v>
      </c>
    </row>
    <row r="3809" spans="11:19" x14ac:dyDescent="0.3">
      <c r="K3809" s="16">
        <f t="shared" si="59"/>
        <v>44174</v>
      </c>
      <c r="L3809" s="17">
        <v>0.625</v>
      </c>
      <c r="M3809" s="14">
        <v>359</v>
      </c>
      <c r="N3809" s="14">
        <v>1436</v>
      </c>
      <c r="O3809" s="14">
        <v>0</v>
      </c>
      <c r="P3809" s="14">
        <v>1795</v>
      </c>
      <c r="Q3809">
        <v>11819</v>
      </c>
      <c r="R3809">
        <v>1077</v>
      </c>
      <c r="S3809">
        <v>320</v>
      </c>
    </row>
    <row r="3810" spans="11:19" x14ac:dyDescent="0.3">
      <c r="K3810" s="16">
        <f t="shared" si="59"/>
        <v>44174</v>
      </c>
      <c r="L3810" s="17">
        <v>0.66666666666666663</v>
      </c>
      <c r="M3810" s="14">
        <v>359</v>
      </c>
      <c r="N3810" s="14">
        <v>1436</v>
      </c>
      <c r="O3810" s="14">
        <v>0</v>
      </c>
      <c r="P3810" s="14">
        <v>1795</v>
      </c>
      <c r="Q3810">
        <v>11838</v>
      </c>
      <c r="R3810">
        <v>1163</v>
      </c>
      <c r="S3810">
        <v>58</v>
      </c>
    </row>
    <row r="3811" spans="11:19" x14ac:dyDescent="0.3">
      <c r="K3811" s="16">
        <f t="shared" si="59"/>
        <v>44174</v>
      </c>
      <c r="L3811" s="17">
        <v>0.70833333333333337</v>
      </c>
      <c r="M3811" s="14">
        <v>359</v>
      </c>
      <c r="N3811" s="14">
        <v>1436</v>
      </c>
      <c r="O3811" s="14">
        <v>0</v>
      </c>
      <c r="P3811" s="14">
        <v>1795</v>
      </c>
      <c r="Q3811">
        <v>12452</v>
      </c>
      <c r="R3811">
        <v>984</v>
      </c>
      <c r="S3811">
        <v>3</v>
      </c>
    </row>
    <row r="3812" spans="11:19" x14ac:dyDescent="0.3">
      <c r="K3812" s="16">
        <f t="shared" si="59"/>
        <v>44174</v>
      </c>
      <c r="L3812" s="17">
        <v>0.75</v>
      </c>
      <c r="M3812" s="14">
        <v>359</v>
      </c>
      <c r="N3812" s="14">
        <v>182</v>
      </c>
      <c r="O3812" s="14">
        <v>0</v>
      </c>
      <c r="P3812" s="14">
        <v>541</v>
      </c>
      <c r="Q3812">
        <v>12808</v>
      </c>
      <c r="R3812">
        <v>959</v>
      </c>
      <c r="S3812">
        <v>0</v>
      </c>
    </row>
    <row r="3813" spans="11:19" x14ac:dyDescent="0.3">
      <c r="K3813" s="16">
        <f t="shared" si="59"/>
        <v>44174</v>
      </c>
      <c r="L3813" s="17">
        <v>0.79166666666666663</v>
      </c>
      <c r="M3813" s="14">
        <v>359</v>
      </c>
      <c r="N3813" s="14">
        <v>1436</v>
      </c>
      <c r="O3813" s="14">
        <v>0</v>
      </c>
      <c r="P3813" s="14">
        <v>1795</v>
      </c>
      <c r="Q3813">
        <v>12508</v>
      </c>
      <c r="R3813">
        <v>860</v>
      </c>
      <c r="S3813">
        <v>0</v>
      </c>
    </row>
    <row r="3814" spans="11:19" x14ac:dyDescent="0.3">
      <c r="K3814" s="16">
        <f t="shared" si="59"/>
        <v>44174</v>
      </c>
      <c r="L3814" s="17">
        <v>0.83333333333333337</v>
      </c>
      <c r="M3814" s="14">
        <v>359</v>
      </c>
      <c r="N3814" s="14">
        <v>445</v>
      </c>
      <c r="O3814" s="14">
        <v>0</v>
      </c>
      <c r="P3814" s="14">
        <v>804</v>
      </c>
      <c r="Q3814">
        <v>11725</v>
      </c>
      <c r="R3814">
        <v>796</v>
      </c>
      <c r="S3814">
        <v>0</v>
      </c>
    </row>
    <row r="3815" spans="11:19" x14ac:dyDescent="0.3">
      <c r="K3815" s="16">
        <f t="shared" si="59"/>
        <v>44174</v>
      </c>
      <c r="L3815" s="17">
        <v>0.875</v>
      </c>
      <c r="M3815" s="14">
        <v>359</v>
      </c>
      <c r="N3815" s="14">
        <v>0</v>
      </c>
      <c r="O3815" s="14">
        <v>0</v>
      </c>
      <c r="P3815" s="14">
        <v>359</v>
      </c>
      <c r="Q3815">
        <v>11047</v>
      </c>
      <c r="R3815">
        <v>626</v>
      </c>
      <c r="S3815">
        <v>0</v>
      </c>
    </row>
    <row r="3816" spans="11:19" x14ac:dyDescent="0.3">
      <c r="K3816" s="16">
        <f t="shared" si="59"/>
        <v>44174</v>
      </c>
      <c r="L3816" s="17">
        <v>0.91666666666666663</v>
      </c>
      <c r="M3816" s="14">
        <v>359</v>
      </c>
      <c r="N3816" s="14">
        <v>0</v>
      </c>
      <c r="O3816" s="14">
        <v>0</v>
      </c>
      <c r="P3816" s="14">
        <v>359</v>
      </c>
      <c r="Q3816">
        <v>11159</v>
      </c>
      <c r="R3816">
        <v>623</v>
      </c>
      <c r="S3816">
        <v>0</v>
      </c>
    </row>
    <row r="3817" spans="11:19" x14ac:dyDescent="0.3">
      <c r="K3817" s="16">
        <f t="shared" si="59"/>
        <v>44174</v>
      </c>
      <c r="L3817" s="17">
        <v>0.95833333333333337</v>
      </c>
      <c r="M3817" s="14">
        <v>359</v>
      </c>
      <c r="N3817" s="14">
        <v>0</v>
      </c>
      <c r="O3817" s="14">
        <v>0</v>
      </c>
      <c r="P3817" s="14">
        <v>359</v>
      </c>
      <c r="Q3817">
        <v>11250</v>
      </c>
      <c r="R3817">
        <v>600</v>
      </c>
      <c r="S3817">
        <v>0</v>
      </c>
    </row>
    <row r="3818" spans="11:19" x14ac:dyDescent="0.3">
      <c r="K3818" s="16">
        <f t="shared" si="59"/>
        <v>44175</v>
      </c>
      <c r="L3818" s="17">
        <v>0</v>
      </c>
      <c r="M3818" s="14">
        <v>359</v>
      </c>
      <c r="N3818" s="14">
        <v>1295</v>
      </c>
      <c r="O3818" s="14">
        <v>0</v>
      </c>
      <c r="P3818" s="14">
        <v>1654</v>
      </c>
      <c r="Q3818">
        <v>10673</v>
      </c>
      <c r="R3818">
        <v>632</v>
      </c>
      <c r="S3818">
        <v>0</v>
      </c>
    </row>
    <row r="3819" spans="11:19" x14ac:dyDescent="0.3">
      <c r="K3819" s="16">
        <f t="shared" si="59"/>
        <v>44175</v>
      </c>
      <c r="L3819" s="17">
        <v>4.1666666666666664E-2</v>
      </c>
      <c r="M3819" s="14">
        <v>359</v>
      </c>
      <c r="N3819" s="14">
        <v>1125</v>
      </c>
      <c r="O3819" s="14">
        <v>0</v>
      </c>
      <c r="P3819" s="14">
        <v>1484</v>
      </c>
      <c r="Q3819">
        <v>10341</v>
      </c>
      <c r="R3819">
        <v>472</v>
      </c>
      <c r="S3819">
        <v>0</v>
      </c>
    </row>
    <row r="3820" spans="11:19" x14ac:dyDescent="0.3">
      <c r="K3820" s="16">
        <f t="shared" si="59"/>
        <v>44175</v>
      </c>
      <c r="L3820" s="17">
        <v>8.3333333333333329E-2</v>
      </c>
      <c r="M3820" s="14">
        <v>359</v>
      </c>
      <c r="N3820" s="14">
        <v>842</v>
      </c>
      <c r="O3820" s="14">
        <v>0</v>
      </c>
      <c r="P3820" s="14">
        <v>1201</v>
      </c>
      <c r="Q3820">
        <v>10067</v>
      </c>
      <c r="R3820">
        <v>481</v>
      </c>
      <c r="S3820">
        <v>0</v>
      </c>
    </row>
    <row r="3821" spans="11:19" x14ac:dyDescent="0.3">
      <c r="K3821" s="16">
        <f t="shared" si="59"/>
        <v>44175</v>
      </c>
      <c r="L3821" s="17">
        <v>0.125</v>
      </c>
      <c r="M3821" s="14">
        <v>359</v>
      </c>
      <c r="N3821" s="14">
        <v>510</v>
      </c>
      <c r="O3821" s="14">
        <v>0</v>
      </c>
      <c r="P3821" s="14">
        <v>869</v>
      </c>
      <c r="Q3821">
        <v>9673</v>
      </c>
      <c r="R3821">
        <v>420</v>
      </c>
      <c r="S3821">
        <v>0</v>
      </c>
    </row>
    <row r="3822" spans="11:19" x14ac:dyDescent="0.3">
      <c r="K3822" s="16">
        <f t="shared" si="59"/>
        <v>44175</v>
      </c>
      <c r="L3822" s="17">
        <v>0.16666666666666666</v>
      </c>
      <c r="M3822" s="14">
        <v>359</v>
      </c>
      <c r="N3822" s="14">
        <v>0</v>
      </c>
      <c r="O3822" s="14">
        <v>0</v>
      </c>
      <c r="P3822" s="14">
        <v>359</v>
      </c>
      <c r="Q3822">
        <v>9649</v>
      </c>
      <c r="R3822">
        <v>405</v>
      </c>
      <c r="S3822">
        <v>0</v>
      </c>
    </row>
    <row r="3823" spans="11:19" x14ac:dyDescent="0.3">
      <c r="K3823" s="16">
        <f t="shared" si="59"/>
        <v>44175</v>
      </c>
      <c r="L3823" s="17">
        <v>0.20833333333333334</v>
      </c>
      <c r="M3823" s="14">
        <v>359</v>
      </c>
      <c r="N3823" s="14">
        <v>1018</v>
      </c>
      <c r="O3823" s="14">
        <v>0</v>
      </c>
      <c r="P3823" s="14">
        <v>1377</v>
      </c>
      <c r="Q3823">
        <v>10218</v>
      </c>
      <c r="R3823">
        <v>458</v>
      </c>
      <c r="S3823">
        <v>0</v>
      </c>
    </row>
    <row r="3824" spans="11:19" x14ac:dyDescent="0.3">
      <c r="K3824" s="16">
        <f t="shared" si="59"/>
        <v>44175</v>
      </c>
      <c r="L3824" s="17">
        <v>0.25</v>
      </c>
      <c r="M3824" s="14">
        <v>359</v>
      </c>
      <c r="N3824" s="14">
        <v>0</v>
      </c>
      <c r="O3824" s="14">
        <v>0</v>
      </c>
      <c r="P3824" s="14">
        <v>359</v>
      </c>
      <c r="Q3824">
        <v>11470</v>
      </c>
      <c r="R3824">
        <v>521</v>
      </c>
      <c r="S3824">
        <v>0</v>
      </c>
    </row>
    <row r="3825" spans="11:19" x14ac:dyDescent="0.3">
      <c r="K3825" s="16">
        <f t="shared" si="59"/>
        <v>44175</v>
      </c>
      <c r="L3825" s="17">
        <v>0.29166666666666669</v>
      </c>
      <c r="M3825" s="14">
        <v>359</v>
      </c>
      <c r="N3825" s="14">
        <v>294</v>
      </c>
      <c r="O3825" s="14">
        <v>0</v>
      </c>
      <c r="P3825" s="14">
        <v>653</v>
      </c>
      <c r="Q3825">
        <v>12497</v>
      </c>
      <c r="R3825">
        <v>544</v>
      </c>
      <c r="S3825">
        <v>0</v>
      </c>
    </row>
    <row r="3826" spans="11:19" x14ac:dyDescent="0.3">
      <c r="K3826" s="16">
        <f t="shared" si="59"/>
        <v>44175</v>
      </c>
      <c r="L3826" s="17">
        <v>0.33333333333333331</v>
      </c>
      <c r="M3826" s="14">
        <v>359</v>
      </c>
      <c r="N3826" s="14">
        <v>1316</v>
      </c>
      <c r="O3826" s="14">
        <v>0</v>
      </c>
      <c r="P3826" s="14">
        <v>1675</v>
      </c>
      <c r="Q3826">
        <v>12706</v>
      </c>
      <c r="R3826">
        <v>706</v>
      </c>
      <c r="S3826">
        <v>43</v>
      </c>
    </row>
    <row r="3827" spans="11:19" x14ac:dyDescent="0.3">
      <c r="K3827" s="16">
        <f t="shared" si="59"/>
        <v>44175</v>
      </c>
      <c r="L3827" s="17">
        <v>0.375</v>
      </c>
      <c r="M3827" s="14">
        <v>359</v>
      </c>
      <c r="N3827" s="14">
        <v>1316</v>
      </c>
      <c r="O3827" s="14">
        <v>0</v>
      </c>
      <c r="P3827" s="14">
        <v>1675</v>
      </c>
      <c r="Q3827">
        <v>12683</v>
      </c>
      <c r="R3827">
        <v>869</v>
      </c>
      <c r="S3827">
        <v>252</v>
      </c>
    </row>
    <row r="3828" spans="11:19" x14ac:dyDescent="0.3">
      <c r="K3828" s="16">
        <f t="shared" si="59"/>
        <v>44175</v>
      </c>
      <c r="L3828" s="17">
        <v>0.41666666666666669</v>
      </c>
      <c r="M3828" s="14">
        <v>359</v>
      </c>
      <c r="N3828" s="14">
        <v>1316</v>
      </c>
      <c r="O3828" s="14">
        <v>0</v>
      </c>
      <c r="P3828" s="14">
        <v>1675</v>
      </c>
      <c r="Q3828">
        <v>12611</v>
      </c>
      <c r="R3828">
        <v>1343</v>
      </c>
      <c r="S3828">
        <v>527</v>
      </c>
    </row>
    <row r="3829" spans="11:19" x14ac:dyDescent="0.3">
      <c r="K3829" s="16">
        <f t="shared" si="59"/>
        <v>44175</v>
      </c>
      <c r="L3829" s="17">
        <v>0.45833333333333331</v>
      </c>
      <c r="M3829" s="14">
        <v>359</v>
      </c>
      <c r="N3829" s="14">
        <v>1316</v>
      </c>
      <c r="O3829" s="14">
        <v>0</v>
      </c>
      <c r="P3829" s="14">
        <v>1675</v>
      </c>
      <c r="Q3829">
        <v>12669</v>
      </c>
      <c r="R3829">
        <v>1771</v>
      </c>
      <c r="S3829">
        <v>725</v>
      </c>
    </row>
    <row r="3830" spans="11:19" x14ac:dyDescent="0.3">
      <c r="K3830" s="16">
        <f t="shared" si="59"/>
        <v>44175</v>
      </c>
      <c r="L3830" s="17">
        <v>0.5</v>
      </c>
      <c r="M3830" s="14">
        <v>359</v>
      </c>
      <c r="N3830" s="14">
        <v>0</v>
      </c>
      <c r="O3830" s="14">
        <v>0</v>
      </c>
      <c r="P3830" s="14">
        <v>359</v>
      </c>
      <c r="Q3830">
        <v>12610</v>
      </c>
      <c r="R3830">
        <v>2508</v>
      </c>
      <c r="S3830">
        <v>854</v>
      </c>
    </row>
    <row r="3831" spans="11:19" x14ac:dyDescent="0.3">
      <c r="K3831" s="16">
        <f t="shared" si="59"/>
        <v>44175</v>
      </c>
      <c r="L3831" s="17">
        <v>0.54166666666666663</v>
      </c>
      <c r="M3831" s="14">
        <v>359</v>
      </c>
      <c r="N3831" s="14">
        <v>0</v>
      </c>
      <c r="O3831" s="14">
        <v>0</v>
      </c>
      <c r="P3831" s="14">
        <v>359</v>
      </c>
      <c r="Q3831">
        <v>12312</v>
      </c>
      <c r="R3831">
        <v>2642</v>
      </c>
      <c r="S3831">
        <v>902</v>
      </c>
    </row>
    <row r="3832" spans="11:19" x14ac:dyDescent="0.3">
      <c r="K3832" s="16">
        <f t="shared" si="59"/>
        <v>44175</v>
      </c>
      <c r="L3832" s="17">
        <v>0.58333333333333337</v>
      </c>
      <c r="M3832" s="14">
        <v>359</v>
      </c>
      <c r="N3832" s="14">
        <v>0</v>
      </c>
      <c r="O3832" s="14">
        <v>0</v>
      </c>
      <c r="P3832" s="14">
        <v>359</v>
      </c>
      <c r="Q3832">
        <v>12105</v>
      </c>
      <c r="R3832">
        <v>2943</v>
      </c>
      <c r="S3832">
        <v>759</v>
      </c>
    </row>
    <row r="3833" spans="11:19" x14ac:dyDescent="0.3">
      <c r="K3833" s="16">
        <f t="shared" si="59"/>
        <v>44175</v>
      </c>
      <c r="L3833" s="17">
        <v>0.625</v>
      </c>
      <c r="M3833" s="14">
        <v>359</v>
      </c>
      <c r="N3833" s="14">
        <v>0</v>
      </c>
      <c r="O3833" s="14">
        <v>0</v>
      </c>
      <c r="P3833" s="14">
        <v>359</v>
      </c>
      <c r="Q3833">
        <v>11951</v>
      </c>
      <c r="R3833">
        <v>3180</v>
      </c>
      <c r="S3833">
        <v>453</v>
      </c>
    </row>
    <row r="3834" spans="11:19" x14ac:dyDescent="0.3">
      <c r="K3834" s="16">
        <f t="shared" si="59"/>
        <v>44175</v>
      </c>
      <c r="L3834" s="17">
        <v>0.66666666666666663</v>
      </c>
      <c r="M3834" s="14">
        <v>359</v>
      </c>
      <c r="N3834" s="14">
        <v>0</v>
      </c>
      <c r="O3834" s="14">
        <v>0</v>
      </c>
      <c r="P3834" s="14">
        <v>359</v>
      </c>
      <c r="Q3834">
        <v>11962</v>
      </c>
      <c r="R3834">
        <v>3549</v>
      </c>
      <c r="S3834">
        <v>116</v>
      </c>
    </row>
    <row r="3835" spans="11:19" x14ac:dyDescent="0.3">
      <c r="K3835" s="16">
        <f t="shared" si="59"/>
        <v>44175</v>
      </c>
      <c r="L3835" s="17">
        <v>0.70833333333333337</v>
      </c>
      <c r="M3835" s="14">
        <v>359</v>
      </c>
      <c r="N3835" s="14">
        <v>0</v>
      </c>
      <c r="O3835" s="14">
        <v>0</v>
      </c>
      <c r="P3835" s="14">
        <v>359</v>
      </c>
      <c r="Q3835">
        <v>12562</v>
      </c>
      <c r="R3835">
        <v>3737</v>
      </c>
      <c r="S3835">
        <v>2</v>
      </c>
    </row>
    <row r="3836" spans="11:19" x14ac:dyDescent="0.3">
      <c r="K3836" s="16">
        <f t="shared" si="59"/>
        <v>44175</v>
      </c>
      <c r="L3836" s="17">
        <v>0.75</v>
      </c>
      <c r="M3836" s="14">
        <v>359</v>
      </c>
      <c r="N3836" s="14">
        <v>165</v>
      </c>
      <c r="O3836" s="14">
        <v>0</v>
      </c>
      <c r="P3836" s="14">
        <v>524</v>
      </c>
      <c r="Q3836">
        <v>12906</v>
      </c>
      <c r="R3836">
        <v>3970</v>
      </c>
      <c r="S3836">
        <v>0</v>
      </c>
    </row>
    <row r="3837" spans="11:19" x14ac:dyDescent="0.3">
      <c r="K3837" s="16">
        <f t="shared" si="59"/>
        <v>44175</v>
      </c>
      <c r="L3837" s="17">
        <v>0.79166666666666663</v>
      </c>
      <c r="M3837" s="14">
        <v>359</v>
      </c>
      <c r="N3837" s="14">
        <v>0</v>
      </c>
      <c r="O3837" s="14">
        <v>0</v>
      </c>
      <c r="P3837" s="14">
        <v>359</v>
      </c>
      <c r="Q3837">
        <v>12769</v>
      </c>
      <c r="R3837">
        <v>4067</v>
      </c>
      <c r="S3837">
        <v>0</v>
      </c>
    </row>
    <row r="3838" spans="11:19" x14ac:dyDescent="0.3">
      <c r="K3838" s="16">
        <f t="shared" si="59"/>
        <v>44175</v>
      </c>
      <c r="L3838" s="17">
        <v>0.83333333333333337</v>
      </c>
      <c r="M3838" s="14">
        <v>359</v>
      </c>
      <c r="N3838" s="14">
        <v>0</v>
      </c>
      <c r="O3838" s="14">
        <v>0</v>
      </c>
      <c r="P3838" s="14">
        <v>359</v>
      </c>
      <c r="Q3838">
        <v>11946</v>
      </c>
      <c r="R3838">
        <v>4267</v>
      </c>
      <c r="S3838">
        <v>0</v>
      </c>
    </row>
    <row r="3839" spans="11:19" x14ac:dyDescent="0.3">
      <c r="K3839" s="16">
        <f t="shared" si="59"/>
        <v>44175</v>
      </c>
      <c r="L3839" s="17">
        <v>0.875</v>
      </c>
      <c r="M3839" s="14">
        <v>359</v>
      </c>
      <c r="N3839" s="14">
        <v>0</v>
      </c>
      <c r="O3839" s="14">
        <v>0</v>
      </c>
      <c r="P3839" s="14">
        <v>359</v>
      </c>
      <c r="Q3839">
        <v>11234</v>
      </c>
      <c r="R3839">
        <v>4200</v>
      </c>
      <c r="S3839">
        <v>0</v>
      </c>
    </row>
    <row r="3840" spans="11:19" x14ac:dyDescent="0.3">
      <c r="K3840" s="16">
        <f t="shared" si="59"/>
        <v>44175</v>
      </c>
      <c r="L3840" s="17">
        <v>0.91666666666666663</v>
      </c>
      <c r="M3840" s="14">
        <v>359</v>
      </c>
      <c r="N3840" s="14">
        <v>0</v>
      </c>
      <c r="O3840" s="14">
        <v>0</v>
      </c>
      <c r="P3840" s="14">
        <v>359</v>
      </c>
      <c r="Q3840">
        <v>11340</v>
      </c>
      <c r="R3840">
        <v>4028</v>
      </c>
      <c r="S3840">
        <v>0</v>
      </c>
    </row>
    <row r="3841" spans="11:19" x14ac:dyDescent="0.3">
      <c r="K3841" s="16">
        <f t="shared" si="59"/>
        <v>44175</v>
      </c>
      <c r="L3841" s="17">
        <v>0.95833333333333337</v>
      </c>
      <c r="M3841" s="14">
        <v>359</v>
      </c>
      <c r="N3841" s="14">
        <v>0</v>
      </c>
      <c r="O3841" s="14">
        <v>0</v>
      </c>
      <c r="P3841" s="14">
        <v>359</v>
      </c>
      <c r="Q3841">
        <v>11409</v>
      </c>
      <c r="R3841">
        <v>3983</v>
      </c>
      <c r="S3841">
        <v>0</v>
      </c>
    </row>
    <row r="3842" spans="11:19" x14ac:dyDescent="0.3">
      <c r="K3842" s="16">
        <f t="shared" si="59"/>
        <v>44176</v>
      </c>
      <c r="L3842" s="17">
        <v>0</v>
      </c>
      <c r="M3842" s="14">
        <v>359</v>
      </c>
      <c r="N3842" s="14">
        <v>0</v>
      </c>
      <c r="O3842" s="14">
        <v>0</v>
      </c>
      <c r="P3842" s="14">
        <v>359</v>
      </c>
      <c r="Q3842">
        <v>10828</v>
      </c>
      <c r="R3842">
        <v>3790</v>
      </c>
      <c r="S3842">
        <v>0</v>
      </c>
    </row>
    <row r="3843" spans="11:19" x14ac:dyDescent="0.3">
      <c r="K3843" s="16">
        <f t="shared" si="59"/>
        <v>44176</v>
      </c>
      <c r="L3843" s="17">
        <v>4.1666666666666664E-2</v>
      </c>
      <c r="M3843" s="14">
        <v>359</v>
      </c>
      <c r="N3843" s="14">
        <v>0</v>
      </c>
      <c r="O3843" s="14">
        <v>0</v>
      </c>
      <c r="P3843" s="14">
        <v>359</v>
      </c>
      <c r="Q3843">
        <v>10406</v>
      </c>
      <c r="R3843">
        <v>3697</v>
      </c>
      <c r="S3843">
        <v>0</v>
      </c>
    </row>
    <row r="3844" spans="11:19" x14ac:dyDescent="0.3">
      <c r="K3844" s="16">
        <f t="shared" si="59"/>
        <v>44176</v>
      </c>
      <c r="L3844" s="17">
        <v>8.3333333333333329E-2</v>
      </c>
      <c r="M3844" s="14">
        <v>359</v>
      </c>
      <c r="N3844" s="14">
        <v>0</v>
      </c>
      <c r="O3844" s="14">
        <v>0</v>
      </c>
      <c r="P3844" s="14">
        <v>359</v>
      </c>
      <c r="Q3844">
        <v>10071</v>
      </c>
      <c r="R3844">
        <v>3903</v>
      </c>
      <c r="S3844">
        <v>0</v>
      </c>
    </row>
    <row r="3845" spans="11:19" x14ac:dyDescent="0.3">
      <c r="K3845" s="16">
        <f t="shared" si="59"/>
        <v>44176</v>
      </c>
      <c r="L3845" s="17">
        <v>0.125</v>
      </c>
      <c r="M3845" s="14">
        <v>359</v>
      </c>
      <c r="N3845" s="14">
        <v>0</v>
      </c>
      <c r="O3845" s="14">
        <v>-310</v>
      </c>
      <c r="P3845" s="14">
        <v>49</v>
      </c>
      <c r="Q3845">
        <v>9611</v>
      </c>
      <c r="R3845">
        <v>3876</v>
      </c>
      <c r="S3845">
        <v>0</v>
      </c>
    </row>
    <row r="3846" spans="11:19" x14ac:dyDescent="0.3">
      <c r="K3846" s="16">
        <f t="shared" si="59"/>
        <v>44176</v>
      </c>
      <c r="L3846" s="17">
        <v>0.16666666666666666</v>
      </c>
      <c r="M3846" s="14">
        <v>359</v>
      </c>
      <c r="N3846" s="14">
        <v>0</v>
      </c>
      <c r="O3846" s="14">
        <v>-506</v>
      </c>
      <c r="P3846" s="14">
        <v>-147</v>
      </c>
      <c r="Q3846">
        <v>9512</v>
      </c>
      <c r="R3846">
        <v>3976</v>
      </c>
      <c r="S3846">
        <v>0</v>
      </c>
    </row>
    <row r="3847" spans="11:19" x14ac:dyDescent="0.3">
      <c r="K3847" s="16">
        <f t="shared" si="59"/>
        <v>44176</v>
      </c>
      <c r="L3847" s="17">
        <v>0.20833333333333334</v>
      </c>
      <c r="M3847" s="14">
        <v>359</v>
      </c>
      <c r="N3847" s="14">
        <v>0</v>
      </c>
      <c r="O3847" s="14">
        <v>-198</v>
      </c>
      <c r="P3847" s="14">
        <v>161</v>
      </c>
      <c r="Q3847">
        <v>9994</v>
      </c>
      <c r="R3847">
        <v>4149</v>
      </c>
      <c r="S3847">
        <v>0</v>
      </c>
    </row>
    <row r="3848" spans="11:19" x14ac:dyDescent="0.3">
      <c r="K3848" s="16">
        <f t="shared" si="59"/>
        <v>44176</v>
      </c>
      <c r="L3848" s="17">
        <v>0.25</v>
      </c>
      <c r="M3848" s="14">
        <v>359</v>
      </c>
      <c r="N3848" s="14">
        <v>0</v>
      </c>
      <c r="O3848" s="14">
        <v>0</v>
      </c>
      <c r="P3848" s="14">
        <v>359</v>
      </c>
      <c r="Q3848">
        <v>11177</v>
      </c>
      <c r="R3848">
        <v>4112</v>
      </c>
      <c r="S3848">
        <v>0</v>
      </c>
    </row>
    <row r="3849" spans="11:19" x14ac:dyDescent="0.3">
      <c r="K3849" s="16">
        <f t="shared" si="59"/>
        <v>44176</v>
      </c>
      <c r="L3849" s="17">
        <v>0.29166666666666669</v>
      </c>
      <c r="M3849" s="14">
        <v>359</v>
      </c>
      <c r="N3849" s="14">
        <v>0</v>
      </c>
      <c r="O3849" s="14">
        <v>0</v>
      </c>
      <c r="P3849" s="14">
        <v>359</v>
      </c>
      <c r="Q3849">
        <v>12149</v>
      </c>
      <c r="R3849">
        <v>4065</v>
      </c>
      <c r="S3849">
        <v>0</v>
      </c>
    </row>
    <row r="3850" spans="11:19" x14ac:dyDescent="0.3">
      <c r="K3850" s="16">
        <f t="shared" si="59"/>
        <v>44176</v>
      </c>
      <c r="L3850" s="17">
        <v>0.33333333333333331</v>
      </c>
      <c r="M3850" s="14">
        <v>359</v>
      </c>
      <c r="N3850" s="14">
        <v>0</v>
      </c>
      <c r="O3850" s="14">
        <v>0</v>
      </c>
      <c r="P3850" s="14">
        <v>359</v>
      </c>
      <c r="Q3850">
        <v>12308</v>
      </c>
      <c r="R3850">
        <v>3872</v>
      </c>
      <c r="S3850">
        <v>30</v>
      </c>
    </row>
    <row r="3851" spans="11:19" x14ac:dyDescent="0.3">
      <c r="K3851" s="16">
        <f t="shared" si="59"/>
        <v>44176</v>
      </c>
      <c r="L3851" s="17">
        <v>0.375</v>
      </c>
      <c r="M3851" s="14">
        <v>359</v>
      </c>
      <c r="N3851" s="14">
        <v>0</v>
      </c>
      <c r="O3851" s="14">
        <v>0</v>
      </c>
      <c r="P3851" s="14">
        <v>359</v>
      </c>
      <c r="Q3851">
        <v>12308</v>
      </c>
      <c r="R3851">
        <v>3727</v>
      </c>
      <c r="S3851">
        <v>158</v>
      </c>
    </row>
    <row r="3852" spans="11:19" x14ac:dyDescent="0.3">
      <c r="K3852" s="16">
        <f t="shared" si="59"/>
        <v>44176</v>
      </c>
      <c r="L3852" s="17">
        <v>0.41666666666666669</v>
      </c>
      <c r="M3852" s="14">
        <v>359</v>
      </c>
      <c r="N3852" s="14">
        <v>0</v>
      </c>
      <c r="O3852" s="14">
        <v>0</v>
      </c>
      <c r="P3852" s="14">
        <v>359</v>
      </c>
      <c r="Q3852">
        <v>12308</v>
      </c>
      <c r="R3852">
        <v>3631</v>
      </c>
      <c r="S3852">
        <v>348</v>
      </c>
    </row>
    <row r="3853" spans="11:19" x14ac:dyDescent="0.3">
      <c r="K3853" s="16">
        <f t="shared" si="59"/>
        <v>44176</v>
      </c>
      <c r="L3853" s="17">
        <v>0.45833333333333331</v>
      </c>
      <c r="M3853" s="14">
        <v>359</v>
      </c>
      <c r="N3853" s="14">
        <v>0</v>
      </c>
      <c r="O3853" s="14">
        <v>0</v>
      </c>
      <c r="P3853" s="14">
        <v>359</v>
      </c>
      <c r="Q3853">
        <v>12392</v>
      </c>
      <c r="R3853">
        <v>3279</v>
      </c>
      <c r="S3853">
        <v>471</v>
      </c>
    </row>
    <row r="3854" spans="11:19" x14ac:dyDescent="0.3">
      <c r="K3854" s="16">
        <f t="shared" si="59"/>
        <v>44176</v>
      </c>
      <c r="L3854" s="17">
        <v>0.5</v>
      </c>
      <c r="M3854" s="14">
        <v>359</v>
      </c>
      <c r="N3854" s="14">
        <v>170</v>
      </c>
      <c r="O3854" s="14">
        <v>0</v>
      </c>
      <c r="P3854" s="14">
        <v>529</v>
      </c>
      <c r="Q3854">
        <v>12431</v>
      </c>
      <c r="R3854">
        <v>2947</v>
      </c>
      <c r="S3854">
        <v>543</v>
      </c>
    </row>
    <row r="3855" spans="11:19" x14ac:dyDescent="0.3">
      <c r="K3855" s="16">
        <f t="shared" si="59"/>
        <v>44176</v>
      </c>
      <c r="L3855" s="17">
        <v>0.54166666666666663</v>
      </c>
      <c r="M3855" s="14">
        <v>359</v>
      </c>
      <c r="N3855" s="14">
        <v>163</v>
      </c>
      <c r="O3855" s="14">
        <v>0</v>
      </c>
      <c r="P3855" s="14">
        <v>522</v>
      </c>
      <c r="Q3855">
        <v>12110</v>
      </c>
      <c r="R3855">
        <v>2651</v>
      </c>
      <c r="S3855">
        <v>524</v>
      </c>
    </row>
    <row r="3856" spans="11:19" x14ac:dyDescent="0.3">
      <c r="K3856" s="16">
        <f t="shared" si="59"/>
        <v>44176</v>
      </c>
      <c r="L3856" s="17">
        <v>0.58333333333333337</v>
      </c>
      <c r="M3856" s="14">
        <v>359</v>
      </c>
      <c r="N3856" s="14">
        <v>42</v>
      </c>
      <c r="O3856" s="14">
        <v>0</v>
      </c>
      <c r="P3856" s="14">
        <v>401</v>
      </c>
      <c r="Q3856">
        <v>11862</v>
      </c>
      <c r="R3856">
        <v>2620</v>
      </c>
      <c r="S3856">
        <v>428</v>
      </c>
    </row>
    <row r="3857" spans="11:19" x14ac:dyDescent="0.3">
      <c r="K3857" s="16">
        <f t="shared" si="59"/>
        <v>44176</v>
      </c>
      <c r="L3857" s="17">
        <v>0.625</v>
      </c>
      <c r="M3857" s="14">
        <v>359</v>
      </c>
      <c r="N3857" s="14">
        <v>90</v>
      </c>
      <c r="O3857" s="14">
        <v>0</v>
      </c>
      <c r="P3857" s="14">
        <v>449</v>
      </c>
      <c r="Q3857">
        <v>11707</v>
      </c>
      <c r="R3857">
        <v>2595</v>
      </c>
      <c r="S3857">
        <v>249</v>
      </c>
    </row>
    <row r="3858" spans="11:19" x14ac:dyDescent="0.3">
      <c r="K3858" s="16">
        <f t="shared" si="59"/>
        <v>44176</v>
      </c>
      <c r="L3858" s="17">
        <v>0.66666666666666663</v>
      </c>
      <c r="M3858" s="14">
        <v>359</v>
      </c>
      <c r="N3858" s="14">
        <v>0</v>
      </c>
      <c r="O3858" s="14">
        <v>0</v>
      </c>
      <c r="P3858" s="14">
        <v>359</v>
      </c>
      <c r="Q3858">
        <v>11644</v>
      </c>
      <c r="R3858">
        <v>2613</v>
      </c>
      <c r="S3858">
        <v>51</v>
      </c>
    </row>
    <row r="3859" spans="11:19" x14ac:dyDescent="0.3">
      <c r="K3859" s="16">
        <f t="shared" si="59"/>
        <v>44176</v>
      </c>
      <c r="L3859" s="17">
        <v>0.70833333333333337</v>
      </c>
      <c r="M3859" s="14">
        <v>359</v>
      </c>
      <c r="N3859" s="14">
        <v>847</v>
      </c>
      <c r="O3859" s="14">
        <v>0</v>
      </c>
      <c r="P3859" s="14">
        <v>1206</v>
      </c>
      <c r="Q3859">
        <v>12217</v>
      </c>
      <c r="R3859">
        <v>2593</v>
      </c>
      <c r="S3859">
        <v>3</v>
      </c>
    </row>
    <row r="3860" spans="11:19" x14ac:dyDescent="0.3">
      <c r="K3860" s="16">
        <f t="shared" si="59"/>
        <v>44176</v>
      </c>
      <c r="L3860" s="17">
        <v>0.75</v>
      </c>
      <c r="M3860" s="14">
        <v>359</v>
      </c>
      <c r="N3860" s="14">
        <v>0</v>
      </c>
      <c r="O3860" s="14">
        <v>60</v>
      </c>
      <c r="P3860" s="14">
        <v>419</v>
      </c>
      <c r="Q3860">
        <v>12446</v>
      </c>
      <c r="R3860">
        <v>2307</v>
      </c>
      <c r="S3860">
        <v>0</v>
      </c>
    </row>
    <row r="3861" spans="11:19" x14ac:dyDescent="0.3">
      <c r="K3861" s="16">
        <f t="shared" si="59"/>
        <v>44176</v>
      </c>
      <c r="L3861" s="17">
        <v>0.79166666666666663</v>
      </c>
      <c r="M3861" s="14">
        <v>359</v>
      </c>
      <c r="N3861" s="14">
        <v>910</v>
      </c>
      <c r="O3861" s="14">
        <v>0</v>
      </c>
      <c r="P3861" s="14">
        <v>1269</v>
      </c>
      <c r="Q3861">
        <v>12246</v>
      </c>
      <c r="R3861">
        <v>1994</v>
      </c>
      <c r="S3861">
        <v>0</v>
      </c>
    </row>
    <row r="3862" spans="11:19" x14ac:dyDescent="0.3">
      <c r="K3862" s="16">
        <f t="shared" si="59"/>
        <v>44176</v>
      </c>
      <c r="L3862" s="17">
        <v>0.83333333333333337</v>
      </c>
      <c r="M3862" s="14">
        <v>359</v>
      </c>
      <c r="N3862" s="14">
        <v>910</v>
      </c>
      <c r="O3862" s="14">
        <v>0</v>
      </c>
      <c r="P3862" s="14">
        <v>1269</v>
      </c>
      <c r="Q3862">
        <v>11531</v>
      </c>
      <c r="R3862">
        <v>1674</v>
      </c>
      <c r="S3862">
        <v>0</v>
      </c>
    </row>
    <row r="3863" spans="11:19" x14ac:dyDescent="0.3">
      <c r="K3863" s="16">
        <f t="shared" si="59"/>
        <v>44176</v>
      </c>
      <c r="L3863" s="17">
        <v>0.875</v>
      </c>
      <c r="M3863" s="14">
        <v>359</v>
      </c>
      <c r="N3863" s="14">
        <v>0</v>
      </c>
      <c r="O3863" s="14">
        <v>752</v>
      </c>
      <c r="P3863" s="14">
        <v>1111</v>
      </c>
      <c r="Q3863">
        <v>10943</v>
      </c>
      <c r="R3863">
        <v>1437</v>
      </c>
      <c r="S3863">
        <v>0</v>
      </c>
    </row>
    <row r="3864" spans="11:19" x14ac:dyDescent="0.3">
      <c r="K3864" s="16">
        <f t="shared" si="59"/>
        <v>44176</v>
      </c>
      <c r="L3864" s="17">
        <v>0.91666666666666663</v>
      </c>
      <c r="M3864" s="14">
        <v>359</v>
      </c>
      <c r="N3864" s="14">
        <v>0</v>
      </c>
      <c r="O3864" s="14">
        <v>0</v>
      </c>
      <c r="P3864" s="14">
        <v>359</v>
      </c>
      <c r="Q3864">
        <v>11155</v>
      </c>
      <c r="R3864">
        <v>1246</v>
      </c>
      <c r="S3864">
        <v>0</v>
      </c>
    </row>
    <row r="3865" spans="11:19" x14ac:dyDescent="0.3">
      <c r="K3865" s="16">
        <f t="shared" si="59"/>
        <v>44176</v>
      </c>
      <c r="L3865" s="17">
        <v>0.95833333333333337</v>
      </c>
      <c r="M3865" s="14">
        <v>359</v>
      </c>
      <c r="N3865" s="14">
        <v>0</v>
      </c>
      <c r="O3865" s="14">
        <v>0</v>
      </c>
      <c r="P3865" s="14">
        <v>359</v>
      </c>
      <c r="Q3865">
        <v>11293</v>
      </c>
      <c r="R3865">
        <v>1162</v>
      </c>
      <c r="S3865">
        <v>0</v>
      </c>
    </row>
    <row r="3866" spans="11:19" x14ac:dyDescent="0.3">
      <c r="K3866" s="16">
        <f t="shared" si="59"/>
        <v>44177</v>
      </c>
      <c r="L3866" s="17">
        <v>0</v>
      </c>
      <c r="M3866" s="14">
        <v>359</v>
      </c>
      <c r="N3866" s="14">
        <v>0</v>
      </c>
      <c r="O3866" s="14">
        <v>0</v>
      </c>
      <c r="P3866" s="14">
        <v>359</v>
      </c>
      <c r="Q3866">
        <v>10597</v>
      </c>
      <c r="R3866">
        <v>1329</v>
      </c>
      <c r="S3866">
        <v>0</v>
      </c>
    </row>
    <row r="3867" spans="11:19" x14ac:dyDescent="0.3">
      <c r="K3867" s="16">
        <f t="shared" ref="K3867:K3930" si="60">K3843+1</f>
        <v>44177</v>
      </c>
      <c r="L3867" s="17">
        <v>4.1666666666666664E-2</v>
      </c>
      <c r="M3867" s="14">
        <v>359</v>
      </c>
      <c r="N3867" s="14">
        <v>0</v>
      </c>
      <c r="O3867" s="14">
        <v>0</v>
      </c>
      <c r="P3867" s="14">
        <v>359</v>
      </c>
      <c r="Q3867">
        <v>10164</v>
      </c>
      <c r="R3867">
        <v>1385</v>
      </c>
      <c r="S3867">
        <v>0</v>
      </c>
    </row>
    <row r="3868" spans="11:19" x14ac:dyDescent="0.3">
      <c r="K3868" s="16">
        <f t="shared" si="60"/>
        <v>44177</v>
      </c>
      <c r="L3868" s="17">
        <v>8.3333333333333329E-2</v>
      </c>
      <c r="M3868" s="14">
        <v>359</v>
      </c>
      <c r="N3868" s="14">
        <v>0</v>
      </c>
      <c r="O3868" s="14">
        <v>0</v>
      </c>
      <c r="P3868" s="14">
        <v>359</v>
      </c>
      <c r="Q3868">
        <v>9798</v>
      </c>
      <c r="R3868">
        <v>1335</v>
      </c>
      <c r="S3868">
        <v>0</v>
      </c>
    </row>
    <row r="3869" spans="11:19" x14ac:dyDescent="0.3">
      <c r="K3869" s="16">
        <f t="shared" si="60"/>
        <v>44177</v>
      </c>
      <c r="L3869" s="17">
        <v>0.125</v>
      </c>
      <c r="M3869" s="14">
        <v>359</v>
      </c>
      <c r="N3869" s="14">
        <v>0</v>
      </c>
      <c r="O3869" s="14">
        <v>0</v>
      </c>
      <c r="P3869" s="14">
        <v>359</v>
      </c>
      <c r="Q3869">
        <v>9313</v>
      </c>
      <c r="R3869">
        <v>1299</v>
      </c>
      <c r="S3869">
        <v>0</v>
      </c>
    </row>
    <row r="3870" spans="11:19" x14ac:dyDescent="0.3">
      <c r="K3870" s="16">
        <f t="shared" si="60"/>
        <v>44177</v>
      </c>
      <c r="L3870" s="17">
        <v>0.16666666666666666</v>
      </c>
      <c r="M3870" s="14">
        <v>359</v>
      </c>
      <c r="N3870" s="14">
        <v>0</v>
      </c>
      <c r="O3870" s="14">
        <v>0</v>
      </c>
      <c r="P3870" s="14">
        <v>359</v>
      </c>
      <c r="Q3870">
        <v>9136</v>
      </c>
      <c r="R3870">
        <v>1433</v>
      </c>
      <c r="S3870">
        <v>0</v>
      </c>
    </row>
    <row r="3871" spans="11:19" x14ac:dyDescent="0.3">
      <c r="K3871" s="16">
        <f t="shared" si="60"/>
        <v>44177</v>
      </c>
      <c r="L3871" s="17">
        <v>0.20833333333333334</v>
      </c>
      <c r="M3871" s="14">
        <v>359</v>
      </c>
      <c r="N3871" s="14">
        <v>0</v>
      </c>
      <c r="O3871" s="14">
        <v>0</v>
      </c>
      <c r="P3871" s="14">
        <v>359</v>
      </c>
      <c r="Q3871">
        <v>9300</v>
      </c>
      <c r="R3871">
        <v>1386</v>
      </c>
      <c r="S3871">
        <v>0</v>
      </c>
    </row>
    <row r="3872" spans="11:19" x14ac:dyDescent="0.3">
      <c r="K3872" s="16">
        <f t="shared" si="60"/>
        <v>44177</v>
      </c>
      <c r="L3872" s="17">
        <v>0.25</v>
      </c>
      <c r="M3872" s="14">
        <v>359</v>
      </c>
      <c r="N3872" s="14">
        <v>0</v>
      </c>
      <c r="O3872" s="14">
        <v>0</v>
      </c>
      <c r="P3872" s="14">
        <v>359</v>
      </c>
      <c r="Q3872">
        <v>9673</v>
      </c>
      <c r="R3872">
        <v>1551</v>
      </c>
      <c r="S3872">
        <v>0</v>
      </c>
    </row>
    <row r="3873" spans="11:19" x14ac:dyDescent="0.3">
      <c r="K3873" s="16">
        <f t="shared" si="60"/>
        <v>44177</v>
      </c>
      <c r="L3873" s="17">
        <v>0.29166666666666669</v>
      </c>
      <c r="M3873" s="14">
        <v>359</v>
      </c>
      <c r="N3873" s="14">
        <v>0</v>
      </c>
      <c r="O3873" s="14">
        <v>0</v>
      </c>
      <c r="P3873" s="14">
        <v>359</v>
      </c>
      <c r="Q3873">
        <v>10074</v>
      </c>
      <c r="R3873">
        <v>1516</v>
      </c>
      <c r="S3873">
        <v>0</v>
      </c>
    </row>
    <row r="3874" spans="11:19" x14ac:dyDescent="0.3">
      <c r="K3874" s="16">
        <f t="shared" si="60"/>
        <v>44177</v>
      </c>
      <c r="L3874" s="17">
        <v>0.33333333333333331</v>
      </c>
      <c r="M3874" s="14">
        <v>359</v>
      </c>
      <c r="N3874" s="14">
        <v>0</v>
      </c>
      <c r="O3874" s="14">
        <v>0</v>
      </c>
      <c r="P3874" s="14">
        <v>359</v>
      </c>
      <c r="Q3874">
        <v>10514</v>
      </c>
      <c r="R3874">
        <v>1629</v>
      </c>
      <c r="S3874">
        <v>40</v>
      </c>
    </row>
    <row r="3875" spans="11:19" x14ac:dyDescent="0.3">
      <c r="K3875" s="16">
        <f t="shared" si="60"/>
        <v>44177</v>
      </c>
      <c r="L3875" s="17">
        <v>0.375</v>
      </c>
      <c r="M3875" s="14">
        <v>359</v>
      </c>
      <c r="N3875" s="14">
        <v>0</v>
      </c>
      <c r="O3875" s="14">
        <v>0</v>
      </c>
      <c r="P3875" s="14">
        <v>359</v>
      </c>
      <c r="Q3875">
        <v>10840</v>
      </c>
      <c r="R3875">
        <v>1859</v>
      </c>
      <c r="S3875">
        <v>223</v>
      </c>
    </row>
    <row r="3876" spans="11:19" x14ac:dyDescent="0.3">
      <c r="K3876" s="16">
        <f t="shared" si="60"/>
        <v>44177</v>
      </c>
      <c r="L3876" s="17">
        <v>0.41666666666666669</v>
      </c>
      <c r="M3876" s="14">
        <v>359</v>
      </c>
      <c r="N3876" s="14">
        <v>0</v>
      </c>
      <c r="O3876" s="14">
        <v>0</v>
      </c>
      <c r="P3876" s="14">
        <v>359</v>
      </c>
      <c r="Q3876">
        <v>10964</v>
      </c>
      <c r="R3876">
        <v>2094</v>
      </c>
      <c r="S3876">
        <v>475</v>
      </c>
    </row>
    <row r="3877" spans="11:19" x14ac:dyDescent="0.3">
      <c r="K3877" s="16">
        <f t="shared" si="60"/>
        <v>44177</v>
      </c>
      <c r="L3877" s="17">
        <v>0.45833333333333331</v>
      </c>
      <c r="M3877" s="14">
        <v>359</v>
      </c>
      <c r="N3877" s="14">
        <v>0</v>
      </c>
      <c r="O3877" s="14">
        <v>0</v>
      </c>
      <c r="P3877" s="14">
        <v>359</v>
      </c>
      <c r="Q3877">
        <v>11128</v>
      </c>
      <c r="R3877">
        <v>2385</v>
      </c>
      <c r="S3877">
        <v>623</v>
      </c>
    </row>
    <row r="3878" spans="11:19" x14ac:dyDescent="0.3">
      <c r="K3878" s="16">
        <f t="shared" si="60"/>
        <v>44177</v>
      </c>
      <c r="L3878" s="17">
        <v>0.5</v>
      </c>
      <c r="M3878" s="14">
        <v>359</v>
      </c>
      <c r="N3878" s="14">
        <v>0</v>
      </c>
      <c r="O3878" s="14">
        <v>0</v>
      </c>
      <c r="P3878" s="14">
        <v>359</v>
      </c>
      <c r="Q3878">
        <v>11444</v>
      </c>
      <c r="R3878">
        <v>2633</v>
      </c>
      <c r="S3878">
        <v>704</v>
      </c>
    </row>
    <row r="3879" spans="11:19" x14ac:dyDescent="0.3">
      <c r="K3879" s="16">
        <f t="shared" si="60"/>
        <v>44177</v>
      </c>
      <c r="L3879" s="17">
        <v>0.54166666666666663</v>
      </c>
      <c r="M3879" s="14">
        <v>359</v>
      </c>
      <c r="N3879" s="14">
        <v>0</v>
      </c>
      <c r="O3879" s="14">
        <v>0</v>
      </c>
      <c r="P3879" s="14">
        <v>359</v>
      </c>
      <c r="Q3879">
        <v>11014</v>
      </c>
      <c r="R3879">
        <v>2616</v>
      </c>
      <c r="S3879">
        <v>681</v>
      </c>
    </row>
    <row r="3880" spans="11:19" x14ac:dyDescent="0.3">
      <c r="K3880" s="16">
        <f t="shared" si="60"/>
        <v>44177</v>
      </c>
      <c r="L3880" s="17">
        <v>0.58333333333333337</v>
      </c>
      <c r="M3880" s="14">
        <v>359</v>
      </c>
      <c r="N3880" s="14">
        <v>0</v>
      </c>
      <c r="O3880" s="14">
        <v>0</v>
      </c>
      <c r="P3880" s="14">
        <v>359</v>
      </c>
      <c r="Q3880">
        <v>10639</v>
      </c>
      <c r="R3880">
        <v>2614</v>
      </c>
      <c r="S3880">
        <v>527</v>
      </c>
    </row>
    <row r="3881" spans="11:19" x14ac:dyDescent="0.3">
      <c r="K3881" s="16">
        <f t="shared" si="60"/>
        <v>44177</v>
      </c>
      <c r="L3881" s="17">
        <v>0.625</v>
      </c>
      <c r="M3881" s="14">
        <v>359</v>
      </c>
      <c r="N3881" s="14">
        <v>0</v>
      </c>
      <c r="O3881" s="14">
        <v>0</v>
      </c>
      <c r="P3881" s="14">
        <v>359</v>
      </c>
      <c r="Q3881">
        <v>10442</v>
      </c>
      <c r="R3881">
        <v>2786</v>
      </c>
      <c r="S3881">
        <v>294</v>
      </c>
    </row>
    <row r="3882" spans="11:19" x14ac:dyDescent="0.3">
      <c r="K3882" s="16">
        <f t="shared" si="60"/>
        <v>44177</v>
      </c>
      <c r="L3882" s="17">
        <v>0.66666666666666663</v>
      </c>
      <c r="M3882" s="14">
        <v>359</v>
      </c>
      <c r="N3882" s="14">
        <v>0</v>
      </c>
      <c r="O3882" s="14">
        <v>0</v>
      </c>
      <c r="P3882" s="14">
        <v>359</v>
      </c>
      <c r="Q3882">
        <v>10336</v>
      </c>
      <c r="R3882">
        <v>2902</v>
      </c>
      <c r="S3882">
        <v>64</v>
      </c>
    </row>
    <row r="3883" spans="11:19" x14ac:dyDescent="0.3">
      <c r="K3883" s="16">
        <f t="shared" si="60"/>
        <v>44177</v>
      </c>
      <c r="L3883" s="17">
        <v>0.70833333333333337</v>
      </c>
      <c r="M3883" s="14">
        <v>359</v>
      </c>
      <c r="N3883" s="14">
        <v>0</v>
      </c>
      <c r="O3883" s="14">
        <v>0</v>
      </c>
      <c r="P3883" s="14">
        <v>359</v>
      </c>
      <c r="Q3883">
        <v>10897</v>
      </c>
      <c r="R3883">
        <v>3186</v>
      </c>
      <c r="S3883">
        <v>4</v>
      </c>
    </row>
    <row r="3884" spans="11:19" x14ac:dyDescent="0.3">
      <c r="K3884" s="16">
        <f t="shared" si="60"/>
        <v>44177</v>
      </c>
      <c r="L3884" s="17">
        <v>0.75</v>
      </c>
      <c r="M3884" s="14">
        <v>359</v>
      </c>
      <c r="N3884" s="14">
        <v>0</v>
      </c>
      <c r="O3884" s="14">
        <v>0</v>
      </c>
      <c r="P3884" s="14">
        <v>359</v>
      </c>
      <c r="Q3884">
        <v>11099</v>
      </c>
      <c r="R3884">
        <v>3349</v>
      </c>
      <c r="S3884">
        <v>0</v>
      </c>
    </row>
    <row r="3885" spans="11:19" x14ac:dyDescent="0.3">
      <c r="K3885" s="16">
        <f t="shared" si="60"/>
        <v>44177</v>
      </c>
      <c r="L3885" s="17">
        <v>0.79166666666666663</v>
      </c>
      <c r="M3885" s="14">
        <v>359</v>
      </c>
      <c r="N3885" s="14">
        <v>0</v>
      </c>
      <c r="O3885" s="14">
        <v>0</v>
      </c>
      <c r="P3885" s="14">
        <v>359</v>
      </c>
      <c r="Q3885">
        <v>11014</v>
      </c>
      <c r="R3885">
        <v>3456</v>
      </c>
      <c r="S3885">
        <v>0</v>
      </c>
    </row>
    <row r="3886" spans="11:19" x14ac:dyDescent="0.3">
      <c r="K3886" s="16">
        <f t="shared" si="60"/>
        <v>44177</v>
      </c>
      <c r="L3886" s="17">
        <v>0.83333333333333337</v>
      </c>
      <c r="M3886" s="14">
        <v>359</v>
      </c>
      <c r="N3886" s="14">
        <v>0</v>
      </c>
      <c r="O3886" s="14">
        <v>0</v>
      </c>
      <c r="P3886" s="14">
        <v>359</v>
      </c>
      <c r="Q3886">
        <v>10445</v>
      </c>
      <c r="R3886">
        <v>3396</v>
      </c>
      <c r="S3886">
        <v>0</v>
      </c>
    </row>
    <row r="3887" spans="11:19" x14ac:dyDescent="0.3">
      <c r="K3887" s="16">
        <f t="shared" si="60"/>
        <v>44177</v>
      </c>
      <c r="L3887" s="17">
        <v>0.875</v>
      </c>
      <c r="M3887" s="14">
        <v>359</v>
      </c>
      <c r="N3887" s="14">
        <v>0</v>
      </c>
      <c r="O3887" s="14">
        <v>0</v>
      </c>
      <c r="P3887" s="14">
        <v>359</v>
      </c>
      <c r="Q3887">
        <v>9946</v>
      </c>
      <c r="R3887">
        <v>3562</v>
      </c>
      <c r="S3887">
        <v>0</v>
      </c>
    </row>
    <row r="3888" spans="11:19" x14ac:dyDescent="0.3">
      <c r="K3888" s="16">
        <f t="shared" si="60"/>
        <v>44177</v>
      </c>
      <c r="L3888" s="17">
        <v>0.91666666666666663</v>
      </c>
      <c r="M3888" s="14">
        <v>359</v>
      </c>
      <c r="N3888" s="14">
        <v>0</v>
      </c>
      <c r="O3888" s="14">
        <v>0</v>
      </c>
      <c r="P3888" s="14">
        <v>359</v>
      </c>
      <c r="Q3888">
        <v>10211</v>
      </c>
      <c r="R3888">
        <v>3725</v>
      </c>
      <c r="S3888">
        <v>0</v>
      </c>
    </row>
    <row r="3889" spans="11:19" x14ac:dyDescent="0.3">
      <c r="K3889" s="16">
        <f t="shared" si="60"/>
        <v>44177</v>
      </c>
      <c r="L3889" s="17">
        <v>0.95833333333333337</v>
      </c>
      <c r="M3889" s="14">
        <v>359</v>
      </c>
      <c r="N3889" s="14">
        <v>0</v>
      </c>
      <c r="O3889" s="14">
        <v>0</v>
      </c>
      <c r="P3889" s="14">
        <v>359</v>
      </c>
      <c r="Q3889">
        <v>10593</v>
      </c>
      <c r="R3889">
        <v>3560</v>
      </c>
      <c r="S3889">
        <v>0</v>
      </c>
    </row>
    <row r="3890" spans="11:19" x14ac:dyDescent="0.3">
      <c r="K3890" s="16">
        <f t="shared" si="60"/>
        <v>44178</v>
      </c>
      <c r="L3890" s="17">
        <v>0</v>
      </c>
      <c r="M3890" s="14">
        <v>359</v>
      </c>
      <c r="N3890" s="14">
        <v>0</v>
      </c>
      <c r="O3890" s="14">
        <v>0</v>
      </c>
      <c r="P3890" s="14">
        <v>359</v>
      </c>
      <c r="Q3890">
        <v>10148</v>
      </c>
      <c r="R3890">
        <v>3848</v>
      </c>
      <c r="S3890">
        <v>0</v>
      </c>
    </row>
    <row r="3891" spans="11:19" x14ac:dyDescent="0.3">
      <c r="K3891" s="16">
        <f t="shared" si="60"/>
        <v>44178</v>
      </c>
      <c r="L3891" s="17">
        <v>4.1666666666666664E-2</v>
      </c>
      <c r="M3891" s="14">
        <v>359</v>
      </c>
      <c r="N3891" s="14">
        <v>0</v>
      </c>
      <c r="O3891" s="14">
        <v>-305</v>
      </c>
      <c r="P3891" s="14">
        <v>54</v>
      </c>
      <c r="Q3891">
        <v>9731</v>
      </c>
      <c r="R3891">
        <v>3989</v>
      </c>
      <c r="S3891">
        <v>0</v>
      </c>
    </row>
    <row r="3892" spans="11:19" x14ac:dyDescent="0.3">
      <c r="K3892" s="16">
        <f t="shared" si="60"/>
        <v>44178</v>
      </c>
      <c r="L3892" s="17">
        <v>8.3333333333333329E-2</v>
      </c>
      <c r="M3892" s="14">
        <v>359</v>
      </c>
      <c r="N3892" s="14">
        <v>0</v>
      </c>
      <c r="O3892" s="14">
        <v>-643</v>
      </c>
      <c r="P3892" s="14">
        <v>-284</v>
      </c>
      <c r="Q3892">
        <v>9305</v>
      </c>
      <c r="R3892">
        <v>4143</v>
      </c>
      <c r="S3892">
        <v>0</v>
      </c>
    </row>
    <row r="3893" spans="11:19" x14ac:dyDescent="0.3">
      <c r="K3893" s="16">
        <f t="shared" si="60"/>
        <v>44178</v>
      </c>
      <c r="L3893" s="17">
        <v>0.125</v>
      </c>
      <c r="M3893" s="14">
        <v>359</v>
      </c>
      <c r="N3893" s="14">
        <v>0</v>
      </c>
      <c r="O3893" s="14">
        <v>-1156</v>
      </c>
      <c r="P3893" s="14">
        <v>-797</v>
      </c>
      <c r="Q3893">
        <v>8751</v>
      </c>
      <c r="R3893">
        <v>4105</v>
      </c>
      <c r="S3893">
        <v>0</v>
      </c>
    </row>
    <row r="3894" spans="11:19" x14ac:dyDescent="0.3">
      <c r="K3894" s="16">
        <f t="shared" si="60"/>
        <v>44178</v>
      </c>
      <c r="L3894" s="17">
        <v>0.16666666666666666</v>
      </c>
      <c r="M3894" s="14">
        <v>359</v>
      </c>
      <c r="N3894" s="14">
        <v>0</v>
      </c>
      <c r="O3894" s="14">
        <v>-1200</v>
      </c>
      <c r="P3894" s="14">
        <v>-841</v>
      </c>
      <c r="Q3894">
        <v>8491</v>
      </c>
      <c r="R3894">
        <v>4004</v>
      </c>
      <c r="S3894">
        <v>0</v>
      </c>
    </row>
    <row r="3895" spans="11:19" x14ac:dyDescent="0.3">
      <c r="K3895" s="16">
        <f t="shared" si="60"/>
        <v>44178</v>
      </c>
      <c r="L3895" s="17">
        <v>0.20833333333333334</v>
      </c>
      <c r="M3895" s="14">
        <v>359</v>
      </c>
      <c r="N3895" s="14">
        <v>0</v>
      </c>
      <c r="O3895" s="14">
        <v>-1200</v>
      </c>
      <c r="P3895" s="14">
        <v>-841</v>
      </c>
      <c r="Q3895">
        <v>8531</v>
      </c>
      <c r="R3895">
        <v>3972</v>
      </c>
      <c r="S3895">
        <v>0</v>
      </c>
    </row>
    <row r="3896" spans="11:19" x14ac:dyDescent="0.3">
      <c r="K3896" s="16">
        <f t="shared" si="60"/>
        <v>44178</v>
      </c>
      <c r="L3896" s="17">
        <v>0.25</v>
      </c>
      <c r="M3896" s="14">
        <v>359</v>
      </c>
      <c r="N3896" s="14">
        <v>0</v>
      </c>
      <c r="O3896" s="14">
        <v>-888</v>
      </c>
      <c r="P3896" s="14">
        <v>-529</v>
      </c>
      <c r="Q3896">
        <v>8768</v>
      </c>
      <c r="R3896">
        <v>3857</v>
      </c>
      <c r="S3896">
        <v>0</v>
      </c>
    </row>
    <row r="3897" spans="11:19" x14ac:dyDescent="0.3">
      <c r="K3897" s="16">
        <f t="shared" si="60"/>
        <v>44178</v>
      </c>
      <c r="L3897" s="17">
        <v>0.29166666666666669</v>
      </c>
      <c r="M3897" s="14">
        <v>359</v>
      </c>
      <c r="N3897" s="14">
        <v>0</v>
      </c>
      <c r="O3897" s="14">
        <v>-753</v>
      </c>
      <c r="P3897" s="14">
        <v>-394</v>
      </c>
      <c r="Q3897">
        <v>9031</v>
      </c>
      <c r="R3897">
        <v>3741</v>
      </c>
      <c r="S3897">
        <v>0</v>
      </c>
    </row>
    <row r="3898" spans="11:19" x14ac:dyDescent="0.3">
      <c r="K3898" s="16">
        <f t="shared" si="60"/>
        <v>44178</v>
      </c>
      <c r="L3898" s="17">
        <v>0.33333333333333331</v>
      </c>
      <c r="M3898" s="14">
        <v>359</v>
      </c>
      <c r="N3898" s="14">
        <v>0</v>
      </c>
      <c r="O3898" s="14">
        <v>0</v>
      </c>
      <c r="P3898" s="14">
        <v>359</v>
      </c>
      <c r="Q3898">
        <v>9517</v>
      </c>
      <c r="R3898">
        <v>3362</v>
      </c>
      <c r="S3898">
        <v>34</v>
      </c>
    </row>
    <row r="3899" spans="11:19" x14ac:dyDescent="0.3">
      <c r="K3899" s="16">
        <f t="shared" si="60"/>
        <v>44178</v>
      </c>
      <c r="L3899" s="17">
        <v>0.375</v>
      </c>
      <c r="M3899" s="14">
        <v>359</v>
      </c>
      <c r="N3899" s="14">
        <v>0</v>
      </c>
      <c r="O3899" s="14">
        <v>0</v>
      </c>
      <c r="P3899" s="14">
        <v>359</v>
      </c>
      <c r="Q3899">
        <v>10064</v>
      </c>
      <c r="R3899">
        <v>3182</v>
      </c>
      <c r="S3899">
        <v>219</v>
      </c>
    </row>
    <row r="3900" spans="11:19" x14ac:dyDescent="0.3">
      <c r="K3900" s="16">
        <f t="shared" si="60"/>
        <v>44178</v>
      </c>
      <c r="L3900" s="17">
        <v>0.41666666666666669</v>
      </c>
      <c r="M3900" s="14">
        <v>359</v>
      </c>
      <c r="N3900" s="14">
        <v>0</v>
      </c>
      <c r="O3900" s="14">
        <v>0</v>
      </c>
      <c r="P3900" s="14">
        <v>359</v>
      </c>
      <c r="Q3900">
        <v>10485</v>
      </c>
      <c r="R3900">
        <v>2858</v>
      </c>
      <c r="S3900">
        <v>478</v>
      </c>
    </row>
    <row r="3901" spans="11:19" x14ac:dyDescent="0.3">
      <c r="K3901" s="16">
        <f t="shared" si="60"/>
        <v>44178</v>
      </c>
      <c r="L3901" s="17">
        <v>0.45833333333333331</v>
      </c>
      <c r="M3901" s="14">
        <v>359</v>
      </c>
      <c r="N3901" s="14">
        <v>0</v>
      </c>
      <c r="O3901" s="14">
        <v>0</v>
      </c>
      <c r="P3901" s="14">
        <v>359</v>
      </c>
      <c r="Q3901">
        <v>10802</v>
      </c>
      <c r="R3901">
        <v>2661</v>
      </c>
      <c r="S3901">
        <v>604</v>
      </c>
    </row>
    <row r="3902" spans="11:19" x14ac:dyDescent="0.3">
      <c r="K3902" s="16">
        <f t="shared" si="60"/>
        <v>44178</v>
      </c>
      <c r="L3902" s="17">
        <v>0.5</v>
      </c>
      <c r="M3902" s="14">
        <v>359</v>
      </c>
      <c r="N3902" s="14">
        <v>0</v>
      </c>
      <c r="O3902" s="14">
        <v>0</v>
      </c>
      <c r="P3902" s="14">
        <v>359</v>
      </c>
      <c r="Q3902">
        <v>11195</v>
      </c>
      <c r="R3902">
        <v>2698</v>
      </c>
      <c r="S3902">
        <v>690</v>
      </c>
    </row>
    <row r="3903" spans="11:19" x14ac:dyDescent="0.3">
      <c r="K3903" s="16">
        <f t="shared" si="60"/>
        <v>44178</v>
      </c>
      <c r="L3903" s="17">
        <v>0.54166666666666663</v>
      </c>
      <c r="M3903" s="14">
        <v>359</v>
      </c>
      <c r="N3903" s="14">
        <v>0</v>
      </c>
      <c r="O3903" s="14">
        <v>0</v>
      </c>
      <c r="P3903" s="14">
        <v>359</v>
      </c>
      <c r="Q3903">
        <v>10688</v>
      </c>
      <c r="R3903">
        <v>2574</v>
      </c>
      <c r="S3903">
        <v>623</v>
      </c>
    </row>
    <row r="3904" spans="11:19" x14ac:dyDescent="0.3">
      <c r="K3904" s="16">
        <f t="shared" si="60"/>
        <v>44178</v>
      </c>
      <c r="L3904" s="17">
        <v>0.58333333333333337</v>
      </c>
      <c r="M3904" s="14">
        <v>359</v>
      </c>
      <c r="N3904" s="14">
        <v>0</v>
      </c>
      <c r="O3904" s="14">
        <v>0</v>
      </c>
      <c r="P3904" s="14">
        <v>359</v>
      </c>
      <c r="Q3904">
        <v>10300</v>
      </c>
      <c r="R3904">
        <v>2173</v>
      </c>
      <c r="S3904">
        <v>493</v>
      </c>
    </row>
    <row r="3905" spans="11:19" x14ac:dyDescent="0.3">
      <c r="K3905" s="16">
        <f t="shared" si="60"/>
        <v>44178</v>
      </c>
      <c r="L3905" s="17">
        <v>0.625</v>
      </c>
      <c r="M3905" s="14">
        <v>359</v>
      </c>
      <c r="N3905" s="14">
        <v>0</v>
      </c>
      <c r="O3905" s="14">
        <v>0</v>
      </c>
      <c r="P3905" s="14">
        <v>359</v>
      </c>
      <c r="Q3905">
        <v>10143</v>
      </c>
      <c r="R3905">
        <v>2261</v>
      </c>
      <c r="S3905">
        <v>263</v>
      </c>
    </row>
    <row r="3906" spans="11:19" x14ac:dyDescent="0.3">
      <c r="K3906" s="16">
        <f t="shared" si="60"/>
        <v>44178</v>
      </c>
      <c r="L3906" s="17">
        <v>0.66666666666666663</v>
      </c>
      <c r="M3906" s="14">
        <v>359</v>
      </c>
      <c r="N3906" s="14">
        <v>0</v>
      </c>
      <c r="O3906" s="14">
        <v>0</v>
      </c>
      <c r="P3906" s="14">
        <v>359</v>
      </c>
      <c r="Q3906">
        <v>10202</v>
      </c>
      <c r="R3906">
        <v>2174</v>
      </c>
      <c r="S3906">
        <v>50</v>
      </c>
    </row>
    <row r="3907" spans="11:19" x14ac:dyDescent="0.3">
      <c r="K3907" s="16">
        <f t="shared" si="60"/>
        <v>44178</v>
      </c>
      <c r="L3907" s="17">
        <v>0.70833333333333337</v>
      </c>
      <c r="M3907" s="14">
        <v>359</v>
      </c>
      <c r="N3907" s="14">
        <v>0</v>
      </c>
      <c r="O3907" s="14">
        <v>366</v>
      </c>
      <c r="P3907" s="14">
        <v>725</v>
      </c>
      <c r="Q3907">
        <v>10970</v>
      </c>
      <c r="R3907">
        <v>1836</v>
      </c>
      <c r="S3907">
        <v>3</v>
      </c>
    </row>
    <row r="3908" spans="11:19" x14ac:dyDescent="0.3">
      <c r="K3908" s="16">
        <f t="shared" si="60"/>
        <v>44178</v>
      </c>
      <c r="L3908" s="17">
        <v>0.75</v>
      </c>
      <c r="M3908" s="14">
        <v>359</v>
      </c>
      <c r="N3908" s="14">
        <v>0</v>
      </c>
      <c r="O3908" s="14">
        <v>1151</v>
      </c>
      <c r="P3908" s="14">
        <v>1510</v>
      </c>
      <c r="Q3908">
        <v>11442</v>
      </c>
      <c r="R3908">
        <v>1539</v>
      </c>
      <c r="S3908">
        <v>0</v>
      </c>
    </row>
    <row r="3909" spans="11:19" x14ac:dyDescent="0.3">
      <c r="K3909" s="16">
        <f t="shared" si="60"/>
        <v>44178</v>
      </c>
      <c r="L3909" s="17">
        <v>0.79166666666666663</v>
      </c>
      <c r="M3909" s="14">
        <v>359</v>
      </c>
      <c r="N3909" s="14">
        <v>0</v>
      </c>
      <c r="O3909" s="14">
        <v>1200</v>
      </c>
      <c r="P3909" s="14">
        <v>1559</v>
      </c>
      <c r="Q3909">
        <v>11537</v>
      </c>
      <c r="R3909">
        <v>1254</v>
      </c>
      <c r="S3909">
        <v>0</v>
      </c>
    </row>
    <row r="3910" spans="11:19" x14ac:dyDescent="0.3">
      <c r="K3910" s="16">
        <f t="shared" si="60"/>
        <v>44178</v>
      </c>
      <c r="L3910" s="17">
        <v>0.83333333333333337</v>
      </c>
      <c r="M3910" s="14">
        <v>359</v>
      </c>
      <c r="N3910" s="14">
        <v>0</v>
      </c>
      <c r="O3910" s="14">
        <v>629</v>
      </c>
      <c r="P3910" s="14">
        <v>988</v>
      </c>
      <c r="Q3910">
        <v>11053</v>
      </c>
      <c r="R3910">
        <v>1135</v>
      </c>
      <c r="S3910">
        <v>0</v>
      </c>
    </row>
    <row r="3911" spans="11:19" x14ac:dyDescent="0.3">
      <c r="K3911" s="16">
        <f t="shared" si="60"/>
        <v>44178</v>
      </c>
      <c r="L3911" s="17">
        <v>0.875</v>
      </c>
      <c r="M3911" s="14">
        <v>359</v>
      </c>
      <c r="N3911" s="14">
        <v>0</v>
      </c>
      <c r="O3911" s="14">
        <v>660</v>
      </c>
      <c r="P3911" s="14">
        <v>1019</v>
      </c>
      <c r="Q3911">
        <v>10444</v>
      </c>
      <c r="R3911">
        <v>1052</v>
      </c>
      <c r="S3911">
        <v>0</v>
      </c>
    </row>
    <row r="3912" spans="11:19" x14ac:dyDescent="0.3">
      <c r="K3912" s="16">
        <f t="shared" si="60"/>
        <v>44178</v>
      </c>
      <c r="L3912" s="17">
        <v>0.91666666666666663</v>
      </c>
      <c r="M3912" s="14">
        <v>359</v>
      </c>
      <c r="N3912" s="14">
        <v>0</v>
      </c>
      <c r="O3912" s="14">
        <v>912</v>
      </c>
      <c r="P3912" s="14">
        <v>1271</v>
      </c>
      <c r="Q3912">
        <v>10583</v>
      </c>
      <c r="R3912">
        <v>940</v>
      </c>
      <c r="S3912">
        <v>0</v>
      </c>
    </row>
    <row r="3913" spans="11:19" x14ac:dyDescent="0.3">
      <c r="K3913" s="16">
        <f t="shared" si="60"/>
        <v>44178</v>
      </c>
      <c r="L3913" s="17">
        <v>0.95833333333333337</v>
      </c>
      <c r="M3913" s="14">
        <v>359</v>
      </c>
      <c r="N3913" s="14">
        <v>594</v>
      </c>
      <c r="O3913" s="14">
        <v>0</v>
      </c>
      <c r="P3913" s="14">
        <v>953</v>
      </c>
      <c r="Q3913">
        <v>10821</v>
      </c>
      <c r="R3913">
        <v>928</v>
      </c>
      <c r="S3913">
        <v>0</v>
      </c>
    </row>
    <row r="3914" spans="11:19" x14ac:dyDescent="0.3">
      <c r="K3914" s="16">
        <f t="shared" si="60"/>
        <v>44179</v>
      </c>
      <c r="L3914" s="17">
        <v>0</v>
      </c>
      <c r="M3914" s="14">
        <v>359</v>
      </c>
      <c r="N3914" s="14">
        <v>0</v>
      </c>
      <c r="O3914" s="14">
        <v>0</v>
      </c>
      <c r="P3914" s="14">
        <v>359</v>
      </c>
      <c r="Q3914">
        <v>10496</v>
      </c>
      <c r="R3914">
        <v>1245</v>
      </c>
      <c r="S3914">
        <v>0</v>
      </c>
    </row>
    <row r="3915" spans="11:19" x14ac:dyDescent="0.3">
      <c r="K3915" s="16">
        <f t="shared" si="60"/>
        <v>44179</v>
      </c>
      <c r="L3915" s="17">
        <v>4.1666666666666664E-2</v>
      </c>
      <c r="M3915" s="14">
        <v>359</v>
      </c>
      <c r="N3915" s="14">
        <v>0</v>
      </c>
      <c r="O3915" s="14">
        <v>0</v>
      </c>
      <c r="P3915" s="14">
        <v>359</v>
      </c>
      <c r="Q3915">
        <v>10230</v>
      </c>
      <c r="R3915">
        <v>1431</v>
      </c>
      <c r="S3915">
        <v>0</v>
      </c>
    </row>
    <row r="3916" spans="11:19" x14ac:dyDescent="0.3">
      <c r="K3916" s="16">
        <f t="shared" si="60"/>
        <v>44179</v>
      </c>
      <c r="L3916" s="17">
        <v>8.3333333333333329E-2</v>
      </c>
      <c r="M3916" s="14">
        <v>359</v>
      </c>
      <c r="N3916" s="14">
        <v>0</v>
      </c>
      <c r="O3916" s="14">
        <v>0</v>
      </c>
      <c r="P3916" s="14">
        <v>359</v>
      </c>
      <c r="Q3916">
        <v>9982</v>
      </c>
      <c r="R3916">
        <v>1607</v>
      </c>
      <c r="S3916">
        <v>0</v>
      </c>
    </row>
    <row r="3917" spans="11:19" x14ac:dyDescent="0.3">
      <c r="K3917" s="16">
        <f t="shared" si="60"/>
        <v>44179</v>
      </c>
      <c r="L3917" s="17">
        <v>0.125</v>
      </c>
      <c r="M3917" s="14">
        <v>359</v>
      </c>
      <c r="N3917" s="14">
        <v>0</v>
      </c>
      <c r="O3917" s="14">
        <v>0</v>
      </c>
      <c r="P3917" s="14">
        <v>359</v>
      </c>
      <c r="Q3917">
        <v>9603</v>
      </c>
      <c r="R3917">
        <v>1800</v>
      </c>
      <c r="S3917">
        <v>0</v>
      </c>
    </row>
    <row r="3918" spans="11:19" x14ac:dyDescent="0.3">
      <c r="K3918" s="16">
        <f t="shared" si="60"/>
        <v>44179</v>
      </c>
      <c r="L3918" s="17">
        <v>0.16666666666666666</v>
      </c>
      <c r="M3918" s="14">
        <v>359</v>
      </c>
      <c r="N3918" s="14">
        <v>0</v>
      </c>
      <c r="O3918" s="14">
        <v>0</v>
      </c>
      <c r="P3918" s="14">
        <v>359</v>
      </c>
      <c r="Q3918">
        <v>9613</v>
      </c>
      <c r="R3918">
        <v>2060</v>
      </c>
      <c r="S3918">
        <v>0</v>
      </c>
    </row>
    <row r="3919" spans="11:19" x14ac:dyDescent="0.3">
      <c r="K3919" s="16">
        <f t="shared" si="60"/>
        <v>44179</v>
      </c>
      <c r="L3919" s="17">
        <v>0.20833333333333334</v>
      </c>
      <c r="M3919" s="14">
        <v>359</v>
      </c>
      <c r="N3919" s="14">
        <v>0</v>
      </c>
      <c r="O3919" s="14">
        <v>0</v>
      </c>
      <c r="P3919" s="14">
        <v>359</v>
      </c>
      <c r="Q3919">
        <v>10283</v>
      </c>
      <c r="R3919">
        <v>2401</v>
      </c>
      <c r="S3919">
        <v>0</v>
      </c>
    </row>
    <row r="3920" spans="11:19" x14ac:dyDescent="0.3">
      <c r="K3920" s="16">
        <f t="shared" si="60"/>
        <v>44179</v>
      </c>
      <c r="L3920" s="17">
        <v>0.25</v>
      </c>
      <c r="M3920" s="14">
        <v>359</v>
      </c>
      <c r="N3920" s="14">
        <v>0</v>
      </c>
      <c r="O3920" s="14">
        <v>0</v>
      </c>
      <c r="P3920" s="14">
        <v>359</v>
      </c>
      <c r="Q3920">
        <v>11621</v>
      </c>
      <c r="R3920">
        <v>2528</v>
      </c>
      <c r="S3920">
        <v>0</v>
      </c>
    </row>
    <row r="3921" spans="11:19" x14ac:dyDescent="0.3">
      <c r="K3921" s="16">
        <f t="shared" si="60"/>
        <v>44179</v>
      </c>
      <c r="L3921" s="17">
        <v>0.29166666666666669</v>
      </c>
      <c r="M3921" s="14">
        <v>359</v>
      </c>
      <c r="N3921" s="14">
        <v>0</v>
      </c>
      <c r="O3921" s="14">
        <v>0</v>
      </c>
      <c r="P3921" s="14">
        <v>359</v>
      </c>
      <c r="Q3921">
        <v>12729</v>
      </c>
      <c r="R3921">
        <v>2593</v>
      </c>
      <c r="S3921">
        <v>0</v>
      </c>
    </row>
    <row r="3922" spans="11:19" x14ac:dyDescent="0.3">
      <c r="K3922" s="16">
        <f t="shared" si="60"/>
        <v>44179</v>
      </c>
      <c r="L3922" s="17">
        <v>0.33333333333333331</v>
      </c>
      <c r="M3922" s="14">
        <v>359</v>
      </c>
      <c r="N3922" s="14">
        <v>1160</v>
      </c>
      <c r="O3922" s="14">
        <v>0</v>
      </c>
      <c r="P3922" s="14">
        <v>1519</v>
      </c>
      <c r="Q3922">
        <v>13084</v>
      </c>
      <c r="R3922">
        <v>2967</v>
      </c>
      <c r="S3922">
        <v>18</v>
      </c>
    </row>
    <row r="3923" spans="11:19" x14ac:dyDescent="0.3">
      <c r="K3923" s="16">
        <f t="shared" si="60"/>
        <v>44179</v>
      </c>
      <c r="L3923" s="17">
        <v>0.375</v>
      </c>
      <c r="M3923" s="14">
        <v>359</v>
      </c>
      <c r="N3923" s="14">
        <v>0</v>
      </c>
      <c r="O3923" s="14">
        <v>0</v>
      </c>
      <c r="P3923" s="14">
        <v>359</v>
      </c>
      <c r="Q3923">
        <v>13267</v>
      </c>
      <c r="R3923">
        <v>3095</v>
      </c>
      <c r="S3923">
        <v>231</v>
      </c>
    </row>
    <row r="3924" spans="11:19" x14ac:dyDescent="0.3">
      <c r="K3924" s="16">
        <f t="shared" si="60"/>
        <v>44179</v>
      </c>
      <c r="L3924" s="17">
        <v>0.41666666666666669</v>
      </c>
      <c r="M3924" s="14">
        <v>359</v>
      </c>
      <c r="N3924" s="14">
        <v>0</v>
      </c>
      <c r="O3924" s="14">
        <v>0</v>
      </c>
      <c r="P3924" s="14">
        <v>359</v>
      </c>
      <c r="Q3924">
        <v>13378</v>
      </c>
      <c r="R3924">
        <v>3219</v>
      </c>
      <c r="S3924">
        <v>582</v>
      </c>
    </row>
    <row r="3925" spans="11:19" x14ac:dyDescent="0.3">
      <c r="K3925" s="16">
        <f t="shared" si="60"/>
        <v>44179</v>
      </c>
      <c r="L3925" s="17">
        <v>0.45833333333333331</v>
      </c>
      <c r="M3925" s="14">
        <v>359</v>
      </c>
      <c r="N3925" s="14">
        <v>0</v>
      </c>
      <c r="O3925" s="14">
        <v>0</v>
      </c>
      <c r="P3925" s="14">
        <v>359</v>
      </c>
      <c r="Q3925">
        <v>13568</v>
      </c>
      <c r="R3925">
        <v>3489</v>
      </c>
      <c r="S3925">
        <v>819</v>
      </c>
    </row>
    <row r="3926" spans="11:19" x14ac:dyDescent="0.3">
      <c r="K3926" s="16">
        <f t="shared" si="60"/>
        <v>44179</v>
      </c>
      <c r="L3926" s="17">
        <v>0.5</v>
      </c>
      <c r="M3926" s="14">
        <v>359</v>
      </c>
      <c r="N3926" s="14">
        <v>0</v>
      </c>
      <c r="O3926" s="14">
        <v>0</v>
      </c>
      <c r="P3926" s="14">
        <v>359</v>
      </c>
      <c r="Q3926">
        <v>13595</v>
      </c>
      <c r="R3926">
        <v>3666</v>
      </c>
      <c r="S3926">
        <v>954</v>
      </c>
    </row>
    <row r="3927" spans="11:19" x14ac:dyDescent="0.3">
      <c r="K3927" s="16">
        <f t="shared" si="60"/>
        <v>44179</v>
      </c>
      <c r="L3927" s="17">
        <v>0.54166666666666663</v>
      </c>
      <c r="M3927" s="14">
        <v>359</v>
      </c>
      <c r="N3927" s="14">
        <v>0</v>
      </c>
      <c r="O3927" s="14">
        <v>0</v>
      </c>
      <c r="P3927" s="14">
        <v>359</v>
      </c>
      <c r="Q3927">
        <v>13353</v>
      </c>
      <c r="R3927">
        <v>3962</v>
      </c>
      <c r="S3927">
        <v>893</v>
      </c>
    </row>
    <row r="3928" spans="11:19" x14ac:dyDescent="0.3">
      <c r="K3928" s="16">
        <f t="shared" si="60"/>
        <v>44179</v>
      </c>
      <c r="L3928" s="17">
        <v>0.58333333333333337</v>
      </c>
      <c r="M3928" s="14">
        <v>359</v>
      </c>
      <c r="N3928" s="14">
        <v>0</v>
      </c>
      <c r="O3928" s="14">
        <v>0</v>
      </c>
      <c r="P3928" s="14">
        <v>359</v>
      </c>
      <c r="Q3928">
        <v>13129</v>
      </c>
      <c r="R3928">
        <v>4163</v>
      </c>
      <c r="S3928">
        <v>688</v>
      </c>
    </row>
    <row r="3929" spans="11:19" x14ac:dyDescent="0.3">
      <c r="K3929" s="16">
        <f t="shared" si="60"/>
        <v>44179</v>
      </c>
      <c r="L3929" s="17">
        <v>0.625</v>
      </c>
      <c r="M3929" s="14">
        <v>359</v>
      </c>
      <c r="N3929" s="14">
        <v>0</v>
      </c>
      <c r="O3929" s="14">
        <v>0</v>
      </c>
      <c r="P3929" s="14">
        <v>359</v>
      </c>
      <c r="Q3929">
        <v>12957</v>
      </c>
      <c r="R3929">
        <v>4274</v>
      </c>
      <c r="S3929">
        <v>379</v>
      </c>
    </row>
    <row r="3930" spans="11:19" x14ac:dyDescent="0.3">
      <c r="K3930" s="16">
        <f t="shared" si="60"/>
        <v>44179</v>
      </c>
      <c r="L3930" s="17">
        <v>0.66666666666666663</v>
      </c>
      <c r="M3930" s="14">
        <v>359</v>
      </c>
      <c r="N3930" s="14">
        <v>0</v>
      </c>
      <c r="O3930" s="14">
        <v>0</v>
      </c>
      <c r="P3930" s="14">
        <v>359</v>
      </c>
      <c r="Q3930">
        <v>13055</v>
      </c>
      <c r="R3930">
        <v>4360</v>
      </c>
      <c r="S3930">
        <v>79</v>
      </c>
    </row>
    <row r="3931" spans="11:19" x14ac:dyDescent="0.3">
      <c r="K3931" s="16">
        <f t="shared" ref="K3931:K3994" si="61">K3907+1</f>
        <v>44179</v>
      </c>
      <c r="L3931" s="17">
        <v>0.70833333333333337</v>
      </c>
      <c r="M3931" s="14">
        <v>359</v>
      </c>
      <c r="N3931" s="14">
        <v>0</v>
      </c>
      <c r="O3931" s="14">
        <v>0</v>
      </c>
      <c r="P3931" s="14">
        <v>359</v>
      </c>
      <c r="Q3931">
        <v>13798</v>
      </c>
      <c r="R3931">
        <v>4378</v>
      </c>
      <c r="S3931">
        <v>0</v>
      </c>
    </row>
    <row r="3932" spans="11:19" x14ac:dyDescent="0.3">
      <c r="K3932" s="16">
        <f t="shared" si="61"/>
        <v>44179</v>
      </c>
      <c r="L3932" s="17">
        <v>0.75</v>
      </c>
      <c r="M3932" s="14">
        <v>359</v>
      </c>
      <c r="N3932" s="14">
        <v>0</v>
      </c>
      <c r="O3932" s="14">
        <v>0</v>
      </c>
      <c r="P3932" s="14">
        <v>359</v>
      </c>
      <c r="Q3932">
        <v>14233</v>
      </c>
      <c r="R3932">
        <v>4489</v>
      </c>
      <c r="S3932">
        <v>0</v>
      </c>
    </row>
    <row r="3933" spans="11:19" x14ac:dyDescent="0.3">
      <c r="K3933" s="16">
        <f t="shared" si="61"/>
        <v>44179</v>
      </c>
      <c r="L3933" s="17">
        <v>0.79166666666666663</v>
      </c>
      <c r="M3933" s="14">
        <v>359</v>
      </c>
      <c r="N3933" s="14">
        <v>0</v>
      </c>
      <c r="O3933" s="14">
        <v>0</v>
      </c>
      <c r="P3933" s="14">
        <v>359</v>
      </c>
      <c r="Q3933">
        <v>14284</v>
      </c>
      <c r="R3933">
        <v>4267</v>
      </c>
      <c r="S3933">
        <v>0</v>
      </c>
    </row>
    <row r="3934" spans="11:19" x14ac:dyDescent="0.3">
      <c r="K3934" s="16">
        <f t="shared" si="61"/>
        <v>44179</v>
      </c>
      <c r="L3934" s="17">
        <v>0.83333333333333337</v>
      </c>
      <c r="M3934" s="14">
        <v>359</v>
      </c>
      <c r="N3934" s="14">
        <v>0</v>
      </c>
      <c r="O3934" s="14">
        <v>0</v>
      </c>
      <c r="P3934" s="14">
        <v>359</v>
      </c>
      <c r="Q3934">
        <v>13377</v>
      </c>
      <c r="R3934">
        <v>4005</v>
      </c>
      <c r="S3934">
        <v>0</v>
      </c>
    </row>
    <row r="3935" spans="11:19" x14ac:dyDescent="0.3">
      <c r="K3935" s="16">
        <f t="shared" si="61"/>
        <v>44179</v>
      </c>
      <c r="L3935" s="17">
        <v>0.875</v>
      </c>
      <c r="M3935" s="14">
        <v>359</v>
      </c>
      <c r="N3935" s="14">
        <v>0</v>
      </c>
      <c r="O3935" s="14">
        <v>0</v>
      </c>
      <c r="P3935" s="14">
        <v>359</v>
      </c>
      <c r="Q3935">
        <v>12560</v>
      </c>
      <c r="R3935">
        <v>3899</v>
      </c>
      <c r="S3935">
        <v>0</v>
      </c>
    </row>
    <row r="3936" spans="11:19" x14ac:dyDescent="0.3">
      <c r="K3936" s="16">
        <f t="shared" si="61"/>
        <v>44179</v>
      </c>
      <c r="L3936" s="17">
        <v>0.91666666666666663</v>
      </c>
      <c r="M3936" s="14">
        <v>359</v>
      </c>
      <c r="N3936" s="14">
        <v>49</v>
      </c>
      <c r="O3936" s="14">
        <v>0</v>
      </c>
      <c r="P3936" s="14">
        <v>408</v>
      </c>
      <c r="Q3936">
        <v>12715</v>
      </c>
      <c r="R3936">
        <v>3915</v>
      </c>
      <c r="S3936">
        <v>0</v>
      </c>
    </row>
    <row r="3937" spans="11:19" x14ac:dyDescent="0.3">
      <c r="K3937" s="16">
        <f t="shared" si="61"/>
        <v>44179</v>
      </c>
      <c r="L3937" s="17">
        <v>0.95833333333333337</v>
      </c>
      <c r="M3937" s="14">
        <v>359</v>
      </c>
      <c r="N3937" s="14">
        <v>383</v>
      </c>
      <c r="O3937" s="14">
        <v>0</v>
      </c>
      <c r="P3937" s="14">
        <v>742</v>
      </c>
      <c r="Q3937">
        <v>12819</v>
      </c>
      <c r="R3937">
        <v>3683</v>
      </c>
      <c r="S3937">
        <v>0</v>
      </c>
    </row>
    <row r="3938" spans="11:19" x14ac:dyDescent="0.3">
      <c r="K3938" s="16">
        <f t="shared" si="61"/>
        <v>44180</v>
      </c>
      <c r="L3938" s="17">
        <v>0</v>
      </c>
      <c r="M3938" s="14">
        <v>359</v>
      </c>
      <c r="N3938" s="14">
        <v>0</v>
      </c>
      <c r="O3938" s="14">
        <v>0</v>
      </c>
      <c r="P3938" s="14">
        <v>359</v>
      </c>
      <c r="Q3938">
        <v>12329</v>
      </c>
      <c r="R3938">
        <v>3730</v>
      </c>
      <c r="S3938">
        <v>0</v>
      </c>
    </row>
    <row r="3939" spans="11:19" x14ac:dyDescent="0.3">
      <c r="K3939" s="16">
        <f t="shared" si="61"/>
        <v>44180</v>
      </c>
      <c r="L3939" s="17">
        <v>4.1666666666666664E-2</v>
      </c>
      <c r="M3939" s="14">
        <v>359</v>
      </c>
      <c r="N3939" s="14">
        <v>0</v>
      </c>
      <c r="O3939" s="14">
        <v>0</v>
      </c>
      <c r="P3939" s="14">
        <v>359</v>
      </c>
      <c r="Q3939">
        <v>12053</v>
      </c>
      <c r="R3939">
        <v>3783</v>
      </c>
      <c r="S3939">
        <v>0</v>
      </c>
    </row>
    <row r="3940" spans="11:19" x14ac:dyDescent="0.3">
      <c r="K3940" s="16">
        <f t="shared" si="61"/>
        <v>44180</v>
      </c>
      <c r="L3940" s="17">
        <v>8.3333333333333329E-2</v>
      </c>
      <c r="M3940" s="14">
        <v>359</v>
      </c>
      <c r="N3940" s="14">
        <v>0</v>
      </c>
      <c r="O3940" s="14">
        <v>0</v>
      </c>
      <c r="P3940" s="14">
        <v>359</v>
      </c>
      <c r="Q3940">
        <v>11831</v>
      </c>
      <c r="R3940">
        <v>3808</v>
      </c>
      <c r="S3940">
        <v>0</v>
      </c>
    </row>
    <row r="3941" spans="11:19" x14ac:dyDescent="0.3">
      <c r="K3941" s="16">
        <f t="shared" si="61"/>
        <v>44180</v>
      </c>
      <c r="L3941" s="17">
        <v>0.125</v>
      </c>
      <c r="M3941" s="14">
        <v>359</v>
      </c>
      <c r="N3941" s="14">
        <v>0</v>
      </c>
      <c r="O3941" s="14">
        <v>0</v>
      </c>
      <c r="P3941" s="14">
        <v>359</v>
      </c>
      <c r="Q3941">
        <v>11468</v>
      </c>
      <c r="R3941">
        <v>3677</v>
      </c>
      <c r="S3941">
        <v>0</v>
      </c>
    </row>
    <row r="3942" spans="11:19" x14ac:dyDescent="0.3">
      <c r="K3942" s="16">
        <f t="shared" si="61"/>
        <v>44180</v>
      </c>
      <c r="L3942" s="17">
        <v>0.16666666666666666</v>
      </c>
      <c r="M3942" s="14">
        <v>359</v>
      </c>
      <c r="N3942" s="14">
        <v>0</v>
      </c>
      <c r="O3942" s="14">
        <v>0</v>
      </c>
      <c r="P3942" s="14">
        <v>359</v>
      </c>
      <c r="Q3942">
        <v>11452</v>
      </c>
      <c r="R3942">
        <v>3701</v>
      </c>
      <c r="S3942">
        <v>0</v>
      </c>
    </row>
    <row r="3943" spans="11:19" x14ac:dyDescent="0.3">
      <c r="K3943" s="16">
        <f t="shared" si="61"/>
        <v>44180</v>
      </c>
      <c r="L3943" s="17">
        <v>0.20833333333333334</v>
      </c>
      <c r="M3943" s="14">
        <v>359</v>
      </c>
      <c r="N3943" s="14">
        <v>0</v>
      </c>
      <c r="O3943" s="14">
        <v>0</v>
      </c>
      <c r="P3943" s="14">
        <v>359</v>
      </c>
      <c r="Q3943">
        <v>12053</v>
      </c>
      <c r="R3943">
        <v>3707</v>
      </c>
      <c r="S3943">
        <v>0</v>
      </c>
    </row>
    <row r="3944" spans="11:19" x14ac:dyDescent="0.3">
      <c r="K3944" s="16">
        <f t="shared" si="61"/>
        <v>44180</v>
      </c>
      <c r="L3944" s="17">
        <v>0.25</v>
      </c>
      <c r="M3944" s="14">
        <v>359</v>
      </c>
      <c r="N3944" s="14">
        <v>0</v>
      </c>
      <c r="O3944" s="14">
        <v>0</v>
      </c>
      <c r="P3944" s="14">
        <v>359</v>
      </c>
      <c r="Q3944">
        <v>13370</v>
      </c>
      <c r="R3944">
        <v>3424</v>
      </c>
      <c r="S3944">
        <v>0</v>
      </c>
    </row>
    <row r="3945" spans="11:19" x14ac:dyDescent="0.3">
      <c r="K3945" s="16">
        <f t="shared" si="61"/>
        <v>44180</v>
      </c>
      <c r="L3945" s="17">
        <v>0.29166666666666669</v>
      </c>
      <c r="M3945" s="14">
        <v>359</v>
      </c>
      <c r="N3945" s="14">
        <v>0</v>
      </c>
      <c r="O3945" s="14">
        <v>0</v>
      </c>
      <c r="P3945" s="14">
        <v>359</v>
      </c>
      <c r="Q3945">
        <v>14442</v>
      </c>
      <c r="R3945">
        <v>3428</v>
      </c>
      <c r="S3945">
        <v>0</v>
      </c>
    </row>
    <row r="3946" spans="11:19" x14ac:dyDescent="0.3">
      <c r="K3946" s="16">
        <f t="shared" si="61"/>
        <v>44180</v>
      </c>
      <c r="L3946" s="17">
        <v>0.33333333333333331</v>
      </c>
      <c r="M3946" s="14">
        <v>359</v>
      </c>
      <c r="N3946" s="14">
        <v>0</v>
      </c>
      <c r="O3946" s="14">
        <v>0</v>
      </c>
      <c r="P3946" s="14">
        <v>359</v>
      </c>
      <c r="Q3946">
        <v>14691</v>
      </c>
      <c r="R3946">
        <v>3386</v>
      </c>
      <c r="S3946">
        <v>26</v>
      </c>
    </row>
    <row r="3947" spans="11:19" x14ac:dyDescent="0.3">
      <c r="K3947" s="16">
        <f t="shared" si="61"/>
        <v>44180</v>
      </c>
      <c r="L3947" s="17">
        <v>0.375</v>
      </c>
      <c r="M3947" s="14">
        <v>359</v>
      </c>
      <c r="N3947" s="14">
        <v>0</v>
      </c>
      <c r="O3947" s="14">
        <v>0</v>
      </c>
      <c r="P3947" s="14">
        <v>359</v>
      </c>
      <c r="Q3947">
        <v>14728</v>
      </c>
      <c r="R3947">
        <v>3276</v>
      </c>
      <c r="S3947">
        <v>261</v>
      </c>
    </row>
    <row r="3948" spans="11:19" x14ac:dyDescent="0.3">
      <c r="K3948" s="16">
        <f t="shared" si="61"/>
        <v>44180</v>
      </c>
      <c r="L3948" s="17">
        <v>0.41666666666666669</v>
      </c>
      <c r="M3948" s="14">
        <v>359</v>
      </c>
      <c r="N3948" s="14">
        <v>0</v>
      </c>
      <c r="O3948" s="14">
        <v>0</v>
      </c>
      <c r="P3948" s="14">
        <v>359</v>
      </c>
      <c r="Q3948">
        <v>14719</v>
      </c>
      <c r="R3948">
        <v>2986</v>
      </c>
      <c r="S3948">
        <v>758</v>
      </c>
    </row>
    <row r="3949" spans="11:19" x14ac:dyDescent="0.3">
      <c r="K3949" s="16">
        <f t="shared" si="61"/>
        <v>44180</v>
      </c>
      <c r="L3949" s="17">
        <v>0.45833333333333331</v>
      </c>
      <c r="M3949" s="14">
        <v>359</v>
      </c>
      <c r="N3949" s="14">
        <v>0</v>
      </c>
      <c r="O3949" s="14">
        <v>0</v>
      </c>
      <c r="P3949" s="14">
        <v>359</v>
      </c>
      <c r="Q3949">
        <v>14794</v>
      </c>
      <c r="R3949">
        <v>2964</v>
      </c>
      <c r="S3949">
        <v>1182</v>
      </c>
    </row>
    <row r="3950" spans="11:19" x14ac:dyDescent="0.3">
      <c r="K3950" s="16">
        <f t="shared" si="61"/>
        <v>44180</v>
      </c>
      <c r="L3950" s="17">
        <v>0.5</v>
      </c>
      <c r="M3950" s="14">
        <v>359</v>
      </c>
      <c r="N3950" s="14">
        <v>0</v>
      </c>
      <c r="O3950" s="14">
        <v>0</v>
      </c>
      <c r="P3950" s="14">
        <v>359</v>
      </c>
      <c r="Q3950">
        <v>14714</v>
      </c>
      <c r="R3950">
        <v>2991</v>
      </c>
      <c r="S3950">
        <v>1397</v>
      </c>
    </row>
    <row r="3951" spans="11:19" x14ac:dyDescent="0.3">
      <c r="K3951" s="16">
        <f t="shared" si="61"/>
        <v>44180</v>
      </c>
      <c r="L3951" s="17">
        <v>0.54166666666666663</v>
      </c>
      <c r="M3951" s="14">
        <v>359</v>
      </c>
      <c r="N3951" s="14">
        <v>0</v>
      </c>
      <c r="O3951" s="14">
        <v>0</v>
      </c>
      <c r="P3951" s="14">
        <v>359</v>
      </c>
      <c r="Q3951">
        <v>14390</v>
      </c>
      <c r="R3951">
        <v>3011</v>
      </c>
      <c r="S3951">
        <v>1330</v>
      </c>
    </row>
    <row r="3952" spans="11:19" x14ac:dyDescent="0.3">
      <c r="K3952" s="16">
        <f t="shared" si="61"/>
        <v>44180</v>
      </c>
      <c r="L3952" s="17">
        <v>0.58333333333333337</v>
      </c>
      <c r="M3952" s="14">
        <v>359</v>
      </c>
      <c r="N3952" s="14">
        <v>0</v>
      </c>
      <c r="O3952" s="14">
        <v>0</v>
      </c>
      <c r="P3952" s="14">
        <v>359</v>
      </c>
      <c r="Q3952">
        <v>14128</v>
      </c>
      <c r="R3952">
        <v>2963</v>
      </c>
      <c r="S3952">
        <v>1030</v>
      </c>
    </row>
    <row r="3953" spans="11:19" x14ac:dyDescent="0.3">
      <c r="K3953" s="16">
        <f t="shared" si="61"/>
        <v>44180</v>
      </c>
      <c r="L3953" s="17">
        <v>0.625</v>
      </c>
      <c r="M3953" s="14">
        <v>359</v>
      </c>
      <c r="N3953" s="14">
        <v>0</v>
      </c>
      <c r="O3953" s="14">
        <v>0</v>
      </c>
      <c r="P3953" s="14">
        <v>359</v>
      </c>
      <c r="Q3953">
        <v>13998</v>
      </c>
      <c r="R3953">
        <v>2667</v>
      </c>
      <c r="S3953">
        <v>540</v>
      </c>
    </row>
    <row r="3954" spans="11:19" x14ac:dyDescent="0.3">
      <c r="K3954" s="16">
        <f t="shared" si="61"/>
        <v>44180</v>
      </c>
      <c r="L3954" s="17">
        <v>0.66666666666666663</v>
      </c>
      <c r="M3954" s="14">
        <v>359</v>
      </c>
      <c r="N3954" s="14">
        <v>0</v>
      </c>
      <c r="O3954" s="14">
        <v>0</v>
      </c>
      <c r="P3954" s="14">
        <v>359</v>
      </c>
      <c r="Q3954">
        <v>14089</v>
      </c>
      <c r="R3954">
        <v>2784</v>
      </c>
      <c r="S3954">
        <v>103</v>
      </c>
    </row>
    <row r="3955" spans="11:19" x14ac:dyDescent="0.3">
      <c r="K3955" s="16">
        <f t="shared" si="61"/>
        <v>44180</v>
      </c>
      <c r="L3955" s="17">
        <v>0.70833333333333337</v>
      </c>
      <c r="M3955" s="14">
        <v>359</v>
      </c>
      <c r="N3955" s="14">
        <v>178</v>
      </c>
      <c r="O3955" s="14">
        <v>0</v>
      </c>
      <c r="P3955" s="14">
        <v>537</v>
      </c>
      <c r="Q3955">
        <v>14858</v>
      </c>
      <c r="R3955">
        <v>3006</v>
      </c>
      <c r="S3955">
        <v>0</v>
      </c>
    </row>
    <row r="3956" spans="11:19" x14ac:dyDescent="0.3">
      <c r="K3956" s="16">
        <f t="shared" si="61"/>
        <v>44180</v>
      </c>
      <c r="L3956" s="17">
        <v>0.75</v>
      </c>
      <c r="M3956" s="14">
        <v>359</v>
      </c>
      <c r="N3956" s="14">
        <v>756</v>
      </c>
      <c r="O3956" s="14">
        <v>0</v>
      </c>
      <c r="P3956" s="14">
        <v>1115</v>
      </c>
      <c r="Q3956">
        <v>15324</v>
      </c>
      <c r="R3956">
        <v>2895</v>
      </c>
      <c r="S3956">
        <v>0</v>
      </c>
    </row>
    <row r="3957" spans="11:19" x14ac:dyDescent="0.3">
      <c r="K3957" s="16">
        <f t="shared" si="61"/>
        <v>44180</v>
      </c>
      <c r="L3957" s="17">
        <v>0.79166666666666663</v>
      </c>
      <c r="M3957" s="14">
        <v>359</v>
      </c>
      <c r="N3957" s="14">
        <v>980</v>
      </c>
      <c r="O3957" s="14">
        <v>0</v>
      </c>
      <c r="P3957" s="14">
        <v>1339</v>
      </c>
      <c r="Q3957">
        <v>15483</v>
      </c>
      <c r="R3957">
        <v>2835</v>
      </c>
      <c r="S3957">
        <v>0</v>
      </c>
    </row>
    <row r="3958" spans="11:19" x14ac:dyDescent="0.3">
      <c r="K3958" s="16">
        <f t="shared" si="61"/>
        <v>44180</v>
      </c>
      <c r="L3958" s="17">
        <v>0.83333333333333337</v>
      </c>
      <c r="M3958" s="14">
        <v>359</v>
      </c>
      <c r="N3958" s="14">
        <v>461</v>
      </c>
      <c r="O3958" s="14">
        <v>0</v>
      </c>
      <c r="P3958" s="14">
        <v>820</v>
      </c>
      <c r="Q3958">
        <v>14567</v>
      </c>
      <c r="R3958">
        <v>2443</v>
      </c>
      <c r="S3958">
        <v>0</v>
      </c>
    </row>
    <row r="3959" spans="11:19" x14ac:dyDescent="0.3">
      <c r="K3959" s="16">
        <f t="shared" si="61"/>
        <v>44180</v>
      </c>
      <c r="L3959" s="17">
        <v>0.875</v>
      </c>
      <c r="M3959" s="14">
        <v>359</v>
      </c>
      <c r="N3959" s="14">
        <v>0</v>
      </c>
      <c r="O3959" s="14">
        <v>0</v>
      </c>
      <c r="P3959" s="14">
        <v>359</v>
      </c>
      <c r="Q3959">
        <v>13735</v>
      </c>
      <c r="R3959">
        <v>2299</v>
      </c>
      <c r="S3959">
        <v>0</v>
      </c>
    </row>
    <row r="3960" spans="11:19" x14ac:dyDescent="0.3">
      <c r="K3960" s="16">
        <f t="shared" si="61"/>
        <v>44180</v>
      </c>
      <c r="L3960" s="17">
        <v>0.91666666666666663</v>
      </c>
      <c r="M3960" s="14">
        <v>359</v>
      </c>
      <c r="N3960" s="14">
        <v>72</v>
      </c>
      <c r="O3960" s="14">
        <v>0</v>
      </c>
      <c r="P3960" s="14">
        <v>431</v>
      </c>
      <c r="Q3960">
        <v>13867</v>
      </c>
      <c r="R3960">
        <v>2148</v>
      </c>
      <c r="S3960">
        <v>0</v>
      </c>
    </row>
    <row r="3961" spans="11:19" x14ac:dyDescent="0.3">
      <c r="K3961" s="16">
        <f t="shared" si="61"/>
        <v>44180</v>
      </c>
      <c r="L3961" s="17">
        <v>0.95833333333333337</v>
      </c>
      <c r="M3961" s="14">
        <v>359</v>
      </c>
      <c r="N3961" s="14">
        <v>285</v>
      </c>
      <c r="O3961" s="14">
        <v>0</v>
      </c>
      <c r="P3961" s="14">
        <v>644</v>
      </c>
      <c r="Q3961">
        <v>13956</v>
      </c>
      <c r="R3961">
        <v>2022</v>
      </c>
      <c r="S3961">
        <v>0</v>
      </c>
    </row>
    <row r="3962" spans="11:19" x14ac:dyDescent="0.3">
      <c r="K3962" s="16">
        <f t="shared" si="61"/>
        <v>44181</v>
      </c>
      <c r="L3962" s="17">
        <v>0</v>
      </c>
      <c r="M3962" s="14">
        <v>359</v>
      </c>
      <c r="N3962" s="14">
        <v>0</v>
      </c>
      <c r="O3962" s="14">
        <v>0</v>
      </c>
      <c r="P3962" s="14">
        <v>359</v>
      </c>
      <c r="Q3962">
        <v>13487</v>
      </c>
      <c r="R3962">
        <v>2283</v>
      </c>
      <c r="S3962">
        <v>0</v>
      </c>
    </row>
    <row r="3963" spans="11:19" x14ac:dyDescent="0.3">
      <c r="K3963" s="16">
        <f t="shared" si="61"/>
        <v>44181</v>
      </c>
      <c r="L3963" s="17">
        <v>4.1666666666666664E-2</v>
      </c>
      <c r="M3963" s="14">
        <v>359</v>
      </c>
      <c r="N3963" s="14">
        <v>0</v>
      </c>
      <c r="O3963" s="14">
        <v>0</v>
      </c>
      <c r="P3963" s="14">
        <v>359</v>
      </c>
      <c r="Q3963">
        <v>13251</v>
      </c>
      <c r="R3963">
        <v>2414</v>
      </c>
      <c r="S3963">
        <v>0</v>
      </c>
    </row>
    <row r="3964" spans="11:19" x14ac:dyDescent="0.3">
      <c r="K3964" s="16">
        <f t="shared" si="61"/>
        <v>44181</v>
      </c>
      <c r="L3964" s="17">
        <v>8.3333333333333329E-2</v>
      </c>
      <c r="M3964" s="14">
        <v>359</v>
      </c>
      <c r="N3964" s="14">
        <v>0</v>
      </c>
      <c r="O3964" s="14">
        <v>0</v>
      </c>
      <c r="P3964" s="14">
        <v>359</v>
      </c>
      <c r="Q3964">
        <v>13056</v>
      </c>
      <c r="R3964">
        <v>2311</v>
      </c>
      <c r="S3964">
        <v>0</v>
      </c>
    </row>
    <row r="3965" spans="11:19" x14ac:dyDescent="0.3">
      <c r="K3965" s="16">
        <f t="shared" si="61"/>
        <v>44181</v>
      </c>
      <c r="L3965" s="17">
        <v>0.125</v>
      </c>
      <c r="M3965" s="14">
        <v>359</v>
      </c>
      <c r="N3965" s="14">
        <v>0</v>
      </c>
      <c r="O3965" s="14">
        <v>0</v>
      </c>
      <c r="P3965" s="14">
        <v>359</v>
      </c>
      <c r="Q3965">
        <v>12696</v>
      </c>
      <c r="R3965">
        <v>2182</v>
      </c>
      <c r="S3965">
        <v>0</v>
      </c>
    </row>
    <row r="3966" spans="11:19" x14ac:dyDescent="0.3">
      <c r="K3966" s="16">
        <f t="shared" si="61"/>
        <v>44181</v>
      </c>
      <c r="L3966" s="17">
        <v>0.16666666666666666</v>
      </c>
      <c r="M3966" s="14">
        <v>359</v>
      </c>
      <c r="N3966" s="14">
        <v>1857</v>
      </c>
      <c r="O3966" s="14">
        <v>0</v>
      </c>
      <c r="P3966" s="14">
        <v>2216</v>
      </c>
      <c r="Q3966">
        <v>12676</v>
      </c>
      <c r="R3966">
        <v>2076</v>
      </c>
      <c r="S3966">
        <v>0</v>
      </c>
    </row>
    <row r="3967" spans="11:19" x14ac:dyDescent="0.3">
      <c r="K3967" s="16">
        <f t="shared" si="61"/>
        <v>44181</v>
      </c>
      <c r="L3967" s="17">
        <v>0.20833333333333334</v>
      </c>
      <c r="M3967" s="14">
        <v>359</v>
      </c>
      <c r="N3967" s="14">
        <v>0</v>
      </c>
      <c r="O3967" s="14">
        <v>0</v>
      </c>
      <c r="P3967" s="14">
        <v>359</v>
      </c>
      <c r="Q3967">
        <v>13292</v>
      </c>
      <c r="R3967">
        <v>1977</v>
      </c>
      <c r="S3967">
        <v>0</v>
      </c>
    </row>
    <row r="3968" spans="11:19" x14ac:dyDescent="0.3">
      <c r="K3968" s="16">
        <f t="shared" si="61"/>
        <v>44181</v>
      </c>
      <c r="L3968" s="17">
        <v>0.25</v>
      </c>
      <c r="M3968" s="14">
        <v>359</v>
      </c>
      <c r="N3968" s="14">
        <v>3482</v>
      </c>
      <c r="O3968" s="14">
        <v>0</v>
      </c>
      <c r="P3968" s="14">
        <v>3841</v>
      </c>
      <c r="Q3968">
        <v>14606</v>
      </c>
      <c r="R3968">
        <v>1866</v>
      </c>
      <c r="S3968">
        <v>0</v>
      </c>
    </row>
    <row r="3969" spans="11:19" x14ac:dyDescent="0.3">
      <c r="K3969" s="16">
        <f t="shared" si="61"/>
        <v>44181</v>
      </c>
      <c r="L3969" s="17">
        <v>0.29166666666666669</v>
      </c>
      <c r="M3969" s="14">
        <v>359</v>
      </c>
      <c r="N3969" s="14">
        <v>2208</v>
      </c>
      <c r="O3969" s="14">
        <v>0</v>
      </c>
      <c r="P3969" s="14">
        <v>2567</v>
      </c>
      <c r="Q3969">
        <v>15647</v>
      </c>
      <c r="R3969">
        <v>1778</v>
      </c>
      <c r="S3969">
        <v>0</v>
      </c>
    </row>
    <row r="3970" spans="11:19" x14ac:dyDescent="0.3">
      <c r="K3970" s="16">
        <f t="shared" si="61"/>
        <v>44181</v>
      </c>
      <c r="L3970" s="17">
        <v>0.33333333333333331</v>
      </c>
      <c r="M3970" s="14">
        <v>359</v>
      </c>
      <c r="N3970" s="14">
        <v>2408</v>
      </c>
      <c r="O3970" s="14">
        <v>0</v>
      </c>
      <c r="P3970" s="14">
        <v>2767</v>
      </c>
      <c r="Q3970">
        <v>15790</v>
      </c>
      <c r="R3970">
        <v>1688</v>
      </c>
      <c r="S3970">
        <v>26</v>
      </c>
    </row>
    <row r="3971" spans="11:19" x14ac:dyDescent="0.3">
      <c r="K3971" s="16">
        <f t="shared" si="61"/>
        <v>44181</v>
      </c>
      <c r="L3971" s="17">
        <v>0.375</v>
      </c>
      <c r="M3971" s="14">
        <v>359</v>
      </c>
      <c r="N3971" s="14">
        <v>2152</v>
      </c>
      <c r="O3971" s="14">
        <v>0</v>
      </c>
      <c r="P3971" s="14">
        <v>2511</v>
      </c>
      <c r="Q3971">
        <v>15698</v>
      </c>
      <c r="R3971">
        <v>1520</v>
      </c>
      <c r="S3971">
        <v>358</v>
      </c>
    </row>
    <row r="3972" spans="11:19" x14ac:dyDescent="0.3">
      <c r="K3972" s="16">
        <f t="shared" si="61"/>
        <v>44181</v>
      </c>
      <c r="L3972" s="17">
        <v>0.41666666666666669</v>
      </c>
      <c r="M3972" s="14">
        <v>359</v>
      </c>
      <c r="N3972" s="14">
        <v>3482</v>
      </c>
      <c r="O3972" s="14">
        <v>0</v>
      </c>
      <c r="P3972" s="14">
        <v>3841</v>
      </c>
      <c r="Q3972">
        <v>15566</v>
      </c>
      <c r="R3972">
        <v>1352</v>
      </c>
      <c r="S3972">
        <v>969</v>
      </c>
    </row>
    <row r="3973" spans="11:19" x14ac:dyDescent="0.3">
      <c r="K3973" s="16">
        <f t="shared" si="61"/>
        <v>44181</v>
      </c>
      <c r="L3973" s="17">
        <v>0.45833333333333331</v>
      </c>
      <c r="M3973" s="14">
        <v>359</v>
      </c>
      <c r="N3973" s="14">
        <v>1245</v>
      </c>
      <c r="O3973" s="14">
        <v>0</v>
      </c>
      <c r="P3973" s="14">
        <v>1604</v>
      </c>
      <c r="Q3973">
        <v>15547</v>
      </c>
      <c r="R3973">
        <v>1162</v>
      </c>
      <c r="S3973">
        <v>1471</v>
      </c>
    </row>
    <row r="3974" spans="11:19" x14ac:dyDescent="0.3">
      <c r="K3974" s="16">
        <f t="shared" si="61"/>
        <v>44181</v>
      </c>
      <c r="L3974" s="17">
        <v>0.5</v>
      </c>
      <c r="M3974" s="14">
        <v>359</v>
      </c>
      <c r="N3974" s="14">
        <v>974</v>
      </c>
      <c r="O3974" s="14">
        <v>0</v>
      </c>
      <c r="P3974" s="14">
        <v>1333</v>
      </c>
      <c r="Q3974">
        <v>15413</v>
      </c>
      <c r="R3974">
        <v>1101</v>
      </c>
      <c r="S3974">
        <v>1668</v>
      </c>
    </row>
    <row r="3975" spans="11:19" x14ac:dyDescent="0.3">
      <c r="K3975" s="16">
        <f t="shared" si="61"/>
        <v>44181</v>
      </c>
      <c r="L3975" s="17">
        <v>0.54166666666666663</v>
      </c>
      <c r="M3975" s="14">
        <v>359</v>
      </c>
      <c r="N3975" s="14">
        <v>688</v>
      </c>
      <c r="O3975" s="14">
        <v>0</v>
      </c>
      <c r="P3975" s="14">
        <v>1047</v>
      </c>
      <c r="Q3975">
        <v>15068</v>
      </c>
      <c r="R3975">
        <v>1152</v>
      </c>
      <c r="S3975">
        <v>1557</v>
      </c>
    </row>
    <row r="3976" spans="11:19" x14ac:dyDescent="0.3">
      <c r="K3976" s="16">
        <f t="shared" si="61"/>
        <v>44181</v>
      </c>
      <c r="L3976" s="17">
        <v>0.58333333333333337</v>
      </c>
      <c r="M3976" s="14">
        <v>359</v>
      </c>
      <c r="N3976" s="14">
        <v>3482</v>
      </c>
      <c r="O3976" s="14">
        <v>0</v>
      </c>
      <c r="P3976" s="14">
        <v>3841</v>
      </c>
      <c r="Q3976">
        <v>14831</v>
      </c>
      <c r="R3976">
        <v>1292</v>
      </c>
      <c r="S3976">
        <v>1211</v>
      </c>
    </row>
    <row r="3977" spans="11:19" x14ac:dyDescent="0.3">
      <c r="K3977" s="16">
        <f t="shared" si="61"/>
        <v>44181</v>
      </c>
      <c r="L3977" s="17">
        <v>0.625</v>
      </c>
      <c r="M3977" s="14">
        <v>359</v>
      </c>
      <c r="N3977" s="14">
        <v>1102</v>
      </c>
      <c r="O3977" s="14">
        <v>0</v>
      </c>
      <c r="P3977" s="14">
        <v>1461</v>
      </c>
      <c r="Q3977">
        <v>14704</v>
      </c>
      <c r="R3977">
        <v>1313</v>
      </c>
      <c r="S3977">
        <v>617</v>
      </c>
    </row>
    <row r="3978" spans="11:19" x14ac:dyDescent="0.3">
      <c r="K3978" s="16">
        <f t="shared" si="61"/>
        <v>44181</v>
      </c>
      <c r="L3978" s="17">
        <v>0.66666666666666663</v>
      </c>
      <c r="M3978" s="14">
        <v>359</v>
      </c>
      <c r="N3978" s="14">
        <v>1518</v>
      </c>
      <c r="O3978" s="14">
        <v>0</v>
      </c>
      <c r="P3978" s="14">
        <v>1877</v>
      </c>
      <c r="Q3978">
        <v>14829</v>
      </c>
      <c r="R3978">
        <v>1524</v>
      </c>
      <c r="S3978">
        <v>114</v>
      </c>
    </row>
    <row r="3979" spans="11:19" x14ac:dyDescent="0.3">
      <c r="K3979" s="16">
        <f t="shared" si="61"/>
        <v>44181</v>
      </c>
      <c r="L3979" s="17">
        <v>0.70833333333333337</v>
      </c>
      <c r="M3979" s="14">
        <v>359</v>
      </c>
      <c r="N3979" s="14">
        <v>2344</v>
      </c>
      <c r="O3979" s="14">
        <v>0</v>
      </c>
      <c r="P3979" s="14">
        <v>2703</v>
      </c>
      <c r="Q3979">
        <v>15594</v>
      </c>
      <c r="R3979">
        <v>1577</v>
      </c>
      <c r="S3979">
        <v>0</v>
      </c>
    </row>
    <row r="3980" spans="11:19" x14ac:dyDescent="0.3">
      <c r="K3980" s="16">
        <f t="shared" si="61"/>
        <v>44181</v>
      </c>
      <c r="L3980" s="17">
        <v>0.75</v>
      </c>
      <c r="M3980" s="14">
        <v>359</v>
      </c>
      <c r="N3980" s="14">
        <v>2862</v>
      </c>
      <c r="O3980" s="14">
        <v>0</v>
      </c>
      <c r="P3980" s="14">
        <v>3221</v>
      </c>
      <c r="Q3980">
        <v>16023</v>
      </c>
      <c r="R3980">
        <v>1489</v>
      </c>
      <c r="S3980">
        <v>0</v>
      </c>
    </row>
    <row r="3981" spans="11:19" x14ac:dyDescent="0.3">
      <c r="K3981" s="16">
        <f t="shared" si="61"/>
        <v>44181</v>
      </c>
      <c r="L3981" s="17">
        <v>0.79166666666666663</v>
      </c>
      <c r="M3981" s="14">
        <v>359</v>
      </c>
      <c r="N3981" s="14">
        <v>3482</v>
      </c>
      <c r="O3981" s="14">
        <v>0</v>
      </c>
      <c r="P3981" s="14">
        <v>3841</v>
      </c>
      <c r="Q3981">
        <v>15997</v>
      </c>
      <c r="R3981">
        <v>1635</v>
      </c>
      <c r="S3981">
        <v>0</v>
      </c>
    </row>
    <row r="3982" spans="11:19" x14ac:dyDescent="0.3">
      <c r="K3982" s="16">
        <f t="shared" si="61"/>
        <v>44181</v>
      </c>
      <c r="L3982" s="17">
        <v>0.83333333333333337</v>
      </c>
      <c r="M3982" s="14">
        <v>359</v>
      </c>
      <c r="N3982" s="14">
        <v>1835</v>
      </c>
      <c r="O3982" s="14">
        <v>0</v>
      </c>
      <c r="P3982" s="14">
        <v>2194</v>
      </c>
      <c r="Q3982">
        <v>15006</v>
      </c>
      <c r="R3982">
        <v>1509</v>
      </c>
      <c r="S3982">
        <v>0</v>
      </c>
    </row>
    <row r="3983" spans="11:19" x14ac:dyDescent="0.3">
      <c r="K3983" s="16">
        <f t="shared" si="61"/>
        <v>44181</v>
      </c>
      <c r="L3983" s="17">
        <v>0.875</v>
      </c>
      <c r="M3983" s="14">
        <v>359</v>
      </c>
      <c r="N3983" s="14">
        <v>1144</v>
      </c>
      <c r="O3983" s="14">
        <v>0</v>
      </c>
      <c r="P3983" s="14">
        <v>1503</v>
      </c>
      <c r="Q3983">
        <v>14185</v>
      </c>
      <c r="R3983">
        <v>1389</v>
      </c>
      <c r="S3983">
        <v>0</v>
      </c>
    </row>
    <row r="3984" spans="11:19" x14ac:dyDescent="0.3">
      <c r="K3984" s="16">
        <f t="shared" si="61"/>
        <v>44181</v>
      </c>
      <c r="L3984" s="17">
        <v>0.91666666666666663</v>
      </c>
      <c r="M3984" s="14">
        <v>359</v>
      </c>
      <c r="N3984" s="14">
        <v>1196</v>
      </c>
      <c r="O3984" s="14">
        <v>0</v>
      </c>
      <c r="P3984" s="14">
        <v>1555</v>
      </c>
      <c r="Q3984">
        <v>14287</v>
      </c>
      <c r="R3984">
        <v>1445</v>
      </c>
      <c r="S3984">
        <v>0</v>
      </c>
    </row>
    <row r="3985" spans="11:19" x14ac:dyDescent="0.3">
      <c r="K3985" s="16">
        <f t="shared" si="61"/>
        <v>44181</v>
      </c>
      <c r="L3985" s="17">
        <v>0.95833333333333337</v>
      </c>
      <c r="M3985" s="14">
        <v>359</v>
      </c>
      <c r="N3985" s="14">
        <v>1173</v>
      </c>
      <c r="O3985" s="14">
        <v>0</v>
      </c>
      <c r="P3985" s="14">
        <v>1532</v>
      </c>
      <c r="Q3985">
        <v>14332</v>
      </c>
      <c r="R3985">
        <v>1511</v>
      </c>
      <c r="S3985">
        <v>0</v>
      </c>
    </row>
    <row r="3986" spans="11:19" x14ac:dyDescent="0.3">
      <c r="K3986" s="16">
        <f t="shared" si="61"/>
        <v>44182</v>
      </c>
      <c r="L3986" s="17">
        <v>0</v>
      </c>
      <c r="M3986" s="14">
        <v>359</v>
      </c>
      <c r="N3986" s="14">
        <v>630</v>
      </c>
      <c r="O3986" s="14">
        <v>0</v>
      </c>
      <c r="P3986" s="14">
        <v>989</v>
      </c>
      <c r="Q3986">
        <v>13847</v>
      </c>
      <c r="R3986">
        <v>1570</v>
      </c>
      <c r="S3986">
        <v>0</v>
      </c>
    </row>
    <row r="3987" spans="11:19" x14ac:dyDescent="0.3">
      <c r="K3987" s="16">
        <f t="shared" si="61"/>
        <v>44182</v>
      </c>
      <c r="L3987" s="17">
        <v>4.1666666666666664E-2</v>
      </c>
      <c r="M3987" s="14">
        <v>359</v>
      </c>
      <c r="N3987" s="14">
        <v>479</v>
      </c>
      <c r="O3987" s="14">
        <v>0</v>
      </c>
      <c r="P3987" s="14">
        <v>838</v>
      </c>
      <c r="Q3987">
        <v>13590</v>
      </c>
      <c r="R3987">
        <v>1465</v>
      </c>
      <c r="S3987">
        <v>0</v>
      </c>
    </row>
    <row r="3988" spans="11:19" x14ac:dyDescent="0.3">
      <c r="K3988" s="16">
        <f t="shared" si="61"/>
        <v>44182</v>
      </c>
      <c r="L3988" s="17">
        <v>8.3333333333333329E-2</v>
      </c>
      <c r="M3988" s="14">
        <v>359</v>
      </c>
      <c r="N3988" s="14">
        <v>3320</v>
      </c>
      <c r="O3988" s="14">
        <v>0</v>
      </c>
      <c r="P3988" s="14">
        <v>3679</v>
      </c>
      <c r="Q3988">
        <v>13362</v>
      </c>
      <c r="R3988">
        <v>1295</v>
      </c>
      <c r="S3988">
        <v>0</v>
      </c>
    </row>
    <row r="3989" spans="11:19" x14ac:dyDescent="0.3">
      <c r="K3989" s="16">
        <f t="shared" si="61"/>
        <v>44182</v>
      </c>
      <c r="L3989" s="17">
        <v>0.125</v>
      </c>
      <c r="M3989" s="14">
        <v>359</v>
      </c>
      <c r="N3989" s="14">
        <v>3003</v>
      </c>
      <c r="O3989" s="14">
        <v>0</v>
      </c>
      <c r="P3989" s="14">
        <v>3362</v>
      </c>
      <c r="Q3989">
        <v>12961</v>
      </c>
      <c r="R3989">
        <v>1211</v>
      </c>
      <c r="S3989">
        <v>0</v>
      </c>
    </row>
    <row r="3990" spans="11:19" x14ac:dyDescent="0.3">
      <c r="K3990" s="16">
        <f t="shared" si="61"/>
        <v>44182</v>
      </c>
      <c r="L3990" s="17">
        <v>0.16666666666666666</v>
      </c>
      <c r="M3990" s="14">
        <v>359</v>
      </c>
      <c r="N3990" s="14">
        <v>70</v>
      </c>
      <c r="O3990" s="14">
        <v>0</v>
      </c>
      <c r="P3990" s="14">
        <v>429</v>
      </c>
      <c r="Q3990">
        <v>12890</v>
      </c>
      <c r="R3990">
        <v>1179</v>
      </c>
      <c r="S3990">
        <v>0</v>
      </c>
    </row>
    <row r="3991" spans="11:19" x14ac:dyDescent="0.3">
      <c r="K3991" s="16">
        <f t="shared" si="61"/>
        <v>44182</v>
      </c>
      <c r="L3991" s="17">
        <v>0.20833333333333334</v>
      </c>
      <c r="M3991" s="14">
        <v>359</v>
      </c>
      <c r="N3991" s="14">
        <v>3647</v>
      </c>
      <c r="O3991" s="14">
        <v>0</v>
      </c>
      <c r="P3991" s="14">
        <v>4006</v>
      </c>
      <c r="Q3991">
        <v>13473</v>
      </c>
      <c r="R3991">
        <v>1081</v>
      </c>
      <c r="S3991">
        <v>0</v>
      </c>
    </row>
    <row r="3992" spans="11:19" x14ac:dyDescent="0.3">
      <c r="K3992" s="16">
        <f t="shared" si="61"/>
        <v>44182</v>
      </c>
      <c r="L3992" s="17">
        <v>0.25</v>
      </c>
      <c r="M3992" s="14">
        <v>359</v>
      </c>
      <c r="N3992" s="14">
        <v>2213</v>
      </c>
      <c r="O3992" s="14">
        <v>0</v>
      </c>
      <c r="P3992" s="14">
        <v>2572</v>
      </c>
      <c r="Q3992">
        <v>14751</v>
      </c>
      <c r="R3992">
        <v>888</v>
      </c>
      <c r="S3992">
        <v>0</v>
      </c>
    </row>
    <row r="3993" spans="11:19" x14ac:dyDescent="0.3">
      <c r="K3993" s="16">
        <f t="shared" si="61"/>
        <v>44182</v>
      </c>
      <c r="L3993" s="17">
        <v>0.29166666666666669</v>
      </c>
      <c r="M3993" s="14">
        <v>359</v>
      </c>
      <c r="N3993" s="14">
        <v>3303</v>
      </c>
      <c r="O3993" s="14">
        <v>0</v>
      </c>
      <c r="P3993" s="14">
        <v>3662</v>
      </c>
      <c r="Q3993">
        <v>15757</v>
      </c>
      <c r="R3993">
        <v>792</v>
      </c>
      <c r="S3993">
        <v>0</v>
      </c>
    </row>
    <row r="3994" spans="11:19" x14ac:dyDescent="0.3">
      <c r="K3994" s="16">
        <f t="shared" si="61"/>
        <v>44182</v>
      </c>
      <c r="L3994" s="17">
        <v>0.33333333333333331</v>
      </c>
      <c r="M3994" s="14">
        <v>359</v>
      </c>
      <c r="N3994" s="14">
        <v>3547</v>
      </c>
      <c r="O3994" s="14">
        <v>0</v>
      </c>
      <c r="P3994" s="14">
        <v>3906</v>
      </c>
      <c r="Q3994">
        <v>15889</v>
      </c>
      <c r="R3994">
        <v>645</v>
      </c>
      <c r="S3994">
        <v>28</v>
      </c>
    </row>
    <row r="3995" spans="11:19" x14ac:dyDescent="0.3">
      <c r="K3995" s="16">
        <f t="shared" ref="K3995:K4058" si="62">K3971+1</f>
        <v>44182</v>
      </c>
      <c r="L3995" s="17">
        <v>0.375</v>
      </c>
      <c r="M3995" s="14">
        <v>359</v>
      </c>
      <c r="N3995" s="14">
        <v>4044</v>
      </c>
      <c r="O3995" s="14">
        <v>0</v>
      </c>
      <c r="P3995" s="14">
        <v>4403</v>
      </c>
      <c r="Q3995">
        <v>15766</v>
      </c>
      <c r="R3995">
        <v>619</v>
      </c>
      <c r="S3995">
        <v>307</v>
      </c>
    </row>
    <row r="3996" spans="11:19" x14ac:dyDescent="0.3">
      <c r="K3996" s="16">
        <f t="shared" si="62"/>
        <v>44182</v>
      </c>
      <c r="L3996" s="17">
        <v>0.41666666666666669</v>
      </c>
      <c r="M3996" s="14">
        <v>359</v>
      </c>
      <c r="N3996" s="14">
        <v>2488</v>
      </c>
      <c r="O3996" s="14">
        <v>0</v>
      </c>
      <c r="P3996" s="14">
        <v>2847</v>
      </c>
      <c r="Q3996">
        <v>15656</v>
      </c>
      <c r="R3996">
        <v>724</v>
      </c>
      <c r="S3996">
        <v>774</v>
      </c>
    </row>
    <row r="3997" spans="11:19" x14ac:dyDescent="0.3">
      <c r="K3997" s="16">
        <f t="shared" si="62"/>
        <v>44182</v>
      </c>
      <c r="L3997" s="17">
        <v>0.45833333333333331</v>
      </c>
      <c r="M3997" s="14">
        <v>359</v>
      </c>
      <c r="N3997" s="14">
        <v>2070</v>
      </c>
      <c r="O3997" s="14">
        <v>0</v>
      </c>
      <c r="P3997" s="14">
        <v>2429</v>
      </c>
      <c r="Q3997">
        <v>15636</v>
      </c>
      <c r="R3997">
        <v>772</v>
      </c>
      <c r="S3997">
        <v>1124</v>
      </c>
    </row>
    <row r="3998" spans="11:19" x14ac:dyDescent="0.3">
      <c r="K3998" s="16">
        <f t="shared" si="62"/>
        <v>44182</v>
      </c>
      <c r="L3998" s="17">
        <v>0.5</v>
      </c>
      <c r="M3998" s="14">
        <v>359</v>
      </c>
      <c r="N3998" s="14">
        <v>1789</v>
      </c>
      <c r="O3998" s="14">
        <v>0</v>
      </c>
      <c r="P3998" s="14">
        <v>2148</v>
      </c>
      <c r="Q3998">
        <v>15529</v>
      </c>
      <c r="R3998">
        <v>803</v>
      </c>
      <c r="S3998">
        <v>1266</v>
      </c>
    </row>
    <row r="3999" spans="11:19" x14ac:dyDescent="0.3">
      <c r="K3999" s="16">
        <f t="shared" si="62"/>
        <v>44182</v>
      </c>
      <c r="L3999" s="17">
        <v>0.54166666666666663</v>
      </c>
      <c r="M3999" s="14">
        <v>359</v>
      </c>
      <c r="N3999" s="14">
        <v>1441</v>
      </c>
      <c r="O3999" s="14">
        <v>0</v>
      </c>
      <c r="P3999" s="14">
        <v>1800</v>
      </c>
      <c r="Q3999">
        <v>15185</v>
      </c>
      <c r="R3999">
        <v>856</v>
      </c>
      <c r="S3999">
        <v>1216</v>
      </c>
    </row>
    <row r="4000" spans="11:19" x14ac:dyDescent="0.3">
      <c r="K4000" s="16">
        <f t="shared" si="62"/>
        <v>44182</v>
      </c>
      <c r="L4000" s="17">
        <v>0.58333333333333337</v>
      </c>
      <c r="M4000" s="14">
        <v>359</v>
      </c>
      <c r="N4000" s="14">
        <v>1340</v>
      </c>
      <c r="O4000" s="14">
        <v>0</v>
      </c>
      <c r="P4000" s="14">
        <v>1699</v>
      </c>
      <c r="Q4000">
        <v>14871</v>
      </c>
      <c r="R4000">
        <v>918</v>
      </c>
      <c r="S4000">
        <v>941</v>
      </c>
    </row>
    <row r="4001" spans="11:19" x14ac:dyDescent="0.3">
      <c r="K4001" s="16">
        <f t="shared" si="62"/>
        <v>44182</v>
      </c>
      <c r="L4001" s="17">
        <v>0.625</v>
      </c>
      <c r="M4001" s="14">
        <v>359</v>
      </c>
      <c r="N4001" s="14">
        <v>1480</v>
      </c>
      <c r="O4001" s="14">
        <v>0</v>
      </c>
      <c r="P4001" s="14">
        <v>1839</v>
      </c>
      <c r="Q4001">
        <v>14688</v>
      </c>
      <c r="R4001">
        <v>1039</v>
      </c>
      <c r="S4001">
        <v>496</v>
      </c>
    </row>
    <row r="4002" spans="11:19" x14ac:dyDescent="0.3">
      <c r="K4002" s="16">
        <f t="shared" si="62"/>
        <v>44182</v>
      </c>
      <c r="L4002" s="17">
        <v>0.66666666666666663</v>
      </c>
      <c r="M4002" s="14">
        <v>359</v>
      </c>
      <c r="N4002" s="14">
        <v>1812</v>
      </c>
      <c r="O4002" s="14">
        <v>0</v>
      </c>
      <c r="P4002" s="14">
        <v>2171</v>
      </c>
      <c r="Q4002">
        <v>14720</v>
      </c>
      <c r="R4002">
        <v>1135</v>
      </c>
      <c r="S4002">
        <v>99</v>
      </c>
    </row>
    <row r="4003" spans="11:19" x14ac:dyDescent="0.3">
      <c r="K4003" s="16">
        <f t="shared" si="62"/>
        <v>44182</v>
      </c>
      <c r="L4003" s="17">
        <v>0.70833333333333337</v>
      </c>
      <c r="M4003" s="14">
        <v>359</v>
      </c>
      <c r="N4003" s="14">
        <v>2555</v>
      </c>
      <c r="O4003" s="14">
        <v>0</v>
      </c>
      <c r="P4003" s="14">
        <v>2914</v>
      </c>
      <c r="Q4003">
        <v>15399</v>
      </c>
      <c r="R4003">
        <v>1170</v>
      </c>
      <c r="S4003">
        <v>1</v>
      </c>
    </row>
    <row r="4004" spans="11:19" x14ac:dyDescent="0.3">
      <c r="K4004" s="16">
        <f t="shared" si="62"/>
        <v>44182</v>
      </c>
      <c r="L4004" s="17">
        <v>0.75</v>
      </c>
      <c r="M4004" s="14">
        <v>359</v>
      </c>
      <c r="N4004" s="14">
        <v>2895</v>
      </c>
      <c r="O4004" s="14">
        <v>0</v>
      </c>
      <c r="P4004" s="14">
        <v>3254</v>
      </c>
      <c r="Q4004">
        <v>15808</v>
      </c>
      <c r="R4004">
        <v>1240</v>
      </c>
      <c r="S4004">
        <v>0</v>
      </c>
    </row>
    <row r="4005" spans="11:19" x14ac:dyDescent="0.3">
      <c r="K4005" s="16">
        <f t="shared" si="62"/>
        <v>44182</v>
      </c>
      <c r="L4005" s="17">
        <v>0.79166666666666663</v>
      </c>
      <c r="M4005" s="14">
        <v>359</v>
      </c>
      <c r="N4005" s="14">
        <v>2519</v>
      </c>
      <c r="O4005" s="14">
        <v>0</v>
      </c>
      <c r="P4005" s="14">
        <v>2878</v>
      </c>
      <c r="Q4005">
        <v>15529</v>
      </c>
      <c r="R4005">
        <v>1342</v>
      </c>
      <c r="S4005">
        <v>0</v>
      </c>
    </row>
    <row r="4006" spans="11:19" x14ac:dyDescent="0.3">
      <c r="K4006" s="16">
        <f t="shared" si="62"/>
        <v>44182</v>
      </c>
      <c r="L4006" s="17">
        <v>0.83333333333333337</v>
      </c>
      <c r="M4006" s="14">
        <v>359</v>
      </c>
      <c r="N4006" s="14">
        <v>1548</v>
      </c>
      <c r="O4006" s="14">
        <v>0</v>
      </c>
      <c r="P4006" s="14">
        <v>1907</v>
      </c>
      <c r="Q4006">
        <v>14659</v>
      </c>
      <c r="R4006">
        <v>1448</v>
      </c>
      <c r="S4006">
        <v>0</v>
      </c>
    </row>
    <row r="4007" spans="11:19" x14ac:dyDescent="0.3">
      <c r="K4007" s="16">
        <f t="shared" si="62"/>
        <v>44182</v>
      </c>
      <c r="L4007" s="17">
        <v>0.875</v>
      </c>
      <c r="M4007" s="14">
        <v>359</v>
      </c>
      <c r="N4007" s="14">
        <v>745</v>
      </c>
      <c r="O4007" s="14">
        <v>0</v>
      </c>
      <c r="P4007" s="14">
        <v>1104</v>
      </c>
      <c r="Q4007">
        <v>13957</v>
      </c>
      <c r="R4007">
        <v>1559</v>
      </c>
      <c r="S4007">
        <v>0</v>
      </c>
    </row>
    <row r="4008" spans="11:19" x14ac:dyDescent="0.3">
      <c r="K4008" s="16">
        <f t="shared" si="62"/>
        <v>44182</v>
      </c>
      <c r="L4008" s="17">
        <v>0.91666666666666663</v>
      </c>
      <c r="M4008" s="14">
        <v>359</v>
      </c>
      <c r="N4008" s="14">
        <v>3646</v>
      </c>
      <c r="O4008" s="14">
        <v>0</v>
      </c>
      <c r="P4008" s="14">
        <v>4005</v>
      </c>
      <c r="Q4008">
        <v>14059</v>
      </c>
      <c r="R4008">
        <v>1664</v>
      </c>
      <c r="S4008">
        <v>0</v>
      </c>
    </row>
    <row r="4009" spans="11:19" x14ac:dyDescent="0.3">
      <c r="K4009" s="16">
        <f t="shared" si="62"/>
        <v>44182</v>
      </c>
      <c r="L4009" s="17">
        <v>0.95833333333333337</v>
      </c>
      <c r="M4009" s="14">
        <v>359</v>
      </c>
      <c r="N4009" s="14">
        <v>872</v>
      </c>
      <c r="O4009" s="14">
        <v>0</v>
      </c>
      <c r="P4009" s="14">
        <v>1231</v>
      </c>
      <c r="Q4009">
        <v>14107</v>
      </c>
      <c r="R4009">
        <v>1586</v>
      </c>
      <c r="S4009">
        <v>0</v>
      </c>
    </row>
    <row r="4010" spans="11:19" x14ac:dyDescent="0.3">
      <c r="K4010" s="16">
        <f t="shared" si="62"/>
        <v>44183</v>
      </c>
      <c r="L4010" s="17">
        <v>0</v>
      </c>
      <c r="M4010" s="14">
        <v>359</v>
      </c>
      <c r="N4010" s="14">
        <v>707</v>
      </c>
      <c r="O4010" s="14">
        <v>0</v>
      </c>
      <c r="P4010" s="14">
        <v>1066</v>
      </c>
      <c r="Q4010">
        <v>13576</v>
      </c>
      <c r="R4010">
        <v>1220</v>
      </c>
      <c r="S4010">
        <v>0</v>
      </c>
    </row>
    <row r="4011" spans="11:19" x14ac:dyDescent="0.3">
      <c r="K4011" s="16">
        <f t="shared" si="62"/>
        <v>44183</v>
      </c>
      <c r="L4011" s="17">
        <v>4.1666666666666664E-2</v>
      </c>
      <c r="M4011" s="14">
        <v>359</v>
      </c>
      <c r="N4011" s="14">
        <v>339</v>
      </c>
      <c r="O4011" s="14">
        <v>0</v>
      </c>
      <c r="P4011" s="14">
        <v>698</v>
      </c>
      <c r="Q4011">
        <v>13331</v>
      </c>
      <c r="R4011">
        <v>1345</v>
      </c>
      <c r="S4011">
        <v>0</v>
      </c>
    </row>
    <row r="4012" spans="11:19" x14ac:dyDescent="0.3">
      <c r="K4012" s="16">
        <f t="shared" si="62"/>
        <v>44183</v>
      </c>
      <c r="L4012" s="17">
        <v>8.3333333333333329E-2</v>
      </c>
      <c r="M4012" s="14">
        <v>359</v>
      </c>
      <c r="N4012" s="14">
        <v>0</v>
      </c>
      <c r="O4012" s="14">
        <v>0</v>
      </c>
      <c r="P4012" s="14">
        <v>359</v>
      </c>
      <c r="Q4012">
        <v>13095</v>
      </c>
      <c r="R4012">
        <v>1491</v>
      </c>
      <c r="S4012">
        <v>0</v>
      </c>
    </row>
    <row r="4013" spans="11:19" x14ac:dyDescent="0.3">
      <c r="K4013" s="16">
        <f t="shared" si="62"/>
        <v>44183</v>
      </c>
      <c r="L4013" s="17">
        <v>0.125</v>
      </c>
      <c r="M4013" s="14">
        <v>359</v>
      </c>
      <c r="N4013" s="14">
        <v>2216</v>
      </c>
      <c r="O4013" s="14">
        <v>0</v>
      </c>
      <c r="P4013" s="14">
        <v>2575</v>
      </c>
      <c r="Q4013">
        <v>12690</v>
      </c>
      <c r="R4013">
        <v>1726</v>
      </c>
      <c r="S4013">
        <v>0</v>
      </c>
    </row>
    <row r="4014" spans="11:19" x14ac:dyDescent="0.3">
      <c r="K4014" s="16">
        <f t="shared" si="62"/>
        <v>44183</v>
      </c>
      <c r="L4014" s="17">
        <v>0.16666666666666666</v>
      </c>
      <c r="M4014" s="14">
        <v>359</v>
      </c>
      <c r="N4014" s="14">
        <v>2078</v>
      </c>
      <c r="O4014" s="14">
        <v>0</v>
      </c>
      <c r="P4014" s="14">
        <v>2437</v>
      </c>
      <c r="Q4014">
        <v>12629</v>
      </c>
      <c r="R4014">
        <v>1806</v>
      </c>
      <c r="S4014">
        <v>0</v>
      </c>
    </row>
    <row r="4015" spans="11:19" x14ac:dyDescent="0.3">
      <c r="K4015" s="16">
        <f t="shared" si="62"/>
        <v>44183</v>
      </c>
      <c r="L4015" s="17">
        <v>0.20833333333333334</v>
      </c>
      <c r="M4015" s="14">
        <v>359</v>
      </c>
      <c r="N4015" s="14">
        <v>0</v>
      </c>
      <c r="O4015" s="14">
        <v>0</v>
      </c>
      <c r="P4015" s="14">
        <v>359</v>
      </c>
      <c r="Q4015">
        <v>13204</v>
      </c>
      <c r="R4015">
        <v>1820</v>
      </c>
      <c r="S4015">
        <v>0</v>
      </c>
    </row>
    <row r="4016" spans="11:19" x14ac:dyDescent="0.3">
      <c r="K4016" s="16">
        <f t="shared" si="62"/>
        <v>44183</v>
      </c>
      <c r="L4016" s="17">
        <v>0.25</v>
      </c>
      <c r="M4016" s="14">
        <v>359</v>
      </c>
      <c r="N4016" s="14">
        <v>888</v>
      </c>
      <c r="O4016" s="14">
        <v>0</v>
      </c>
      <c r="P4016" s="14">
        <v>1247</v>
      </c>
      <c r="Q4016">
        <v>14444</v>
      </c>
      <c r="R4016">
        <v>1904</v>
      </c>
      <c r="S4016">
        <v>0</v>
      </c>
    </row>
    <row r="4017" spans="11:19" x14ac:dyDescent="0.3">
      <c r="K4017" s="16">
        <f t="shared" si="62"/>
        <v>44183</v>
      </c>
      <c r="L4017" s="17">
        <v>0.29166666666666669</v>
      </c>
      <c r="M4017" s="14">
        <v>359</v>
      </c>
      <c r="N4017" s="14">
        <v>1822</v>
      </c>
      <c r="O4017" s="14">
        <v>0</v>
      </c>
      <c r="P4017" s="14">
        <v>2181</v>
      </c>
      <c r="Q4017">
        <v>15458</v>
      </c>
      <c r="R4017">
        <v>1972</v>
      </c>
      <c r="S4017">
        <v>0</v>
      </c>
    </row>
    <row r="4018" spans="11:19" x14ac:dyDescent="0.3">
      <c r="K4018" s="16">
        <f t="shared" si="62"/>
        <v>44183</v>
      </c>
      <c r="L4018" s="17">
        <v>0.33333333333333331</v>
      </c>
      <c r="M4018" s="14">
        <v>359</v>
      </c>
      <c r="N4018" s="14">
        <v>1840</v>
      </c>
      <c r="O4018" s="14">
        <v>0</v>
      </c>
      <c r="P4018" s="14">
        <v>2199</v>
      </c>
      <c r="Q4018">
        <v>15609</v>
      </c>
      <c r="R4018">
        <v>2079</v>
      </c>
      <c r="S4018">
        <v>20</v>
      </c>
    </row>
    <row r="4019" spans="11:19" x14ac:dyDescent="0.3">
      <c r="K4019" s="16">
        <f t="shared" si="62"/>
        <v>44183</v>
      </c>
      <c r="L4019" s="17">
        <v>0.375</v>
      </c>
      <c r="M4019" s="14">
        <v>359</v>
      </c>
      <c r="N4019" s="14">
        <v>1506</v>
      </c>
      <c r="O4019" s="14">
        <v>0</v>
      </c>
      <c r="P4019" s="14">
        <v>1865</v>
      </c>
      <c r="Q4019">
        <v>15539</v>
      </c>
      <c r="R4019">
        <v>2102</v>
      </c>
      <c r="S4019">
        <v>260</v>
      </c>
    </row>
    <row r="4020" spans="11:19" x14ac:dyDescent="0.3">
      <c r="K4020" s="16">
        <f t="shared" si="62"/>
        <v>44183</v>
      </c>
      <c r="L4020" s="17">
        <v>0.41666666666666669</v>
      </c>
      <c r="M4020" s="14">
        <v>359</v>
      </c>
      <c r="N4020" s="14">
        <v>831</v>
      </c>
      <c r="O4020" s="14">
        <v>0</v>
      </c>
      <c r="P4020" s="14">
        <v>1190</v>
      </c>
      <c r="Q4020">
        <v>15390</v>
      </c>
      <c r="R4020">
        <v>2171</v>
      </c>
      <c r="S4020">
        <v>716</v>
      </c>
    </row>
    <row r="4021" spans="11:19" x14ac:dyDescent="0.3">
      <c r="K4021" s="16">
        <f t="shared" si="62"/>
        <v>44183</v>
      </c>
      <c r="L4021" s="17">
        <v>0.45833333333333331</v>
      </c>
      <c r="M4021" s="14">
        <v>359</v>
      </c>
      <c r="N4021" s="14">
        <v>183</v>
      </c>
      <c r="O4021" s="14">
        <v>0</v>
      </c>
      <c r="P4021" s="14">
        <v>542</v>
      </c>
      <c r="Q4021">
        <v>15335</v>
      </c>
      <c r="R4021">
        <v>2420</v>
      </c>
      <c r="S4021">
        <v>1060</v>
      </c>
    </row>
    <row r="4022" spans="11:19" x14ac:dyDescent="0.3">
      <c r="K4022" s="16">
        <f t="shared" si="62"/>
        <v>44183</v>
      </c>
      <c r="L4022" s="17">
        <v>0.5</v>
      </c>
      <c r="M4022" s="14">
        <v>359</v>
      </c>
      <c r="N4022" s="14">
        <v>2813</v>
      </c>
      <c r="O4022" s="14">
        <v>0</v>
      </c>
      <c r="P4022" s="14">
        <v>3172</v>
      </c>
      <c r="Q4022">
        <v>15196</v>
      </c>
      <c r="R4022">
        <v>2390</v>
      </c>
      <c r="S4022">
        <v>1218</v>
      </c>
    </row>
    <row r="4023" spans="11:19" x14ac:dyDescent="0.3">
      <c r="K4023" s="16">
        <f t="shared" si="62"/>
        <v>44183</v>
      </c>
      <c r="L4023" s="17">
        <v>0.54166666666666663</v>
      </c>
      <c r="M4023" s="14">
        <v>359</v>
      </c>
      <c r="N4023" s="14">
        <v>0</v>
      </c>
      <c r="O4023" s="14">
        <v>0</v>
      </c>
      <c r="P4023" s="14">
        <v>359</v>
      </c>
      <c r="Q4023">
        <v>14827</v>
      </c>
      <c r="R4023">
        <v>2589</v>
      </c>
      <c r="S4023">
        <v>1135</v>
      </c>
    </row>
    <row r="4024" spans="11:19" x14ac:dyDescent="0.3">
      <c r="K4024" s="16">
        <f t="shared" si="62"/>
        <v>44183</v>
      </c>
      <c r="L4024" s="17">
        <v>0.58333333333333337</v>
      </c>
      <c r="M4024" s="14">
        <v>359</v>
      </c>
      <c r="N4024" s="14">
        <v>2242</v>
      </c>
      <c r="O4024" s="14">
        <v>0</v>
      </c>
      <c r="P4024" s="14">
        <v>2601</v>
      </c>
      <c r="Q4024">
        <v>14507</v>
      </c>
      <c r="R4024">
        <v>2599</v>
      </c>
      <c r="S4024">
        <v>890</v>
      </c>
    </row>
    <row r="4025" spans="11:19" x14ac:dyDescent="0.3">
      <c r="K4025" s="16">
        <f t="shared" si="62"/>
        <v>44183</v>
      </c>
      <c r="L4025" s="17">
        <v>0.625</v>
      </c>
      <c r="M4025" s="14">
        <v>359</v>
      </c>
      <c r="N4025" s="14">
        <v>0</v>
      </c>
      <c r="O4025" s="14">
        <v>0</v>
      </c>
      <c r="P4025" s="14">
        <v>359</v>
      </c>
      <c r="Q4025">
        <v>14319</v>
      </c>
      <c r="R4025">
        <v>2659</v>
      </c>
      <c r="S4025">
        <v>452</v>
      </c>
    </row>
    <row r="4026" spans="11:19" x14ac:dyDescent="0.3">
      <c r="K4026" s="16">
        <f t="shared" si="62"/>
        <v>44183</v>
      </c>
      <c r="L4026" s="17">
        <v>0.66666666666666663</v>
      </c>
      <c r="M4026" s="14">
        <v>359</v>
      </c>
      <c r="N4026" s="14">
        <v>2407</v>
      </c>
      <c r="O4026" s="14">
        <v>0</v>
      </c>
      <c r="P4026" s="14">
        <v>2766</v>
      </c>
      <c r="Q4026">
        <v>14296</v>
      </c>
      <c r="R4026">
        <v>2811</v>
      </c>
      <c r="S4026">
        <v>85</v>
      </c>
    </row>
    <row r="4027" spans="11:19" x14ac:dyDescent="0.3">
      <c r="K4027" s="16">
        <f t="shared" si="62"/>
        <v>44183</v>
      </c>
      <c r="L4027" s="17">
        <v>0.70833333333333337</v>
      </c>
      <c r="M4027" s="14">
        <v>359</v>
      </c>
      <c r="N4027" s="14">
        <v>585</v>
      </c>
      <c r="O4027" s="14">
        <v>0</v>
      </c>
      <c r="P4027" s="14">
        <v>944</v>
      </c>
      <c r="Q4027">
        <v>14966</v>
      </c>
      <c r="R4027">
        <v>2706</v>
      </c>
      <c r="S4027">
        <v>0</v>
      </c>
    </row>
    <row r="4028" spans="11:19" x14ac:dyDescent="0.3">
      <c r="K4028" s="16">
        <f t="shared" si="62"/>
        <v>44183</v>
      </c>
      <c r="L4028" s="17">
        <v>0.75</v>
      </c>
      <c r="M4028" s="14">
        <v>359</v>
      </c>
      <c r="N4028" s="14">
        <v>1099</v>
      </c>
      <c r="O4028" s="14">
        <v>0</v>
      </c>
      <c r="P4028" s="14">
        <v>1458</v>
      </c>
      <c r="Q4028">
        <v>15273</v>
      </c>
      <c r="R4028">
        <v>2499</v>
      </c>
      <c r="S4028">
        <v>0</v>
      </c>
    </row>
    <row r="4029" spans="11:19" x14ac:dyDescent="0.3">
      <c r="K4029" s="16">
        <f t="shared" si="62"/>
        <v>44183</v>
      </c>
      <c r="L4029" s="17">
        <v>0.79166666666666663</v>
      </c>
      <c r="M4029" s="14">
        <v>359</v>
      </c>
      <c r="N4029" s="14">
        <v>1090</v>
      </c>
      <c r="O4029" s="14">
        <v>0</v>
      </c>
      <c r="P4029" s="14">
        <v>1449</v>
      </c>
      <c r="Q4029">
        <v>14954</v>
      </c>
      <c r="R4029">
        <v>2194</v>
      </c>
      <c r="S4029">
        <v>0</v>
      </c>
    </row>
    <row r="4030" spans="11:19" x14ac:dyDescent="0.3">
      <c r="K4030" s="16">
        <f t="shared" si="62"/>
        <v>44183</v>
      </c>
      <c r="L4030" s="17">
        <v>0.83333333333333337</v>
      </c>
      <c r="M4030" s="14">
        <v>359</v>
      </c>
      <c r="N4030" s="14">
        <v>713</v>
      </c>
      <c r="O4030" s="14">
        <v>0</v>
      </c>
      <c r="P4030" s="14">
        <v>1072</v>
      </c>
      <c r="Q4030">
        <v>14272</v>
      </c>
      <c r="R4030">
        <v>1895</v>
      </c>
      <c r="S4030">
        <v>0</v>
      </c>
    </row>
    <row r="4031" spans="11:19" x14ac:dyDescent="0.3">
      <c r="K4031" s="16">
        <f t="shared" si="62"/>
        <v>44183</v>
      </c>
      <c r="L4031" s="17">
        <v>0.875</v>
      </c>
      <c r="M4031" s="14">
        <v>359</v>
      </c>
      <c r="N4031" s="14">
        <v>0</v>
      </c>
      <c r="O4031" s="14">
        <v>0</v>
      </c>
      <c r="P4031" s="14">
        <v>359</v>
      </c>
      <c r="Q4031">
        <v>13716</v>
      </c>
      <c r="R4031">
        <v>2078</v>
      </c>
      <c r="S4031">
        <v>0</v>
      </c>
    </row>
    <row r="4032" spans="11:19" x14ac:dyDescent="0.3">
      <c r="K4032" s="16">
        <f t="shared" si="62"/>
        <v>44183</v>
      </c>
      <c r="L4032" s="17">
        <v>0.91666666666666663</v>
      </c>
      <c r="M4032" s="14">
        <v>359</v>
      </c>
      <c r="N4032" s="14">
        <v>244</v>
      </c>
      <c r="O4032" s="14">
        <v>0</v>
      </c>
      <c r="P4032" s="14">
        <v>603</v>
      </c>
      <c r="Q4032">
        <v>13895</v>
      </c>
      <c r="R4032">
        <v>2003</v>
      </c>
      <c r="S4032">
        <v>0</v>
      </c>
    </row>
    <row r="4033" spans="11:19" x14ac:dyDescent="0.3">
      <c r="K4033" s="16">
        <f t="shared" si="62"/>
        <v>44183</v>
      </c>
      <c r="L4033" s="17">
        <v>0.95833333333333337</v>
      </c>
      <c r="M4033" s="14">
        <v>359</v>
      </c>
      <c r="N4033" s="14">
        <v>222</v>
      </c>
      <c r="O4033" s="14">
        <v>0</v>
      </c>
      <c r="P4033" s="14">
        <v>581</v>
      </c>
      <c r="Q4033">
        <v>13939</v>
      </c>
      <c r="R4033">
        <v>2067</v>
      </c>
      <c r="S4033">
        <v>0</v>
      </c>
    </row>
    <row r="4034" spans="11:19" x14ac:dyDescent="0.3">
      <c r="K4034" s="16">
        <f t="shared" si="62"/>
        <v>44184</v>
      </c>
      <c r="L4034" s="17">
        <v>0</v>
      </c>
      <c r="M4034" s="14">
        <v>359</v>
      </c>
      <c r="N4034" s="14">
        <v>0</v>
      </c>
      <c r="O4034" s="14">
        <v>0</v>
      </c>
      <c r="P4034" s="14">
        <v>359</v>
      </c>
      <c r="Q4034">
        <v>13309</v>
      </c>
      <c r="R4034">
        <v>2292</v>
      </c>
      <c r="S4034">
        <v>0</v>
      </c>
    </row>
    <row r="4035" spans="11:19" x14ac:dyDescent="0.3">
      <c r="K4035" s="16">
        <f t="shared" si="62"/>
        <v>44184</v>
      </c>
      <c r="L4035" s="17">
        <v>4.1666666666666664E-2</v>
      </c>
      <c r="M4035" s="14">
        <v>359</v>
      </c>
      <c r="N4035" s="14">
        <v>2162</v>
      </c>
      <c r="O4035" s="14">
        <v>0</v>
      </c>
      <c r="P4035" s="14">
        <v>2521</v>
      </c>
      <c r="Q4035">
        <v>13000</v>
      </c>
      <c r="R4035">
        <v>2090</v>
      </c>
      <c r="S4035">
        <v>0</v>
      </c>
    </row>
    <row r="4036" spans="11:19" x14ac:dyDescent="0.3">
      <c r="K4036" s="16">
        <f t="shared" si="62"/>
        <v>44184</v>
      </c>
      <c r="L4036" s="17">
        <v>8.3333333333333329E-2</v>
      </c>
      <c r="M4036" s="14">
        <v>359</v>
      </c>
      <c r="N4036" s="14">
        <v>0</v>
      </c>
      <c r="O4036" s="14">
        <v>0</v>
      </c>
      <c r="P4036" s="14">
        <v>359</v>
      </c>
      <c r="Q4036">
        <v>12680</v>
      </c>
      <c r="R4036">
        <v>1942</v>
      </c>
      <c r="S4036">
        <v>0</v>
      </c>
    </row>
    <row r="4037" spans="11:19" x14ac:dyDescent="0.3">
      <c r="K4037" s="16">
        <f t="shared" si="62"/>
        <v>44184</v>
      </c>
      <c r="L4037" s="17">
        <v>0.125</v>
      </c>
      <c r="M4037" s="14">
        <v>359</v>
      </c>
      <c r="N4037" s="14">
        <v>1707</v>
      </c>
      <c r="O4037" s="14">
        <v>0</v>
      </c>
      <c r="P4037" s="14">
        <v>2066</v>
      </c>
      <c r="Q4037">
        <v>12184</v>
      </c>
      <c r="R4037">
        <v>1734</v>
      </c>
      <c r="S4037">
        <v>0</v>
      </c>
    </row>
    <row r="4038" spans="11:19" x14ac:dyDescent="0.3">
      <c r="K4038" s="16">
        <f t="shared" si="62"/>
        <v>44184</v>
      </c>
      <c r="L4038" s="17">
        <v>0.16666666666666666</v>
      </c>
      <c r="M4038" s="14">
        <v>359</v>
      </c>
      <c r="N4038" s="14">
        <v>0</v>
      </c>
      <c r="O4038" s="14">
        <v>0</v>
      </c>
      <c r="P4038" s="14">
        <v>359</v>
      </c>
      <c r="Q4038">
        <v>11974</v>
      </c>
      <c r="R4038">
        <v>1389</v>
      </c>
      <c r="S4038">
        <v>0</v>
      </c>
    </row>
    <row r="4039" spans="11:19" x14ac:dyDescent="0.3">
      <c r="K4039" s="16">
        <f t="shared" si="62"/>
        <v>44184</v>
      </c>
      <c r="L4039" s="17">
        <v>0.20833333333333334</v>
      </c>
      <c r="M4039" s="14">
        <v>359</v>
      </c>
      <c r="N4039" s="14">
        <v>0</v>
      </c>
      <c r="O4039" s="14">
        <v>0</v>
      </c>
      <c r="P4039" s="14">
        <v>359</v>
      </c>
      <c r="Q4039">
        <v>12184</v>
      </c>
      <c r="R4039">
        <v>1079</v>
      </c>
      <c r="S4039">
        <v>0</v>
      </c>
    </row>
    <row r="4040" spans="11:19" x14ac:dyDescent="0.3">
      <c r="K4040" s="16">
        <f t="shared" si="62"/>
        <v>44184</v>
      </c>
      <c r="L4040" s="17">
        <v>0.25</v>
      </c>
      <c r="M4040" s="14">
        <v>359</v>
      </c>
      <c r="N4040" s="14">
        <v>2734</v>
      </c>
      <c r="O4040" s="14">
        <v>0</v>
      </c>
      <c r="P4040" s="14">
        <v>3093</v>
      </c>
      <c r="Q4040">
        <v>12554</v>
      </c>
      <c r="R4040">
        <v>1080</v>
      </c>
      <c r="S4040">
        <v>0</v>
      </c>
    </row>
    <row r="4041" spans="11:19" x14ac:dyDescent="0.3">
      <c r="K4041" s="16">
        <f t="shared" si="62"/>
        <v>44184</v>
      </c>
      <c r="L4041" s="17">
        <v>0.29166666666666669</v>
      </c>
      <c r="M4041" s="14">
        <v>359</v>
      </c>
      <c r="N4041" s="14">
        <v>285</v>
      </c>
      <c r="O4041" s="14">
        <v>0</v>
      </c>
      <c r="P4041" s="14">
        <v>644</v>
      </c>
      <c r="Q4041">
        <v>12993</v>
      </c>
      <c r="R4041">
        <v>1066</v>
      </c>
      <c r="S4041">
        <v>0</v>
      </c>
    </row>
    <row r="4042" spans="11:19" x14ac:dyDescent="0.3">
      <c r="K4042" s="16">
        <f t="shared" si="62"/>
        <v>44184</v>
      </c>
      <c r="L4042" s="17">
        <v>0.33333333333333331</v>
      </c>
      <c r="M4042" s="14">
        <v>359</v>
      </c>
      <c r="N4042" s="14">
        <v>571</v>
      </c>
      <c r="O4042" s="14">
        <v>0</v>
      </c>
      <c r="P4042" s="14">
        <v>930</v>
      </c>
      <c r="Q4042">
        <v>13462</v>
      </c>
      <c r="R4042">
        <v>1220</v>
      </c>
      <c r="S4042">
        <v>20</v>
      </c>
    </row>
    <row r="4043" spans="11:19" x14ac:dyDescent="0.3">
      <c r="K4043" s="16">
        <f t="shared" si="62"/>
        <v>44184</v>
      </c>
      <c r="L4043" s="17">
        <v>0.375</v>
      </c>
      <c r="M4043" s="14">
        <v>359</v>
      </c>
      <c r="N4043" s="14">
        <v>2783</v>
      </c>
      <c r="O4043" s="14">
        <v>0</v>
      </c>
      <c r="P4043" s="14">
        <v>3142</v>
      </c>
      <c r="Q4043">
        <v>13747</v>
      </c>
      <c r="R4043">
        <v>1077</v>
      </c>
      <c r="S4043">
        <v>270</v>
      </c>
    </row>
    <row r="4044" spans="11:19" x14ac:dyDescent="0.3">
      <c r="K4044" s="16">
        <f t="shared" si="62"/>
        <v>44184</v>
      </c>
      <c r="L4044" s="17">
        <v>0.41666666666666669</v>
      </c>
      <c r="M4044" s="14">
        <v>359</v>
      </c>
      <c r="N4044" s="14">
        <v>233</v>
      </c>
      <c r="O4044" s="14">
        <v>0</v>
      </c>
      <c r="P4044" s="14">
        <v>592</v>
      </c>
      <c r="Q4044">
        <v>13720</v>
      </c>
      <c r="R4044">
        <v>1019</v>
      </c>
      <c r="S4044">
        <v>804</v>
      </c>
    </row>
    <row r="4045" spans="11:19" x14ac:dyDescent="0.3">
      <c r="K4045" s="16">
        <f t="shared" si="62"/>
        <v>44184</v>
      </c>
      <c r="L4045" s="17">
        <v>0.45833333333333331</v>
      </c>
      <c r="M4045" s="14">
        <v>359</v>
      </c>
      <c r="N4045" s="14">
        <v>0</v>
      </c>
      <c r="O4045" s="14">
        <v>0</v>
      </c>
      <c r="P4045" s="14">
        <v>359</v>
      </c>
      <c r="Q4045">
        <v>13738</v>
      </c>
      <c r="R4045">
        <v>940</v>
      </c>
      <c r="S4045">
        <v>1252</v>
      </c>
    </row>
    <row r="4046" spans="11:19" x14ac:dyDescent="0.3">
      <c r="K4046" s="16">
        <f t="shared" si="62"/>
        <v>44184</v>
      </c>
      <c r="L4046" s="17">
        <v>0.5</v>
      </c>
      <c r="M4046" s="14">
        <v>359</v>
      </c>
      <c r="N4046" s="14">
        <v>0</v>
      </c>
      <c r="O4046" s="14">
        <v>0</v>
      </c>
      <c r="P4046" s="14">
        <v>359</v>
      </c>
      <c r="Q4046">
        <v>13909</v>
      </c>
      <c r="R4046">
        <v>886</v>
      </c>
      <c r="S4046">
        <v>1440</v>
      </c>
    </row>
    <row r="4047" spans="11:19" x14ac:dyDescent="0.3">
      <c r="K4047" s="16">
        <f t="shared" si="62"/>
        <v>44184</v>
      </c>
      <c r="L4047" s="17">
        <v>0.54166666666666663</v>
      </c>
      <c r="M4047" s="14">
        <v>359</v>
      </c>
      <c r="N4047" s="14">
        <v>2266</v>
      </c>
      <c r="O4047" s="14">
        <v>0</v>
      </c>
      <c r="P4047" s="14">
        <v>2625</v>
      </c>
      <c r="Q4047">
        <v>13356</v>
      </c>
      <c r="R4047">
        <v>933</v>
      </c>
      <c r="S4047">
        <v>1387</v>
      </c>
    </row>
    <row r="4048" spans="11:19" x14ac:dyDescent="0.3">
      <c r="K4048" s="16">
        <f t="shared" si="62"/>
        <v>44184</v>
      </c>
      <c r="L4048" s="17">
        <v>0.58333333333333337</v>
      </c>
      <c r="M4048" s="14">
        <v>359</v>
      </c>
      <c r="N4048" s="14">
        <v>0</v>
      </c>
      <c r="O4048" s="14">
        <v>0</v>
      </c>
      <c r="P4048" s="14">
        <v>359</v>
      </c>
      <c r="Q4048">
        <v>12856</v>
      </c>
      <c r="R4048">
        <v>848</v>
      </c>
      <c r="S4048">
        <v>1094</v>
      </c>
    </row>
    <row r="4049" spans="11:19" x14ac:dyDescent="0.3">
      <c r="K4049" s="16">
        <f t="shared" si="62"/>
        <v>44184</v>
      </c>
      <c r="L4049" s="17">
        <v>0.625</v>
      </c>
      <c r="M4049" s="14">
        <v>359</v>
      </c>
      <c r="N4049" s="14">
        <v>0</v>
      </c>
      <c r="O4049" s="14">
        <v>0</v>
      </c>
      <c r="P4049" s="14">
        <v>359</v>
      </c>
      <c r="Q4049">
        <v>12554</v>
      </c>
      <c r="R4049">
        <v>737</v>
      </c>
      <c r="S4049">
        <v>572</v>
      </c>
    </row>
    <row r="4050" spans="11:19" x14ac:dyDescent="0.3">
      <c r="K4050" s="16">
        <f t="shared" si="62"/>
        <v>44184</v>
      </c>
      <c r="L4050" s="17">
        <v>0.66666666666666663</v>
      </c>
      <c r="M4050" s="14">
        <v>359</v>
      </c>
      <c r="N4050" s="14">
        <v>2783</v>
      </c>
      <c r="O4050" s="14">
        <v>0</v>
      </c>
      <c r="P4050" s="14">
        <v>3142</v>
      </c>
      <c r="Q4050">
        <v>12542</v>
      </c>
      <c r="R4050">
        <v>578</v>
      </c>
      <c r="S4050">
        <v>121</v>
      </c>
    </row>
    <row r="4051" spans="11:19" x14ac:dyDescent="0.3">
      <c r="K4051" s="16">
        <f t="shared" si="62"/>
        <v>44184</v>
      </c>
      <c r="L4051" s="17">
        <v>0.70833333333333337</v>
      </c>
      <c r="M4051" s="14">
        <v>359</v>
      </c>
      <c r="N4051" s="14">
        <v>1155</v>
      </c>
      <c r="O4051" s="14">
        <v>0</v>
      </c>
      <c r="P4051" s="14">
        <v>1514</v>
      </c>
      <c r="Q4051">
        <v>13243</v>
      </c>
      <c r="R4051">
        <v>424</v>
      </c>
      <c r="S4051">
        <v>0</v>
      </c>
    </row>
    <row r="4052" spans="11:19" x14ac:dyDescent="0.3">
      <c r="K4052" s="16">
        <f t="shared" si="62"/>
        <v>44184</v>
      </c>
      <c r="L4052" s="17">
        <v>0.75</v>
      </c>
      <c r="M4052" s="14">
        <v>359</v>
      </c>
      <c r="N4052" s="14">
        <v>1674</v>
      </c>
      <c r="O4052" s="14">
        <v>0</v>
      </c>
      <c r="P4052" s="14">
        <v>2033</v>
      </c>
      <c r="Q4052">
        <v>13684</v>
      </c>
      <c r="R4052">
        <v>359</v>
      </c>
      <c r="S4052">
        <v>0</v>
      </c>
    </row>
    <row r="4053" spans="11:19" x14ac:dyDescent="0.3">
      <c r="K4053" s="16">
        <f t="shared" si="62"/>
        <v>44184</v>
      </c>
      <c r="L4053" s="17">
        <v>0.79166666666666663</v>
      </c>
      <c r="M4053" s="14">
        <v>359</v>
      </c>
      <c r="N4053" s="14">
        <v>2783</v>
      </c>
      <c r="O4053" s="14">
        <v>0</v>
      </c>
      <c r="P4053" s="14">
        <v>3142</v>
      </c>
      <c r="Q4053">
        <v>13557</v>
      </c>
      <c r="R4053">
        <v>325</v>
      </c>
      <c r="S4053">
        <v>0</v>
      </c>
    </row>
    <row r="4054" spans="11:19" x14ac:dyDescent="0.3">
      <c r="K4054" s="16">
        <f t="shared" si="62"/>
        <v>44184</v>
      </c>
      <c r="L4054" s="17">
        <v>0.83333333333333337</v>
      </c>
      <c r="M4054" s="14">
        <v>359</v>
      </c>
      <c r="N4054" s="14">
        <v>2783</v>
      </c>
      <c r="O4054" s="14">
        <v>0</v>
      </c>
      <c r="P4054" s="14">
        <v>3142</v>
      </c>
      <c r="Q4054">
        <v>13105</v>
      </c>
      <c r="R4054">
        <v>327</v>
      </c>
      <c r="S4054">
        <v>0</v>
      </c>
    </row>
    <row r="4055" spans="11:19" x14ac:dyDescent="0.3">
      <c r="K4055" s="16">
        <f t="shared" si="62"/>
        <v>44184</v>
      </c>
      <c r="L4055" s="17">
        <v>0.875</v>
      </c>
      <c r="M4055" s="14">
        <v>359</v>
      </c>
      <c r="N4055" s="14">
        <v>2783</v>
      </c>
      <c r="O4055" s="14">
        <v>0</v>
      </c>
      <c r="P4055" s="14">
        <v>3142</v>
      </c>
      <c r="Q4055">
        <v>12683</v>
      </c>
      <c r="R4055">
        <v>348</v>
      </c>
      <c r="S4055">
        <v>0</v>
      </c>
    </row>
    <row r="4056" spans="11:19" x14ac:dyDescent="0.3">
      <c r="K4056" s="16">
        <f t="shared" si="62"/>
        <v>44184</v>
      </c>
      <c r="L4056" s="17">
        <v>0.91666666666666663</v>
      </c>
      <c r="M4056" s="14">
        <v>359</v>
      </c>
      <c r="N4056" s="14">
        <v>2783</v>
      </c>
      <c r="O4056" s="14">
        <v>0</v>
      </c>
      <c r="P4056" s="14">
        <v>3142</v>
      </c>
      <c r="Q4056">
        <v>12996</v>
      </c>
      <c r="R4056">
        <v>323</v>
      </c>
      <c r="S4056">
        <v>0</v>
      </c>
    </row>
    <row r="4057" spans="11:19" x14ac:dyDescent="0.3">
      <c r="K4057" s="16">
        <f t="shared" si="62"/>
        <v>44184</v>
      </c>
      <c r="L4057" s="17">
        <v>0.95833333333333337</v>
      </c>
      <c r="M4057" s="14">
        <v>359</v>
      </c>
      <c r="N4057" s="14">
        <v>2783</v>
      </c>
      <c r="O4057" s="14">
        <v>0</v>
      </c>
      <c r="P4057" s="14">
        <v>3142</v>
      </c>
      <c r="Q4057">
        <v>13305</v>
      </c>
      <c r="R4057">
        <v>288</v>
      </c>
      <c r="S4057">
        <v>0</v>
      </c>
    </row>
    <row r="4058" spans="11:19" x14ac:dyDescent="0.3">
      <c r="K4058" s="16">
        <f t="shared" si="62"/>
        <v>44185</v>
      </c>
      <c r="L4058" s="17">
        <v>0</v>
      </c>
      <c r="M4058" s="14">
        <v>359</v>
      </c>
      <c r="N4058" s="14">
        <v>1885</v>
      </c>
      <c r="O4058" s="14">
        <v>0</v>
      </c>
      <c r="P4058" s="14">
        <v>2244</v>
      </c>
      <c r="Q4058">
        <v>12923</v>
      </c>
      <c r="R4058">
        <v>215</v>
      </c>
      <c r="S4058">
        <v>0</v>
      </c>
    </row>
    <row r="4059" spans="11:19" x14ac:dyDescent="0.3">
      <c r="K4059" s="16">
        <f t="shared" ref="K4059:K4122" si="63">K4035+1</f>
        <v>44185</v>
      </c>
      <c r="L4059" s="17">
        <v>4.1666666666666664E-2</v>
      </c>
      <c r="M4059" s="14">
        <v>359</v>
      </c>
      <c r="N4059" s="14">
        <v>713</v>
      </c>
      <c r="O4059" s="14">
        <v>0</v>
      </c>
      <c r="P4059" s="14">
        <v>1072</v>
      </c>
      <c r="Q4059">
        <v>12636</v>
      </c>
      <c r="R4059">
        <v>279</v>
      </c>
      <c r="S4059">
        <v>0</v>
      </c>
    </row>
    <row r="4060" spans="11:19" x14ac:dyDescent="0.3">
      <c r="K4060" s="16">
        <f t="shared" si="63"/>
        <v>44185</v>
      </c>
      <c r="L4060" s="17">
        <v>8.3333333333333329E-2</v>
      </c>
      <c r="M4060" s="14">
        <v>359</v>
      </c>
      <c r="N4060" s="14">
        <v>1885</v>
      </c>
      <c r="O4060" s="14">
        <v>0</v>
      </c>
      <c r="P4060" s="14">
        <v>2244</v>
      </c>
      <c r="Q4060">
        <v>12312</v>
      </c>
      <c r="R4060">
        <v>273</v>
      </c>
      <c r="S4060">
        <v>0</v>
      </c>
    </row>
    <row r="4061" spans="11:19" x14ac:dyDescent="0.3">
      <c r="K4061" s="16">
        <f t="shared" si="63"/>
        <v>44185</v>
      </c>
      <c r="L4061" s="17">
        <v>0.125</v>
      </c>
      <c r="M4061" s="14">
        <v>359</v>
      </c>
      <c r="N4061" s="14">
        <v>1885</v>
      </c>
      <c r="O4061" s="14">
        <v>0</v>
      </c>
      <c r="P4061" s="14">
        <v>2244</v>
      </c>
      <c r="Q4061">
        <v>11765</v>
      </c>
      <c r="R4061">
        <v>317</v>
      </c>
      <c r="S4061">
        <v>0</v>
      </c>
    </row>
    <row r="4062" spans="11:19" x14ac:dyDescent="0.3">
      <c r="K4062" s="16">
        <f t="shared" si="63"/>
        <v>44185</v>
      </c>
      <c r="L4062" s="17">
        <v>0.16666666666666666</v>
      </c>
      <c r="M4062" s="14">
        <v>359</v>
      </c>
      <c r="N4062" s="14">
        <v>1885</v>
      </c>
      <c r="O4062" s="14">
        <v>0</v>
      </c>
      <c r="P4062" s="14">
        <v>2244</v>
      </c>
      <c r="Q4062">
        <v>11463</v>
      </c>
      <c r="R4062">
        <v>396</v>
      </c>
      <c r="S4062">
        <v>0</v>
      </c>
    </row>
    <row r="4063" spans="11:19" x14ac:dyDescent="0.3">
      <c r="K4063" s="16">
        <f t="shared" si="63"/>
        <v>44185</v>
      </c>
      <c r="L4063" s="17">
        <v>0.20833333333333334</v>
      </c>
      <c r="M4063" s="14">
        <v>359</v>
      </c>
      <c r="N4063" s="14">
        <v>1885</v>
      </c>
      <c r="O4063" s="14">
        <v>0</v>
      </c>
      <c r="P4063" s="14">
        <v>2244</v>
      </c>
      <c r="Q4063">
        <v>11517</v>
      </c>
      <c r="R4063">
        <v>530</v>
      </c>
      <c r="S4063">
        <v>0</v>
      </c>
    </row>
    <row r="4064" spans="11:19" x14ac:dyDescent="0.3">
      <c r="K4064" s="16">
        <f t="shared" si="63"/>
        <v>44185</v>
      </c>
      <c r="L4064" s="17">
        <v>0.25</v>
      </c>
      <c r="M4064" s="14">
        <v>359</v>
      </c>
      <c r="N4064" s="14">
        <v>1885</v>
      </c>
      <c r="O4064" s="14">
        <v>0</v>
      </c>
      <c r="P4064" s="14">
        <v>2244</v>
      </c>
      <c r="Q4064">
        <v>11684</v>
      </c>
      <c r="R4064">
        <v>736</v>
      </c>
      <c r="S4064">
        <v>0</v>
      </c>
    </row>
    <row r="4065" spans="11:19" x14ac:dyDescent="0.3">
      <c r="K4065" s="16">
        <f t="shared" si="63"/>
        <v>44185</v>
      </c>
      <c r="L4065" s="17">
        <v>0.29166666666666669</v>
      </c>
      <c r="M4065" s="14">
        <v>359</v>
      </c>
      <c r="N4065" s="14">
        <v>1885</v>
      </c>
      <c r="O4065" s="14">
        <v>0</v>
      </c>
      <c r="P4065" s="14">
        <v>2244</v>
      </c>
      <c r="Q4065">
        <v>11882</v>
      </c>
      <c r="R4065">
        <v>969</v>
      </c>
      <c r="S4065">
        <v>0</v>
      </c>
    </row>
    <row r="4066" spans="11:19" x14ac:dyDescent="0.3">
      <c r="K4066" s="16">
        <f t="shared" si="63"/>
        <v>44185</v>
      </c>
      <c r="L4066" s="17">
        <v>0.33333333333333331</v>
      </c>
      <c r="M4066" s="14">
        <v>359</v>
      </c>
      <c r="N4066" s="14">
        <v>0</v>
      </c>
      <c r="O4066" s="14">
        <v>0</v>
      </c>
      <c r="P4066" s="14">
        <v>359</v>
      </c>
      <c r="Q4066">
        <v>12229</v>
      </c>
      <c r="R4066">
        <v>1139</v>
      </c>
      <c r="S4066">
        <v>22</v>
      </c>
    </row>
    <row r="4067" spans="11:19" x14ac:dyDescent="0.3">
      <c r="K4067" s="16">
        <f t="shared" si="63"/>
        <v>44185</v>
      </c>
      <c r="L4067" s="17">
        <v>0.375</v>
      </c>
      <c r="M4067" s="14">
        <v>359</v>
      </c>
      <c r="N4067" s="14">
        <v>0</v>
      </c>
      <c r="O4067" s="14">
        <v>0</v>
      </c>
      <c r="P4067" s="14">
        <v>359</v>
      </c>
      <c r="Q4067">
        <v>12657</v>
      </c>
      <c r="R4067">
        <v>1317</v>
      </c>
      <c r="S4067">
        <v>276</v>
      </c>
    </row>
    <row r="4068" spans="11:19" x14ac:dyDescent="0.3">
      <c r="K4068" s="16">
        <f t="shared" si="63"/>
        <v>44185</v>
      </c>
      <c r="L4068" s="17">
        <v>0.41666666666666669</v>
      </c>
      <c r="M4068" s="14">
        <v>359</v>
      </c>
      <c r="N4068" s="14">
        <v>1861</v>
      </c>
      <c r="O4068" s="14">
        <v>0</v>
      </c>
      <c r="P4068" s="14">
        <v>2220</v>
      </c>
      <c r="Q4068">
        <v>12946</v>
      </c>
      <c r="R4068">
        <v>1574</v>
      </c>
      <c r="S4068">
        <v>746</v>
      </c>
    </row>
    <row r="4069" spans="11:19" x14ac:dyDescent="0.3">
      <c r="K4069" s="16">
        <f t="shared" si="63"/>
        <v>44185</v>
      </c>
      <c r="L4069" s="17">
        <v>0.45833333333333331</v>
      </c>
      <c r="M4069" s="14">
        <v>359</v>
      </c>
      <c r="N4069" s="14">
        <v>0</v>
      </c>
      <c r="O4069" s="14">
        <v>0</v>
      </c>
      <c r="P4069" s="14">
        <v>359</v>
      </c>
      <c r="Q4069">
        <v>13127</v>
      </c>
      <c r="R4069">
        <v>1700</v>
      </c>
      <c r="S4069">
        <v>1030</v>
      </c>
    </row>
    <row r="4070" spans="11:19" x14ac:dyDescent="0.3">
      <c r="K4070" s="16">
        <f t="shared" si="63"/>
        <v>44185</v>
      </c>
      <c r="L4070" s="17">
        <v>0.5</v>
      </c>
      <c r="M4070" s="14">
        <v>359</v>
      </c>
      <c r="N4070" s="14">
        <v>0</v>
      </c>
      <c r="O4070" s="14">
        <v>0</v>
      </c>
      <c r="P4070" s="14">
        <v>359</v>
      </c>
      <c r="Q4070">
        <v>13381</v>
      </c>
      <c r="R4070">
        <v>1943</v>
      </c>
      <c r="S4070">
        <v>1150</v>
      </c>
    </row>
    <row r="4071" spans="11:19" x14ac:dyDescent="0.3">
      <c r="K4071" s="16">
        <f t="shared" si="63"/>
        <v>44185</v>
      </c>
      <c r="L4071" s="17">
        <v>0.54166666666666663</v>
      </c>
      <c r="M4071" s="14">
        <v>359</v>
      </c>
      <c r="N4071" s="14">
        <v>0</v>
      </c>
      <c r="O4071" s="14">
        <v>0</v>
      </c>
      <c r="P4071" s="14">
        <v>359</v>
      </c>
      <c r="Q4071">
        <v>12826</v>
      </c>
      <c r="R4071">
        <v>2317</v>
      </c>
      <c r="S4071">
        <v>1068</v>
      </c>
    </row>
    <row r="4072" spans="11:19" x14ac:dyDescent="0.3">
      <c r="K4072" s="16">
        <f t="shared" si="63"/>
        <v>44185</v>
      </c>
      <c r="L4072" s="17">
        <v>0.58333333333333337</v>
      </c>
      <c r="M4072" s="14">
        <v>359</v>
      </c>
      <c r="N4072" s="14">
        <v>380</v>
      </c>
      <c r="O4072" s="14">
        <v>0</v>
      </c>
      <c r="P4072" s="14">
        <v>739</v>
      </c>
      <c r="Q4072">
        <v>12297</v>
      </c>
      <c r="R4072">
        <v>2321</v>
      </c>
      <c r="S4072">
        <v>827</v>
      </c>
    </row>
    <row r="4073" spans="11:19" x14ac:dyDescent="0.3">
      <c r="K4073" s="16">
        <f t="shared" si="63"/>
        <v>44185</v>
      </c>
      <c r="L4073" s="17">
        <v>0.625</v>
      </c>
      <c r="M4073" s="14">
        <v>359</v>
      </c>
      <c r="N4073" s="14">
        <v>0</v>
      </c>
      <c r="O4073" s="14">
        <v>0</v>
      </c>
      <c r="P4073" s="14">
        <v>359</v>
      </c>
      <c r="Q4073">
        <v>12030</v>
      </c>
      <c r="R4073">
        <v>2284</v>
      </c>
      <c r="S4073">
        <v>442</v>
      </c>
    </row>
    <row r="4074" spans="11:19" x14ac:dyDescent="0.3">
      <c r="K4074" s="16">
        <f t="shared" si="63"/>
        <v>44185</v>
      </c>
      <c r="L4074" s="17">
        <v>0.66666666666666663</v>
      </c>
      <c r="M4074" s="14">
        <v>359</v>
      </c>
      <c r="N4074" s="14">
        <v>0</v>
      </c>
      <c r="O4074" s="14">
        <v>0</v>
      </c>
      <c r="P4074" s="14">
        <v>359</v>
      </c>
      <c r="Q4074">
        <v>11942</v>
      </c>
      <c r="R4074">
        <v>2618</v>
      </c>
      <c r="S4074">
        <v>78</v>
      </c>
    </row>
    <row r="4075" spans="11:19" x14ac:dyDescent="0.3">
      <c r="K4075" s="16">
        <f t="shared" si="63"/>
        <v>44185</v>
      </c>
      <c r="L4075" s="17">
        <v>0.70833333333333337</v>
      </c>
      <c r="M4075" s="14">
        <v>359</v>
      </c>
      <c r="N4075" s="14">
        <v>0</v>
      </c>
      <c r="O4075" s="14">
        <v>0</v>
      </c>
      <c r="P4075" s="14">
        <v>359</v>
      </c>
      <c r="Q4075">
        <v>12597</v>
      </c>
      <c r="R4075">
        <v>2597</v>
      </c>
      <c r="S4075">
        <v>1</v>
      </c>
    </row>
    <row r="4076" spans="11:19" x14ac:dyDescent="0.3">
      <c r="K4076" s="16">
        <f t="shared" si="63"/>
        <v>44185</v>
      </c>
      <c r="L4076" s="17">
        <v>0.75</v>
      </c>
      <c r="M4076" s="14">
        <v>359</v>
      </c>
      <c r="N4076" s="14">
        <v>1165</v>
      </c>
      <c r="O4076" s="14">
        <v>0</v>
      </c>
      <c r="P4076" s="14">
        <v>1524</v>
      </c>
      <c r="Q4076">
        <v>12977</v>
      </c>
      <c r="R4076">
        <v>3061</v>
      </c>
      <c r="S4076">
        <v>0</v>
      </c>
    </row>
    <row r="4077" spans="11:19" x14ac:dyDescent="0.3">
      <c r="K4077" s="16">
        <f t="shared" si="63"/>
        <v>44185</v>
      </c>
      <c r="L4077" s="17">
        <v>0.79166666666666663</v>
      </c>
      <c r="M4077" s="14">
        <v>359</v>
      </c>
      <c r="N4077" s="14">
        <v>0</v>
      </c>
      <c r="O4077" s="14">
        <v>0</v>
      </c>
      <c r="P4077" s="14">
        <v>359</v>
      </c>
      <c r="Q4077">
        <v>12769</v>
      </c>
      <c r="R4077">
        <v>2813</v>
      </c>
      <c r="S4077">
        <v>0</v>
      </c>
    </row>
    <row r="4078" spans="11:19" x14ac:dyDescent="0.3">
      <c r="K4078" s="16">
        <f t="shared" si="63"/>
        <v>44185</v>
      </c>
      <c r="L4078" s="17">
        <v>0.83333333333333337</v>
      </c>
      <c r="M4078" s="14">
        <v>359</v>
      </c>
      <c r="N4078" s="14">
        <v>0</v>
      </c>
      <c r="O4078" s="14">
        <v>0</v>
      </c>
      <c r="P4078" s="14">
        <v>359</v>
      </c>
      <c r="Q4078">
        <v>12384</v>
      </c>
      <c r="R4078">
        <v>2816</v>
      </c>
      <c r="S4078">
        <v>0</v>
      </c>
    </row>
    <row r="4079" spans="11:19" x14ac:dyDescent="0.3">
      <c r="K4079" s="16">
        <f t="shared" si="63"/>
        <v>44185</v>
      </c>
      <c r="L4079" s="17">
        <v>0.875</v>
      </c>
      <c r="M4079" s="14">
        <v>359</v>
      </c>
      <c r="N4079" s="14">
        <v>0</v>
      </c>
      <c r="O4079" s="14">
        <v>0</v>
      </c>
      <c r="P4079" s="14">
        <v>359</v>
      </c>
      <c r="Q4079">
        <v>11939</v>
      </c>
      <c r="R4079">
        <v>2794</v>
      </c>
      <c r="S4079">
        <v>0</v>
      </c>
    </row>
    <row r="4080" spans="11:19" x14ac:dyDescent="0.3">
      <c r="K4080" s="16">
        <f t="shared" si="63"/>
        <v>44185</v>
      </c>
      <c r="L4080" s="17">
        <v>0.91666666666666663</v>
      </c>
      <c r="M4080" s="14">
        <v>359</v>
      </c>
      <c r="N4080" s="14">
        <v>546</v>
      </c>
      <c r="O4080" s="14">
        <v>0</v>
      </c>
      <c r="P4080" s="14">
        <v>905</v>
      </c>
      <c r="Q4080">
        <v>12014</v>
      </c>
      <c r="R4080">
        <v>2738</v>
      </c>
      <c r="S4080">
        <v>0</v>
      </c>
    </row>
    <row r="4081" spans="11:19" x14ac:dyDescent="0.3">
      <c r="K4081" s="16">
        <f t="shared" si="63"/>
        <v>44185</v>
      </c>
      <c r="L4081" s="17">
        <v>0.95833333333333337</v>
      </c>
      <c r="M4081" s="14">
        <v>359</v>
      </c>
      <c r="N4081" s="14">
        <v>0</v>
      </c>
      <c r="O4081" s="14">
        <v>0</v>
      </c>
      <c r="P4081" s="14">
        <v>359</v>
      </c>
      <c r="Q4081">
        <v>12164</v>
      </c>
      <c r="R4081">
        <v>2695</v>
      </c>
      <c r="S4081">
        <v>0</v>
      </c>
    </row>
    <row r="4082" spans="11:19" x14ac:dyDescent="0.3">
      <c r="K4082" s="16">
        <f t="shared" si="63"/>
        <v>44186</v>
      </c>
      <c r="L4082" s="17">
        <v>0</v>
      </c>
      <c r="M4082" s="14">
        <v>359</v>
      </c>
      <c r="N4082" s="14">
        <v>0</v>
      </c>
      <c r="O4082" s="14">
        <v>0</v>
      </c>
      <c r="P4082" s="14">
        <v>359</v>
      </c>
      <c r="Q4082">
        <v>11819</v>
      </c>
      <c r="R4082">
        <v>2379</v>
      </c>
      <c r="S4082">
        <v>0</v>
      </c>
    </row>
    <row r="4083" spans="11:19" x14ac:dyDescent="0.3">
      <c r="K4083" s="16">
        <f t="shared" si="63"/>
        <v>44186</v>
      </c>
      <c r="L4083" s="17">
        <v>4.1666666666666664E-2</v>
      </c>
      <c r="M4083" s="14">
        <v>359</v>
      </c>
      <c r="N4083" s="14">
        <v>465</v>
      </c>
      <c r="O4083" s="14">
        <v>0</v>
      </c>
      <c r="P4083" s="14">
        <v>824</v>
      </c>
      <c r="Q4083">
        <v>11522</v>
      </c>
      <c r="R4083">
        <v>2310</v>
      </c>
      <c r="S4083">
        <v>0</v>
      </c>
    </row>
    <row r="4084" spans="11:19" x14ac:dyDescent="0.3">
      <c r="K4084" s="16">
        <f t="shared" si="63"/>
        <v>44186</v>
      </c>
      <c r="L4084" s="17">
        <v>8.3333333333333329E-2</v>
      </c>
      <c r="M4084" s="14">
        <v>359</v>
      </c>
      <c r="N4084" s="14">
        <v>260</v>
      </c>
      <c r="O4084" s="14">
        <v>0</v>
      </c>
      <c r="P4084" s="14">
        <v>619</v>
      </c>
      <c r="Q4084">
        <v>11219</v>
      </c>
      <c r="R4084">
        <v>2213</v>
      </c>
      <c r="S4084">
        <v>0</v>
      </c>
    </row>
    <row r="4085" spans="11:19" x14ac:dyDescent="0.3">
      <c r="K4085" s="16">
        <f t="shared" si="63"/>
        <v>44186</v>
      </c>
      <c r="L4085" s="17">
        <v>0.125</v>
      </c>
      <c r="M4085" s="14">
        <v>359</v>
      </c>
      <c r="N4085" s="14">
        <v>0</v>
      </c>
      <c r="O4085" s="14">
        <v>0</v>
      </c>
      <c r="P4085" s="14">
        <v>359</v>
      </c>
      <c r="Q4085">
        <v>10767</v>
      </c>
      <c r="R4085">
        <v>1867</v>
      </c>
      <c r="S4085">
        <v>0</v>
      </c>
    </row>
    <row r="4086" spans="11:19" x14ac:dyDescent="0.3">
      <c r="K4086" s="16">
        <f t="shared" si="63"/>
        <v>44186</v>
      </c>
      <c r="L4086" s="17">
        <v>0.16666666666666666</v>
      </c>
      <c r="M4086" s="14">
        <v>359</v>
      </c>
      <c r="N4086" s="14">
        <v>0</v>
      </c>
      <c r="O4086" s="14">
        <v>0</v>
      </c>
      <c r="P4086" s="14">
        <v>359</v>
      </c>
      <c r="Q4086">
        <v>10694</v>
      </c>
      <c r="R4086">
        <v>1845</v>
      </c>
      <c r="S4086">
        <v>0</v>
      </c>
    </row>
    <row r="4087" spans="11:19" x14ac:dyDescent="0.3">
      <c r="K4087" s="16">
        <f t="shared" si="63"/>
        <v>44186</v>
      </c>
      <c r="L4087" s="17">
        <v>0.20833333333333334</v>
      </c>
      <c r="M4087" s="14">
        <v>359</v>
      </c>
      <c r="N4087" s="14">
        <v>0</v>
      </c>
      <c r="O4087" s="14">
        <v>0</v>
      </c>
      <c r="P4087" s="14">
        <v>359</v>
      </c>
      <c r="Q4087">
        <v>11296</v>
      </c>
      <c r="R4087">
        <v>1727</v>
      </c>
      <c r="S4087">
        <v>0</v>
      </c>
    </row>
    <row r="4088" spans="11:19" x14ac:dyDescent="0.3">
      <c r="K4088" s="16">
        <f t="shared" si="63"/>
        <v>44186</v>
      </c>
      <c r="L4088" s="17">
        <v>0.25</v>
      </c>
      <c r="M4088" s="14">
        <v>359</v>
      </c>
      <c r="N4088" s="14">
        <v>0</v>
      </c>
      <c r="O4088" s="14">
        <v>0</v>
      </c>
      <c r="P4088" s="14">
        <v>359</v>
      </c>
      <c r="Q4088">
        <v>12496</v>
      </c>
      <c r="R4088">
        <v>1661</v>
      </c>
      <c r="S4088">
        <v>0</v>
      </c>
    </row>
    <row r="4089" spans="11:19" x14ac:dyDescent="0.3">
      <c r="K4089" s="16">
        <f t="shared" si="63"/>
        <v>44186</v>
      </c>
      <c r="L4089" s="17">
        <v>0.29166666666666669</v>
      </c>
      <c r="M4089" s="14">
        <v>359</v>
      </c>
      <c r="N4089" s="14">
        <v>2320</v>
      </c>
      <c r="O4089" s="14">
        <v>0</v>
      </c>
      <c r="P4089" s="14">
        <v>2679</v>
      </c>
      <c r="Q4089">
        <v>13545</v>
      </c>
      <c r="R4089">
        <v>1675</v>
      </c>
      <c r="S4089">
        <v>0</v>
      </c>
    </row>
    <row r="4090" spans="11:19" x14ac:dyDescent="0.3">
      <c r="K4090" s="16">
        <f t="shared" si="63"/>
        <v>44186</v>
      </c>
      <c r="L4090" s="17">
        <v>0.33333333333333331</v>
      </c>
      <c r="M4090" s="14">
        <v>359</v>
      </c>
      <c r="N4090" s="14">
        <v>2320</v>
      </c>
      <c r="O4090" s="14">
        <v>0</v>
      </c>
      <c r="P4090" s="14">
        <v>2679</v>
      </c>
      <c r="Q4090">
        <v>13880</v>
      </c>
      <c r="R4090">
        <v>1497</v>
      </c>
      <c r="S4090">
        <v>23</v>
      </c>
    </row>
    <row r="4091" spans="11:19" x14ac:dyDescent="0.3">
      <c r="K4091" s="16">
        <f t="shared" si="63"/>
        <v>44186</v>
      </c>
      <c r="L4091" s="17">
        <v>0.375</v>
      </c>
      <c r="M4091" s="14">
        <v>359</v>
      </c>
      <c r="N4091" s="14">
        <v>745</v>
      </c>
      <c r="O4091" s="14">
        <v>0</v>
      </c>
      <c r="P4091" s="14">
        <v>1104</v>
      </c>
      <c r="Q4091">
        <v>13968</v>
      </c>
      <c r="R4091">
        <v>1336</v>
      </c>
      <c r="S4091">
        <v>219</v>
      </c>
    </row>
    <row r="4092" spans="11:19" x14ac:dyDescent="0.3">
      <c r="K4092" s="16">
        <f t="shared" si="63"/>
        <v>44186</v>
      </c>
      <c r="L4092" s="17">
        <v>0.41666666666666669</v>
      </c>
      <c r="M4092" s="14">
        <v>359</v>
      </c>
      <c r="N4092" s="14">
        <v>365</v>
      </c>
      <c r="O4092" s="14">
        <v>0</v>
      </c>
      <c r="P4092" s="14">
        <v>724</v>
      </c>
      <c r="Q4092">
        <v>13958</v>
      </c>
      <c r="R4092">
        <v>1352</v>
      </c>
      <c r="S4092">
        <v>573</v>
      </c>
    </row>
    <row r="4093" spans="11:19" x14ac:dyDescent="0.3">
      <c r="K4093" s="16">
        <f t="shared" si="63"/>
        <v>44186</v>
      </c>
      <c r="L4093" s="17">
        <v>0.45833333333333331</v>
      </c>
      <c r="M4093" s="14">
        <v>359</v>
      </c>
      <c r="N4093" s="14">
        <v>2320</v>
      </c>
      <c r="O4093" s="14">
        <v>0</v>
      </c>
      <c r="P4093" s="14">
        <v>2679</v>
      </c>
      <c r="Q4093">
        <v>14034</v>
      </c>
      <c r="R4093">
        <v>1430</v>
      </c>
      <c r="S4093">
        <v>857</v>
      </c>
    </row>
    <row r="4094" spans="11:19" x14ac:dyDescent="0.3">
      <c r="K4094" s="16">
        <f t="shared" si="63"/>
        <v>44186</v>
      </c>
      <c r="L4094" s="17">
        <v>0.5</v>
      </c>
      <c r="M4094" s="14">
        <v>359</v>
      </c>
      <c r="N4094" s="14">
        <v>1316</v>
      </c>
      <c r="O4094" s="14">
        <v>0</v>
      </c>
      <c r="P4094" s="14">
        <v>1675</v>
      </c>
      <c r="Q4094">
        <v>13976</v>
      </c>
      <c r="R4094">
        <v>1407</v>
      </c>
      <c r="S4094">
        <v>985</v>
      </c>
    </row>
    <row r="4095" spans="11:19" x14ac:dyDescent="0.3">
      <c r="K4095" s="16">
        <f t="shared" si="63"/>
        <v>44186</v>
      </c>
      <c r="L4095" s="17">
        <v>0.54166666666666663</v>
      </c>
      <c r="M4095" s="14">
        <v>359</v>
      </c>
      <c r="N4095" s="14">
        <v>0</v>
      </c>
      <c r="O4095" s="14">
        <v>0</v>
      </c>
      <c r="P4095" s="14">
        <v>359</v>
      </c>
      <c r="Q4095">
        <v>13692</v>
      </c>
      <c r="R4095">
        <v>1366</v>
      </c>
      <c r="S4095">
        <v>970</v>
      </c>
    </row>
    <row r="4096" spans="11:19" x14ac:dyDescent="0.3">
      <c r="K4096" s="16">
        <f t="shared" si="63"/>
        <v>44186</v>
      </c>
      <c r="L4096" s="17">
        <v>0.58333333333333337</v>
      </c>
      <c r="M4096" s="14">
        <v>359</v>
      </c>
      <c r="N4096" s="14">
        <v>2320</v>
      </c>
      <c r="O4096" s="14">
        <v>0</v>
      </c>
      <c r="P4096" s="14">
        <v>2679</v>
      </c>
      <c r="Q4096">
        <v>13451</v>
      </c>
      <c r="R4096">
        <v>1399</v>
      </c>
      <c r="S4096">
        <v>758</v>
      </c>
    </row>
    <row r="4097" spans="11:19" x14ac:dyDescent="0.3">
      <c r="K4097" s="16">
        <f t="shared" si="63"/>
        <v>44186</v>
      </c>
      <c r="L4097" s="17">
        <v>0.625</v>
      </c>
      <c r="M4097" s="14">
        <v>359</v>
      </c>
      <c r="N4097" s="14">
        <v>0</v>
      </c>
      <c r="O4097" s="14">
        <v>0</v>
      </c>
      <c r="P4097" s="14">
        <v>359</v>
      </c>
      <c r="Q4097">
        <v>13261</v>
      </c>
      <c r="R4097">
        <v>1513</v>
      </c>
      <c r="S4097">
        <v>399</v>
      </c>
    </row>
    <row r="4098" spans="11:19" x14ac:dyDescent="0.3">
      <c r="K4098" s="16">
        <f t="shared" si="63"/>
        <v>44186</v>
      </c>
      <c r="L4098" s="17">
        <v>0.66666666666666663</v>
      </c>
      <c r="M4098" s="14">
        <v>359</v>
      </c>
      <c r="N4098" s="14">
        <v>2320</v>
      </c>
      <c r="O4098" s="14">
        <v>0</v>
      </c>
      <c r="P4098" s="14">
        <v>2679</v>
      </c>
      <c r="Q4098">
        <v>13318</v>
      </c>
      <c r="R4098">
        <v>1503</v>
      </c>
      <c r="S4098">
        <v>84</v>
      </c>
    </row>
    <row r="4099" spans="11:19" x14ac:dyDescent="0.3">
      <c r="K4099" s="16">
        <f t="shared" si="63"/>
        <v>44186</v>
      </c>
      <c r="L4099" s="17">
        <v>0.70833333333333337</v>
      </c>
      <c r="M4099" s="14">
        <v>359</v>
      </c>
      <c r="N4099" s="14">
        <v>755</v>
      </c>
      <c r="O4099" s="14">
        <v>0</v>
      </c>
      <c r="P4099" s="14">
        <v>1114</v>
      </c>
      <c r="Q4099">
        <v>13974</v>
      </c>
      <c r="R4099">
        <v>1546</v>
      </c>
      <c r="S4099">
        <v>1</v>
      </c>
    </row>
    <row r="4100" spans="11:19" x14ac:dyDescent="0.3">
      <c r="K4100" s="16">
        <f t="shared" si="63"/>
        <v>44186</v>
      </c>
      <c r="L4100" s="17">
        <v>0.75</v>
      </c>
      <c r="M4100" s="14">
        <v>359</v>
      </c>
      <c r="N4100" s="14">
        <v>2320</v>
      </c>
      <c r="O4100" s="14">
        <v>0</v>
      </c>
      <c r="P4100" s="14">
        <v>2679</v>
      </c>
      <c r="Q4100">
        <v>14407</v>
      </c>
      <c r="R4100">
        <v>1340</v>
      </c>
      <c r="S4100">
        <v>0</v>
      </c>
    </row>
    <row r="4101" spans="11:19" x14ac:dyDescent="0.3">
      <c r="K4101" s="16">
        <f t="shared" si="63"/>
        <v>44186</v>
      </c>
      <c r="L4101" s="17">
        <v>0.79166666666666663</v>
      </c>
      <c r="M4101" s="14">
        <v>359</v>
      </c>
      <c r="N4101" s="14">
        <v>2320</v>
      </c>
      <c r="O4101" s="14">
        <v>0</v>
      </c>
      <c r="P4101" s="14">
        <v>2679</v>
      </c>
      <c r="Q4101">
        <v>13983</v>
      </c>
      <c r="R4101">
        <v>1417</v>
      </c>
      <c r="S4101">
        <v>0</v>
      </c>
    </row>
    <row r="4102" spans="11:19" x14ac:dyDescent="0.3">
      <c r="K4102" s="16">
        <f t="shared" si="63"/>
        <v>44186</v>
      </c>
      <c r="L4102" s="17">
        <v>0.83333333333333337</v>
      </c>
      <c r="M4102" s="14">
        <v>359</v>
      </c>
      <c r="N4102" s="14">
        <v>393</v>
      </c>
      <c r="O4102" s="14">
        <v>0</v>
      </c>
      <c r="P4102" s="14">
        <v>752</v>
      </c>
      <c r="Q4102">
        <v>13312</v>
      </c>
      <c r="R4102">
        <v>1258</v>
      </c>
      <c r="S4102">
        <v>0</v>
      </c>
    </row>
    <row r="4103" spans="11:19" x14ac:dyDescent="0.3">
      <c r="K4103" s="16">
        <f t="shared" si="63"/>
        <v>44186</v>
      </c>
      <c r="L4103" s="17">
        <v>0.875</v>
      </c>
      <c r="M4103" s="14">
        <v>359</v>
      </c>
      <c r="N4103" s="14">
        <v>0</v>
      </c>
      <c r="O4103" s="14">
        <v>0</v>
      </c>
      <c r="P4103" s="14">
        <v>359</v>
      </c>
      <c r="Q4103">
        <v>12694</v>
      </c>
      <c r="R4103">
        <v>1470</v>
      </c>
      <c r="S4103">
        <v>0</v>
      </c>
    </row>
    <row r="4104" spans="11:19" x14ac:dyDescent="0.3">
      <c r="K4104" s="16">
        <f t="shared" si="63"/>
        <v>44186</v>
      </c>
      <c r="L4104" s="17">
        <v>0.91666666666666663</v>
      </c>
      <c r="M4104" s="14">
        <v>359</v>
      </c>
      <c r="N4104" s="14">
        <v>2320</v>
      </c>
      <c r="O4104" s="14">
        <v>0</v>
      </c>
      <c r="P4104" s="14">
        <v>2679</v>
      </c>
      <c r="Q4104">
        <v>12809</v>
      </c>
      <c r="R4104">
        <v>1481</v>
      </c>
      <c r="S4104">
        <v>0</v>
      </c>
    </row>
    <row r="4105" spans="11:19" x14ac:dyDescent="0.3">
      <c r="K4105" s="16">
        <f t="shared" si="63"/>
        <v>44186</v>
      </c>
      <c r="L4105" s="17">
        <v>0.95833333333333337</v>
      </c>
      <c r="M4105" s="14">
        <v>359</v>
      </c>
      <c r="N4105" s="14">
        <v>2320</v>
      </c>
      <c r="O4105" s="14">
        <v>0</v>
      </c>
      <c r="P4105" s="14">
        <v>2679</v>
      </c>
      <c r="Q4105">
        <v>12861</v>
      </c>
      <c r="R4105">
        <v>1560</v>
      </c>
      <c r="S4105">
        <v>0</v>
      </c>
    </row>
    <row r="4106" spans="11:19" x14ac:dyDescent="0.3">
      <c r="K4106" s="16">
        <f t="shared" si="63"/>
        <v>44187</v>
      </c>
      <c r="L4106" s="17">
        <v>0</v>
      </c>
      <c r="M4106" s="14">
        <v>359</v>
      </c>
      <c r="N4106" s="14">
        <v>0</v>
      </c>
      <c r="O4106" s="14">
        <v>0</v>
      </c>
      <c r="P4106" s="14">
        <v>359</v>
      </c>
      <c r="Q4106">
        <v>12373</v>
      </c>
      <c r="R4106">
        <v>1543</v>
      </c>
      <c r="S4106">
        <v>0</v>
      </c>
    </row>
    <row r="4107" spans="11:19" x14ac:dyDescent="0.3">
      <c r="K4107" s="16">
        <f t="shared" si="63"/>
        <v>44187</v>
      </c>
      <c r="L4107" s="17">
        <v>4.1666666666666664E-2</v>
      </c>
      <c r="M4107" s="14">
        <v>359</v>
      </c>
      <c r="N4107" s="14">
        <v>0</v>
      </c>
      <c r="O4107" s="14">
        <v>0</v>
      </c>
      <c r="P4107" s="14">
        <v>359</v>
      </c>
      <c r="Q4107">
        <v>12047</v>
      </c>
      <c r="R4107">
        <v>1647</v>
      </c>
      <c r="S4107">
        <v>0</v>
      </c>
    </row>
    <row r="4108" spans="11:19" x14ac:dyDescent="0.3">
      <c r="K4108" s="16">
        <f t="shared" si="63"/>
        <v>44187</v>
      </c>
      <c r="L4108" s="17">
        <v>8.3333333333333329E-2</v>
      </c>
      <c r="M4108" s="14">
        <v>359</v>
      </c>
      <c r="N4108" s="14">
        <v>0</v>
      </c>
      <c r="O4108" s="14">
        <v>0</v>
      </c>
      <c r="P4108" s="14">
        <v>359</v>
      </c>
      <c r="Q4108">
        <v>11776</v>
      </c>
      <c r="R4108">
        <v>2234</v>
      </c>
      <c r="S4108">
        <v>0</v>
      </c>
    </row>
    <row r="4109" spans="11:19" x14ac:dyDescent="0.3">
      <c r="K4109" s="16">
        <f t="shared" si="63"/>
        <v>44187</v>
      </c>
      <c r="L4109" s="17">
        <v>0.125</v>
      </c>
      <c r="M4109" s="14">
        <v>359</v>
      </c>
      <c r="N4109" s="14">
        <v>0</v>
      </c>
      <c r="O4109" s="14">
        <v>0</v>
      </c>
      <c r="P4109" s="14">
        <v>359</v>
      </c>
      <c r="Q4109">
        <v>11319</v>
      </c>
      <c r="R4109">
        <v>2403</v>
      </c>
      <c r="S4109">
        <v>0</v>
      </c>
    </row>
    <row r="4110" spans="11:19" x14ac:dyDescent="0.3">
      <c r="K4110" s="16">
        <f t="shared" si="63"/>
        <v>44187</v>
      </c>
      <c r="L4110" s="17">
        <v>0.16666666666666666</v>
      </c>
      <c r="M4110" s="14">
        <v>359</v>
      </c>
      <c r="N4110" s="14">
        <v>0</v>
      </c>
      <c r="O4110" s="14">
        <v>0</v>
      </c>
      <c r="P4110" s="14">
        <v>359</v>
      </c>
      <c r="Q4110">
        <v>11207</v>
      </c>
      <c r="R4110">
        <v>2713</v>
      </c>
      <c r="S4110">
        <v>0</v>
      </c>
    </row>
    <row r="4111" spans="11:19" x14ac:dyDescent="0.3">
      <c r="K4111" s="16">
        <f t="shared" si="63"/>
        <v>44187</v>
      </c>
      <c r="L4111" s="17">
        <v>0.20833333333333334</v>
      </c>
      <c r="M4111" s="14">
        <v>359</v>
      </c>
      <c r="N4111" s="14">
        <v>0</v>
      </c>
      <c r="O4111" s="14">
        <v>0</v>
      </c>
      <c r="P4111" s="14">
        <v>359</v>
      </c>
      <c r="Q4111">
        <v>11692</v>
      </c>
      <c r="R4111">
        <v>3040</v>
      </c>
      <c r="S4111">
        <v>0</v>
      </c>
    </row>
    <row r="4112" spans="11:19" x14ac:dyDescent="0.3">
      <c r="K4112" s="16">
        <f t="shared" si="63"/>
        <v>44187</v>
      </c>
      <c r="L4112" s="17">
        <v>0.25</v>
      </c>
      <c r="M4112" s="14">
        <v>359</v>
      </c>
      <c r="N4112" s="14">
        <v>0</v>
      </c>
      <c r="O4112" s="14">
        <v>0</v>
      </c>
      <c r="P4112" s="14">
        <v>359</v>
      </c>
      <c r="Q4112">
        <v>12783</v>
      </c>
      <c r="R4112">
        <v>3158</v>
      </c>
      <c r="S4112">
        <v>0</v>
      </c>
    </row>
    <row r="4113" spans="11:19" x14ac:dyDescent="0.3">
      <c r="K4113" s="16">
        <f t="shared" si="63"/>
        <v>44187</v>
      </c>
      <c r="L4113" s="17">
        <v>0.29166666666666669</v>
      </c>
      <c r="M4113" s="14">
        <v>359</v>
      </c>
      <c r="N4113" s="14">
        <v>0</v>
      </c>
      <c r="O4113" s="14">
        <v>0</v>
      </c>
      <c r="P4113" s="14">
        <v>359</v>
      </c>
      <c r="Q4113">
        <v>13685</v>
      </c>
      <c r="R4113">
        <v>3168</v>
      </c>
      <c r="S4113">
        <v>0</v>
      </c>
    </row>
    <row r="4114" spans="11:19" x14ac:dyDescent="0.3">
      <c r="K4114" s="16">
        <f t="shared" si="63"/>
        <v>44187</v>
      </c>
      <c r="L4114" s="17">
        <v>0.33333333333333331</v>
      </c>
      <c r="M4114" s="14">
        <v>359</v>
      </c>
      <c r="N4114" s="14">
        <v>1396</v>
      </c>
      <c r="O4114" s="14">
        <v>0</v>
      </c>
      <c r="P4114" s="14">
        <v>1755</v>
      </c>
      <c r="Q4114">
        <v>13914</v>
      </c>
      <c r="R4114">
        <v>3231</v>
      </c>
      <c r="S4114">
        <v>20</v>
      </c>
    </row>
    <row r="4115" spans="11:19" x14ac:dyDescent="0.3">
      <c r="K4115" s="16">
        <f t="shared" si="63"/>
        <v>44187</v>
      </c>
      <c r="L4115" s="17">
        <v>0.375</v>
      </c>
      <c r="M4115" s="14">
        <v>359</v>
      </c>
      <c r="N4115" s="14">
        <v>0</v>
      </c>
      <c r="O4115" s="14">
        <v>0</v>
      </c>
      <c r="P4115" s="14">
        <v>359</v>
      </c>
      <c r="Q4115">
        <v>13902</v>
      </c>
      <c r="R4115">
        <v>3283</v>
      </c>
      <c r="S4115">
        <v>225</v>
      </c>
    </row>
    <row r="4116" spans="11:19" x14ac:dyDescent="0.3">
      <c r="K4116" s="16">
        <f t="shared" si="63"/>
        <v>44187</v>
      </c>
      <c r="L4116" s="17">
        <v>0.41666666666666669</v>
      </c>
      <c r="M4116" s="14">
        <v>359</v>
      </c>
      <c r="N4116" s="14">
        <v>1256</v>
      </c>
      <c r="O4116" s="14">
        <v>0</v>
      </c>
      <c r="P4116" s="14">
        <v>1615</v>
      </c>
      <c r="Q4116">
        <v>13874</v>
      </c>
      <c r="R4116">
        <v>3251</v>
      </c>
      <c r="S4116">
        <v>599</v>
      </c>
    </row>
    <row r="4117" spans="11:19" x14ac:dyDescent="0.3">
      <c r="K4117" s="16">
        <f t="shared" si="63"/>
        <v>44187</v>
      </c>
      <c r="L4117" s="17">
        <v>0.45833333333333331</v>
      </c>
      <c r="M4117" s="14">
        <v>359</v>
      </c>
      <c r="N4117" s="14">
        <v>0</v>
      </c>
      <c r="O4117" s="14">
        <v>0</v>
      </c>
      <c r="P4117" s="14">
        <v>359</v>
      </c>
      <c r="Q4117">
        <v>13923</v>
      </c>
      <c r="R4117">
        <v>3098</v>
      </c>
      <c r="S4117">
        <v>874</v>
      </c>
    </row>
    <row r="4118" spans="11:19" x14ac:dyDescent="0.3">
      <c r="K4118" s="16">
        <f t="shared" si="63"/>
        <v>44187</v>
      </c>
      <c r="L4118" s="17">
        <v>0.5</v>
      </c>
      <c r="M4118" s="14">
        <v>359</v>
      </c>
      <c r="N4118" s="14">
        <v>0</v>
      </c>
      <c r="O4118" s="14">
        <v>0</v>
      </c>
      <c r="P4118" s="14">
        <v>359</v>
      </c>
      <c r="Q4118">
        <v>13861</v>
      </c>
      <c r="R4118">
        <v>3316</v>
      </c>
      <c r="S4118">
        <v>1019</v>
      </c>
    </row>
    <row r="4119" spans="11:19" x14ac:dyDescent="0.3">
      <c r="K4119" s="16">
        <f t="shared" si="63"/>
        <v>44187</v>
      </c>
      <c r="L4119" s="17">
        <v>0.54166666666666663</v>
      </c>
      <c r="M4119" s="14">
        <v>359</v>
      </c>
      <c r="N4119" s="14">
        <v>0</v>
      </c>
      <c r="O4119" s="14">
        <v>0</v>
      </c>
      <c r="P4119" s="14">
        <v>359</v>
      </c>
      <c r="Q4119">
        <v>13592</v>
      </c>
      <c r="R4119">
        <v>3375</v>
      </c>
      <c r="S4119">
        <v>953</v>
      </c>
    </row>
    <row r="4120" spans="11:19" x14ac:dyDescent="0.3">
      <c r="K4120" s="16">
        <f t="shared" si="63"/>
        <v>44187</v>
      </c>
      <c r="L4120" s="17">
        <v>0.58333333333333337</v>
      </c>
      <c r="M4120" s="14">
        <v>359</v>
      </c>
      <c r="N4120" s="14">
        <v>0</v>
      </c>
      <c r="O4120" s="14">
        <v>0</v>
      </c>
      <c r="P4120" s="14">
        <v>359</v>
      </c>
      <c r="Q4120">
        <v>13339</v>
      </c>
      <c r="R4120">
        <v>3159</v>
      </c>
      <c r="S4120">
        <v>734</v>
      </c>
    </row>
    <row r="4121" spans="11:19" x14ac:dyDescent="0.3">
      <c r="K4121" s="16">
        <f t="shared" si="63"/>
        <v>44187</v>
      </c>
      <c r="L4121" s="17">
        <v>0.625</v>
      </c>
      <c r="M4121" s="14">
        <v>359</v>
      </c>
      <c r="N4121" s="14">
        <v>0</v>
      </c>
      <c r="O4121" s="14">
        <v>0</v>
      </c>
      <c r="P4121" s="14">
        <v>359</v>
      </c>
      <c r="Q4121">
        <v>13107</v>
      </c>
      <c r="R4121">
        <v>3318</v>
      </c>
      <c r="S4121">
        <v>401</v>
      </c>
    </row>
    <row r="4122" spans="11:19" x14ac:dyDescent="0.3">
      <c r="K4122" s="16">
        <f t="shared" si="63"/>
        <v>44187</v>
      </c>
      <c r="L4122" s="17">
        <v>0.66666666666666663</v>
      </c>
      <c r="M4122" s="14">
        <v>359</v>
      </c>
      <c r="N4122" s="14">
        <v>0</v>
      </c>
      <c r="O4122" s="14">
        <v>0</v>
      </c>
      <c r="P4122" s="14">
        <v>359</v>
      </c>
      <c r="Q4122">
        <v>13069</v>
      </c>
      <c r="R4122">
        <v>3387</v>
      </c>
      <c r="S4122">
        <v>89</v>
      </c>
    </row>
    <row r="4123" spans="11:19" x14ac:dyDescent="0.3">
      <c r="K4123" s="16">
        <f t="shared" ref="K4123:K4186" si="64">K4099+1</f>
        <v>44187</v>
      </c>
      <c r="L4123" s="17">
        <v>0.70833333333333337</v>
      </c>
      <c r="M4123" s="14">
        <v>359</v>
      </c>
      <c r="N4123" s="14">
        <v>834</v>
      </c>
      <c r="O4123" s="14">
        <v>0</v>
      </c>
      <c r="P4123" s="14">
        <v>1193</v>
      </c>
      <c r="Q4123">
        <v>13579</v>
      </c>
      <c r="R4123">
        <v>3973</v>
      </c>
      <c r="S4123">
        <v>1</v>
      </c>
    </row>
    <row r="4124" spans="11:19" x14ac:dyDescent="0.3">
      <c r="K4124" s="16">
        <f t="shared" si="64"/>
        <v>44187</v>
      </c>
      <c r="L4124" s="17">
        <v>0.75</v>
      </c>
      <c r="M4124" s="14">
        <v>359</v>
      </c>
      <c r="N4124" s="14">
        <v>0</v>
      </c>
      <c r="O4124" s="14">
        <v>0</v>
      </c>
      <c r="P4124" s="14">
        <v>359</v>
      </c>
      <c r="Q4124">
        <v>13853</v>
      </c>
      <c r="R4124">
        <v>3959</v>
      </c>
      <c r="S4124">
        <v>0</v>
      </c>
    </row>
    <row r="4125" spans="11:19" x14ac:dyDescent="0.3">
      <c r="K4125" s="16">
        <f t="shared" si="64"/>
        <v>44187</v>
      </c>
      <c r="L4125" s="17">
        <v>0.79166666666666663</v>
      </c>
      <c r="M4125" s="14">
        <v>359</v>
      </c>
      <c r="N4125" s="14">
        <v>756</v>
      </c>
      <c r="O4125" s="14">
        <v>0</v>
      </c>
      <c r="P4125" s="14">
        <v>1115</v>
      </c>
      <c r="Q4125">
        <v>13580</v>
      </c>
      <c r="R4125">
        <v>4058</v>
      </c>
      <c r="S4125">
        <v>0</v>
      </c>
    </row>
    <row r="4126" spans="11:19" x14ac:dyDescent="0.3">
      <c r="K4126" s="16">
        <f t="shared" si="64"/>
        <v>44187</v>
      </c>
      <c r="L4126" s="17">
        <v>0.83333333333333337</v>
      </c>
      <c r="M4126" s="14">
        <v>359</v>
      </c>
      <c r="N4126" s="14">
        <v>163</v>
      </c>
      <c r="O4126" s="14">
        <v>0</v>
      </c>
      <c r="P4126" s="14">
        <v>522</v>
      </c>
      <c r="Q4126">
        <v>12844</v>
      </c>
      <c r="R4126">
        <v>3920</v>
      </c>
      <c r="S4126">
        <v>0</v>
      </c>
    </row>
    <row r="4127" spans="11:19" x14ac:dyDescent="0.3">
      <c r="K4127" s="16">
        <f t="shared" si="64"/>
        <v>44187</v>
      </c>
      <c r="L4127" s="17">
        <v>0.875</v>
      </c>
      <c r="M4127" s="14">
        <v>359</v>
      </c>
      <c r="N4127" s="14">
        <v>0</v>
      </c>
      <c r="O4127" s="14">
        <v>0</v>
      </c>
      <c r="P4127" s="14">
        <v>359</v>
      </c>
      <c r="Q4127">
        <v>12194</v>
      </c>
      <c r="R4127">
        <v>3906</v>
      </c>
      <c r="S4127">
        <v>0</v>
      </c>
    </row>
    <row r="4128" spans="11:19" x14ac:dyDescent="0.3">
      <c r="K4128" s="16">
        <f t="shared" si="64"/>
        <v>44187</v>
      </c>
      <c r="L4128" s="17">
        <v>0.91666666666666663</v>
      </c>
      <c r="M4128" s="14">
        <v>359</v>
      </c>
      <c r="N4128" s="14">
        <v>0</v>
      </c>
      <c r="O4128" s="14">
        <v>0</v>
      </c>
      <c r="P4128" s="14">
        <v>359</v>
      </c>
      <c r="Q4128">
        <v>12306</v>
      </c>
      <c r="R4128">
        <v>3979</v>
      </c>
      <c r="S4128">
        <v>0</v>
      </c>
    </row>
    <row r="4129" spans="11:19" x14ac:dyDescent="0.3">
      <c r="K4129" s="16">
        <f t="shared" si="64"/>
        <v>44187</v>
      </c>
      <c r="L4129" s="17">
        <v>0.95833333333333337</v>
      </c>
      <c r="M4129" s="14">
        <v>359</v>
      </c>
      <c r="N4129" s="14">
        <v>0</v>
      </c>
      <c r="O4129" s="14">
        <v>0</v>
      </c>
      <c r="P4129" s="14">
        <v>359</v>
      </c>
      <c r="Q4129">
        <v>12364</v>
      </c>
      <c r="R4129">
        <v>3972</v>
      </c>
      <c r="S4129">
        <v>0</v>
      </c>
    </row>
    <row r="4130" spans="11:19" x14ac:dyDescent="0.3">
      <c r="K4130" s="16">
        <f t="shared" si="64"/>
        <v>44188</v>
      </c>
      <c r="L4130" s="17">
        <v>0</v>
      </c>
      <c r="M4130" s="14">
        <v>359</v>
      </c>
      <c r="N4130" s="14">
        <v>0</v>
      </c>
      <c r="O4130" s="14">
        <v>0</v>
      </c>
      <c r="P4130" s="14">
        <v>359</v>
      </c>
      <c r="Q4130">
        <v>11778</v>
      </c>
      <c r="R4130">
        <v>3840</v>
      </c>
      <c r="S4130">
        <v>0</v>
      </c>
    </row>
    <row r="4131" spans="11:19" x14ac:dyDescent="0.3">
      <c r="K4131" s="16">
        <f t="shared" si="64"/>
        <v>44188</v>
      </c>
      <c r="L4131" s="17">
        <v>4.1666666666666664E-2</v>
      </c>
      <c r="M4131" s="14">
        <v>359</v>
      </c>
      <c r="N4131" s="14">
        <v>0</v>
      </c>
      <c r="O4131" s="14">
        <v>0</v>
      </c>
      <c r="P4131" s="14">
        <v>359</v>
      </c>
      <c r="Q4131">
        <v>11437</v>
      </c>
      <c r="R4131">
        <v>3921</v>
      </c>
      <c r="S4131">
        <v>0</v>
      </c>
    </row>
    <row r="4132" spans="11:19" x14ac:dyDescent="0.3">
      <c r="K4132" s="16">
        <f t="shared" si="64"/>
        <v>44188</v>
      </c>
      <c r="L4132" s="17">
        <v>8.3333333333333329E-2</v>
      </c>
      <c r="M4132" s="14">
        <v>359</v>
      </c>
      <c r="N4132" s="14">
        <v>0</v>
      </c>
      <c r="O4132" s="14">
        <v>0</v>
      </c>
      <c r="P4132" s="14">
        <v>359</v>
      </c>
      <c r="Q4132">
        <v>11145</v>
      </c>
      <c r="R4132">
        <v>4073</v>
      </c>
      <c r="S4132">
        <v>0</v>
      </c>
    </row>
    <row r="4133" spans="11:19" x14ac:dyDescent="0.3">
      <c r="K4133" s="16">
        <f t="shared" si="64"/>
        <v>44188</v>
      </c>
      <c r="L4133" s="17">
        <v>0.125</v>
      </c>
      <c r="M4133" s="14">
        <v>359</v>
      </c>
      <c r="N4133" s="14">
        <v>0</v>
      </c>
      <c r="O4133" s="14">
        <v>0</v>
      </c>
      <c r="P4133" s="14">
        <v>359</v>
      </c>
      <c r="Q4133">
        <v>10680</v>
      </c>
      <c r="R4133">
        <v>4130</v>
      </c>
      <c r="S4133">
        <v>0</v>
      </c>
    </row>
    <row r="4134" spans="11:19" x14ac:dyDescent="0.3">
      <c r="K4134" s="16">
        <f t="shared" si="64"/>
        <v>44188</v>
      </c>
      <c r="L4134" s="17">
        <v>0.16666666666666666</v>
      </c>
      <c r="M4134" s="14">
        <v>359</v>
      </c>
      <c r="N4134" s="14">
        <v>0</v>
      </c>
      <c r="O4134" s="14">
        <v>0</v>
      </c>
      <c r="P4134" s="14">
        <v>359</v>
      </c>
      <c r="Q4134">
        <v>10566</v>
      </c>
      <c r="R4134">
        <v>4375</v>
      </c>
      <c r="S4134">
        <v>0</v>
      </c>
    </row>
    <row r="4135" spans="11:19" x14ac:dyDescent="0.3">
      <c r="K4135" s="16">
        <f t="shared" si="64"/>
        <v>44188</v>
      </c>
      <c r="L4135" s="17">
        <v>0.20833333333333334</v>
      </c>
      <c r="M4135" s="14">
        <v>359</v>
      </c>
      <c r="N4135" s="14">
        <v>0</v>
      </c>
      <c r="O4135" s="14">
        <v>0</v>
      </c>
      <c r="P4135" s="14">
        <v>359</v>
      </c>
      <c r="Q4135">
        <v>11044</v>
      </c>
      <c r="R4135">
        <v>4281</v>
      </c>
      <c r="S4135">
        <v>0</v>
      </c>
    </row>
    <row r="4136" spans="11:19" x14ac:dyDescent="0.3">
      <c r="K4136" s="16">
        <f t="shared" si="64"/>
        <v>44188</v>
      </c>
      <c r="L4136" s="17">
        <v>0.25</v>
      </c>
      <c r="M4136" s="14">
        <v>359</v>
      </c>
      <c r="N4136" s="14">
        <v>0</v>
      </c>
      <c r="O4136" s="14">
        <v>0</v>
      </c>
      <c r="P4136" s="14">
        <v>359</v>
      </c>
      <c r="Q4136">
        <v>12143</v>
      </c>
      <c r="R4136">
        <v>4311</v>
      </c>
      <c r="S4136">
        <v>0</v>
      </c>
    </row>
    <row r="4137" spans="11:19" x14ac:dyDescent="0.3">
      <c r="K4137" s="16">
        <f t="shared" si="64"/>
        <v>44188</v>
      </c>
      <c r="L4137" s="17">
        <v>0.29166666666666669</v>
      </c>
      <c r="M4137" s="14">
        <v>359</v>
      </c>
      <c r="N4137" s="14">
        <v>0</v>
      </c>
      <c r="O4137" s="14">
        <v>0</v>
      </c>
      <c r="P4137" s="14">
        <v>359</v>
      </c>
      <c r="Q4137">
        <v>13057</v>
      </c>
      <c r="R4137">
        <v>4376</v>
      </c>
      <c r="S4137">
        <v>0</v>
      </c>
    </row>
    <row r="4138" spans="11:19" x14ac:dyDescent="0.3">
      <c r="K4138" s="16">
        <f t="shared" si="64"/>
        <v>44188</v>
      </c>
      <c r="L4138" s="17">
        <v>0.33333333333333331</v>
      </c>
      <c r="M4138" s="14">
        <v>359</v>
      </c>
      <c r="N4138" s="14">
        <v>0</v>
      </c>
      <c r="O4138" s="14">
        <v>0</v>
      </c>
      <c r="P4138" s="14">
        <v>359</v>
      </c>
      <c r="Q4138">
        <v>13310</v>
      </c>
      <c r="R4138">
        <v>4402</v>
      </c>
      <c r="S4138">
        <v>22</v>
      </c>
    </row>
    <row r="4139" spans="11:19" x14ac:dyDescent="0.3">
      <c r="K4139" s="16">
        <f t="shared" si="64"/>
        <v>44188</v>
      </c>
      <c r="L4139" s="17">
        <v>0.375</v>
      </c>
      <c r="M4139" s="14">
        <v>359</v>
      </c>
      <c r="N4139" s="14">
        <v>0</v>
      </c>
      <c r="O4139" s="14">
        <v>0</v>
      </c>
      <c r="P4139" s="14">
        <v>359</v>
      </c>
      <c r="Q4139">
        <v>13342</v>
      </c>
      <c r="R4139">
        <v>4526</v>
      </c>
      <c r="S4139">
        <v>197</v>
      </c>
    </row>
    <row r="4140" spans="11:19" x14ac:dyDescent="0.3">
      <c r="K4140" s="16">
        <f t="shared" si="64"/>
        <v>44188</v>
      </c>
      <c r="L4140" s="17">
        <v>0.41666666666666669</v>
      </c>
      <c r="M4140" s="14">
        <v>359</v>
      </c>
      <c r="N4140" s="14">
        <v>0</v>
      </c>
      <c r="O4140" s="14">
        <v>0</v>
      </c>
      <c r="P4140" s="14">
        <v>359</v>
      </c>
      <c r="Q4140">
        <v>13358</v>
      </c>
      <c r="R4140">
        <v>4400</v>
      </c>
      <c r="S4140">
        <v>495</v>
      </c>
    </row>
    <row r="4141" spans="11:19" x14ac:dyDescent="0.3">
      <c r="K4141" s="16">
        <f t="shared" si="64"/>
        <v>44188</v>
      </c>
      <c r="L4141" s="17">
        <v>0.45833333333333331</v>
      </c>
      <c r="M4141" s="14">
        <v>359</v>
      </c>
      <c r="N4141" s="14">
        <v>0</v>
      </c>
      <c r="O4141" s="14">
        <v>0</v>
      </c>
      <c r="P4141" s="14">
        <v>359</v>
      </c>
      <c r="Q4141">
        <v>13467</v>
      </c>
      <c r="R4141">
        <v>4257</v>
      </c>
      <c r="S4141">
        <v>688</v>
      </c>
    </row>
    <row r="4142" spans="11:19" x14ac:dyDescent="0.3">
      <c r="K4142" s="16">
        <f t="shared" si="64"/>
        <v>44188</v>
      </c>
      <c r="L4142" s="17">
        <v>0.5</v>
      </c>
      <c r="M4142" s="14">
        <v>359</v>
      </c>
      <c r="N4142" s="14">
        <v>0</v>
      </c>
      <c r="O4142" s="14">
        <v>0</v>
      </c>
      <c r="P4142" s="14">
        <v>359</v>
      </c>
      <c r="Q4142">
        <v>13463</v>
      </c>
      <c r="R4142">
        <v>4172</v>
      </c>
      <c r="S4142">
        <v>771</v>
      </c>
    </row>
    <row r="4143" spans="11:19" x14ac:dyDescent="0.3">
      <c r="K4143" s="16">
        <f t="shared" si="64"/>
        <v>44188</v>
      </c>
      <c r="L4143" s="17">
        <v>0.54166666666666663</v>
      </c>
      <c r="M4143" s="14">
        <v>359</v>
      </c>
      <c r="N4143" s="14">
        <v>0</v>
      </c>
      <c r="O4143" s="14">
        <v>0</v>
      </c>
      <c r="P4143" s="14">
        <v>359</v>
      </c>
      <c r="Q4143">
        <v>13211</v>
      </c>
      <c r="R4143">
        <v>4170</v>
      </c>
      <c r="S4143">
        <v>747</v>
      </c>
    </row>
    <row r="4144" spans="11:19" x14ac:dyDescent="0.3">
      <c r="K4144" s="16">
        <f t="shared" si="64"/>
        <v>44188</v>
      </c>
      <c r="L4144" s="17">
        <v>0.58333333333333337</v>
      </c>
      <c r="M4144" s="14">
        <v>359</v>
      </c>
      <c r="N4144" s="14">
        <v>0</v>
      </c>
      <c r="O4144" s="14">
        <v>0</v>
      </c>
      <c r="P4144" s="14">
        <v>359</v>
      </c>
      <c r="Q4144">
        <v>12991</v>
      </c>
      <c r="R4144">
        <v>4127</v>
      </c>
      <c r="S4144">
        <v>603</v>
      </c>
    </row>
    <row r="4145" spans="11:19" x14ac:dyDescent="0.3">
      <c r="K4145" s="16">
        <f t="shared" si="64"/>
        <v>44188</v>
      </c>
      <c r="L4145" s="17">
        <v>0.625</v>
      </c>
      <c r="M4145" s="14">
        <v>359</v>
      </c>
      <c r="N4145" s="14">
        <v>0</v>
      </c>
      <c r="O4145" s="14">
        <v>0</v>
      </c>
      <c r="P4145" s="14">
        <v>359</v>
      </c>
      <c r="Q4145">
        <v>12775</v>
      </c>
      <c r="R4145">
        <v>4167</v>
      </c>
      <c r="S4145">
        <v>352</v>
      </c>
    </row>
    <row r="4146" spans="11:19" x14ac:dyDescent="0.3">
      <c r="K4146" s="16">
        <f t="shared" si="64"/>
        <v>44188</v>
      </c>
      <c r="L4146" s="17">
        <v>0.66666666666666663</v>
      </c>
      <c r="M4146" s="14">
        <v>359</v>
      </c>
      <c r="N4146" s="14">
        <v>0</v>
      </c>
      <c r="O4146" s="14">
        <v>0</v>
      </c>
      <c r="P4146" s="14">
        <v>359</v>
      </c>
      <c r="Q4146">
        <v>12786</v>
      </c>
      <c r="R4146">
        <v>4031</v>
      </c>
      <c r="S4146">
        <v>81</v>
      </c>
    </row>
    <row r="4147" spans="11:19" x14ac:dyDescent="0.3">
      <c r="K4147" s="16">
        <f t="shared" si="64"/>
        <v>44188</v>
      </c>
      <c r="L4147" s="17">
        <v>0.70833333333333337</v>
      </c>
      <c r="M4147" s="14">
        <v>359</v>
      </c>
      <c r="N4147" s="14">
        <v>576</v>
      </c>
      <c r="O4147" s="14">
        <v>0</v>
      </c>
      <c r="P4147" s="14">
        <v>935</v>
      </c>
      <c r="Q4147">
        <v>13347</v>
      </c>
      <c r="R4147">
        <v>3999</v>
      </c>
      <c r="S4147">
        <v>1</v>
      </c>
    </row>
    <row r="4148" spans="11:19" x14ac:dyDescent="0.3">
      <c r="K4148" s="16">
        <f t="shared" si="64"/>
        <v>44188</v>
      </c>
      <c r="L4148" s="17">
        <v>0.75</v>
      </c>
      <c r="M4148" s="14">
        <v>359</v>
      </c>
      <c r="N4148" s="14">
        <v>0</v>
      </c>
      <c r="O4148" s="14">
        <v>0</v>
      </c>
      <c r="P4148" s="14">
        <v>359</v>
      </c>
      <c r="Q4148">
        <v>13664</v>
      </c>
      <c r="R4148">
        <v>3667</v>
      </c>
      <c r="S4148">
        <v>0</v>
      </c>
    </row>
    <row r="4149" spans="11:19" x14ac:dyDescent="0.3">
      <c r="K4149" s="16">
        <f t="shared" si="64"/>
        <v>44188</v>
      </c>
      <c r="L4149" s="17">
        <v>0.79166666666666663</v>
      </c>
      <c r="M4149" s="14">
        <v>359</v>
      </c>
      <c r="N4149" s="14">
        <v>0</v>
      </c>
      <c r="O4149" s="14">
        <v>0</v>
      </c>
      <c r="P4149" s="14">
        <v>359</v>
      </c>
      <c r="Q4149">
        <v>13398</v>
      </c>
      <c r="R4149">
        <v>3083</v>
      </c>
      <c r="S4149">
        <v>0</v>
      </c>
    </row>
    <row r="4150" spans="11:19" x14ac:dyDescent="0.3">
      <c r="K4150" s="16">
        <f t="shared" si="64"/>
        <v>44188</v>
      </c>
      <c r="L4150" s="17">
        <v>0.83333333333333337</v>
      </c>
      <c r="M4150" s="14">
        <v>359</v>
      </c>
      <c r="N4150" s="14">
        <v>0</v>
      </c>
      <c r="O4150" s="14">
        <v>0</v>
      </c>
      <c r="P4150" s="14">
        <v>359</v>
      </c>
      <c r="Q4150">
        <v>12682</v>
      </c>
      <c r="R4150">
        <v>2831</v>
      </c>
      <c r="S4150">
        <v>0</v>
      </c>
    </row>
    <row r="4151" spans="11:19" x14ac:dyDescent="0.3">
      <c r="K4151" s="16">
        <f t="shared" si="64"/>
        <v>44188</v>
      </c>
      <c r="L4151" s="17">
        <v>0.875</v>
      </c>
      <c r="M4151" s="14">
        <v>359</v>
      </c>
      <c r="N4151" s="14">
        <v>689</v>
      </c>
      <c r="O4151" s="14">
        <v>0</v>
      </c>
      <c r="P4151" s="14">
        <v>1048</v>
      </c>
      <c r="Q4151">
        <v>12021</v>
      </c>
      <c r="R4151">
        <v>2580</v>
      </c>
      <c r="S4151">
        <v>0</v>
      </c>
    </row>
    <row r="4152" spans="11:19" x14ac:dyDescent="0.3">
      <c r="K4152" s="16">
        <f t="shared" si="64"/>
        <v>44188</v>
      </c>
      <c r="L4152" s="17">
        <v>0.91666666666666663</v>
      </c>
      <c r="M4152" s="14">
        <v>359</v>
      </c>
      <c r="N4152" s="14">
        <v>965</v>
      </c>
      <c r="O4152" s="14">
        <v>0</v>
      </c>
      <c r="P4152" s="14">
        <v>1324</v>
      </c>
      <c r="Q4152">
        <v>12147</v>
      </c>
      <c r="R4152">
        <v>2368</v>
      </c>
      <c r="S4152">
        <v>0</v>
      </c>
    </row>
    <row r="4153" spans="11:19" x14ac:dyDescent="0.3">
      <c r="K4153" s="16">
        <f t="shared" si="64"/>
        <v>44188</v>
      </c>
      <c r="L4153" s="17">
        <v>0.95833333333333337</v>
      </c>
      <c r="M4153" s="14">
        <v>359</v>
      </c>
      <c r="N4153" s="14">
        <v>0</v>
      </c>
      <c r="O4153" s="14">
        <v>0</v>
      </c>
      <c r="P4153" s="14">
        <v>359</v>
      </c>
      <c r="Q4153">
        <v>12231</v>
      </c>
      <c r="R4153">
        <v>2472</v>
      </c>
      <c r="S4153">
        <v>0</v>
      </c>
    </row>
    <row r="4154" spans="11:19" x14ac:dyDescent="0.3">
      <c r="K4154" s="16">
        <f t="shared" si="64"/>
        <v>44189</v>
      </c>
      <c r="L4154" s="17">
        <v>0</v>
      </c>
      <c r="M4154" s="14">
        <v>359</v>
      </c>
      <c r="N4154" s="14">
        <v>0</v>
      </c>
      <c r="O4154" s="14">
        <v>0</v>
      </c>
      <c r="P4154" s="14">
        <v>359</v>
      </c>
      <c r="Q4154">
        <v>11658</v>
      </c>
      <c r="R4154">
        <v>2913</v>
      </c>
      <c r="S4154">
        <v>0</v>
      </c>
    </row>
    <row r="4155" spans="11:19" x14ac:dyDescent="0.3">
      <c r="K4155" s="16">
        <f t="shared" si="64"/>
        <v>44189</v>
      </c>
      <c r="L4155" s="17">
        <v>4.1666666666666664E-2</v>
      </c>
      <c r="M4155" s="14">
        <v>359</v>
      </c>
      <c r="N4155" s="14">
        <v>0</v>
      </c>
      <c r="O4155" s="14">
        <v>0</v>
      </c>
      <c r="P4155" s="14">
        <v>359</v>
      </c>
      <c r="Q4155">
        <v>11333</v>
      </c>
      <c r="R4155">
        <v>2555</v>
      </c>
      <c r="S4155">
        <v>0</v>
      </c>
    </row>
    <row r="4156" spans="11:19" x14ac:dyDescent="0.3">
      <c r="K4156" s="16">
        <f t="shared" si="64"/>
        <v>44189</v>
      </c>
      <c r="L4156" s="17">
        <v>8.3333333333333329E-2</v>
      </c>
      <c r="M4156" s="14">
        <v>359</v>
      </c>
      <c r="N4156" s="14">
        <v>0</v>
      </c>
      <c r="O4156" s="14">
        <v>0</v>
      </c>
      <c r="P4156" s="14">
        <v>359</v>
      </c>
      <c r="Q4156">
        <v>11066</v>
      </c>
      <c r="R4156">
        <v>2376</v>
      </c>
      <c r="S4156">
        <v>0</v>
      </c>
    </row>
    <row r="4157" spans="11:19" x14ac:dyDescent="0.3">
      <c r="K4157" s="16">
        <f t="shared" si="64"/>
        <v>44189</v>
      </c>
      <c r="L4157" s="17">
        <v>0.125</v>
      </c>
      <c r="M4157" s="14">
        <v>359</v>
      </c>
      <c r="N4157" s="14">
        <v>0</v>
      </c>
      <c r="O4157" s="14">
        <v>0</v>
      </c>
      <c r="P4157" s="14">
        <v>359</v>
      </c>
      <c r="Q4157">
        <v>10635</v>
      </c>
      <c r="R4157">
        <v>1935</v>
      </c>
      <c r="S4157">
        <v>0</v>
      </c>
    </row>
    <row r="4158" spans="11:19" x14ac:dyDescent="0.3">
      <c r="K4158" s="16">
        <f t="shared" si="64"/>
        <v>44189</v>
      </c>
      <c r="L4158" s="17">
        <v>0.16666666666666666</v>
      </c>
      <c r="M4158" s="14">
        <v>359</v>
      </c>
      <c r="N4158" s="14">
        <v>0</v>
      </c>
      <c r="O4158" s="14">
        <v>0</v>
      </c>
      <c r="P4158" s="14">
        <v>359</v>
      </c>
      <c r="Q4158">
        <v>10557</v>
      </c>
      <c r="R4158">
        <v>1873</v>
      </c>
      <c r="S4158">
        <v>0</v>
      </c>
    </row>
    <row r="4159" spans="11:19" x14ac:dyDescent="0.3">
      <c r="K4159" s="16">
        <f t="shared" si="64"/>
        <v>44189</v>
      </c>
      <c r="L4159" s="17">
        <v>0.20833333333333334</v>
      </c>
      <c r="M4159" s="14">
        <v>359</v>
      </c>
      <c r="N4159" s="14">
        <v>0</v>
      </c>
      <c r="O4159" s="14">
        <v>0</v>
      </c>
      <c r="P4159" s="14">
        <v>359</v>
      </c>
      <c r="Q4159">
        <v>11071</v>
      </c>
      <c r="R4159">
        <v>1793</v>
      </c>
      <c r="S4159">
        <v>0</v>
      </c>
    </row>
    <row r="4160" spans="11:19" x14ac:dyDescent="0.3">
      <c r="K4160" s="16">
        <f t="shared" si="64"/>
        <v>44189</v>
      </c>
      <c r="L4160" s="17">
        <v>0.25</v>
      </c>
      <c r="M4160" s="14">
        <v>359</v>
      </c>
      <c r="N4160" s="14">
        <v>0</v>
      </c>
      <c r="O4160" s="14">
        <v>0</v>
      </c>
      <c r="P4160" s="14">
        <v>359</v>
      </c>
      <c r="Q4160">
        <v>12213</v>
      </c>
      <c r="R4160">
        <v>1666</v>
      </c>
      <c r="S4160">
        <v>0</v>
      </c>
    </row>
    <row r="4161" spans="11:19" x14ac:dyDescent="0.3">
      <c r="K4161" s="16">
        <f t="shared" si="64"/>
        <v>44189</v>
      </c>
      <c r="L4161" s="17">
        <v>0.29166666666666669</v>
      </c>
      <c r="M4161" s="14">
        <v>359</v>
      </c>
      <c r="N4161" s="14">
        <v>17</v>
      </c>
      <c r="O4161" s="14">
        <v>0</v>
      </c>
      <c r="P4161" s="14">
        <v>376</v>
      </c>
      <c r="Q4161">
        <v>13192</v>
      </c>
      <c r="R4161">
        <v>1513</v>
      </c>
      <c r="S4161">
        <v>0</v>
      </c>
    </row>
    <row r="4162" spans="11:19" x14ac:dyDescent="0.3">
      <c r="K4162" s="16">
        <f t="shared" si="64"/>
        <v>44189</v>
      </c>
      <c r="L4162" s="17">
        <v>0.33333333333333331</v>
      </c>
      <c r="M4162" s="14">
        <v>359</v>
      </c>
      <c r="N4162" s="14">
        <v>511</v>
      </c>
      <c r="O4162" s="14">
        <v>0</v>
      </c>
      <c r="P4162" s="14">
        <v>870</v>
      </c>
      <c r="Q4162">
        <v>13497</v>
      </c>
      <c r="R4162">
        <v>1297</v>
      </c>
      <c r="S4162">
        <v>21</v>
      </c>
    </row>
    <row r="4163" spans="11:19" x14ac:dyDescent="0.3">
      <c r="K4163" s="16">
        <f t="shared" si="64"/>
        <v>44189</v>
      </c>
      <c r="L4163" s="17">
        <v>0.375</v>
      </c>
      <c r="M4163" s="14">
        <v>359</v>
      </c>
      <c r="N4163" s="14">
        <v>2391</v>
      </c>
      <c r="O4163" s="14">
        <v>0</v>
      </c>
      <c r="P4163" s="14">
        <v>2750</v>
      </c>
      <c r="Q4163">
        <v>13592</v>
      </c>
      <c r="R4163">
        <v>1271</v>
      </c>
      <c r="S4163">
        <v>86</v>
      </c>
    </row>
    <row r="4164" spans="11:19" x14ac:dyDescent="0.3">
      <c r="K4164" s="16">
        <f t="shared" si="64"/>
        <v>44189</v>
      </c>
      <c r="L4164" s="17">
        <v>0.41666666666666669</v>
      </c>
      <c r="M4164" s="14">
        <v>359</v>
      </c>
      <c r="N4164" s="14">
        <v>2391</v>
      </c>
      <c r="O4164" s="14">
        <v>0</v>
      </c>
      <c r="P4164" s="14">
        <v>2750</v>
      </c>
      <c r="Q4164">
        <v>13645</v>
      </c>
      <c r="R4164">
        <v>1189</v>
      </c>
      <c r="S4164">
        <v>267</v>
      </c>
    </row>
    <row r="4165" spans="11:19" x14ac:dyDescent="0.3">
      <c r="K4165" s="16">
        <f t="shared" si="64"/>
        <v>44189</v>
      </c>
      <c r="L4165" s="17">
        <v>0.45833333333333331</v>
      </c>
      <c r="M4165" s="14">
        <v>359</v>
      </c>
      <c r="N4165" s="14">
        <v>641</v>
      </c>
      <c r="O4165" s="14">
        <v>0</v>
      </c>
      <c r="P4165" s="14">
        <v>1000</v>
      </c>
      <c r="Q4165">
        <v>13767</v>
      </c>
      <c r="R4165">
        <v>1081</v>
      </c>
      <c r="S4165">
        <v>376</v>
      </c>
    </row>
    <row r="4166" spans="11:19" x14ac:dyDescent="0.3">
      <c r="K4166" s="16">
        <f t="shared" si="64"/>
        <v>44189</v>
      </c>
      <c r="L4166" s="17">
        <v>0.5</v>
      </c>
      <c r="M4166" s="14">
        <v>359</v>
      </c>
      <c r="N4166" s="14">
        <v>547</v>
      </c>
      <c r="O4166" s="14">
        <v>0</v>
      </c>
      <c r="P4166" s="14">
        <v>906</v>
      </c>
      <c r="Q4166">
        <v>13766</v>
      </c>
      <c r="R4166">
        <v>1098</v>
      </c>
      <c r="S4166">
        <v>451</v>
      </c>
    </row>
    <row r="4167" spans="11:19" x14ac:dyDescent="0.3">
      <c r="K4167" s="16">
        <f t="shared" si="64"/>
        <v>44189</v>
      </c>
      <c r="L4167" s="17">
        <v>0.54166666666666663</v>
      </c>
      <c r="M4167" s="14">
        <v>359</v>
      </c>
      <c r="N4167" s="14">
        <v>361</v>
      </c>
      <c r="O4167" s="14">
        <v>0</v>
      </c>
      <c r="P4167" s="14">
        <v>720</v>
      </c>
      <c r="Q4167">
        <v>13549</v>
      </c>
      <c r="R4167">
        <v>1023</v>
      </c>
      <c r="S4167">
        <v>494</v>
      </c>
    </row>
    <row r="4168" spans="11:19" x14ac:dyDescent="0.3">
      <c r="K4168" s="16">
        <f t="shared" si="64"/>
        <v>44189</v>
      </c>
      <c r="L4168" s="17">
        <v>0.58333333333333337</v>
      </c>
      <c r="M4168" s="14">
        <v>359</v>
      </c>
      <c r="N4168" s="14">
        <v>208</v>
      </c>
      <c r="O4168" s="14">
        <v>0</v>
      </c>
      <c r="P4168" s="14">
        <v>567</v>
      </c>
      <c r="Q4168">
        <v>13341</v>
      </c>
      <c r="R4168">
        <v>1026</v>
      </c>
      <c r="S4168">
        <v>436</v>
      </c>
    </row>
    <row r="4169" spans="11:19" x14ac:dyDescent="0.3">
      <c r="K4169" s="16">
        <f t="shared" si="64"/>
        <v>44189</v>
      </c>
      <c r="L4169" s="17">
        <v>0.625</v>
      </c>
      <c r="M4169" s="14">
        <v>359</v>
      </c>
      <c r="N4169" s="14">
        <v>322</v>
      </c>
      <c r="O4169" s="14">
        <v>0</v>
      </c>
      <c r="P4169" s="14">
        <v>681</v>
      </c>
      <c r="Q4169">
        <v>13199</v>
      </c>
      <c r="R4169">
        <v>943</v>
      </c>
      <c r="S4169">
        <v>262</v>
      </c>
    </row>
    <row r="4170" spans="11:19" x14ac:dyDescent="0.3">
      <c r="K4170" s="16">
        <f t="shared" si="64"/>
        <v>44189</v>
      </c>
      <c r="L4170" s="17">
        <v>0.66666666666666663</v>
      </c>
      <c r="M4170" s="14">
        <v>359</v>
      </c>
      <c r="N4170" s="14">
        <v>526</v>
      </c>
      <c r="O4170" s="14">
        <v>0</v>
      </c>
      <c r="P4170" s="14">
        <v>885</v>
      </c>
      <c r="Q4170">
        <v>13242</v>
      </c>
      <c r="R4170">
        <v>992</v>
      </c>
      <c r="S4170">
        <v>51</v>
      </c>
    </row>
    <row r="4171" spans="11:19" x14ac:dyDescent="0.3">
      <c r="K4171" s="16">
        <f t="shared" si="64"/>
        <v>44189</v>
      </c>
      <c r="L4171" s="17">
        <v>0.70833333333333337</v>
      </c>
      <c r="M4171" s="14">
        <v>359</v>
      </c>
      <c r="N4171" s="14">
        <v>2391</v>
      </c>
      <c r="O4171" s="14">
        <v>0</v>
      </c>
      <c r="P4171" s="14">
        <v>2750</v>
      </c>
      <c r="Q4171">
        <v>13841</v>
      </c>
      <c r="R4171">
        <v>1004</v>
      </c>
      <c r="S4171">
        <v>0</v>
      </c>
    </row>
    <row r="4172" spans="11:19" x14ac:dyDescent="0.3">
      <c r="K4172" s="16">
        <f t="shared" si="64"/>
        <v>44189</v>
      </c>
      <c r="L4172" s="17">
        <v>0.75</v>
      </c>
      <c r="M4172" s="14">
        <v>359</v>
      </c>
      <c r="N4172" s="14">
        <v>1609</v>
      </c>
      <c r="O4172" s="14">
        <v>0</v>
      </c>
      <c r="P4172" s="14">
        <v>1968</v>
      </c>
      <c r="Q4172">
        <v>14164</v>
      </c>
      <c r="R4172">
        <v>883</v>
      </c>
      <c r="S4172">
        <v>0</v>
      </c>
    </row>
    <row r="4173" spans="11:19" x14ac:dyDescent="0.3">
      <c r="K4173" s="16">
        <f t="shared" si="64"/>
        <v>44189</v>
      </c>
      <c r="L4173" s="17">
        <v>0.79166666666666663</v>
      </c>
      <c r="M4173" s="14">
        <v>359</v>
      </c>
      <c r="N4173" s="14">
        <v>2391</v>
      </c>
      <c r="O4173" s="14">
        <v>0</v>
      </c>
      <c r="P4173" s="14">
        <v>2750</v>
      </c>
      <c r="Q4173">
        <v>14041</v>
      </c>
      <c r="R4173">
        <v>862</v>
      </c>
      <c r="S4173">
        <v>0</v>
      </c>
    </row>
    <row r="4174" spans="11:19" x14ac:dyDescent="0.3">
      <c r="K4174" s="16">
        <f t="shared" si="64"/>
        <v>44189</v>
      </c>
      <c r="L4174" s="17">
        <v>0.83333333333333337</v>
      </c>
      <c r="M4174" s="14">
        <v>359</v>
      </c>
      <c r="N4174" s="14">
        <v>524</v>
      </c>
      <c r="O4174" s="14">
        <v>0</v>
      </c>
      <c r="P4174" s="14">
        <v>883</v>
      </c>
      <c r="Q4174">
        <v>13251</v>
      </c>
      <c r="R4174">
        <v>1065</v>
      </c>
      <c r="S4174">
        <v>0</v>
      </c>
    </row>
    <row r="4175" spans="11:19" x14ac:dyDescent="0.3">
      <c r="K4175" s="16">
        <f t="shared" si="64"/>
        <v>44189</v>
      </c>
      <c r="L4175" s="17">
        <v>0.875</v>
      </c>
      <c r="M4175" s="14">
        <v>359</v>
      </c>
      <c r="N4175" s="14">
        <v>0</v>
      </c>
      <c r="O4175" s="14">
        <v>0</v>
      </c>
      <c r="P4175" s="14">
        <v>359</v>
      </c>
      <c r="Q4175">
        <v>12501</v>
      </c>
      <c r="R4175">
        <v>1120</v>
      </c>
      <c r="S4175">
        <v>0</v>
      </c>
    </row>
    <row r="4176" spans="11:19" x14ac:dyDescent="0.3">
      <c r="K4176" s="16">
        <f t="shared" si="64"/>
        <v>44189</v>
      </c>
      <c r="L4176" s="17">
        <v>0.91666666666666663</v>
      </c>
      <c r="M4176" s="14">
        <v>359</v>
      </c>
      <c r="N4176" s="14">
        <v>2391</v>
      </c>
      <c r="O4176" s="14">
        <v>0</v>
      </c>
      <c r="P4176" s="14">
        <v>2750</v>
      </c>
      <c r="Q4176">
        <v>12653</v>
      </c>
      <c r="R4176">
        <v>1320</v>
      </c>
      <c r="S4176">
        <v>0</v>
      </c>
    </row>
    <row r="4177" spans="11:19" x14ac:dyDescent="0.3">
      <c r="K4177" s="16">
        <f t="shared" si="64"/>
        <v>44189</v>
      </c>
      <c r="L4177" s="17">
        <v>0.95833333333333337</v>
      </c>
      <c r="M4177" s="14">
        <v>359</v>
      </c>
      <c r="N4177" s="14">
        <v>0</v>
      </c>
      <c r="O4177" s="14">
        <v>0</v>
      </c>
      <c r="P4177" s="14">
        <v>359</v>
      </c>
      <c r="Q4177">
        <v>12753</v>
      </c>
      <c r="R4177">
        <v>1204</v>
      </c>
      <c r="S4177">
        <v>0</v>
      </c>
    </row>
    <row r="4178" spans="11:19" x14ac:dyDescent="0.3">
      <c r="K4178" s="16">
        <f t="shared" si="64"/>
        <v>44190</v>
      </c>
      <c r="L4178" s="17">
        <v>0</v>
      </c>
      <c r="M4178" s="14">
        <v>359</v>
      </c>
      <c r="N4178" s="14">
        <v>0</v>
      </c>
      <c r="O4178" s="14">
        <v>0</v>
      </c>
      <c r="P4178" s="14">
        <v>359</v>
      </c>
      <c r="Q4178">
        <v>12229</v>
      </c>
      <c r="R4178">
        <v>1241</v>
      </c>
      <c r="S4178">
        <v>0</v>
      </c>
    </row>
    <row r="4179" spans="11:19" x14ac:dyDescent="0.3">
      <c r="K4179" s="16">
        <f t="shared" si="64"/>
        <v>44190</v>
      </c>
      <c r="L4179" s="17">
        <v>4.1666666666666664E-2</v>
      </c>
      <c r="M4179" s="14">
        <v>359</v>
      </c>
      <c r="N4179" s="14">
        <v>1840</v>
      </c>
      <c r="O4179" s="14">
        <v>0</v>
      </c>
      <c r="P4179" s="14">
        <v>2199</v>
      </c>
      <c r="Q4179">
        <v>11914</v>
      </c>
      <c r="R4179">
        <v>1327</v>
      </c>
      <c r="S4179">
        <v>0</v>
      </c>
    </row>
    <row r="4180" spans="11:19" x14ac:dyDescent="0.3">
      <c r="K4180" s="16">
        <f t="shared" si="64"/>
        <v>44190</v>
      </c>
      <c r="L4180" s="17">
        <v>8.3333333333333329E-2</v>
      </c>
      <c r="M4180" s="14">
        <v>359</v>
      </c>
      <c r="N4180" s="14">
        <v>1465</v>
      </c>
      <c r="O4180" s="14">
        <v>0</v>
      </c>
      <c r="P4180" s="14">
        <v>1824</v>
      </c>
      <c r="Q4180">
        <v>11669</v>
      </c>
      <c r="R4180">
        <v>1458</v>
      </c>
      <c r="S4180">
        <v>0</v>
      </c>
    </row>
    <row r="4181" spans="11:19" x14ac:dyDescent="0.3">
      <c r="K4181" s="16">
        <f t="shared" si="64"/>
        <v>44190</v>
      </c>
      <c r="L4181" s="17">
        <v>0.125</v>
      </c>
      <c r="M4181" s="14">
        <v>359</v>
      </c>
      <c r="N4181" s="14">
        <v>0</v>
      </c>
      <c r="O4181" s="14">
        <v>0</v>
      </c>
      <c r="P4181" s="14">
        <v>359</v>
      </c>
      <c r="Q4181">
        <v>11246</v>
      </c>
      <c r="R4181">
        <v>1763</v>
      </c>
      <c r="S4181">
        <v>0</v>
      </c>
    </row>
    <row r="4182" spans="11:19" x14ac:dyDescent="0.3">
      <c r="K4182" s="16">
        <f t="shared" si="64"/>
        <v>44190</v>
      </c>
      <c r="L4182" s="17">
        <v>0.16666666666666666</v>
      </c>
      <c r="M4182" s="14">
        <v>359</v>
      </c>
      <c r="N4182" s="14">
        <v>0</v>
      </c>
      <c r="O4182" s="14">
        <v>0</v>
      </c>
      <c r="P4182" s="14">
        <v>359</v>
      </c>
      <c r="Q4182">
        <v>11167</v>
      </c>
      <c r="R4182">
        <v>2107</v>
      </c>
      <c r="S4182">
        <v>0</v>
      </c>
    </row>
    <row r="4183" spans="11:19" x14ac:dyDescent="0.3">
      <c r="K4183" s="16">
        <f t="shared" si="64"/>
        <v>44190</v>
      </c>
      <c r="L4183" s="17">
        <v>0.20833333333333334</v>
      </c>
      <c r="M4183" s="14">
        <v>359</v>
      </c>
      <c r="N4183" s="14">
        <v>0</v>
      </c>
      <c r="O4183" s="14">
        <v>0</v>
      </c>
      <c r="P4183" s="14">
        <v>359</v>
      </c>
      <c r="Q4183">
        <v>11647</v>
      </c>
      <c r="R4183">
        <v>2288</v>
      </c>
      <c r="S4183">
        <v>0</v>
      </c>
    </row>
    <row r="4184" spans="11:19" x14ac:dyDescent="0.3">
      <c r="K4184" s="16">
        <f t="shared" si="64"/>
        <v>44190</v>
      </c>
      <c r="L4184" s="17">
        <v>0.25</v>
      </c>
      <c r="M4184" s="14">
        <v>359</v>
      </c>
      <c r="N4184" s="14">
        <v>0</v>
      </c>
      <c r="O4184" s="14">
        <v>0</v>
      </c>
      <c r="P4184" s="14">
        <v>359</v>
      </c>
      <c r="Q4184">
        <v>12682</v>
      </c>
      <c r="R4184">
        <v>2419</v>
      </c>
      <c r="S4184">
        <v>0</v>
      </c>
    </row>
    <row r="4185" spans="11:19" x14ac:dyDescent="0.3">
      <c r="K4185" s="16">
        <f t="shared" si="64"/>
        <v>44190</v>
      </c>
      <c r="L4185" s="17">
        <v>0.29166666666666669</v>
      </c>
      <c r="M4185" s="14">
        <v>359</v>
      </c>
      <c r="N4185" s="14">
        <v>1989</v>
      </c>
      <c r="O4185" s="14">
        <v>0</v>
      </c>
      <c r="P4185" s="14">
        <v>2348</v>
      </c>
      <c r="Q4185">
        <v>13605</v>
      </c>
      <c r="R4185">
        <v>2601</v>
      </c>
      <c r="S4185">
        <v>0</v>
      </c>
    </row>
    <row r="4186" spans="11:19" x14ac:dyDescent="0.3">
      <c r="K4186" s="16">
        <f t="shared" si="64"/>
        <v>44190</v>
      </c>
      <c r="L4186" s="17">
        <v>0.33333333333333331</v>
      </c>
      <c r="M4186" s="14">
        <v>359</v>
      </c>
      <c r="N4186" s="14">
        <v>1989</v>
      </c>
      <c r="O4186" s="14">
        <v>0</v>
      </c>
      <c r="P4186" s="14">
        <v>2348</v>
      </c>
      <c r="Q4186">
        <v>13879</v>
      </c>
      <c r="R4186">
        <v>2448</v>
      </c>
      <c r="S4186">
        <v>11</v>
      </c>
    </row>
    <row r="4187" spans="11:19" x14ac:dyDescent="0.3">
      <c r="K4187" s="16">
        <f t="shared" ref="K4187:K4250" si="65">K4163+1</f>
        <v>44190</v>
      </c>
      <c r="L4187" s="17">
        <v>0.375</v>
      </c>
      <c r="M4187" s="14">
        <v>359</v>
      </c>
      <c r="N4187" s="14">
        <v>1989</v>
      </c>
      <c r="O4187" s="14">
        <v>0</v>
      </c>
      <c r="P4187" s="14">
        <v>2348</v>
      </c>
      <c r="Q4187">
        <v>13943</v>
      </c>
      <c r="R4187">
        <v>2536</v>
      </c>
      <c r="S4187">
        <v>142</v>
      </c>
    </row>
    <row r="4188" spans="11:19" x14ac:dyDescent="0.3">
      <c r="K4188" s="16">
        <f t="shared" si="65"/>
        <v>44190</v>
      </c>
      <c r="L4188" s="17">
        <v>0.41666666666666669</v>
      </c>
      <c r="M4188" s="14">
        <v>359</v>
      </c>
      <c r="N4188" s="14">
        <v>0</v>
      </c>
      <c r="O4188" s="14">
        <v>0</v>
      </c>
      <c r="P4188" s="14">
        <v>359</v>
      </c>
      <c r="Q4188">
        <v>13944</v>
      </c>
      <c r="R4188">
        <v>2662</v>
      </c>
      <c r="S4188">
        <v>463</v>
      </c>
    </row>
    <row r="4189" spans="11:19" x14ac:dyDescent="0.3">
      <c r="K4189" s="16">
        <f t="shared" si="65"/>
        <v>44190</v>
      </c>
      <c r="L4189" s="17">
        <v>0.45833333333333331</v>
      </c>
      <c r="M4189" s="14">
        <v>359</v>
      </c>
      <c r="N4189" s="14">
        <v>0</v>
      </c>
      <c r="O4189" s="14">
        <v>0</v>
      </c>
      <c r="P4189" s="14">
        <v>359</v>
      </c>
      <c r="Q4189">
        <v>13939</v>
      </c>
      <c r="R4189">
        <v>2544</v>
      </c>
      <c r="S4189">
        <v>768</v>
      </c>
    </row>
    <row r="4190" spans="11:19" x14ac:dyDescent="0.3">
      <c r="K4190" s="16">
        <f t="shared" si="65"/>
        <v>44190</v>
      </c>
      <c r="L4190" s="17">
        <v>0.5</v>
      </c>
      <c r="M4190" s="14">
        <v>359</v>
      </c>
      <c r="N4190" s="14">
        <v>0</v>
      </c>
      <c r="O4190" s="14">
        <v>0</v>
      </c>
      <c r="P4190" s="14">
        <v>359</v>
      </c>
      <c r="Q4190">
        <v>13880</v>
      </c>
      <c r="R4190">
        <v>2495</v>
      </c>
      <c r="S4190">
        <v>932</v>
      </c>
    </row>
    <row r="4191" spans="11:19" x14ac:dyDescent="0.3">
      <c r="K4191" s="16">
        <f t="shared" si="65"/>
        <v>44190</v>
      </c>
      <c r="L4191" s="17">
        <v>0.54166666666666663</v>
      </c>
      <c r="M4191" s="14">
        <v>359</v>
      </c>
      <c r="N4191" s="14">
        <v>1373</v>
      </c>
      <c r="O4191" s="14">
        <v>0</v>
      </c>
      <c r="P4191" s="14">
        <v>1732</v>
      </c>
      <c r="Q4191">
        <v>13588</v>
      </c>
      <c r="R4191">
        <v>2510</v>
      </c>
      <c r="S4191">
        <v>932</v>
      </c>
    </row>
    <row r="4192" spans="11:19" x14ac:dyDescent="0.3">
      <c r="K4192" s="16">
        <f t="shared" si="65"/>
        <v>44190</v>
      </c>
      <c r="L4192" s="17">
        <v>0.58333333333333337</v>
      </c>
      <c r="M4192" s="14">
        <v>359</v>
      </c>
      <c r="N4192" s="14">
        <v>0</v>
      </c>
      <c r="O4192" s="14">
        <v>0</v>
      </c>
      <c r="P4192" s="14">
        <v>359</v>
      </c>
      <c r="Q4192">
        <v>13367</v>
      </c>
      <c r="R4192">
        <v>2536</v>
      </c>
      <c r="S4192">
        <v>751</v>
      </c>
    </row>
    <row r="4193" spans="11:19" x14ac:dyDescent="0.3">
      <c r="K4193" s="16">
        <f t="shared" si="65"/>
        <v>44190</v>
      </c>
      <c r="L4193" s="17">
        <v>0.625</v>
      </c>
      <c r="M4193" s="14">
        <v>359</v>
      </c>
      <c r="N4193" s="14">
        <v>0</v>
      </c>
      <c r="O4193" s="14">
        <v>0</v>
      </c>
      <c r="P4193" s="14">
        <v>359</v>
      </c>
      <c r="Q4193">
        <v>13158</v>
      </c>
      <c r="R4193">
        <v>2587</v>
      </c>
      <c r="S4193">
        <v>420</v>
      </c>
    </row>
    <row r="4194" spans="11:19" x14ac:dyDescent="0.3">
      <c r="K4194" s="16">
        <f t="shared" si="65"/>
        <v>44190</v>
      </c>
      <c r="L4194" s="17">
        <v>0.66666666666666663</v>
      </c>
      <c r="M4194" s="14">
        <v>359</v>
      </c>
      <c r="N4194" s="14">
        <v>0</v>
      </c>
      <c r="O4194" s="14">
        <v>0</v>
      </c>
      <c r="P4194" s="14">
        <v>359</v>
      </c>
      <c r="Q4194">
        <v>13184</v>
      </c>
      <c r="R4194">
        <v>2715</v>
      </c>
      <c r="S4194">
        <v>104</v>
      </c>
    </row>
    <row r="4195" spans="11:19" x14ac:dyDescent="0.3">
      <c r="K4195" s="16">
        <f t="shared" si="65"/>
        <v>44190</v>
      </c>
      <c r="L4195" s="17">
        <v>0.70833333333333337</v>
      </c>
      <c r="M4195" s="14">
        <v>359</v>
      </c>
      <c r="N4195" s="14">
        <v>0</v>
      </c>
      <c r="O4195" s="14">
        <v>0</v>
      </c>
      <c r="P4195" s="14">
        <v>359</v>
      </c>
      <c r="Q4195">
        <v>13879</v>
      </c>
      <c r="R4195">
        <v>2760</v>
      </c>
      <c r="S4195">
        <v>0</v>
      </c>
    </row>
    <row r="4196" spans="11:19" x14ac:dyDescent="0.3">
      <c r="K4196" s="16">
        <f t="shared" si="65"/>
        <v>44190</v>
      </c>
      <c r="L4196" s="17">
        <v>0.75</v>
      </c>
      <c r="M4196" s="14">
        <v>359</v>
      </c>
      <c r="N4196" s="14">
        <v>0</v>
      </c>
      <c r="O4196" s="14">
        <v>0</v>
      </c>
      <c r="P4196" s="14">
        <v>359</v>
      </c>
      <c r="Q4196">
        <v>14220</v>
      </c>
      <c r="R4196">
        <v>2638</v>
      </c>
      <c r="S4196">
        <v>0</v>
      </c>
    </row>
    <row r="4197" spans="11:19" x14ac:dyDescent="0.3">
      <c r="K4197" s="16">
        <f t="shared" si="65"/>
        <v>44190</v>
      </c>
      <c r="L4197" s="17">
        <v>0.79166666666666663</v>
      </c>
      <c r="M4197" s="14">
        <v>359</v>
      </c>
      <c r="N4197" s="14">
        <v>28</v>
      </c>
      <c r="O4197" s="14">
        <v>0</v>
      </c>
      <c r="P4197" s="14">
        <v>387</v>
      </c>
      <c r="Q4197">
        <v>14130</v>
      </c>
      <c r="R4197">
        <v>2435</v>
      </c>
      <c r="S4197">
        <v>0</v>
      </c>
    </row>
    <row r="4198" spans="11:19" x14ac:dyDescent="0.3">
      <c r="K4198" s="16">
        <f t="shared" si="65"/>
        <v>44190</v>
      </c>
      <c r="L4198" s="17">
        <v>0.83333333333333337</v>
      </c>
      <c r="M4198" s="14">
        <v>359</v>
      </c>
      <c r="N4198" s="14">
        <v>0</v>
      </c>
      <c r="O4198" s="14">
        <v>0</v>
      </c>
      <c r="P4198" s="14">
        <v>359</v>
      </c>
      <c r="Q4198">
        <v>13413</v>
      </c>
      <c r="R4198">
        <v>2184</v>
      </c>
      <c r="S4198">
        <v>0</v>
      </c>
    </row>
    <row r="4199" spans="11:19" x14ac:dyDescent="0.3">
      <c r="K4199" s="16">
        <f t="shared" si="65"/>
        <v>44190</v>
      </c>
      <c r="L4199" s="17">
        <v>0.875</v>
      </c>
      <c r="M4199" s="14">
        <v>359</v>
      </c>
      <c r="N4199" s="14">
        <v>0</v>
      </c>
      <c r="O4199" s="14">
        <v>0</v>
      </c>
      <c r="P4199" s="14">
        <v>359</v>
      </c>
      <c r="Q4199">
        <v>12798</v>
      </c>
      <c r="R4199">
        <v>1968</v>
      </c>
      <c r="S4199">
        <v>0</v>
      </c>
    </row>
    <row r="4200" spans="11:19" x14ac:dyDescent="0.3">
      <c r="K4200" s="16">
        <f t="shared" si="65"/>
        <v>44190</v>
      </c>
      <c r="L4200" s="17">
        <v>0.91666666666666663</v>
      </c>
      <c r="M4200" s="14">
        <v>359</v>
      </c>
      <c r="N4200" s="14">
        <v>0</v>
      </c>
      <c r="O4200" s="14">
        <v>0</v>
      </c>
      <c r="P4200" s="14">
        <v>359</v>
      </c>
      <c r="Q4200">
        <v>13022</v>
      </c>
      <c r="R4200">
        <v>2010</v>
      </c>
      <c r="S4200">
        <v>0</v>
      </c>
    </row>
    <row r="4201" spans="11:19" x14ac:dyDescent="0.3">
      <c r="K4201" s="16">
        <f t="shared" si="65"/>
        <v>44190</v>
      </c>
      <c r="L4201" s="17">
        <v>0.95833333333333337</v>
      </c>
      <c r="M4201" s="14">
        <v>359</v>
      </c>
      <c r="N4201" s="14">
        <v>0</v>
      </c>
      <c r="O4201" s="14">
        <v>0</v>
      </c>
      <c r="P4201" s="14">
        <v>359</v>
      </c>
      <c r="Q4201">
        <v>13154</v>
      </c>
      <c r="R4201">
        <v>1998</v>
      </c>
      <c r="S4201">
        <v>0</v>
      </c>
    </row>
    <row r="4202" spans="11:19" x14ac:dyDescent="0.3">
      <c r="K4202" s="16">
        <f t="shared" si="65"/>
        <v>44191</v>
      </c>
      <c r="L4202" s="17">
        <v>0</v>
      </c>
      <c r="M4202" s="14">
        <v>359</v>
      </c>
      <c r="N4202" s="14">
        <v>0</v>
      </c>
      <c r="O4202" s="14">
        <v>0</v>
      </c>
      <c r="P4202" s="14">
        <v>359</v>
      </c>
      <c r="Q4202">
        <v>12710</v>
      </c>
      <c r="R4202">
        <v>2011</v>
      </c>
      <c r="S4202">
        <v>0</v>
      </c>
    </row>
    <row r="4203" spans="11:19" x14ac:dyDescent="0.3">
      <c r="K4203" s="16">
        <f t="shared" si="65"/>
        <v>44191</v>
      </c>
      <c r="L4203" s="17">
        <v>4.1666666666666664E-2</v>
      </c>
      <c r="M4203" s="14">
        <v>359</v>
      </c>
      <c r="N4203" s="14">
        <v>1675</v>
      </c>
      <c r="O4203" s="14">
        <v>0</v>
      </c>
      <c r="P4203" s="14">
        <v>2034</v>
      </c>
      <c r="Q4203">
        <v>12402</v>
      </c>
      <c r="R4203">
        <v>1984</v>
      </c>
      <c r="S4203">
        <v>0</v>
      </c>
    </row>
    <row r="4204" spans="11:19" x14ac:dyDescent="0.3">
      <c r="K4204" s="16">
        <f t="shared" si="65"/>
        <v>44191</v>
      </c>
      <c r="L4204" s="17">
        <v>8.3333333333333329E-2</v>
      </c>
      <c r="M4204" s="14">
        <v>359</v>
      </c>
      <c r="N4204" s="14">
        <v>0</v>
      </c>
      <c r="O4204" s="14">
        <v>0</v>
      </c>
      <c r="P4204" s="14">
        <v>359</v>
      </c>
      <c r="Q4204">
        <v>12103</v>
      </c>
      <c r="R4204">
        <v>1870</v>
      </c>
      <c r="S4204">
        <v>0</v>
      </c>
    </row>
    <row r="4205" spans="11:19" x14ac:dyDescent="0.3">
      <c r="K4205" s="16">
        <f t="shared" si="65"/>
        <v>44191</v>
      </c>
      <c r="L4205" s="17">
        <v>0.125</v>
      </c>
      <c r="M4205" s="14">
        <v>359</v>
      </c>
      <c r="N4205" s="14">
        <v>1081</v>
      </c>
      <c r="O4205" s="14">
        <v>0</v>
      </c>
      <c r="P4205" s="14">
        <v>1440</v>
      </c>
      <c r="Q4205">
        <v>11621</v>
      </c>
      <c r="R4205">
        <v>1802</v>
      </c>
      <c r="S4205">
        <v>0</v>
      </c>
    </row>
    <row r="4206" spans="11:19" x14ac:dyDescent="0.3">
      <c r="K4206" s="16">
        <f t="shared" si="65"/>
        <v>44191</v>
      </c>
      <c r="L4206" s="17">
        <v>0.16666666666666666</v>
      </c>
      <c r="M4206" s="14">
        <v>359</v>
      </c>
      <c r="N4206" s="14">
        <v>701</v>
      </c>
      <c r="O4206" s="14">
        <v>0</v>
      </c>
      <c r="P4206" s="14">
        <v>1060</v>
      </c>
      <c r="Q4206">
        <v>11449</v>
      </c>
      <c r="R4206">
        <v>2015</v>
      </c>
      <c r="S4206">
        <v>0</v>
      </c>
    </row>
    <row r="4207" spans="11:19" x14ac:dyDescent="0.3">
      <c r="K4207" s="16">
        <f t="shared" si="65"/>
        <v>44191</v>
      </c>
      <c r="L4207" s="17">
        <v>0.20833333333333334</v>
      </c>
      <c r="M4207" s="14">
        <v>359</v>
      </c>
      <c r="N4207" s="14">
        <v>0</v>
      </c>
      <c r="O4207" s="14">
        <v>0</v>
      </c>
      <c r="P4207" s="14">
        <v>359</v>
      </c>
      <c r="Q4207">
        <v>11675</v>
      </c>
      <c r="R4207">
        <v>1854</v>
      </c>
      <c r="S4207">
        <v>0</v>
      </c>
    </row>
    <row r="4208" spans="11:19" x14ac:dyDescent="0.3">
      <c r="K4208" s="16">
        <f t="shared" si="65"/>
        <v>44191</v>
      </c>
      <c r="L4208" s="17">
        <v>0.25</v>
      </c>
      <c r="M4208" s="14">
        <v>359</v>
      </c>
      <c r="N4208" s="14">
        <v>0</v>
      </c>
      <c r="O4208" s="14">
        <v>0</v>
      </c>
      <c r="P4208" s="14">
        <v>359</v>
      </c>
      <c r="Q4208">
        <v>12081</v>
      </c>
      <c r="R4208">
        <v>1813</v>
      </c>
      <c r="S4208">
        <v>0</v>
      </c>
    </row>
    <row r="4209" spans="11:19" x14ac:dyDescent="0.3">
      <c r="K4209" s="16">
        <f t="shared" si="65"/>
        <v>44191</v>
      </c>
      <c r="L4209" s="17">
        <v>0.29166666666666669</v>
      </c>
      <c r="M4209" s="14">
        <v>359</v>
      </c>
      <c r="N4209" s="14">
        <v>0</v>
      </c>
      <c r="O4209" s="14">
        <v>0</v>
      </c>
      <c r="P4209" s="14">
        <v>359</v>
      </c>
      <c r="Q4209">
        <v>12529</v>
      </c>
      <c r="R4209">
        <v>1724</v>
      </c>
      <c r="S4209">
        <v>0</v>
      </c>
    </row>
    <row r="4210" spans="11:19" x14ac:dyDescent="0.3">
      <c r="K4210" s="16">
        <f t="shared" si="65"/>
        <v>44191</v>
      </c>
      <c r="L4210" s="17">
        <v>0.33333333333333331</v>
      </c>
      <c r="M4210" s="14">
        <v>359</v>
      </c>
      <c r="N4210" s="14">
        <v>0</v>
      </c>
      <c r="O4210" s="14">
        <v>0</v>
      </c>
      <c r="P4210" s="14">
        <v>359</v>
      </c>
      <c r="Q4210">
        <v>12987</v>
      </c>
      <c r="R4210">
        <v>1683</v>
      </c>
      <c r="S4210">
        <v>16</v>
      </c>
    </row>
    <row r="4211" spans="11:19" x14ac:dyDescent="0.3">
      <c r="K4211" s="16">
        <f t="shared" si="65"/>
        <v>44191</v>
      </c>
      <c r="L4211" s="17">
        <v>0.375</v>
      </c>
      <c r="M4211" s="14">
        <v>359</v>
      </c>
      <c r="N4211" s="14">
        <v>2007</v>
      </c>
      <c r="O4211" s="14">
        <v>0</v>
      </c>
      <c r="P4211" s="14">
        <v>2366</v>
      </c>
      <c r="Q4211">
        <v>13290</v>
      </c>
      <c r="R4211">
        <v>1665</v>
      </c>
      <c r="S4211">
        <v>189</v>
      </c>
    </row>
    <row r="4212" spans="11:19" x14ac:dyDescent="0.3">
      <c r="K4212" s="16">
        <f t="shared" si="65"/>
        <v>44191</v>
      </c>
      <c r="L4212" s="17">
        <v>0.41666666666666669</v>
      </c>
      <c r="M4212" s="14">
        <v>359</v>
      </c>
      <c r="N4212" s="14">
        <v>0</v>
      </c>
      <c r="O4212" s="14">
        <v>0</v>
      </c>
      <c r="P4212" s="14">
        <v>359</v>
      </c>
      <c r="Q4212">
        <v>13307</v>
      </c>
      <c r="R4212">
        <v>1663</v>
      </c>
      <c r="S4212">
        <v>656</v>
      </c>
    </row>
    <row r="4213" spans="11:19" x14ac:dyDescent="0.3">
      <c r="K4213" s="16">
        <f t="shared" si="65"/>
        <v>44191</v>
      </c>
      <c r="L4213" s="17">
        <v>0.45833333333333331</v>
      </c>
      <c r="M4213" s="14">
        <v>359</v>
      </c>
      <c r="N4213" s="14">
        <v>1882</v>
      </c>
      <c r="O4213" s="14">
        <v>0</v>
      </c>
      <c r="P4213" s="14">
        <v>2241</v>
      </c>
      <c r="Q4213">
        <v>13365</v>
      </c>
      <c r="R4213">
        <v>1596</v>
      </c>
      <c r="S4213">
        <v>1124</v>
      </c>
    </row>
    <row r="4214" spans="11:19" x14ac:dyDescent="0.3">
      <c r="K4214" s="16">
        <f t="shared" si="65"/>
        <v>44191</v>
      </c>
      <c r="L4214" s="17">
        <v>0.5</v>
      </c>
      <c r="M4214" s="14">
        <v>359</v>
      </c>
      <c r="N4214" s="14">
        <v>0</v>
      </c>
      <c r="O4214" s="14">
        <v>0</v>
      </c>
      <c r="P4214" s="14">
        <v>359</v>
      </c>
      <c r="Q4214">
        <v>13599</v>
      </c>
      <c r="R4214">
        <v>1704</v>
      </c>
      <c r="S4214">
        <v>1319</v>
      </c>
    </row>
    <row r="4215" spans="11:19" x14ac:dyDescent="0.3">
      <c r="K4215" s="16">
        <f t="shared" si="65"/>
        <v>44191</v>
      </c>
      <c r="L4215" s="17">
        <v>0.54166666666666663</v>
      </c>
      <c r="M4215" s="14">
        <v>359</v>
      </c>
      <c r="N4215" s="14">
        <v>1360</v>
      </c>
      <c r="O4215" s="14">
        <v>0</v>
      </c>
      <c r="P4215" s="14">
        <v>1719</v>
      </c>
      <c r="Q4215">
        <v>13105</v>
      </c>
      <c r="R4215">
        <v>1729</v>
      </c>
      <c r="S4215">
        <v>1251</v>
      </c>
    </row>
    <row r="4216" spans="11:19" x14ac:dyDescent="0.3">
      <c r="K4216" s="16">
        <f t="shared" si="65"/>
        <v>44191</v>
      </c>
      <c r="L4216" s="17">
        <v>0.58333333333333337</v>
      </c>
      <c r="M4216" s="14">
        <v>359</v>
      </c>
      <c r="N4216" s="14">
        <v>0</v>
      </c>
      <c r="O4216" s="14">
        <v>0</v>
      </c>
      <c r="P4216" s="14">
        <v>359</v>
      </c>
      <c r="Q4216">
        <v>12708</v>
      </c>
      <c r="R4216">
        <v>1698</v>
      </c>
      <c r="S4216">
        <v>997</v>
      </c>
    </row>
    <row r="4217" spans="11:19" x14ac:dyDescent="0.3">
      <c r="K4217" s="16">
        <f t="shared" si="65"/>
        <v>44191</v>
      </c>
      <c r="L4217" s="17">
        <v>0.625</v>
      </c>
      <c r="M4217" s="14">
        <v>359</v>
      </c>
      <c r="N4217" s="14">
        <v>1532</v>
      </c>
      <c r="O4217" s="14">
        <v>0</v>
      </c>
      <c r="P4217" s="14">
        <v>1891</v>
      </c>
      <c r="Q4217">
        <v>12580</v>
      </c>
      <c r="R4217">
        <v>1780</v>
      </c>
      <c r="S4217">
        <v>503</v>
      </c>
    </row>
    <row r="4218" spans="11:19" x14ac:dyDescent="0.3">
      <c r="K4218" s="16">
        <f t="shared" si="65"/>
        <v>44191</v>
      </c>
      <c r="L4218" s="17">
        <v>0.66666666666666663</v>
      </c>
      <c r="M4218" s="14">
        <v>359</v>
      </c>
      <c r="N4218" s="14">
        <v>1916</v>
      </c>
      <c r="O4218" s="14">
        <v>0</v>
      </c>
      <c r="P4218" s="14">
        <v>2275</v>
      </c>
      <c r="Q4218">
        <v>12729</v>
      </c>
      <c r="R4218">
        <v>1930</v>
      </c>
      <c r="S4218">
        <v>118</v>
      </c>
    </row>
    <row r="4219" spans="11:19" x14ac:dyDescent="0.3">
      <c r="K4219" s="16">
        <f t="shared" si="65"/>
        <v>44191</v>
      </c>
      <c r="L4219" s="17">
        <v>0.70833333333333337</v>
      </c>
      <c r="M4219" s="14">
        <v>359</v>
      </c>
      <c r="N4219" s="14">
        <v>2007</v>
      </c>
      <c r="O4219" s="14">
        <v>0</v>
      </c>
      <c r="P4219" s="14">
        <v>2366</v>
      </c>
      <c r="Q4219">
        <v>13531</v>
      </c>
      <c r="R4219">
        <v>2025</v>
      </c>
      <c r="S4219">
        <v>0</v>
      </c>
    </row>
    <row r="4220" spans="11:19" x14ac:dyDescent="0.3">
      <c r="K4220" s="16">
        <f t="shared" si="65"/>
        <v>44191</v>
      </c>
      <c r="L4220" s="17">
        <v>0.75</v>
      </c>
      <c r="M4220" s="14">
        <v>359</v>
      </c>
      <c r="N4220" s="14">
        <v>2007</v>
      </c>
      <c r="O4220" s="14">
        <v>0</v>
      </c>
      <c r="P4220" s="14">
        <v>2366</v>
      </c>
      <c r="Q4220">
        <v>14016</v>
      </c>
      <c r="R4220">
        <v>1913</v>
      </c>
      <c r="S4220">
        <v>0</v>
      </c>
    </row>
    <row r="4221" spans="11:19" x14ac:dyDescent="0.3">
      <c r="K4221" s="16">
        <f t="shared" si="65"/>
        <v>44191</v>
      </c>
      <c r="L4221" s="17">
        <v>0.79166666666666663</v>
      </c>
      <c r="M4221" s="14">
        <v>359</v>
      </c>
      <c r="N4221" s="14">
        <v>2007</v>
      </c>
      <c r="O4221" s="14">
        <v>0</v>
      </c>
      <c r="P4221" s="14">
        <v>2366</v>
      </c>
      <c r="Q4221">
        <v>13972</v>
      </c>
      <c r="R4221">
        <v>2128</v>
      </c>
      <c r="S4221">
        <v>0</v>
      </c>
    </row>
    <row r="4222" spans="11:19" x14ac:dyDescent="0.3">
      <c r="K4222" s="16">
        <f t="shared" si="65"/>
        <v>44191</v>
      </c>
      <c r="L4222" s="17">
        <v>0.83333333333333337</v>
      </c>
      <c r="M4222" s="14">
        <v>359</v>
      </c>
      <c r="N4222" s="14">
        <v>2007</v>
      </c>
      <c r="O4222" s="14">
        <v>0</v>
      </c>
      <c r="P4222" s="14">
        <v>2366</v>
      </c>
      <c r="Q4222">
        <v>13324</v>
      </c>
      <c r="R4222">
        <v>2285</v>
      </c>
      <c r="S4222">
        <v>0</v>
      </c>
    </row>
    <row r="4223" spans="11:19" x14ac:dyDescent="0.3">
      <c r="K4223" s="16">
        <f t="shared" si="65"/>
        <v>44191</v>
      </c>
      <c r="L4223" s="17">
        <v>0.875</v>
      </c>
      <c r="M4223" s="14">
        <v>359</v>
      </c>
      <c r="N4223" s="14">
        <v>1474</v>
      </c>
      <c r="O4223" s="14">
        <v>0</v>
      </c>
      <c r="P4223" s="14">
        <v>1833</v>
      </c>
      <c r="Q4223">
        <v>12642</v>
      </c>
      <c r="R4223">
        <v>2439</v>
      </c>
      <c r="S4223">
        <v>0</v>
      </c>
    </row>
    <row r="4224" spans="11:19" x14ac:dyDescent="0.3">
      <c r="K4224" s="16">
        <f t="shared" si="65"/>
        <v>44191</v>
      </c>
      <c r="L4224" s="17">
        <v>0.91666666666666663</v>
      </c>
      <c r="M4224" s="14">
        <v>359</v>
      </c>
      <c r="N4224" s="14">
        <v>0</v>
      </c>
      <c r="O4224" s="14">
        <v>0</v>
      </c>
      <c r="P4224" s="14">
        <v>359</v>
      </c>
      <c r="Q4224">
        <v>12902</v>
      </c>
      <c r="R4224">
        <v>2510</v>
      </c>
      <c r="S4224">
        <v>0</v>
      </c>
    </row>
    <row r="4225" spans="11:19" x14ac:dyDescent="0.3">
      <c r="K4225" s="16">
        <f t="shared" si="65"/>
        <v>44191</v>
      </c>
      <c r="L4225" s="17">
        <v>0.95833333333333337</v>
      </c>
      <c r="M4225" s="14">
        <v>359</v>
      </c>
      <c r="N4225" s="14">
        <v>0</v>
      </c>
      <c r="O4225" s="14">
        <v>0</v>
      </c>
      <c r="P4225" s="14">
        <v>359</v>
      </c>
      <c r="Q4225">
        <v>13148</v>
      </c>
      <c r="R4225">
        <v>2492</v>
      </c>
      <c r="S4225">
        <v>0</v>
      </c>
    </row>
    <row r="4226" spans="11:19" x14ac:dyDescent="0.3">
      <c r="K4226" s="16">
        <f t="shared" si="65"/>
        <v>44192</v>
      </c>
      <c r="L4226" s="17">
        <v>0</v>
      </c>
      <c r="M4226" s="14">
        <v>359</v>
      </c>
      <c r="N4226" s="14">
        <v>815</v>
      </c>
      <c r="O4226" s="14">
        <v>0</v>
      </c>
      <c r="P4226" s="14">
        <v>1174</v>
      </c>
      <c r="Q4226">
        <v>12625</v>
      </c>
      <c r="R4226">
        <v>2634</v>
      </c>
      <c r="S4226">
        <v>0</v>
      </c>
    </row>
    <row r="4227" spans="11:19" x14ac:dyDescent="0.3">
      <c r="K4227" s="16">
        <f t="shared" si="65"/>
        <v>44192</v>
      </c>
      <c r="L4227" s="17">
        <v>4.1666666666666664E-2</v>
      </c>
      <c r="M4227" s="14">
        <v>359</v>
      </c>
      <c r="N4227" s="14">
        <v>0</v>
      </c>
      <c r="O4227" s="14">
        <v>0</v>
      </c>
      <c r="P4227" s="14">
        <v>359</v>
      </c>
      <c r="Q4227">
        <v>12415</v>
      </c>
      <c r="R4227">
        <v>2977</v>
      </c>
      <c r="S4227">
        <v>0</v>
      </c>
    </row>
    <row r="4228" spans="11:19" x14ac:dyDescent="0.3">
      <c r="K4228" s="16">
        <f t="shared" si="65"/>
        <v>44192</v>
      </c>
      <c r="L4228" s="17">
        <v>8.3333333333333329E-2</v>
      </c>
      <c r="M4228" s="14">
        <v>359</v>
      </c>
      <c r="N4228" s="14">
        <v>0</v>
      </c>
      <c r="O4228" s="14">
        <v>0</v>
      </c>
      <c r="P4228" s="14">
        <v>359</v>
      </c>
      <c r="Q4228">
        <v>12049</v>
      </c>
      <c r="R4228">
        <v>3329</v>
      </c>
      <c r="S4228">
        <v>0</v>
      </c>
    </row>
    <row r="4229" spans="11:19" x14ac:dyDescent="0.3">
      <c r="K4229" s="16">
        <f t="shared" si="65"/>
        <v>44192</v>
      </c>
      <c r="L4229" s="17">
        <v>0.125</v>
      </c>
      <c r="M4229" s="14">
        <v>359</v>
      </c>
      <c r="N4229" s="14">
        <v>0</v>
      </c>
      <c r="O4229" s="14">
        <v>0</v>
      </c>
      <c r="P4229" s="14">
        <v>359</v>
      </c>
      <c r="Q4229">
        <v>11374</v>
      </c>
      <c r="R4229">
        <v>3376</v>
      </c>
      <c r="S4229">
        <v>0</v>
      </c>
    </row>
    <row r="4230" spans="11:19" x14ac:dyDescent="0.3">
      <c r="K4230" s="16">
        <f t="shared" si="65"/>
        <v>44192</v>
      </c>
      <c r="L4230" s="17">
        <v>0.16666666666666666</v>
      </c>
      <c r="M4230" s="14">
        <v>359</v>
      </c>
      <c r="N4230" s="14">
        <v>0</v>
      </c>
      <c r="O4230" s="14">
        <v>0</v>
      </c>
      <c r="P4230" s="14">
        <v>359</v>
      </c>
      <c r="Q4230">
        <v>10934</v>
      </c>
      <c r="R4230">
        <v>3527</v>
      </c>
      <c r="S4230">
        <v>0</v>
      </c>
    </row>
    <row r="4231" spans="11:19" x14ac:dyDescent="0.3">
      <c r="K4231" s="16">
        <f t="shared" si="65"/>
        <v>44192</v>
      </c>
      <c r="L4231" s="17">
        <v>0.20833333333333334</v>
      </c>
      <c r="M4231" s="14">
        <v>359</v>
      </c>
      <c r="N4231" s="14">
        <v>0</v>
      </c>
      <c r="O4231" s="14">
        <v>0</v>
      </c>
      <c r="P4231" s="14">
        <v>359</v>
      </c>
      <c r="Q4231">
        <v>10830</v>
      </c>
      <c r="R4231">
        <v>3641</v>
      </c>
      <c r="S4231">
        <v>0</v>
      </c>
    </row>
    <row r="4232" spans="11:19" x14ac:dyDescent="0.3">
      <c r="K4232" s="16">
        <f t="shared" si="65"/>
        <v>44192</v>
      </c>
      <c r="L4232" s="17">
        <v>0.25</v>
      </c>
      <c r="M4232" s="14">
        <v>359</v>
      </c>
      <c r="N4232" s="14">
        <v>0</v>
      </c>
      <c r="O4232" s="14">
        <v>0</v>
      </c>
      <c r="P4232" s="14">
        <v>359</v>
      </c>
      <c r="Q4232">
        <v>10812</v>
      </c>
      <c r="R4232">
        <v>3585</v>
      </c>
      <c r="S4232">
        <v>0</v>
      </c>
    </row>
    <row r="4233" spans="11:19" x14ac:dyDescent="0.3">
      <c r="K4233" s="16">
        <f t="shared" si="65"/>
        <v>44192</v>
      </c>
      <c r="L4233" s="17">
        <v>0.29166666666666669</v>
      </c>
      <c r="M4233" s="14">
        <v>359</v>
      </c>
      <c r="N4233" s="14">
        <v>0</v>
      </c>
      <c r="O4233" s="14">
        <v>0</v>
      </c>
      <c r="P4233" s="14">
        <v>359</v>
      </c>
      <c r="Q4233">
        <v>10758</v>
      </c>
      <c r="R4233">
        <v>3529</v>
      </c>
      <c r="S4233">
        <v>0</v>
      </c>
    </row>
    <row r="4234" spans="11:19" x14ac:dyDescent="0.3">
      <c r="K4234" s="16">
        <f t="shared" si="65"/>
        <v>44192</v>
      </c>
      <c r="L4234" s="17">
        <v>0.33333333333333331</v>
      </c>
      <c r="M4234" s="14">
        <v>359</v>
      </c>
      <c r="N4234" s="14">
        <v>0</v>
      </c>
      <c r="O4234" s="14">
        <v>0</v>
      </c>
      <c r="P4234" s="14">
        <v>359</v>
      </c>
      <c r="Q4234">
        <v>10821</v>
      </c>
      <c r="R4234">
        <v>3507</v>
      </c>
      <c r="S4234">
        <v>14</v>
      </c>
    </row>
    <row r="4235" spans="11:19" x14ac:dyDescent="0.3">
      <c r="K4235" s="16">
        <f t="shared" si="65"/>
        <v>44192</v>
      </c>
      <c r="L4235" s="17">
        <v>0.375</v>
      </c>
      <c r="M4235" s="14">
        <v>359</v>
      </c>
      <c r="N4235" s="14">
        <v>0</v>
      </c>
      <c r="O4235" s="14">
        <v>0</v>
      </c>
      <c r="P4235" s="14">
        <v>359</v>
      </c>
      <c r="Q4235">
        <v>11049</v>
      </c>
      <c r="R4235">
        <v>3111</v>
      </c>
      <c r="S4235">
        <v>158</v>
      </c>
    </row>
    <row r="4236" spans="11:19" x14ac:dyDescent="0.3">
      <c r="K4236" s="16">
        <f t="shared" si="65"/>
        <v>44192</v>
      </c>
      <c r="L4236" s="17">
        <v>0.41666666666666669</v>
      </c>
      <c r="M4236" s="14">
        <v>359</v>
      </c>
      <c r="N4236" s="14">
        <v>0</v>
      </c>
      <c r="O4236" s="14">
        <v>0</v>
      </c>
      <c r="P4236" s="14">
        <v>359</v>
      </c>
      <c r="Q4236">
        <v>11346</v>
      </c>
      <c r="R4236">
        <v>2782</v>
      </c>
      <c r="S4236">
        <v>395</v>
      </c>
    </row>
    <row r="4237" spans="11:19" x14ac:dyDescent="0.3">
      <c r="K4237" s="16">
        <f t="shared" si="65"/>
        <v>44192</v>
      </c>
      <c r="L4237" s="17">
        <v>0.45833333333333331</v>
      </c>
      <c r="M4237" s="14">
        <v>359</v>
      </c>
      <c r="N4237" s="14">
        <v>0</v>
      </c>
      <c r="O4237" s="14">
        <v>0</v>
      </c>
      <c r="P4237" s="14">
        <v>359</v>
      </c>
      <c r="Q4237">
        <v>11524</v>
      </c>
      <c r="R4237">
        <v>2857</v>
      </c>
      <c r="S4237">
        <v>592</v>
      </c>
    </row>
    <row r="4238" spans="11:19" x14ac:dyDescent="0.3">
      <c r="K4238" s="16">
        <f t="shared" si="65"/>
        <v>44192</v>
      </c>
      <c r="L4238" s="17">
        <v>0.5</v>
      </c>
      <c r="M4238" s="14">
        <v>359</v>
      </c>
      <c r="N4238" s="14">
        <v>0</v>
      </c>
      <c r="O4238" s="14">
        <v>0</v>
      </c>
      <c r="P4238" s="14">
        <v>359</v>
      </c>
      <c r="Q4238">
        <v>11778</v>
      </c>
      <c r="R4238">
        <v>2744</v>
      </c>
      <c r="S4238">
        <v>702</v>
      </c>
    </row>
    <row r="4239" spans="11:19" x14ac:dyDescent="0.3">
      <c r="K4239" s="16">
        <f t="shared" si="65"/>
        <v>44192</v>
      </c>
      <c r="L4239" s="17">
        <v>0.54166666666666663</v>
      </c>
      <c r="M4239" s="14">
        <v>359</v>
      </c>
      <c r="N4239" s="14">
        <v>0</v>
      </c>
      <c r="O4239" s="14">
        <v>0</v>
      </c>
      <c r="P4239" s="14">
        <v>359</v>
      </c>
      <c r="Q4239">
        <v>11271</v>
      </c>
      <c r="R4239">
        <v>2747</v>
      </c>
      <c r="S4239">
        <v>722</v>
      </c>
    </row>
    <row r="4240" spans="11:19" x14ac:dyDescent="0.3">
      <c r="K4240" s="16">
        <f t="shared" si="65"/>
        <v>44192</v>
      </c>
      <c r="L4240" s="17">
        <v>0.58333333333333337</v>
      </c>
      <c r="M4240" s="14">
        <v>359</v>
      </c>
      <c r="N4240" s="14">
        <v>0</v>
      </c>
      <c r="O4240" s="14">
        <v>0</v>
      </c>
      <c r="P4240" s="14">
        <v>359</v>
      </c>
      <c r="Q4240">
        <v>10752</v>
      </c>
      <c r="R4240">
        <v>2824</v>
      </c>
      <c r="S4240">
        <v>573</v>
      </c>
    </row>
    <row r="4241" spans="11:19" x14ac:dyDescent="0.3">
      <c r="K4241" s="16">
        <f t="shared" si="65"/>
        <v>44192</v>
      </c>
      <c r="L4241" s="17">
        <v>0.625</v>
      </c>
      <c r="M4241" s="14">
        <v>359</v>
      </c>
      <c r="N4241" s="14">
        <v>0</v>
      </c>
      <c r="O4241" s="14">
        <v>0</v>
      </c>
      <c r="P4241" s="14">
        <v>359</v>
      </c>
      <c r="Q4241">
        <v>10477</v>
      </c>
      <c r="R4241">
        <v>2881</v>
      </c>
      <c r="S4241">
        <v>341</v>
      </c>
    </row>
    <row r="4242" spans="11:19" x14ac:dyDescent="0.3">
      <c r="K4242" s="16">
        <f t="shared" si="65"/>
        <v>44192</v>
      </c>
      <c r="L4242" s="17">
        <v>0.66666666666666663</v>
      </c>
      <c r="M4242" s="14">
        <v>359</v>
      </c>
      <c r="N4242" s="14">
        <v>0</v>
      </c>
      <c r="O4242" s="14">
        <v>0</v>
      </c>
      <c r="P4242" s="14">
        <v>359</v>
      </c>
      <c r="Q4242">
        <v>10454</v>
      </c>
      <c r="R4242">
        <v>3169</v>
      </c>
      <c r="S4242">
        <v>73</v>
      </c>
    </row>
    <row r="4243" spans="11:19" x14ac:dyDescent="0.3">
      <c r="K4243" s="16">
        <f t="shared" si="65"/>
        <v>44192</v>
      </c>
      <c r="L4243" s="17">
        <v>0.70833333333333337</v>
      </c>
      <c r="M4243" s="14">
        <v>359</v>
      </c>
      <c r="N4243" s="14">
        <v>0</v>
      </c>
      <c r="O4243" s="14">
        <v>0</v>
      </c>
      <c r="P4243" s="14">
        <v>359</v>
      </c>
      <c r="Q4243">
        <v>11087</v>
      </c>
      <c r="R4243">
        <v>3104</v>
      </c>
      <c r="S4243">
        <v>1</v>
      </c>
    </row>
    <row r="4244" spans="11:19" x14ac:dyDescent="0.3">
      <c r="K4244" s="16">
        <f t="shared" si="65"/>
        <v>44192</v>
      </c>
      <c r="L4244" s="17">
        <v>0.75</v>
      </c>
      <c r="M4244" s="14">
        <v>359</v>
      </c>
      <c r="N4244" s="14">
        <v>0</v>
      </c>
      <c r="O4244" s="14">
        <v>0</v>
      </c>
      <c r="P4244" s="14">
        <v>359</v>
      </c>
      <c r="Q4244">
        <v>11474</v>
      </c>
      <c r="R4244">
        <v>2964</v>
      </c>
      <c r="S4244">
        <v>0</v>
      </c>
    </row>
    <row r="4245" spans="11:19" x14ac:dyDescent="0.3">
      <c r="K4245" s="16">
        <f t="shared" si="65"/>
        <v>44192</v>
      </c>
      <c r="L4245" s="17">
        <v>0.79166666666666663</v>
      </c>
      <c r="M4245" s="14">
        <v>359</v>
      </c>
      <c r="N4245" s="14">
        <v>0</v>
      </c>
      <c r="O4245" s="14">
        <v>0</v>
      </c>
      <c r="P4245" s="14">
        <v>359</v>
      </c>
      <c r="Q4245">
        <v>11459</v>
      </c>
      <c r="R4245">
        <v>3074</v>
      </c>
      <c r="S4245">
        <v>0</v>
      </c>
    </row>
    <row r="4246" spans="11:19" x14ac:dyDescent="0.3">
      <c r="K4246" s="16">
        <f t="shared" si="65"/>
        <v>44192</v>
      </c>
      <c r="L4246" s="17">
        <v>0.83333333333333337</v>
      </c>
      <c r="M4246" s="14">
        <v>359</v>
      </c>
      <c r="N4246" s="14">
        <v>0</v>
      </c>
      <c r="O4246" s="14">
        <v>0</v>
      </c>
      <c r="P4246" s="14">
        <v>359</v>
      </c>
      <c r="Q4246">
        <v>11200</v>
      </c>
      <c r="R4246">
        <v>2860</v>
      </c>
      <c r="S4246">
        <v>0</v>
      </c>
    </row>
    <row r="4247" spans="11:19" x14ac:dyDescent="0.3">
      <c r="K4247" s="16">
        <f t="shared" si="65"/>
        <v>44192</v>
      </c>
      <c r="L4247" s="17">
        <v>0.875</v>
      </c>
      <c r="M4247" s="14">
        <v>359</v>
      </c>
      <c r="N4247" s="14">
        <v>0</v>
      </c>
      <c r="O4247" s="14">
        <v>0</v>
      </c>
      <c r="P4247" s="14">
        <v>359</v>
      </c>
      <c r="Q4247">
        <v>10875</v>
      </c>
      <c r="R4247">
        <v>2762</v>
      </c>
      <c r="S4247">
        <v>0</v>
      </c>
    </row>
    <row r="4248" spans="11:19" x14ac:dyDescent="0.3">
      <c r="K4248" s="16">
        <f t="shared" si="65"/>
        <v>44192</v>
      </c>
      <c r="L4248" s="17">
        <v>0.91666666666666663</v>
      </c>
      <c r="M4248" s="14">
        <v>359</v>
      </c>
      <c r="N4248" s="14">
        <v>0</v>
      </c>
      <c r="O4248" s="14">
        <v>0</v>
      </c>
      <c r="P4248" s="14">
        <v>359</v>
      </c>
      <c r="Q4248">
        <v>11145</v>
      </c>
      <c r="R4248">
        <v>2673</v>
      </c>
      <c r="S4248">
        <v>0</v>
      </c>
    </row>
    <row r="4249" spans="11:19" x14ac:dyDescent="0.3">
      <c r="K4249" s="16">
        <f t="shared" si="65"/>
        <v>44192</v>
      </c>
      <c r="L4249" s="17">
        <v>0.95833333333333337</v>
      </c>
      <c r="M4249" s="14">
        <v>359</v>
      </c>
      <c r="N4249" s="14">
        <v>0</v>
      </c>
      <c r="O4249" s="14">
        <v>0</v>
      </c>
      <c r="P4249" s="14">
        <v>359</v>
      </c>
      <c r="Q4249">
        <v>11367</v>
      </c>
      <c r="R4249">
        <v>2655</v>
      </c>
      <c r="S4249">
        <v>0</v>
      </c>
    </row>
    <row r="4250" spans="11:19" x14ac:dyDescent="0.3">
      <c r="K4250" s="16">
        <f t="shared" si="65"/>
        <v>44193</v>
      </c>
      <c r="L4250" s="17">
        <v>0</v>
      </c>
      <c r="M4250" s="14">
        <v>359</v>
      </c>
      <c r="N4250" s="14">
        <v>0</v>
      </c>
      <c r="O4250" s="14">
        <v>0</v>
      </c>
      <c r="P4250" s="14">
        <v>359</v>
      </c>
      <c r="Q4250">
        <v>11399</v>
      </c>
      <c r="R4250">
        <v>3038</v>
      </c>
      <c r="S4250">
        <v>0</v>
      </c>
    </row>
    <row r="4251" spans="11:19" x14ac:dyDescent="0.3">
      <c r="K4251" s="16">
        <f t="shared" ref="K4251:K4314" si="66">K4227+1</f>
        <v>44193</v>
      </c>
      <c r="L4251" s="17">
        <v>4.1666666666666664E-2</v>
      </c>
      <c r="M4251" s="14">
        <v>359</v>
      </c>
      <c r="N4251" s="14">
        <v>0</v>
      </c>
      <c r="O4251" s="14">
        <v>0</v>
      </c>
      <c r="P4251" s="14">
        <v>359</v>
      </c>
      <c r="Q4251">
        <v>11168</v>
      </c>
      <c r="R4251">
        <v>3058</v>
      </c>
      <c r="S4251">
        <v>0</v>
      </c>
    </row>
    <row r="4252" spans="11:19" x14ac:dyDescent="0.3">
      <c r="K4252" s="16">
        <f t="shared" si="66"/>
        <v>44193</v>
      </c>
      <c r="L4252" s="17">
        <v>8.3333333333333329E-2</v>
      </c>
      <c r="M4252" s="14">
        <v>359</v>
      </c>
      <c r="N4252" s="14">
        <v>0</v>
      </c>
      <c r="O4252" s="14">
        <v>0</v>
      </c>
      <c r="P4252" s="14">
        <v>359</v>
      </c>
      <c r="Q4252">
        <v>10788</v>
      </c>
      <c r="R4252">
        <v>3257</v>
      </c>
      <c r="S4252">
        <v>0</v>
      </c>
    </row>
    <row r="4253" spans="11:19" x14ac:dyDescent="0.3">
      <c r="K4253" s="16">
        <f t="shared" si="66"/>
        <v>44193</v>
      </c>
      <c r="L4253" s="17">
        <v>0.125</v>
      </c>
      <c r="M4253" s="14">
        <v>359</v>
      </c>
      <c r="N4253" s="14">
        <v>0</v>
      </c>
      <c r="O4253" s="14">
        <v>0</v>
      </c>
      <c r="P4253" s="14">
        <v>359</v>
      </c>
      <c r="Q4253">
        <v>10124</v>
      </c>
      <c r="R4253">
        <v>3334</v>
      </c>
      <c r="S4253">
        <v>0</v>
      </c>
    </row>
    <row r="4254" spans="11:19" x14ac:dyDescent="0.3">
      <c r="K4254" s="16">
        <f t="shared" si="66"/>
        <v>44193</v>
      </c>
      <c r="L4254" s="17">
        <v>0.16666666666666666</v>
      </c>
      <c r="M4254" s="14">
        <v>359</v>
      </c>
      <c r="N4254" s="14">
        <v>0</v>
      </c>
      <c r="O4254" s="14">
        <v>-57</v>
      </c>
      <c r="P4254" s="14">
        <v>302</v>
      </c>
      <c r="Q4254">
        <v>9712</v>
      </c>
      <c r="R4254">
        <v>3809</v>
      </c>
      <c r="S4254">
        <v>0</v>
      </c>
    </row>
    <row r="4255" spans="11:19" x14ac:dyDescent="0.3">
      <c r="K4255" s="16">
        <f t="shared" si="66"/>
        <v>44193</v>
      </c>
      <c r="L4255" s="17">
        <v>0.20833333333333334</v>
      </c>
      <c r="M4255" s="14">
        <v>359</v>
      </c>
      <c r="N4255" s="14">
        <v>0</v>
      </c>
      <c r="O4255" s="14">
        <v>-149</v>
      </c>
      <c r="P4255" s="14">
        <v>210</v>
      </c>
      <c r="Q4255">
        <v>9628</v>
      </c>
      <c r="R4255">
        <v>3816</v>
      </c>
      <c r="S4255">
        <v>0</v>
      </c>
    </row>
    <row r="4256" spans="11:19" x14ac:dyDescent="0.3">
      <c r="K4256" s="16">
        <f t="shared" si="66"/>
        <v>44193</v>
      </c>
      <c r="L4256" s="17">
        <v>0.25</v>
      </c>
      <c r="M4256" s="14">
        <v>359</v>
      </c>
      <c r="N4256" s="14">
        <v>0</v>
      </c>
      <c r="O4256" s="14">
        <v>-32</v>
      </c>
      <c r="P4256" s="14">
        <v>327</v>
      </c>
      <c r="Q4256">
        <v>9677</v>
      </c>
      <c r="R4256">
        <v>3741</v>
      </c>
      <c r="S4256">
        <v>0</v>
      </c>
    </row>
    <row r="4257" spans="11:19" x14ac:dyDescent="0.3">
      <c r="K4257" s="16">
        <f t="shared" si="66"/>
        <v>44193</v>
      </c>
      <c r="L4257" s="17">
        <v>0.29166666666666669</v>
      </c>
      <c r="M4257" s="14">
        <v>359</v>
      </c>
      <c r="N4257" s="14">
        <v>0</v>
      </c>
      <c r="O4257" s="14">
        <v>0</v>
      </c>
      <c r="P4257" s="14">
        <v>359</v>
      </c>
      <c r="Q4257">
        <v>9707</v>
      </c>
      <c r="R4257">
        <v>3480</v>
      </c>
      <c r="S4257">
        <v>0</v>
      </c>
    </row>
    <row r="4258" spans="11:19" x14ac:dyDescent="0.3">
      <c r="K4258" s="16">
        <f t="shared" si="66"/>
        <v>44193</v>
      </c>
      <c r="L4258" s="17">
        <v>0.33333333333333331</v>
      </c>
      <c r="M4258" s="14">
        <v>359</v>
      </c>
      <c r="N4258" s="14">
        <v>0</v>
      </c>
      <c r="O4258" s="14">
        <v>0</v>
      </c>
      <c r="P4258" s="14">
        <v>359</v>
      </c>
      <c r="Q4258">
        <v>9888</v>
      </c>
      <c r="R4258">
        <v>3169</v>
      </c>
      <c r="S4258">
        <v>17</v>
      </c>
    </row>
    <row r="4259" spans="11:19" x14ac:dyDescent="0.3">
      <c r="K4259" s="16">
        <f t="shared" si="66"/>
        <v>44193</v>
      </c>
      <c r="L4259" s="17">
        <v>0.375</v>
      </c>
      <c r="M4259" s="14">
        <v>359</v>
      </c>
      <c r="N4259" s="14">
        <v>0</v>
      </c>
      <c r="O4259" s="14">
        <v>0</v>
      </c>
      <c r="P4259" s="14">
        <v>359</v>
      </c>
      <c r="Q4259">
        <v>10194</v>
      </c>
      <c r="R4259">
        <v>2710</v>
      </c>
      <c r="S4259">
        <v>162</v>
      </c>
    </row>
    <row r="4260" spans="11:19" x14ac:dyDescent="0.3">
      <c r="K4260" s="16">
        <f t="shared" si="66"/>
        <v>44193</v>
      </c>
      <c r="L4260" s="17">
        <v>0.41666666666666669</v>
      </c>
      <c r="M4260" s="14">
        <v>359</v>
      </c>
      <c r="N4260" s="14">
        <v>0</v>
      </c>
      <c r="O4260" s="14">
        <v>0</v>
      </c>
      <c r="P4260" s="14">
        <v>359</v>
      </c>
      <c r="Q4260">
        <v>10546</v>
      </c>
      <c r="R4260">
        <v>2520</v>
      </c>
      <c r="S4260">
        <v>417</v>
      </c>
    </row>
    <row r="4261" spans="11:19" x14ac:dyDescent="0.3">
      <c r="K4261" s="16">
        <f t="shared" si="66"/>
        <v>44193</v>
      </c>
      <c r="L4261" s="17">
        <v>0.45833333333333331</v>
      </c>
      <c r="M4261" s="14">
        <v>359</v>
      </c>
      <c r="N4261" s="14">
        <v>0</v>
      </c>
      <c r="O4261" s="14">
        <v>0</v>
      </c>
      <c r="P4261" s="14">
        <v>359</v>
      </c>
      <c r="Q4261">
        <v>10785</v>
      </c>
      <c r="R4261">
        <v>2301</v>
      </c>
      <c r="S4261">
        <v>588</v>
      </c>
    </row>
    <row r="4262" spans="11:19" x14ac:dyDescent="0.3">
      <c r="K4262" s="16">
        <f t="shared" si="66"/>
        <v>44193</v>
      </c>
      <c r="L4262" s="17">
        <v>0.5</v>
      </c>
      <c r="M4262" s="14">
        <v>359</v>
      </c>
      <c r="N4262" s="14">
        <v>0</v>
      </c>
      <c r="O4262" s="14">
        <v>0</v>
      </c>
      <c r="P4262" s="14">
        <v>359</v>
      </c>
      <c r="Q4262">
        <v>11103</v>
      </c>
      <c r="R4262">
        <v>2152</v>
      </c>
      <c r="S4262">
        <v>675</v>
      </c>
    </row>
    <row r="4263" spans="11:19" x14ac:dyDescent="0.3">
      <c r="K4263" s="16">
        <f t="shared" si="66"/>
        <v>44193</v>
      </c>
      <c r="L4263" s="17">
        <v>0.54166666666666663</v>
      </c>
      <c r="M4263" s="14">
        <v>359</v>
      </c>
      <c r="N4263" s="14">
        <v>0</v>
      </c>
      <c r="O4263" s="14">
        <v>0</v>
      </c>
      <c r="P4263" s="14">
        <v>359</v>
      </c>
      <c r="Q4263">
        <v>10614</v>
      </c>
      <c r="R4263">
        <v>2300</v>
      </c>
      <c r="S4263">
        <v>680</v>
      </c>
    </row>
    <row r="4264" spans="11:19" x14ac:dyDescent="0.3">
      <c r="K4264" s="16">
        <f t="shared" si="66"/>
        <v>44193</v>
      </c>
      <c r="L4264" s="17">
        <v>0.58333333333333337</v>
      </c>
      <c r="M4264" s="14">
        <v>359</v>
      </c>
      <c r="N4264" s="14">
        <v>0</v>
      </c>
      <c r="O4264" s="14">
        <v>0</v>
      </c>
      <c r="P4264" s="14">
        <v>359</v>
      </c>
      <c r="Q4264">
        <v>10107</v>
      </c>
      <c r="R4264">
        <v>2134</v>
      </c>
      <c r="S4264">
        <v>543</v>
      </c>
    </row>
    <row r="4265" spans="11:19" x14ac:dyDescent="0.3">
      <c r="K4265" s="16">
        <f t="shared" si="66"/>
        <v>44193</v>
      </c>
      <c r="L4265" s="17">
        <v>0.625</v>
      </c>
      <c r="M4265" s="14">
        <v>359</v>
      </c>
      <c r="N4265" s="14">
        <v>0</v>
      </c>
      <c r="O4265" s="14">
        <v>0</v>
      </c>
      <c r="P4265" s="14">
        <v>359</v>
      </c>
      <c r="Q4265">
        <v>9893</v>
      </c>
      <c r="R4265">
        <v>2199</v>
      </c>
      <c r="S4265">
        <v>324</v>
      </c>
    </row>
    <row r="4266" spans="11:19" x14ac:dyDescent="0.3">
      <c r="K4266" s="16">
        <f t="shared" si="66"/>
        <v>44193</v>
      </c>
      <c r="L4266" s="17">
        <v>0.66666666666666663</v>
      </c>
      <c r="M4266" s="14">
        <v>359</v>
      </c>
      <c r="N4266" s="14">
        <v>0</v>
      </c>
      <c r="O4266" s="14">
        <v>0</v>
      </c>
      <c r="P4266" s="14">
        <v>359</v>
      </c>
      <c r="Q4266">
        <v>9874</v>
      </c>
      <c r="R4266">
        <v>2240</v>
      </c>
      <c r="S4266">
        <v>80</v>
      </c>
    </row>
    <row r="4267" spans="11:19" x14ac:dyDescent="0.3">
      <c r="K4267" s="16">
        <f t="shared" si="66"/>
        <v>44193</v>
      </c>
      <c r="L4267" s="17">
        <v>0.70833333333333337</v>
      </c>
      <c r="M4267" s="14">
        <v>359</v>
      </c>
      <c r="N4267" s="14">
        <v>0</v>
      </c>
      <c r="O4267" s="14">
        <v>0</v>
      </c>
      <c r="P4267" s="14">
        <v>359</v>
      </c>
      <c r="Q4267">
        <v>10501</v>
      </c>
      <c r="R4267">
        <v>2298</v>
      </c>
      <c r="S4267">
        <v>2</v>
      </c>
    </row>
    <row r="4268" spans="11:19" x14ac:dyDescent="0.3">
      <c r="K4268" s="16">
        <f t="shared" si="66"/>
        <v>44193</v>
      </c>
      <c r="L4268" s="17">
        <v>0.75</v>
      </c>
      <c r="M4268" s="14">
        <v>359</v>
      </c>
      <c r="N4268" s="14">
        <v>0</v>
      </c>
      <c r="O4268" s="14">
        <v>0</v>
      </c>
      <c r="P4268" s="14">
        <v>359</v>
      </c>
      <c r="Q4268">
        <v>10844</v>
      </c>
      <c r="R4268">
        <v>2171</v>
      </c>
      <c r="S4268">
        <v>0</v>
      </c>
    </row>
    <row r="4269" spans="11:19" x14ac:dyDescent="0.3">
      <c r="K4269" s="16">
        <f t="shared" si="66"/>
        <v>44193</v>
      </c>
      <c r="L4269" s="17">
        <v>0.79166666666666663</v>
      </c>
      <c r="M4269" s="14">
        <v>359</v>
      </c>
      <c r="N4269" s="14">
        <v>0</v>
      </c>
      <c r="O4269" s="14">
        <v>0</v>
      </c>
      <c r="P4269" s="14">
        <v>359</v>
      </c>
      <c r="Q4269">
        <v>10672</v>
      </c>
      <c r="R4269">
        <v>2132</v>
      </c>
      <c r="S4269">
        <v>0</v>
      </c>
    </row>
    <row r="4270" spans="11:19" x14ac:dyDescent="0.3">
      <c r="K4270" s="16">
        <f t="shared" si="66"/>
        <v>44193</v>
      </c>
      <c r="L4270" s="17">
        <v>0.83333333333333337</v>
      </c>
      <c r="M4270" s="14">
        <v>359</v>
      </c>
      <c r="N4270" s="14">
        <v>0</v>
      </c>
      <c r="O4270" s="14">
        <v>0</v>
      </c>
      <c r="P4270" s="14">
        <v>359</v>
      </c>
      <c r="Q4270">
        <v>10485</v>
      </c>
      <c r="R4270">
        <v>2328</v>
      </c>
      <c r="S4270">
        <v>0</v>
      </c>
    </row>
    <row r="4271" spans="11:19" x14ac:dyDescent="0.3">
      <c r="K4271" s="16">
        <f t="shared" si="66"/>
        <v>44193</v>
      </c>
      <c r="L4271" s="17">
        <v>0.875</v>
      </c>
      <c r="M4271" s="14">
        <v>359</v>
      </c>
      <c r="N4271" s="14">
        <v>0</v>
      </c>
      <c r="O4271" s="14">
        <v>0</v>
      </c>
      <c r="P4271" s="14">
        <v>359</v>
      </c>
      <c r="Q4271">
        <v>10198</v>
      </c>
      <c r="R4271">
        <v>2086</v>
      </c>
      <c r="S4271">
        <v>0</v>
      </c>
    </row>
    <row r="4272" spans="11:19" x14ac:dyDescent="0.3">
      <c r="K4272" s="16">
        <f t="shared" si="66"/>
        <v>44193</v>
      </c>
      <c r="L4272" s="17">
        <v>0.91666666666666663</v>
      </c>
      <c r="M4272" s="14">
        <v>359</v>
      </c>
      <c r="N4272" s="14">
        <v>0</v>
      </c>
      <c r="O4272" s="14">
        <v>191</v>
      </c>
      <c r="P4272" s="14">
        <v>550</v>
      </c>
      <c r="Q4272">
        <v>10448</v>
      </c>
      <c r="R4272">
        <v>2105</v>
      </c>
      <c r="S4272">
        <v>0</v>
      </c>
    </row>
    <row r="4273" spans="11:19" x14ac:dyDescent="0.3">
      <c r="K4273" s="16">
        <f t="shared" si="66"/>
        <v>44193</v>
      </c>
      <c r="L4273" s="17">
        <v>0.95833333333333337</v>
      </c>
      <c r="M4273" s="14">
        <v>359</v>
      </c>
      <c r="N4273" s="14">
        <v>0</v>
      </c>
      <c r="O4273" s="14">
        <v>0</v>
      </c>
      <c r="P4273" s="14">
        <v>359</v>
      </c>
      <c r="Q4273">
        <v>10672</v>
      </c>
      <c r="R4273">
        <v>2114</v>
      </c>
      <c r="S4273">
        <v>0</v>
      </c>
    </row>
    <row r="4274" spans="11:19" x14ac:dyDescent="0.3">
      <c r="K4274" s="16">
        <f t="shared" si="66"/>
        <v>44194</v>
      </c>
      <c r="L4274" s="17">
        <v>0</v>
      </c>
      <c r="M4274" s="14">
        <v>359</v>
      </c>
      <c r="N4274" s="14">
        <v>0</v>
      </c>
      <c r="O4274" s="14">
        <v>0</v>
      </c>
      <c r="P4274" s="14">
        <v>359</v>
      </c>
      <c r="Q4274">
        <v>10454</v>
      </c>
      <c r="R4274">
        <v>2384</v>
      </c>
      <c r="S4274">
        <v>0</v>
      </c>
    </row>
    <row r="4275" spans="11:19" x14ac:dyDescent="0.3">
      <c r="K4275" s="16">
        <f t="shared" si="66"/>
        <v>44194</v>
      </c>
      <c r="L4275" s="17">
        <v>4.1666666666666664E-2</v>
      </c>
      <c r="M4275" s="14">
        <v>359</v>
      </c>
      <c r="N4275" s="14">
        <v>0</v>
      </c>
      <c r="O4275" s="14">
        <v>0</v>
      </c>
      <c r="P4275" s="14">
        <v>359</v>
      </c>
      <c r="Q4275">
        <v>10191</v>
      </c>
      <c r="R4275">
        <v>2264</v>
      </c>
      <c r="S4275">
        <v>0</v>
      </c>
    </row>
    <row r="4276" spans="11:19" x14ac:dyDescent="0.3">
      <c r="K4276" s="16">
        <f t="shared" si="66"/>
        <v>44194</v>
      </c>
      <c r="L4276" s="17">
        <v>8.3333333333333329E-2</v>
      </c>
      <c r="M4276" s="14">
        <v>359</v>
      </c>
      <c r="N4276" s="14">
        <v>0</v>
      </c>
      <c r="O4276" s="14">
        <v>0</v>
      </c>
      <c r="P4276" s="14">
        <v>359</v>
      </c>
      <c r="Q4276">
        <v>9909</v>
      </c>
      <c r="R4276">
        <v>2145</v>
      </c>
      <c r="S4276">
        <v>0</v>
      </c>
    </row>
    <row r="4277" spans="11:19" x14ac:dyDescent="0.3">
      <c r="K4277" s="16">
        <f t="shared" si="66"/>
        <v>44194</v>
      </c>
      <c r="L4277" s="17">
        <v>0.125</v>
      </c>
      <c r="M4277" s="14">
        <v>359</v>
      </c>
      <c r="N4277" s="14">
        <v>0</v>
      </c>
      <c r="O4277" s="14">
        <v>0</v>
      </c>
      <c r="P4277" s="14">
        <v>359</v>
      </c>
      <c r="Q4277">
        <v>9449</v>
      </c>
      <c r="R4277">
        <v>1890</v>
      </c>
      <c r="S4277">
        <v>0</v>
      </c>
    </row>
    <row r="4278" spans="11:19" x14ac:dyDescent="0.3">
      <c r="K4278" s="16">
        <f t="shared" si="66"/>
        <v>44194</v>
      </c>
      <c r="L4278" s="17">
        <v>0.16666666666666666</v>
      </c>
      <c r="M4278" s="14">
        <v>359</v>
      </c>
      <c r="N4278" s="14">
        <v>0</v>
      </c>
      <c r="O4278" s="14">
        <v>0</v>
      </c>
      <c r="P4278" s="14">
        <v>359</v>
      </c>
      <c r="Q4278">
        <v>9327</v>
      </c>
      <c r="R4278">
        <v>1799</v>
      </c>
      <c r="S4278">
        <v>0</v>
      </c>
    </row>
    <row r="4279" spans="11:19" x14ac:dyDescent="0.3">
      <c r="K4279" s="16">
        <f t="shared" si="66"/>
        <v>44194</v>
      </c>
      <c r="L4279" s="17">
        <v>0.20833333333333334</v>
      </c>
      <c r="M4279" s="14">
        <v>359</v>
      </c>
      <c r="N4279" s="14">
        <v>0</v>
      </c>
      <c r="O4279" s="14">
        <v>0</v>
      </c>
      <c r="P4279" s="14">
        <v>359</v>
      </c>
      <c r="Q4279">
        <v>9653</v>
      </c>
      <c r="R4279">
        <v>2113</v>
      </c>
      <c r="S4279">
        <v>0</v>
      </c>
    </row>
    <row r="4280" spans="11:19" x14ac:dyDescent="0.3">
      <c r="K4280" s="16">
        <f t="shared" si="66"/>
        <v>44194</v>
      </c>
      <c r="L4280" s="17">
        <v>0.25</v>
      </c>
      <c r="M4280" s="14">
        <v>359</v>
      </c>
      <c r="N4280" s="14">
        <v>0</v>
      </c>
      <c r="O4280" s="14">
        <v>0</v>
      </c>
      <c r="P4280" s="14">
        <v>359</v>
      </c>
      <c r="Q4280">
        <v>10301</v>
      </c>
      <c r="R4280">
        <v>2097</v>
      </c>
      <c r="S4280">
        <v>0</v>
      </c>
    </row>
    <row r="4281" spans="11:19" x14ac:dyDescent="0.3">
      <c r="K4281" s="16">
        <f t="shared" si="66"/>
        <v>44194</v>
      </c>
      <c r="L4281" s="17">
        <v>0.29166666666666669</v>
      </c>
      <c r="M4281" s="14">
        <v>359</v>
      </c>
      <c r="N4281" s="14">
        <v>282</v>
      </c>
      <c r="O4281" s="14">
        <v>0</v>
      </c>
      <c r="P4281" s="14">
        <v>641</v>
      </c>
      <c r="Q4281">
        <v>10903</v>
      </c>
      <c r="R4281">
        <v>1880</v>
      </c>
      <c r="S4281">
        <v>0</v>
      </c>
    </row>
    <row r="4282" spans="11:19" x14ac:dyDescent="0.3">
      <c r="K4282" s="16">
        <f t="shared" si="66"/>
        <v>44194</v>
      </c>
      <c r="L4282" s="17">
        <v>0.33333333333333331</v>
      </c>
      <c r="M4282" s="14">
        <v>359</v>
      </c>
      <c r="N4282" s="14">
        <v>0</v>
      </c>
      <c r="O4282" s="14">
        <v>0</v>
      </c>
      <c r="P4282" s="14">
        <v>359</v>
      </c>
      <c r="Q4282">
        <v>11368</v>
      </c>
      <c r="R4282">
        <v>1722</v>
      </c>
      <c r="S4282">
        <v>22</v>
      </c>
    </row>
    <row r="4283" spans="11:19" x14ac:dyDescent="0.3">
      <c r="K4283" s="16">
        <f t="shared" si="66"/>
        <v>44194</v>
      </c>
      <c r="L4283" s="17">
        <v>0.375</v>
      </c>
      <c r="M4283" s="14">
        <v>359</v>
      </c>
      <c r="N4283" s="14">
        <v>1300</v>
      </c>
      <c r="O4283" s="14">
        <v>0</v>
      </c>
      <c r="P4283" s="14">
        <v>1659</v>
      </c>
      <c r="Q4283">
        <v>11680</v>
      </c>
      <c r="R4283">
        <v>1439</v>
      </c>
      <c r="S4283">
        <v>184</v>
      </c>
    </row>
    <row r="4284" spans="11:19" x14ac:dyDescent="0.3">
      <c r="K4284" s="16">
        <f t="shared" si="66"/>
        <v>44194</v>
      </c>
      <c r="L4284" s="17">
        <v>0.41666666666666669</v>
      </c>
      <c r="M4284" s="14">
        <v>359</v>
      </c>
      <c r="N4284" s="14">
        <v>1134</v>
      </c>
      <c r="O4284" s="14">
        <v>0</v>
      </c>
      <c r="P4284" s="14">
        <v>1493</v>
      </c>
      <c r="Q4284">
        <v>11875</v>
      </c>
      <c r="R4284">
        <v>1453</v>
      </c>
      <c r="S4284">
        <v>525</v>
      </c>
    </row>
    <row r="4285" spans="11:19" x14ac:dyDescent="0.3">
      <c r="K4285" s="16">
        <f t="shared" si="66"/>
        <v>44194</v>
      </c>
      <c r="L4285" s="17">
        <v>0.45833333333333331</v>
      </c>
      <c r="M4285" s="14">
        <v>359</v>
      </c>
      <c r="N4285" s="14">
        <v>1018</v>
      </c>
      <c r="O4285" s="14">
        <v>0</v>
      </c>
      <c r="P4285" s="14">
        <v>1377</v>
      </c>
      <c r="Q4285">
        <v>12061</v>
      </c>
      <c r="R4285">
        <v>1487</v>
      </c>
      <c r="S4285">
        <v>792</v>
      </c>
    </row>
    <row r="4286" spans="11:19" x14ac:dyDescent="0.3">
      <c r="K4286" s="16">
        <f t="shared" si="66"/>
        <v>44194</v>
      </c>
      <c r="L4286" s="17">
        <v>0.5</v>
      </c>
      <c r="M4286" s="14">
        <v>359</v>
      </c>
      <c r="N4286" s="14">
        <v>1173</v>
      </c>
      <c r="O4286" s="14">
        <v>0</v>
      </c>
      <c r="P4286" s="14">
        <v>1532</v>
      </c>
      <c r="Q4286">
        <v>12271</v>
      </c>
      <c r="R4286">
        <v>1419</v>
      </c>
      <c r="S4286">
        <v>913</v>
      </c>
    </row>
    <row r="4287" spans="11:19" x14ac:dyDescent="0.3">
      <c r="K4287" s="16">
        <f t="shared" si="66"/>
        <v>44194</v>
      </c>
      <c r="L4287" s="17">
        <v>0.54166666666666663</v>
      </c>
      <c r="M4287" s="14">
        <v>359</v>
      </c>
      <c r="N4287" s="14">
        <v>739</v>
      </c>
      <c r="O4287" s="14">
        <v>0</v>
      </c>
      <c r="P4287" s="14">
        <v>1098</v>
      </c>
      <c r="Q4287">
        <v>11945</v>
      </c>
      <c r="R4287">
        <v>1536</v>
      </c>
      <c r="S4287">
        <v>905</v>
      </c>
    </row>
    <row r="4288" spans="11:19" x14ac:dyDescent="0.3">
      <c r="K4288" s="16">
        <f t="shared" si="66"/>
        <v>44194</v>
      </c>
      <c r="L4288" s="17">
        <v>0.58333333333333337</v>
      </c>
      <c r="M4288" s="14">
        <v>359</v>
      </c>
      <c r="N4288" s="14">
        <v>603</v>
      </c>
      <c r="O4288" s="14">
        <v>0</v>
      </c>
      <c r="P4288" s="14">
        <v>962</v>
      </c>
      <c r="Q4288">
        <v>11661</v>
      </c>
      <c r="R4288">
        <v>1557</v>
      </c>
      <c r="S4288">
        <v>734</v>
      </c>
    </row>
    <row r="4289" spans="11:19" x14ac:dyDescent="0.3">
      <c r="K4289" s="16">
        <f t="shared" si="66"/>
        <v>44194</v>
      </c>
      <c r="L4289" s="17">
        <v>0.625</v>
      </c>
      <c r="M4289" s="14">
        <v>359</v>
      </c>
      <c r="N4289" s="14">
        <v>584</v>
      </c>
      <c r="O4289" s="14">
        <v>0</v>
      </c>
      <c r="P4289" s="14">
        <v>943</v>
      </c>
      <c r="Q4289">
        <v>11415</v>
      </c>
      <c r="R4289">
        <v>1639</v>
      </c>
      <c r="S4289">
        <v>426</v>
      </c>
    </row>
    <row r="4290" spans="11:19" x14ac:dyDescent="0.3">
      <c r="K4290" s="16">
        <f t="shared" si="66"/>
        <v>44194</v>
      </c>
      <c r="L4290" s="17">
        <v>0.66666666666666663</v>
      </c>
      <c r="M4290" s="14">
        <v>359</v>
      </c>
      <c r="N4290" s="14">
        <v>1118</v>
      </c>
      <c r="O4290" s="14">
        <v>0</v>
      </c>
      <c r="P4290" s="14">
        <v>1477</v>
      </c>
      <c r="Q4290">
        <v>11379</v>
      </c>
      <c r="R4290">
        <v>1395</v>
      </c>
      <c r="S4290">
        <v>100</v>
      </c>
    </row>
    <row r="4291" spans="11:19" x14ac:dyDescent="0.3">
      <c r="K4291" s="16">
        <f t="shared" si="66"/>
        <v>44194</v>
      </c>
      <c r="L4291" s="17">
        <v>0.70833333333333337</v>
      </c>
      <c r="M4291" s="14">
        <v>359</v>
      </c>
      <c r="N4291" s="14">
        <v>0</v>
      </c>
      <c r="O4291" s="14">
        <v>0</v>
      </c>
      <c r="P4291" s="14">
        <v>359</v>
      </c>
      <c r="Q4291">
        <v>11993</v>
      </c>
      <c r="R4291">
        <v>1292</v>
      </c>
      <c r="S4291">
        <v>3</v>
      </c>
    </row>
    <row r="4292" spans="11:19" x14ac:dyDescent="0.3">
      <c r="K4292" s="16">
        <f t="shared" si="66"/>
        <v>44194</v>
      </c>
      <c r="L4292" s="17">
        <v>0.75</v>
      </c>
      <c r="M4292" s="14">
        <v>359</v>
      </c>
      <c r="N4292" s="14">
        <v>0</v>
      </c>
      <c r="O4292" s="14">
        <v>0</v>
      </c>
      <c r="P4292" s="14">
        <v>359</v>
      </c>
      <c r="Q4292">
        <v>12380</v>
      </c>
      <c r="R4292">
        <v>1135</v>
      </c>
      <c r="S4292">
        <v>0</v>
      </c>
    </row>
    <row r="4293" spans="11:19" x14ac:dyDescent="0.3">
      <c r="K4293" s="16">
        <f t="shared" si="66"/>
        <v>44194</v>
      </c>
      <c r="L4293" s="17">
        <v>0.79166666666666663</v>
      </c>
      <c r="M4293" s="14">
        <v>359</v>
      </c>
      <c r="N4293" s="14">
        <v>0</v>
      </c>
      <c r="O4293" s="14">
        <v>0</v>
      </c>
      <c r="P4293" s="14">
        <v>359</v>
      </c>
      <c r="Q4293">
        <v>12122</v>
      </c>
      <c r="R4293">
        <v>1080</v>
      </c>
      <c r="S4293">
        <v>0</v>
      </c>
    </row>
    <row r="4294" spans="11:19" x14ac:dyDescent="0.3">
      <c r="K4294" s="16">
        <f t="shared" si="66"/>
        <v>44194</v>
      </c>
      <c r="L4294" s="17">
        <v>0.83333333333333337</v>
      </c>
      <c r="M4294" s="14">
        <v>359</v>
      </c>
      <c r="N4294" s="14">
        <v>0</v>
      </c>
      <c r="O4294" s="14">
        <v>0</v>
      </c>
      <c r="P4294" s="14">
        <v>359</v>
      </c>
      <c r="Q4294">
        <v>11559</v>
      </c>
      <c r="R4294">
        <v>1043</v>
      </c>
      <c r="S4294">
        <v>0</v>
      </c>
    </row>
    <row r="4295" spans="11:19" x14ac:dyDescent="0.3">
      <c r="K4295" s="16">
        <f t="shared" si="66"/>
        <v>44194</v>
      </c>
      <c r="L4295" s="17">
        <v>0.875</v>
      </c>
      <c r="M4295" s="14">
        <v>359</v>
      </c>
      <c r="N4295" s="14">
        <v>1161</v>
      </c>
      <c r="O4295" s="14">
        <v>0</v>
      </c>
      <c r="P4295" s="14">
        <v>1520</v>
      </c>
      <c r="Q4295">
        <v>11059</v>
      </c>
      <c r="R4295">
        <v>1168</v>
      </c>
      <c r="S4295">
        <v>0</v>
      </c>
    </row>
    <row r="4296" spans="11:19" x14ac:dyDescent="0.3">
      <c r="K4296" s="16">
        <f t="shared" si="66"/>
        <v>44194</v>
      </c>
      <c r="L4296" s="17">
        <v>0.91666666666666663</v>
      </c>
      <c r="M4296" s="14">
        <v>359</v>
      </c>
      <c r="N4296" s="14">
        <v>1314</v>
      </c>
      <c r="O4296" s="14">
        <v>0</v>
      </c>
      <c r="P4296" s="14">
        <v>1673</v>
      </c>
      <c r="Q4296">
        <v>11308</v>
      </c>
      <c r="R4296">
        <v>1135</v>
      </c>
      <c r="S4296">
        <v>0</v>
      </c>
    </row>
    <row r="4297" spans="11:19" x14ac:dyDescent="0.3">
      <c r="K4297" s="16">
        <f t="shared" si="66"/>
        <v>44194</v>
      </c>
      <c r="L4297" s="17">
        <v>0.95833333333333337</v>
      </c>
      <c r="M4297" s="14">
        <v>359</v>
      </c>
      <c r="N4297" s="14">
        <v>0</v>
      </c>
      <c r="O4297" s="14">
        <v>0</v>
      </c>
      <c r="P4297" s="14">
        <v>359</v>
      </c>
      <c r="Q4297">
        <v>11437</v>
      </c>
      <c r="R4297">
        <v>1116</v>
      </c>
      <c r="S4297">
        <v>0</v>
      </c>
    </row>
    <row r="4298" spans="11:19" x14ac:dyDescent="0.3">
      <c r="K4298" s="16">
        <f t="shared" si="66"/>
        <v>44195</v>
      </c>
      <c r="L4298" s="17">
        <v>0</v>
      </c>
      <c r="M4298" s="14">
        <v>359</v>
      </c>
      <c r="N4298" s="14">
        <v>1070</v>
      </c>
      <c r="O4298" s="14">
        <v>0</v>
      </c>
      <c r="P4298" s="14">
        <v>1429</v>
      </c>
      <c r="Q4298">
        <v>11062</v>
      </c>
      <c r="R4298">
        <v>1244</v>
      </c>
      <c r="S4298">
        <v>0</v>
      </c>
    </row>
    <row r="4299" spans="11:19" x14ac:dyDescent="0.3">
      <c r="K4299" s="16">
        <f t="shared" si="66"/>
        <v>44195</v>
      </c>
      <c r="L4299" s="17">
        <v>4.1666666666666664E-2</v>
      </c>
      <c r="M4299" s="14">
        <v>359</v>
      </c>
      <c r="N4299" s="14">
        <v>614</v>
      </c>
      <c r="O4299" s="14">
        <v>0</v>
      </c>
      <c r="P4299" s="14">
        <v>973</v>
      </c>
      <c r="Q4299">
        <v>10756</v>
      </c>
      <c r="R4299">
        <v>1395</v>
      </c>
      <c r="S4299">
        <v>0</v>
      </c>
    </row>
    <row r="4300" spans="11:19" x14ac:dyDescent="0.3">
      <c r="K4300" s="16">
        <f t="shared" si="66"/>
        <v>44195</v>
      </c>
      <c r="L4300" s="17">
        <v>8.3333333333333329E-2</v>
      </c>
      <c r="M4300" s="14">
        <v>359</v>
      </c>
      <c r="N4300" s="14">
        <v>0</v>
      </c>
      <c r="O4300" s="14">
        <v>0</v>
      </c>
      <c r="P4300" s="14">
        <v>359</v>
      </c>
      <c r="Q4300">
        <v>10482</v>
      </c>
      <c r="R4300">
        <v>1344</v>
      </c>
      <c r="S4300">
        <v>0</v>
      </c>
    </row>
    <row r="4301" spans="11:19" x14ac:dyDescent="0.3">
      <c r="K4301" s="16">
        <f t="shared" si="66"/>
        <v>44195</v>
      </c>
      <c r="L4301" s="17">
        <v>0.125</v>
      </c>
      <c r="M4301" s="14">
        <v>359</v>
      </c>
      <c r="N4301" s="14">
        <v>84</v>
      </c>
      <c r="O4301" s="14">
        <v>0</v>
      </c>
      <c r="P4301" s="14">
        <v>443</v>
      </c>
      <c r="Q4301">
        <v>10050</v>
      </c>
      <c r="R4301">
        <v>1221</v>
      </c>
      <c r="S4301">
        <v>0</v>
      </c>
    </row>
    <row r="4302" spans="11:19" x14ac:dyDescent="0.3">
      <c r="K4302" s="16">
        <f t="shared" si="66"/>
        <v>44195</v>
      </c>
      <c r="L4302" s="17">
        <v>0.16666666666666666</v>
      </c>
      <c r="M4302" s="14">
        <v>359</v>
      </c>
      <c r="N4302" s="14">
        <v>0</v>
      </c>
      <c r="O4302" s="14">
        <v>0</v>
      </c>
      <c r="P4302" s="14">
        <v>359</v>
      </c>
      <c r="Q4302">
        <v>9929</v>
      </c>
      <c r="R4302">
        <v>1129</v>
      </c>
      <c r="S4302">
        <v>0</v>
      </c>
    </row>
    <row r="4303" spans="11:19" x14ac:dyDescent="0.3">
      <c r="K4303" s="16">
        <f t="shared" si="66"/>
        <v>44195</v>
      </c>
      <c r="L4303" s="17">
        <v>0.20833333333333334</v>
      </c>
      <c r="M4303" s="14">
        <v>359</v>
      </c>
      <c r="N4303" s="14">
        <v>409</v>
      </c>
      <c r="O4303" s="14">
        <v>0</v>
      </c>
      <c r="P4303" s="14">
        <v>768</v>
      </c>
      <c r="Q4303">
        <v>10268</v>
      </c>
      <c r="R4303">
        <v>1116</v>
      </c>
      <c r="S4303">
        <v>0</v>
      </c>
    </row>
    <row r="4304" spans="11:19" x14ac:dyDescent="0.3">
      <c r="K4304" s="16">
        <f t="shared" si="66"/>
        <v>44195</v>
      </c>
      <c r="L4304" s="17">
        <v>0.25</v>
      </c>
      <c r="M4304" s="14">
        <v>359</v>
      </c>
      <c r="N4304" s="14">
        <v>1025</v>
      </c>
      <c r="O4304" s="14">
        <v>0</v>
      </c>
      <c r="P4304" s="14">
        <v>1384</v>
      </c>
      <c r="Q4304">
        <v>10941</v>
      </c>
      <c r="R4304">
        <v>1166</v>
      </c>
      <c r="S4304">
        <v>0</v>
      </c>
    </row>
    <row r="4305" spans="11:19" x14ac:dyDescent="0.3">
      <c r="K4305" s="16">
        <f t="shared" si="66"/>
        <v>44195</v>
      </c>
      <c r="L4305" s="17">
        <v>0.29166666666666669</v>
      </c>
      <c r="M4305" s="14">
        <v>359</v>
      </c>
      <c r="N4305" s="14">
        <v>1695</v>
      </c>
      <c r="O4305" s="14">
        <v>0</v>
      </c>
      <c r="P4305" s="14">
        <v>2054</v>
      </c>
      <c r="Q4305">
        <v>11573</v>
      </c>
      <c r="R4305">
        <v>1115</v>
      </c>
      <c r="S4305">
        <v>0</v>
      </c>
    </row>
    <row r="4306" spans="11:19" x14ac:dyDescent="0.3">
      <c r="K4306" s="16">
        <f t="shared" si="66"/>
        <v>44195</v>
      </c>
      <c r="L4306" s="17">
        <v>0.33333333333333331</v>
      </c>
      <c r="M4306" s="14">
        <v>359</v>
      </c>
      <c r="N4306" s="14">
        <v>0</v>
      </c>
      <c r="O4306" s="14">
        <v>0</v>
      </c>
      <c r="P4306" s="14">
        <v>359</v>
      </c>
      <c r="Q4306">
        <v>12042</v>
      </c>
      <c r="R4306">
        <v>1023</v>
      </c>
      <c r="S4306">
        <v>18</v>
      </c>
    </row>
    <row r="4307" spans="11:19" x14ac:dyDescent="0.3">
      <c r="K4307" s="16">
        <f t="shared" si="66"/>
        <v>44195</v>
      </c>
      <c r="L4307" s="17">
        <v>0.375</v>
      </c>
      <c r="M4307" s="14">
        <v>359</v>
      </c>
      <c r="N4307" s="14">
        <v>1821</v>
      </c>
      <c r="O4307" s="14">
        <v>0</v>
      </c>
      <c r="P4307" s="14">
        <v>2180</v>
      </c>
      <c r="Q4307">
        <v>12348</v>
      </c>
      <c r="R4307">
        <v>927</v>
      </c>
      <c r="S4307">
        <v>201</v>
      </c>
    </row>
    <row r="4308" spans="11:19" x14ac:dyDescent="0.3">
      <c r="K4308" s="16">
        <f t="shared" si="66"/>
        <v>44195</v>
      </c>
      <c r="L4308" s="17">
        <v>0.41666666666666669</v>
      </c>
      <c r="M4308" s="14">
        <v>359</v>
      </c>
      <c r="N4308" s="14">
        <v>1821</v>
      </c>
      <c r="O4308" s="14">
        <v>0</v>
      </c>
      <c r="P4308" s="14">
        <v>2180</v>
      </c>
      <c r="Q4308">
        <v>12516</v>
      </c>
      <c r="R4308">
        <v>938</v>
      </c>
      <c r="S4308">
        <v>585</v>
      </c>
    </row>
    <row r="4309" spans="11:19" x14ac:dyDescent="0.3">
      <c r="K4309" s="16">
        <f t="shared" si="66"/>
        <v>44195</v>
      </c>
      <c r="L4309" s="17">
        <v>0.45833333333333331</v>
      </c>
      <c r="M4309" s="14">
        <v>359</v>
      </c>
      <c r="N4309" s="14">
        <v>1821</v>
      </c>
      <c r="O4309" s="14">
        <v>0</v>
      </c>
      <c r="P4309" s="14">
        <v>2180</v>
      </c>
      <c r="Q4309">
        <v>12663</v>
      </c>
      <c r="R4309">
        <v>878</v>
      </c>
      <c r="S4309">
        <v>856</v>
      </c>
    </row>
    <row r="4310" spans="11:19" x14ac:dyDescent="0.3">
      <c r="K4310" s="16">
        <f t="shared" si="66"/>
        <v>44195</v>
      </c>
      <c r="L4310" s="17">
        <v>0.5</v>
      </c>
      <c r="M4310" s="14">
        <v>359</v>
      </c>
      <c r="N4310" s="14">
        <v>1821</v>
      </c>
      <c r="O4310" s="14">
        <v>0</v>
      </c>
      <c r="P4310" s="14">
        <v>2180</v>
      </c>
      <c r="Q4310">
        <v>12796</v>
      </c>
      <c r="R4310">
        <v>908</v>
      </c>
      <c r="S4310">
        <v>992</v>
      </c>
    </row>
    <row r="4311" spans="11:19" x14ac:dyDescent="0.3">
      <c r="K4311" s="16">
        <f t="shared" si="66"/>
        <v>44195</v>
      </c>
      <c r="L4311" s="17">
        <v>0.54166666666666663</v>
      </c>
      <c r="M4311" s="14">
        <v>359</v>
      </c>
      <c r="N4311" s="14">
        <v>0</v>
      </c>
      <c r="O4311" s="14">
        <v>0</v>
      </c>
      <c r="P4311" s="14">
        <v>359</v>
      </c>
      <c r="Q4311">
        <v>12449</v>
      </c>
      <c r="R4311">
        <v>929</v>
      </c>
      <c r="S4311">
        <v>972</v>
      </c>
    </row>
    <row r="4312" spans="11:19" x14ac:dyDescent="0.3">
      <c r="K4312" s="16">
        <f t="shared" si="66"/>
        <v>44195</v>
      </c>
      <c r="L4312" s="17">
        <v>0.58333333333333337</v>
      </c>
      <c r="M4312" s="14">
        <v>359</v>
      </c>
      <c r="N4312" s="14">
        <v>1606</v>
      </c>
      <c r="O4312" s="14">
        <v>0</v>
      </c>
      <c r="P4312" s="14">
        <v>1965</v>
      </c>
      <c r="Q4312">
        <v>12122</v>
      </c>
      <c r="R4312">
        <v>966</v>
      </c>
      <c r="S4312">
        <v>777</v>
      </c>
    </row>
    <row r="4313" spans="11:19" x14ac:dyDescent="0.3">
      <c r="K4313" s="16">
        <f t="shared" si="66"/>
        <v>44195</v>
      </c>
      <c r="L4313" s="17">
        <v>0.625</v>
      </c>
      <c r="M4313" s="14">
        <v>359</v>
      </c>
      <c r="N4313" s="14">
        <v>0</v>
      </c>
      <c r="O4313" s="14">
        <v>0</v>
      </c>
      <c r="P4313" s="14">
        <v>359</v>
      </c>
      <c r="Q4313">
        <v>11912</v>
      </c>
      <c r="R4313">
        <v>900</v>
      </c>
      <c r="S4313">
        <v>472</v>
      </c>
    </row>
    <row r="4314" spans="11:19" x14ac:dyDescent="0.3">
      <c r="K4314" s="16">
        <f t="shared" si="66"/>
        <v>44195</v>
      </c>
      <c r="L4314" s="17">
        <v>0.66666666666666663</v>
      </c>
      <c r="M4314" s="14">
        <v>359</v>
      </c>
      <c r="N4314" s="14">
        <v>1821</v>
      </c>
      <c r="O4314" s="14">
        <v>0</v>
      </c>
      <c r="P4314" s="14">
        <v>2180</v>
      </c>
      <c r="Q4314">
        <v>11852</v>
      </c>
      <c r="R4314">
        <v>946</v>
      </c>
      <c r="S4314">
        <v>102</v>
      </c>
    </row>
    <row r="4315" spans="11:19" x14ac:dyDescent="0.3">
      <c r="K4315" s="16">
        <f t="shared" ref="K4315:K4378" si="67">K4291+1</f>
        <v>44195</v>
      </c>
      <c r="L4315" s="17">
        <v>0.70833333333333337</v>
      </c>
      <c r="M4315" s="14">
        <v>359</v>
      </c>
      <c r="N4315" s="14">
        <v>1821</v>
      </c>
      <c r="O4315" s="14">
        <v>0</v>
      </c>
      <c r="P4315" s="14">
        <v>2180</v>
      </c>
      <c r="Q4315">
        <v>12486</v>
      </c>
      <c r="R4315">
        <v>1032</v>
      </c>
      <c r="S4315">
        <v>3</v>
      </c>
    </row>
    <row r="4316" spans="11:19" x14ac:dyDescent="0.3">
      <c r="K4316" s="16">
        <f t="shared" si="67"/>
        <v>44195</v>
      </c>
      <c r="L4316" s="17">
        <v>0.75</v>
      </c>
      <c r="M4316" s="14">
        <v>359</v>
      </c>
      <c r="N4316" s="14">
        <v>1821</v>
      </c>
      <c r="O4316" s="14">
        <v>0</v>
      </c>
      <c r="P4316" s="14">
        <v>2180</v>
      </c>
      <c r="Q4316">
        <v>12837</v>
      </c>
      <c r="R4316">
        <v>1291</v>
      </c>
      <c r="S4316">
        <v>0</v>
      </c>
    </row>
    <row r="4317" spans="11:19" x14ac:dyDescent="0.3">
      <c r="K4317" s="16">
        <f t="shared" si="67"/>
        <v>44195</v>
      </c>
      <c r="L4317" s="17">
        <v>0.79166666666666663</v>
      </c>
      <c r="M4317" s="14">
        <v>359</v>
      </c>
      <c r="N4317" s="14">
        <v>0</v>
      </c>
      <c r="O4317" s="14">
        <v>0</v>
      </c>
      <c r="P4317" s="14">
        <v>359</v>
      </c>
      <c r="Q4317">
        <v>12688</v>
      </c>
      <c r="R4317">
        <v>1476</v>
      </c>
      <c r="S4317">
        <v>0</v>
      </c>
    </row>
    <row r="4318" spans="11:19" x14ac:dyDescent="0.3">
      <c r="K4318" s="16">
        <f t="shared" si="67"/>
        <v>44195</v>
      </c>
      <c r="L4318" s="17">
        <v>0.83333333333333337</v>
      </c>
      <c r="M4318" s="14">
        <v>359</v>
      </c>
      <c r="N4318" s="14">
        <v>0</v>
      </c>
      <c r="O4318" s="14">
        <v>0</v>
      </c>
      <c r="P4318" s="14">
        <v>359</v>
      </c>
      <c r="Q4318">
        <v>12071</v>
      </c>
      <c r="R4318">
        <v>1536</v>
      </c>
      <c r="S4318">
        <v>0</v>
      </c>
    </row>
    <row r="4319" spans="11:19" x14ac:dyDescent="0.3">
      <c r="K4319" s="16">
        <f t="shared" si="67"/>
        <v>44195</v>
      </c>
      <c r="L4319" s="17">
        <v>0.875</v>
      </c>
      <c r="M4319" s="14">
        <v>359</v>
      </c>
      <c r="N4319" s="14">
        <v>0</v>
      </c>
      <c r="O4319" s="14">
        <v>0</v>
      </c>
      <c r="P4319" s="14">
        <v>359</v>
      </c>
      <c r="Q4319">
        <v>11523</v>
      </c>
      <c r="R4319">
        <v>1579</v>
      </c>
      <c r="S4319">
        <v>0</v>
      </c>
    </row>
    <row r="4320" spans="11:19" x14ac:dyDescent="0.3">
      <c r="K4320" s="16">
        <f t="shared" si="67"/>
        <v>44195</v>
      </c>
      <c r="L4320" s="17">
        <v>0.91666666666666663</v>
      </c>
      <c r="M4320" s="14">
        <v>359</v>
      </c>
      <c r="N4320" s="14">
        <v>0</v>
      </c>
      <c r="O4320" s="14">
        <v>0</v>
      </c>
      <c r="P4320" s="14">
        <v>359</v>
      </c>
      <c r="Q4320">
        <v>11773</v>
      </c>
      <c r="R4320">
        <v>1559</v>
      </c>
      <c r="S4320">
        <v>0</v>
      </c>
    </row>
    <row r="4321" spans="11:19" x14ac:dyDescent="0.3">
      <c r="K4321" s="16">
        <f t="shared" si="67"/>
        <v>44195</v>
      </c>
      <c r="L4321" s="17">
        <v>0.95833333333333337</v>
      </c>
      <c r="M4321" s="14">
        <v>359</v>
      </c>
      <c r="N4321" s="14">
        <v>1683</v>
      </c>
      <c r="O4321" s="14">
        <v>0</v>
      </c>
      <c r="P4321" s="14">
        <v>2042</v>
      </c>
      <c r="Q4321">
        <v>11939</v>
      </c>
      <c r="R4321">
        <v>1507</v>
      </c>
      <c r="S4321">
        <v>0</v>
      </c>
    </row>
    <row r="4322" spans="11:19" x14ac:dyDescent="0.3">
      <c r="K4322" s="16">
        <f t="shared" si="67"/>
        <v>44196</v>
      </c>
      <c r="L4322" s="17">
        <v>0</v>
      </c>
      <c r="M4322" s="14">
        <v>359</v>
      </c>
      <c r="N4322" s="14">
        <v>0</v>
      </c>
      <c r="O4322" s="14">
        <v>0</v>
      </c>
      <c r="P4322" s="14">
        <v>359</v>
      </c>
      <c r="Q4322">
        <v>11477</v>
      </c>
      <c r="R4322">
        <v>1558</v>
      </c>
      <c r="S4322">
        <v>0</v>
      </c>
    </row>
    <row r="4323" spans="11:19" x14ac:dyDescent="0.3">
      <c r="K4323" s="16">
        <f t="shared" si="67"/>
        <v>44196</v>
      </c>
      <c r="L4323" s="17">
        <v>4.1666666666666664E-2</v>
      </c>
      <c r="M4323" s="14">
        <v>359</v>
      </c>
      <c r="N4323" s="14">
        <v>441</v>
      </c>
      <c r="O4323" s="14">
        <v>0</v>
      </c>
      <c r="P4323" s="14">
        <v>800</v>
      </c>
      <c r="Q4323">
        <v>11180</v>
      </c>
      <c r="R4323">
        <v>1991</v>
      </c>
      <c r="S4323">
        <v>0</v>
      </c>
    </row>
    <row r="4324" spans="11:19" x14ac:dyDescent="0.3">
      <c r="K4324" s="16">
        <f t="shared" si="67"/>
        <v>44196</v>
      </c>
      <c r="L4324" s="17">
        <v>8.3333333333333329E-2</v>
      </c>
      <c r="M4324" s="14">
        <v>359</v>
      </c>
      <c r="N4324" s="14">
        <v>147</v>
      </c>
      <c r="O4324" s="14">
        <v>0</v>
      </c>
      <c r="P4324" s="14">
        <v>506</v>
      </c>
      <c r="Q4324">
        <v>10907</v>
      </c>
      <c r="R4324">
        <v>2012</v>
      </c>
      <c r="S4324">
        <v>0</v>
      </c>
    </row>
    <row r="4325" spans="11:19" x14ac:dyDescent="0.3">
      <c r="K4325" s="16">
        <f t="shared" si="67"/>
        <v>44196</v>
      </c>
      <c r="L4325" s="17">
        <v>0.125</v>
      </c>
      <c r="M4325" s="14">
        <v>359</v>
      </c>
      <c r="N4325" s="14">
        <v>0</v>
      </c>
      <c r="O4325" s="14">
        <v>0</v>
      </c>
      <c r="P4325" s="14">
        <v>359</v>
      </c>
      <c r="Q4325">
        <v>10470</v>
      </c>
      <c r="R4325">
        <v>2108</v>
      </c>
      <c r="S4325">
        <v>0</v>
      </c>
    </row>
    <row r="4326" spans="11:19" x14ac:dyDescent="0.3">
      <c r="K4326" s="16">
        <f t="shared" si="67"/>
        <v>44196</v>
      </c>
      <c r="L4326" s="17">
        <v>0.16666666666666666</v>
      </c>
      <c r="M4326" s="14">
        <v>359</v>
      </c>
      <c r="N4326" s="14">
        <v>0</v>
      </c>
      <c r="O4326" s="14">
        <v>0</v>
      </c>
      <c r="P4326" s="14">
        <v>359</v>
      </c>
      <c r="Q4326">
        <v>10340</v>
      </c>
      <c r="R4326">
        <v>2174</v>
      </c>
      <c r="S4326">
        <v>0</v>
      </c>
    </row>
    <row r="4327" spans="11:19" x14ac:dyDescent="0.3">
      <c r="K4327" s="16">
        <f t="shared" si="67"/>
        <v>44196</v>
      </c>
      <c r="L4327" s="17">
        <v>0.20833333333333334</v>
      </c>
      <c r="M4327" s="14">
        <v>359</v>
      </c>
      <c r="N4327" s="14">
        <v>0</v>
      </c>
      <c r="O4327" s="14">
        <v>0</v>
      </c>
      <c r="P4327" s="14">
        <v>359</v>
      </c>
      <c r="Q4327">
        <v>10673</v>
      </c>
      <c r="R4327">
        <v>2042</v>
      </c>
      <c r="S4327">
        <v>0</v>
      </c>
    </row>
    <row r="4328" spans="11:19" x14ac:dyDescent="0.3">
      <c r="K4328" s="16">
        <f t="shared" si="67"/>
        <v>44196</v>
      </c>
      <c r="L4328" s="17">
        <v>0.25</v>
      </c>
      <c r="M4328" s="14">
        <v>359</v>
      </c>
      <c r="N4328" s="14">
        <v>0</v>
      </c>
      <c r="O4328" s="14">
        <v>0</v>
      </c>
      <c r="P4328" s="14">
        <v>359</v>
      </c>
      <c r="Q4328">
        <v>11328</v>
      </c>
      <c r="R4328">
        <v>2071</v>
      </c>
      <c r="S4328">
        <v>0</v>
      </c>
    </row>
    <row r="4329" spans="11:19" x14ac:dyDescent="0.3">
      <c r="K4329" s="16">
        <f t="shared" si="67"/>
        <v>44196</v>
      </c>
      <c r="L4329" s="17">
        <v>0.29166666666666669</v>
      </c>
      <c r="M4329" s="14">
        <v>359</v>
      </c>
      <c r="N4329" s="14">
        <v>1162</v>
      </c>
      <c r="O4329" s="14">
        <v>0</v>
      </c>
      <c r="P4329" s="14">
        <v>1521</v>
      </c>
      <c r="Q4329">
        <v>11931</v>
      </c>
      <c r="R4329">
        <v>2004</v>
      </c>
      <c r="S4329">
        <v>0</v>
      </c>
    </row>
    <row r="4330" spans="11:19" x14ac:dyDescent="0.3">
      <c r="K4330" s="16">
        <f t="shared" si="67"/>
        <v>44196</v>
      </c>
      <c r="L4330" s="17">
        <v>0.33333333333333331</v>
      </c>
      <c r="M4330" s="14">
        <v>359</v>
      </c>
      <c r="N4330" s="14">
        <v>1443</v>
      </c>
      <c r="O4330" s="14">
        <v>0</v>
      </c>
      <c r="P4330" s="14">
        <v>1802</v>
      </c>
      <c r="Q4330">
        <v>12339</v>
      </c>
      <c r="R4330">
        <v>2033</v>
      </c>
      <c r="S4330">
        <v>16</v>
      </c>
    </row>
    <row r="4331" spans="11:19" x14ac:dyDescent="0.3">
      <c r="K4331" s="16">
        <f t="shared" si="67"/>
        <v>44196</v>
      </c>
      <c r="L4331" s="17">
        <v>0.375</v>
      </c>
      <c r="M4331" s="14">
        <v>359</v>
      </c>
      <c r="N4331" s="14">
        <v>1443</v>
      </c>
      <c r="O4331" s="14">
        <v>0</v>
      </c>
      <c r="P4331" s="14">
        <v>1802</v>
      </c>
      <c r="Q4331">
        <v>12589</v>
      </c>
      <c r="R4331">
        <v>2030</v>
      </c>
      <c r="S4331">
        <v>181</v>
      </c>
    </row>
    <row r="4332" spans="11:19" x14ac:dyDescent="0.3">
      <c r="K4332" s="16">
        <f t="shared" si="67"/>
        <v>44196</v>
      </c>
      <c r="L4332" s="17">
        <v>0.41666666666666669</v>
      </c>
      <c r="M4332" s="14">
        <v>359</v>
      </c>
      <c r="N4332" s="14">
        <v>1443</v>
      </c>
      <c r="O4332" s="14">
        <v>0</v>
      </c>
      <c r="P4332" s="14">
        <v>1802</v>
      </c>
      <c r="Q4332">
        <v>12711</v>
      </c>
      <c r="R4332">
        <v>1942</v>
      </c>
      <c r="S4332">
        <v>544</v>
      </c>
    </row>
    <row r="4333" spans="11:19" x14ac:dyDescent="0.3">
      <c r="K4333" s="16">
        <f t="shared" si="67"/>
        <v>44196</v>
      </c>
      <c r="L4333" s="17">
        <v>0.45833333333333331</v>
      </c>
      <c r="M4333" s="14">
        <v>359</v>
      </c>
      <c r="N4333" s="14">
        <v>1341</v>
      </c>
      <c r="O4333" s="14">
        <v>0</v>
      </c>
      <c r="P4333" s="14">
        <v>1700</v>
      </c>
      <c r="Q4333">
        <v>12806</v>
      </c>
      <c r="R4333">
        <v>1853</v>
      </c>
      <c r="S4333">
        <v>840</v>
      </c>
    </row>
    <row r="4334" spans="11:19" x14ac:dyDescent="0.3">
      <c r="K4334" s="16">
        <f t="shared" si="67"/>
        <v>44196</v>
      </c>
      <c r="L4334" s="17">
        <v>0.5</v>
      </c>
      <c r="M4334" s="14">
        <v>359</v>
      </c>
      <c r="N4334" s="14">
        <v>0</v>
      </c>
      <c r="O4334" s="14">
        <v>0</v>
      </c>
      <c r="P4334" s="14">
        <v>359</v>
      </c>
      <c r="Q4334">
        <v>12889</v>
      </c>
      <c r="R4334">
        <v>1744</v>
      </c>
      <c r="S4334">
        <v>994</v>
      </c>
    </row>
    <row r="4335" spans="11:19" x14ac:dyDescent="0.3">
      <c r="K4335" s="16">
        <f t="shared" si="67"/>
        <v>44196</v>
      </c>
      <c r="L4335" s="17">
        <v>0.54166666666666663</v>
      </c>
      <c r="M4335" s="14">
        <v>359</v>
      </c>
      <c r="N4335" s="14">
        <v>996</v>
      </c>
      <c r="O4335" s="14">
        <v>0</v>
      </c>
      <c r="P4335" s="14">
        <v>1355</v>
      </c>
      <c r="Q4335">
        <v>12506</v>
      </c>
      <c r="R4335">
        <v>1774</v>
      </c>
      <c r="S4335">
        <v>962</v>
      </c>
    </row>
    <row r="4336" spans="11:19" x14ac:dyDescent="0.3">
      <c r="K4336" s="16">
        <f t="shared" si="67"/>
        <v>44196</v>
      </c>
      <c r="L4336" s="17">
        <v>0.58333333333333337</v>
      </c>
      <c r="M4336" s="14">
        <v>359</v>
      </c>
      <c r="N4336" s="14">
        <v>853</v>
      </c>
      <c r="O4336" s="14">
        <v>0</v>
      </c>
      <c r="P4336" s="14">
        <v>1212</v>
      </c>
      <c r="Q4336">
        <v>12166</v>
      </c>
      <c r="R4336">
        <v>1784</v>
      </c>
      <c r="S4336">
        <v>754</v>
      </c>
    </row>
    <row r="4337" spans="11:19" x14ac:dyDescent="0.3">
      <c r="K4337" s="16">
        <f t="shared" si="67"/>
        <v>44196</v>
      </c>
      <c r="L4337" s="17">
        <v>0.625</v>
      </c>
      <c r="M4337" s="14">
        <v>359</v>
      </c>
      <c r="N4337" s="14">
        <v>875</v>
      </c>
      <c r="O4337" s="14">
        <v>0</v>
      </c>
      <c r="P4337" s="14">
        <v>1234</v>
      </c>
      <c r="Q4337">
        <v>11926</v>
      </c>
      <c r="R4337">
        <v>1850</v>
      </c>
      <c r="S4337">
        <v>426</v>
      </c>
    </row>
    <row r="4338" spans="11:19" x14ac:dyDescent="0.3">
      <c r="K4338" s="16">
        <f t="shared" si="67"/>
        <v>44196</v>
      </c>
      <c r="L4338" s="17">
        <v>0.66666666666666663</v>
      </c>
      <c r="M4338" s="14">
        <v>359</v>
      </c>
      <c r="N4338" s="14">
        <v>0</v>
      </c>
      <c r="O4338" s="14">
        <v>0</v>
      </c>
      <c r="P4338" s="14">
        <v>359</v>
      </c>
      <c r="Q4338">
        <v>11824</v>
      </c>
      <c r="R4338">
        <v>2059</v>
      </c>
      <c r="S4338">
        <v>106</v>
      </c>
    </row>
    <row r="4339" spans="11:19" x14ac:dyDescent="0.3">
      <c r="K4339" s="16">
        <f t="shared" si="67"/>
        <v>44196</v>
      </c>
      <c r="L4339" s="17">
        <v>0.70833333333333337</v>
      </c>
      <c r="M4339" s="14">
        <v>359</v>
      </c>
      <c r="N4339" s="14">
        <v>0</v>
      </c>
      <c r="O4339" s="14">
        <v>0</v>
      </c>
      <c r="P4339" s="14">
        <v>359</v>
      </c>
      <c r="Q4339">
        <v>12398</v>
      </c>
      <c r="R4339">
        <v>2180</v>
      </c>
      <c r="S4339">
        <v>2</v>
      </c>
    </row>
    <row r="4340" spans="11:19" x14ac:dyDescent="0.3">
      <c r="K4340" s="16">
        <f t="shared" si="67"/>
        <v>44196</v>
      </c>
      <c r="L4340" s="17">
        <v>0.75</v>
      </c>
      <c r="M4340" s="14">
        <v>359</v>
      </c>
      <c r="N4340" s="14">
        <v>0</v>
      </c>
      <c r="O4340" s="14">
        <v>0</v>
      </c>
      <c r="P4340" s="14">
        <v>359</v>
      </c>
      <c r="Q4340">
        <v>12682</v>
      </c>
      <c r="R4340">
        <v>2291</v>
      </c>
      <c r="S4340">
        <v>0</v>
      </c>
    </row>
    <row r="4341" spans="11:19" x14ac:dyDescent="0.3">
      <c r="K4341" s="16">
        <f t="shared" si="67"/>
        <v>44196</v>
      </c>
      <c r="L4341" s="17">
        <v>0.79166666666666663</v>
      </c>
      <c r="M4341" s="14">
        <v>359</v>
      </c>
      <c r="N4341" s="14">
        <v>0</v>
      </c>
      <c r="O4341" s="14">
        <v>0</v>
      </c>
      <c r="P4341" s="14">
        <v>359</v>
      </c>
      <c r="Q4341">
        <v>12553</v>
      </c>
      <c r="R4341">
        <v>2297</v>
      </c>
      <c r="S4341">
        <v>0</v>
      </c>
    </row>
    <row r="4342" spans="11:19" x14ac:dyDescent="0.3">
      <c r="K4342" s="16">
        <f t="shared" si="67"/>
        <v>44196</v>
      </c>
      <c r="L4342" s="17">
        <v>0.83333333333333337</v>
      </c>
      <c r="M4342" s="14">
        <v>359</v>
      </c>
      <c r="N4342" s="14">
        <v>794</v>
      </c>
      <c r="O4342" s="14">
        <v>0</v>
      </c>
      <c r="P4342" s="14">
        <v>1153</v>
      </c>
      <c r="Q4342">
        <v>11900</v>
      </c>
      <c r="R4342">
        <v>2341</v>
      </c>
      <c r="S4342">
        <v>0</v>
      </c>
    </row>
    <row r="4343" spans="11:19" x14ac:dyDescent="0.3">
      <c r="K4343" s="16">
        <f t="shared" si="67"/>
        <v>44196</v>
      </c>
      <c r="L4343" s="17">
        <v>0.875</v>
      </c>
      <c r="M4343" s="14">
        <v>359</v>
      </c>
      <c r="N4343" s="14">
        <v>0</v>
      </c>
      <c r="O4343" s="14">
        <v>0</v>
      </c>
      <c r="P4343" s="14">
        <v>359</v>
      </c>
      <c r="Q4343">
        <v>11356</v>
      </c>
      <c r="R4343">
        <v>2314</v>
      </c>
      <c r="S4343">
        <v>0</v>
      </c>
    </row>
    <row r="4344" spans="11:19" x14ac:dyDescent="0.3">
      <c r="K4344" s="16">
        <f t="shared" si="67"/>
        <v>44196</v>
      </c>
      <c r="L4344" s="17">
        <v>0.91666666666666663</v>
      </c>
      <c r="M4344" s="14">
        <v>359</v>
      </c>
      <c r="N4344" s="14">
        <v>0</v>
      </c>
      <c r="O4344" s="14">
        <v>0</v>
      </c>
      <c r="P4344" s="14">
        <v>359</v>
      </c>
      <c r="Q4344">
        <v>11598</v>
      </c>
      <c r="R4344">
        <v>2169</v>
      </c>
      <c r="S4344">
        <v>0</v>
      </c>
    </row>
    <row r="4345" spans="11:19" x14ac:dyDescent="0.3">
      <c r="K4345" s="16">
        <f t="shared" si="67"/>
        <v>44196</v>
      </c>
      <c r="L4345" s="17">
        <v>0.95833333333333337</v>
      </c>
      <c r="M4345" s="14">
        <v>359</v>
      </c>
      <c r="N4345" s="14">
        <v>0</v>
      </c>
      <c r="O4345" s="14">
        <v>0</v>
      </c>
      <c r="P4345" s="14">
        <v>359</v>
      </c>
      <c r="Q4345">
        <v>11759</v>
      </c>
      <c r="R4345">
        <v>2234</v>
      </c>
      <c r="S4345">
        <v>0</v>
      </c>
    </row>
    <row r="4346" spans="11:19" x14ac:dyDescent="0.3">
      <c r="K4346" s="16">
        <f t="shared" si="67"/>
        <v>44197</v>
      </c>
      <c r="L4346" s="17">
        <v>0</v>
      </c>
      <c r="M4346" s="14">
        <v>359</v>
      </c>
      <c r="N4346" s="14">
        <v>0</v>
      </c>
      <c r="O4346" s="14">
        <v>0</v>
      </c>
      <c r="P4346" s="14">
        <v>359</v>
      </c>
      <c r="Q4346">
        <v>11075</v>
      </c>
      <c r="R4346">
        <v>2407</v>
      </c>
      <c r="S4346">
        <v>0</v>
      </c>
    </row>
    <row r="4347" spans="11:19" x14ac:dyDescent="0.3">
      <c r="K4347" s="16">
        <f t="shared" si="67"/>
        <v>44197</v>
      </c>
      <c r="L4347" s="17">
        <v>4.1666666666666664E-2</v>
      </c>
      <c r="M4347" s="14">
        <v>359</v>
      </c>
      <c r="N4347" s="14">
        <v>0</v>
      </c>
      <c r="O4347" s="14">
        <v>0</v>
      </c>
      <c r="P4347" s="14">
        <v>359</v>
      </c>
      <c r="Q4347">
        <v>10773</v>
      </c>
      <c r="R4347">
        <v>2308</v>
      </c>
      <c r="S4347">
        <v>0</v>
      </c>
    </row>
    <row r="4348" spans="11:19" x14ac:dyDescent="0.3">
      <c r="K4348" s="16">
        <f t="shared" si="67"/>
        <v>44197</v>
      </c>
      <c r="L4348" s="17">
        <v>8.3333333333333329E-2</v>
      </c>
      <c r="M4348" s="14">
        <v>359</v>
      </c>
      <c r="N4348" s="14">
        <v>0</v>
      </c>
      <c r="O4348" s="14">
        <v>0</v>
      </c>
      <c r="P4348" s="14">
        <v>359</v>
      </c>
      <c r="Q4348">
        <v>10431</v>
      </c>
      <c r="R4348">
        <v>2228</v>
      </c>
      <c r="S4348">
        <v>0</v>
      </c>
    </row>
    <row r="4349" spans="11:19" x14ac:dyDescent="0.3">
      <c r="K4349" s="16">
        <f t="shared" si="67"/>
        <v>44197</v>
      </c>
      <c r="L4349" s="17">
        <v>0.125</v>
      </c>
      <c r="M4349" s="14">
        <v>359</v>
      </c>
      <c r="N4349" s="14">
        <v>0</v>
      </c>
      <c r="O4349" s="14">
        <v>0</v>
      </c>
      <c r="P4349" s="14">
        <v>359</v>
      </c>
      <c r="Q4349">
        <v>9965</v>
      </c>
      <c r="R4349">
        <v>2188</v>
      </c>
      <c r="S4349">
        <v>0</v>
      </c>
    </row>
    <row r="4350" spans="11:19" x14ac:dyDescent="0.3">
      <c r="K4350" s="16">
        <f t="shared" si="67"/>
        <v>44197</v>
      </c>
      <c r="L4350" s="17">
        <v>0.16666666666666666</v>
      </c>
      <c r="M4350" s="14">
        <v>359</v>
      </c>
      <c r="N4350" s="14">
        <v>0</v>
      </c>
      <c r="O4350" s="14">
        <v>0</v>
      </c>
      <c r="P4350" s="14">
        <v>359</v>
      </c>
      <c r="Q4350">
        <v>9827</v>
      </c>
      <c r="R4350">
        <v>2416</v>
      </c>
      <c r="S4350">
        <v>0</v>
      </c>
    </row>
    <row r="4351" spans="11:19" x14ac:dyDescent="0.3">
      <c r="K4351" s="16">
        <f t="shared" si="67"/>
        <v>44197</v>
      </c>
      <c r="L4351" s="17">
        <v>0.20833333333333334</v>
      </c>
      <c r="M4351" s="14">
        <v>359</v>
      </c>
      <c r="N4351" s="14">
        <v>0</v>
      </c>
      <c r="O4351" s="14">
        <v>0</v>
      </c>
      <c r="P4351" s="14">
        <v>359</v>
      </c>
      <c r="Q4351">
        <v>10116</v>
      </c>
      <c r="R4351">
        <v>2244</v>
      </c>
      <c r="S4351">
        <v>0</v>
      </c>
    </row>
    <row r="4352" spans="11:19" x14ac:dyDescent="0.3">
      <c r="K4352" s="16">
        <f t="shared" si="67"/>
        <v>44197</v>
      </c>
      <c r="L4352" s="17">
        <v>0.25</v>
      </c>
      <c r="M4352" s="14">
        <v>359</v>
      </c>
      <c r="N4352" s="14">
        <v>0</v>
      </c>
      <c r="O4352" s="14">
        <v>0</v>
      </c>
      <c r="P4352" s="14">
        <v>359</v>
      </c>
      <c r="Q4352">
        <v>10708</v>
      </c>
      <c r="R4352">
        <v>2103</v>
      </c>
      <c r="S4352">
        <v>0</v>
      </c>
    </row>
    <row r="4353" spans="11:19" x14ac:dyDescent="0.3">
      <c r="K4353" s="16">
        <f t="shared" si="67"/>
        <v>44197</v>
      </c>
      <c r="L4353" s="17">
        <v>0.29166666666666669</v>
      </c>
      <c r="M4353" s="14">
        <v>359</v>
      </c>
      <c r="N4353" s="14">
        <v>479</v>
      </c>
      <c r="O4353" s="14">
        <v>0</v>
      </c>
      <c r="P4353" s="14">
        <v>838</v>
      </c>
      <c r="Q4353">
        <v>11195</v>
      </c>
      <c r="R4353">
        <v>1950</v>
      </c>
      <c r="S4353">
        <v>0</v>
      </c>
    </row>
    <row r="4354" spans="11:19" x14ac:dyDescent="0.3">
      <c r="K4354" s="16">
        <f t="shared" si="67"/>
        <v>44197</v>
      </c>
      <c r="L4354" s="17">
        <v>0.33333333333333331</v>
      </c>
      <c r="M4354" s="14">
        <v>359</v>
      </c>
      <c r="N4354" s="14">
        <v>956</v>
      </c>
      <c r="O4354" s="14">
        <v>0</v>
      </c>
      <c r="P4354" s="14">
        <v>1315</v>
      </c>
      <c r="Q4354">
        <v>11480</v>
      </c>
      <c r="R4354">
        <v>1736</v>
      </c>
      <c r="S4354">
        <v>15</v>
      </c>
    </row>
    <row r="4355" spans="11:19" x14ac:dyDescent="0.3">
      <c r="K4355" s="16">
        <f t="shared" si="67"/>
        <v>44197</v>
      </c>
      <c r="L4355" s="17">
        <v>0.375</v>
      </c>
      <c r="M4355" s="14">
        <v>359</v>
      </c>
      <c r="N4355" s="14">
        <v>1062</v>
      </c>
      <c r="O4355" s="14">
        <v>0</v>
      </c>
      <c r="P4355" s="14">
        <v>1421</v>
      </c>
      <c r="Q4355">
        <v>11712</v>
      </c>
      <c r="R4355">
        <v>1691</v>
      </c>
      <c r="S4355">
        <v>186</v>
      </c>
    </row>
    <row r="4356" spans="11:19" x14ac:dyDescent="0.3">
      <c r="K4356" s="16">
        <f t="shared" si="67"/>
        <v>44197</v>
      </c>
      <c r="L4356" s="17">
        <v>0.41666666666666669</v>
      </c>
      <c r="M4356" s="14">
        <v>359</v>
      </c>
      <c r="N4356" s="14">
        <v>0</v>
      </c>
      <c r="O4356" s="14">
        <v>0</v>
      </c>
      <c r="P4356" s="14">
        <v>359</v>
      </c>
      <c r="Q4356">
        <v>11842</v>
      </c>
      <c r="R4356">
        <v>1633</v>
      </c>
      <c r="S4356">
        <v>514</v>
      </c>
    </row>
    <row r="4357" spans="11:19" x14ac:dyDescent="0.3">
      <c r="K4357" s="16">
        <f t="shared" si="67"/>
        <v>44197</v>
      </c>
      <c r="L4357" s="17">
        <v>0.45833333333333331</v>
      </c>
      <c r="M4357" s="14">
        <v>359</v>
      </c>
      <c r="N4357" s="14">
        <v>1036</v>
      </c>
      <c r="O4357" s="14">
        <v>0</v>
      </c>
      <c r="P4357" s="14">
        <v>1395</v>
      </c>
      <c r="Q4357">
        <v>11977</v>
      </c>
      <c r="R4357">
        <v>1442</v>
      </c>
      <c r="S4357">
        <v>725</v>
      </c>
    </row>
    <row r="4358" spans="11:19" x14ac:dyDescent="0.3">
      <c r="K4358" s="16">
        <f t="shared" si="67"/>
        <v>44197</v>
      </c>
      <c r="L4358" s="17">
        <v>0.5</v>
      </c>
      <c r="M4358" s="14">
        <v>359</v>
      </c>
      <c r="N4358" s="14">
        <v>0</v>
      </c>
      <c r="O4358" s="14">
        <v>0</v>
      </c>
      <c r="P4358" s="14">
        <v>359</v>
      </c>
      <c r="Q4358">
        <v>12200</v>
      </c>
      <c r="R4358">
        <v>1494</v>
      </c>
      <c r="S4358">
        <v>840</v>
      </c>
    </row>
    <row r="4359" spans="11:19" x14ac:dyDescent="0.3">
      <c r="K4359" s="16">
        <f t="shared" si="67"/>
        <v>44197</v>
      </c>
      <c r="L4359" s="17">
        <v>0.54166666666666663</v>
      </c>
      <c r="M4359" s="14">
        <v>359</v>
      </c>
      <c r="N4359" s="14">
        <v>0</v>
      </c>
      <c r="O4359" s="14">
        <v>0</v>
      </c>
      <c r="P4359" s="14">
        <v>359</v>
      </c>
      <c r="Q4359">
        <v>11772</v>
      </c>
      <c r="R4359">
        <v>1579</v>
      </c>
      <c r="S4359">
        <v>840</v>
      </c>
    </row>
    <row r="4360" spans="11:19" x14ac:dyDescent="0.3">
      <c r="K4360" s="16">
        <f t="shared" si="67"/>
        <v>44197</v>
      </c>
      <c r="L4360" s="17">
        <v>0.58333333333333337</v>
      </c>
      <c r="M4360" s="14">
        <v>359</v>
      </c>
      <c r="N4360" s="14">
        <v>406</v>
      </c>
      <c r="O4360" s="14">
        <v>0</v>
      </c>
      <c r="P4360" s="14">
        <v>765</v>
      </c>
      <c r="Q4360">
        <v>11405</v>
      </c>
      <c r="R4360">
        <v>1541</v>
      </c>
      <c r="S4360">
        <v>682</v>
      </c>
    </row>
    <row r="4361" spans="11:19" x14ac:dyDescent="0.3">
      <c r="K4361" s="16">
        <f t="shared" si="67"/>
        <v>44197</v>
      </c>
      <c r="L4361" s="17">
        <v>0.625</v>
      </c>
      <c r="M4361" s="14">
        <v>359</v>
      </c>
      <c r="N4361" s="14">
        <v>610</v>
      </c>
      <c r="O4361" s="14">
        <v>0</v>
      </c>
      <c r="P4361" s="14">
        <v>969</v>
      </c>
      <c r="Q4361">
        <v>11147</v>
      </c>
      <c r="R4361">
        <v>1340</v>
      </c>
      <c r="S4361">
        <v>420</v>
      </c>
    </row>
    <row r="4362" spans="11:19" x14ac:dyDescent="0.3">
      <c r="K4362" s="16">
        <f t="shared" si="67"/>
        <v>44197</v>
      </c>
      <c r="L4362" s="17">
        <v>0.66666666666666663</v>
      </c>
      <c r="M4362" s="14">
        <v>359</v>
      </c>
      <c r="N4362" s="14">
        <v>1083</v>
      </c>
      <c r="O4362" s="14">
        <v>0</v>
      </c>
      <c r="P4362" s="14">
        <v>1442</v>
      </c>
      <c r="Q4362">
        <v>11069</v>
      </c>
      <c r="R4362">
        <v>1092</v>
      </c>
      <c r="S4362">
        <v>116</v>
      </c>
    </row>
    <row r="4363" spans="11:19" x14ac:dyDescent="0.3">
      <c r="K4363" s="16">
        <f t="shared" si="67"/>
        <v>44197</v>
      </c>
      <c r="L4363" s="17">
        <v>0.70833333333333337</v>
      </c>
      <c r="M4363" s="14">
        <v>359</v>
      </c>
      <c r="N4363" s="14">
        <v>1436</v>
      </c>
      <c r="O4363" s="14">
        <v>0</v>
      </c>
      <c r="P4363" s="14">
        <v>1795</v>
      </c>
      <c r="Q4363">
        <v>11600</v>
      </c>
      <c r="R4363">
        <v>868</v>
      </c>
      <c r="S4363">
        <v>3</v>
      </c>
    </row>
    <row r="4364" spans="11:19" x14ac:dyDescent="0.3">
      <c r="K4364" s="16">
        <f t="shared" si="67"/>
        <v>44197</v>
      </c>
      <c r="L4364" s="17">
        <v>0.75</v>
      </c>
      <c r="M4364" s="14">
        <v>359</v>
      </c>
      <c r="N4364" s="14">
        <v>0</v>
      </c>
      <c r="O4364" s="14">
        <v>0</v>
      </c>
      <c r="P4364" s="14">
        <v>359</v>
      </c>
      <c r="Q4364">
        <v>12071</v>
      </c>
      <c r="R4364">
        <v>680</v>
      </c>
      <c r="S4364">
        <v>0</v>
      </c>
    </row>
    <row r="4365" spans="11:19" x14ac:dyDescent="0.3">
      <c r="K4365" s="16">
        <f t="shared" si="67"/>
        <v>44197</v>
      </c>
      <c r="L4365" s="17">
        <v>0.79166666666666663</v>
      </c>
      <c r="M4365" s="14">
        <v>359</v>
      </c>
      <c r="N4365" s="14">
        <v>0</v>
      </c>
      <c r="O4365" s="14">
        <v>0</v>
      </c>
      <c r="P4365" s="14">
        <v>359</v>
      </c>
      <c r="Q4365">
        <v>12104</v>
      </c>
      <c r="R4365">
        <v>564</v>
      </c>
      <c r="S4365">
        <v>0</v>
      </c>
    </row>
    <row r="4366" spans="11:19" x14ac:dyDescent="0.3">
      <c r="K4366" s="16">
        <f t="shared" si="67"/>
        <v>44197</v>
      </c>
      <c r="L4366" s="17">
        <v>0.83333333333333337</v>
      </c>
      <c r="M4366" s="14">
        <v>359</v>
      </c>
      <c r="N4366" s="14">
        <v>1436</v>
      </c>
      <c r="O4366" s="14">
        <v>0</v>
      </c>
      <c r="P4366" s="14">
        <v>1795</v>
      </c>
      <c r="Q4366">
        <v>11584</v>
      </c>
      <c r="R4366">
        <v>463</v>
      </c>
      <c r="S4366">
        <v>0</v>
      </c>
    </row>
    <row r="4367" spans="11:19" x14ac:dyDescent="0.3">
      <c r="K4367" s="16">
        <f t="shared" si="67"/>
        <v>44197</v>
      </c>
      <c r="L4367" s="17">
        <v>0.875</v>
      </c>
      <c r="M4367" s="14">
        <v>359</v>
      </c>
      <c r="N4367" s="14">
        <v>1436</v>
      </c>
      <c r="O4367" s="14">
        <v>0</v>
      </c>
      <c r="P4367" s="14">
        <v>1795</v>
      </c>
      <c r="Q4367">
        <v>11104</v>
      </c>
      <c r="R4367">
        <v>430</v>
      </c>
      <c r="S4367">
        <v>0</v>
      </c>
    </row>
    <row r="4368" spans="11:19" x14ac:dyDescent="0.3">
      <c r="K4368" s="16">
        <f t="shared" si="67"/>
        <v>44197</v>
      </c>
      <c r="L4368" s="17">
        <v>0.91666666666666663</v>
      </c>
      <c r="M4368" s="14">
        <v>359</v>
      </c>
      <c r="N4368" s="14">
        <v>0</v>
      </c>
      <c r="O4368" s="14">
        <v>0</v>
      </c>
      <c r="P4368" s="14">
        <v>359</v>
      </c>
      <c r="Q4368">
        <v>11427</v>
      </c>
      <c r="R4368">
        <v>489</v>
      </c>
      <c r="S4368">
        <v>0</v>
      </c>
    </row>
    <row r="4369" spans="11:19" x14ac:dyDescent="0.3">
      <c r="K4369" s="16">
        <f t="shared" si="67"/>
        <v>44197</v>
      </c>
      <c r="L4369" s="17">
        <v>0.95833333333333337</v>
      </c>
      <c r="M4369" s="14">
        <v>359</v>
      </c>
      <c r="N4369" s="14">
        <v>1436</v>
      </c>
      <c r="O4369" s="14">
        <v>0</v>
      </c>
      <c r="P4369" s="14">
        <v>1795</v>
      </c>
      <c r="Q4369">
        <v>11609</v>
      </c>
      <c r="R4369">
        <v>630</v>
      </c>
      <c r="S4369">
        <v>0</v>
      </c>
    </row>
    <row r="4370" spans="11:19" x14ac:dyDescent="0.3">
      <c r="K4370" s="16">
        <f t="shared" si="67"/>
        <v>44198</v>
      </c>
      <c r="L4370" s="17">
        <v>0</v>
      </c>
      <c r="M4370" s="14">
        <v>359</v>
      </c>
      <c r="N4370" s="14">
        <v>1139</v>
      </c>
      <c r="O4370" s="14">
        <v>0</v>
      </c>
      <c r="P4370" s="14">
        <v>1498</v>
      </c>
      <c r="Q4370">
        <v>11044</v>
      </c>
      <c r="R4370">
        <v>541</v>
      </c>
      <c r="S4370">
        <v>0</v>
      </c>
    </row>
    <row r="4371" spans="11:19" x14ac:dyDescent="0.3">
      <c r="K4371" s="16">
        <f t="shared" si="67"/>
        <v>44198</v>
      </c>
      <c r="L4371" s="17">
        <v>4.1666666666666664E-2</v>
      </c>
      <c r="M4371" s="14">
        <v>359</v>
      </c>
      <c r="N4371" s="14">
        <v>1139</v>
      </c>
      <c r="O4371" s="14">
        <v>0</v>
      </c>
      <c r="P4371" s="14">
        <v>1498</v>
      </c>
      <c r="Q4371">
        <v>10803</v>
      </c>
      <c r="R4371">
        <v>534</v>
      </c>
      <c r="S4371">
        <v>0</v>
      </c>
    </row>
    <row r="4372" spans="11:19" x14ac:dyDescent="0.3">
      <c r="K4372" s="16">
        <f t="shared" si="67"/>
        <v>44198</v>
      </c>
      <c r="L4372" s="17">
        <v>8.3333333333333329E-2</v>
      </c>
      <c r="M4372" s="14">
        <v>359</v>
      </c>
      <c r="N4372" s="14">
        <v>1139</v>
      </c>
      <c r="O4372" s="14">
        <v>0</v>
      </c>
      <c r="P4372" s="14">
        <v>1498</v>
      </c>
      <c r="Q4372">
        <v>10515</v>
      </c>
      <c r="R4372">
        <v>619</v>
      </c>
      <c r="S4372">
        <v>0</v>
      </c>
    </row>
    <row r="4373" spans="11:19" x14ac:dyDescent="0.3">
      <c r="K4373" s="16">
        <f t="shared" si="67"/>
        <v>44198</v>
      </c>
      <c r="L4373" s="17">
        <v>0.125</v>
      </c>
      <c r="M4373" s="14">
        <v>359</v>
      </c>
      <c r="N4373" s="14">
        <v>600</v>
      </c>
      <c r="O4373" s="14">
        <v>0</v>
      </c>
      <c r="P4373" s="14">
        <v>959</v>
      </c>
      <c r="Q4373">
        <v>10063</v>
      </c>
      <c r="R4373">
        <v>718</v>
      </c>
      <c r="S4373">
        <v>0</v>
      </c>
    </row>
    <row r="4374" spans="11:19" x14ac:dyDescent="0.3">
      <c r="K4374" s="16">
        <f t="shared" si="67"/>
        <v>44198</v>
      </c>
      <c r="L4374" s="17">
        <v>0.16666666666666666</v>
      </c>
      <c r="M4374" s="14">
        <v>359</v>
      </c>
      <c r="N4374" s="14">
        <v>263</v>
      </c>
      <c r="O4374" s="14">
        <v>0</v>
      </c>
      <c r="P4374" s="14">
        <v>622</v>
      </c>
      <c r="Q4374">
        <v>9926</v>
      </c>
      <c r="R4374">
        <v>923</v>
      </c>
      <c r="S4374">
        <v>0</v>
      </c>
    </row>
    <row r="4375" spans="11:19" x14ac:dyDescent="0.3">
      <c r="K4375" s="16">
        <f t="shared" si="67"/>
        <v>44198</v>
      </c>
      <c r="L4375" s="17">
        <v>0.20833333333333334</v>
      </c>
      <c r="M4375" s="14">
        <v>359</v>
      </c>
      <c r="N4375" s="14">
        <v>312</v>
      </c>
      <c r="O4375" s="14">
        <v>0</v>
      </c>
      <c r="P4375" s="14">
        <v>671</v>
      </c>
      <c r="Q4375">
        <v>10159</v>
      </c>
      <c r="R4375">
        <v>1109</v>
      </c>
      <c r="S4375">
        <v>0</v>
      </c>
    </row>
    <row r="4376" spans="11:19" x14ac:dyDescent="0.3">
      <c r="K4376" s="16">
        <f t="shared" si="67"/>
        <v>44198</v>
      </c>
      <c r="L4376" s="17">
        <v>0.25</v>
      </c>
      <c r="M4376" s="14">
        <v>359</v>
      </c>
      <c r="N4376" s="14">
        <v>568</v>
      </c>
      <c r="O4376" s="14">
        <v>0</v>
      </c>
      <c r="P4376" s="14">
        <v>927</v>
      </c>
      <c r="Q4376">
        <v>10611</v>
      </c>
      <c r="R4376">
        <v>1301</v>
      </c>
      <c r="S4376">
        <v>0</v>
      </c>
    </row>
    <row r="4377" spans="11:19" x14ac:dyDescent="0.3">
      <c r="K4377" s="16">
        <f t="shared" si="67"/>
        <v>44198</v>
      </c>
      <c r="L4377" s="17">
        <v>0.29166666666666669</v>
      </c>
      <c r="M4377" s="14">
        <v>359</v>
      </c>
      <c r="N4377" s="14">
        <v>875</v>
      </c>
      <c r="O4377" s="14">
        <v>0</v>
      </c>
      <c r="P4377" s="14">
        <v>1234</v>
      </c>
      <c r="Q4377">
        <v>11032</v>
      </c>
      <c r="R4377">
        <v>1410</v>
      </c>
      <c r="S4377">
        <v>0</v>
      </c>
    </row>
    <row r="4378" spans="11:19" x14ac:dyDescent="0.3">
      <c r="K4378" s="16">
        <f t="shared" si="67"/>
        <v>44198</v>
      </c>
      <c r="L4378" s="17">
        <v>0.33333333333333331</v>
      </c>
      <c r="M4378" s="14">
        <v>359</v>
      </c>
      <c r="N4378" s="14">
        <v>1139</v>
      </c>
      <c r="O4378" s="14">
        <v>0</v>
      </c>
      <c r="P4378" s="14">
        <v>1498</v>
      </c>
      <c r="Q4378">
        <v>11415</v>
      </c>
      <c r="R4378">
        <v>1483</v>
      </c>
      <c r="S4378">
        <v>14</v>
      </c>
    </row>
    <row r="4379" spans="11:19" x14ac:dyDescent="0.3">
      <c r="K4379" s="16">
        <f t="shared" ref="K4379:K4442" si="68">K4355+1</f>
        <v>44198</v>
      </c>
      <c r="L4379" s="17">
        <v>0.375</v>
      </c>
      <c r="M4379" s="14">
        <v>359</v>
      </c>
      <c r="N4379" s="14">
        <v>1115</v>
      </c>
      <c r="O4379" s="14">
        <v>0</v>
      </c>
      <c r="P4379" s="14">
        <v>1474</v>
      </c>
      <c r="Q4379">
        <v>11667</v>
      </c>
      <c r="R4379">
        <v>1596</v>
      </c>
      <c r="S4379">
        <v>193</v>
      </c>
    </row>
    <row r="4380" spans="11:19" x14ac:dyDescent="0.3">
      <c r="K4380" s="16">
        <f t="shared" si="68"/>
        <v>44198</v>
      </c>
      <c r="L4380" s="17">
        <v>0.41666666666666669</v>
      </c>
      <c r="M4380" s="14">
        <v>359</v>
      </c>
      <c r="N4380" s="14">
        <v>601</v>
      </c>
      <c r="O4380" s="14">
        <v>0</v>
      </c>
      <c r="P4380" s="14">
        <v>960</v>
      </c>
      <c r="Q4380">
        <v>11764</v>
      </c>
      <c r="R4380">
        <v>1813</v>
      </c>
      <c r="S4380">
        <v>581</v>
      </c>
    </row>
    <row r="4381" spans="11:19" x14ac:dyDescent="0.3">
      <c r="K4381" s="16">
        <f t="shared" si="68"/>
        <v>44198</v>
      </c>
      <c r="L4381" s="17">
        <v>0.45833333333333331</v>
      </c>
      <c r="M4381" s="14">
        <v>359</v>
      </c>
      <c r="N4381" s="14">
        <v>72</v>
      </c>
      <c r="O4381" s="14">
        <v>0</v>
      </c>
      <c r="P4381" s="14">
        <v>431</v>
      </c>
      <c r="Q4381">
        <v>11832</v>
      </c>
      <c r="R4381">
        <v>2114</v>
      </c>
      <c r="S4381">
        <v>876</v>
      </c>
    </row>
    <row r="4382" spans="11:19" x14ac:dyDescent="0.3">
      <c r="K4382" s="16">
        <f t="shared" si="68"/>
        <v>44198</v>
      </c>
      <c r="L4382" s="17">
        <v>0.5</v>
      </c>
      <c r="M4382" s="14">
        <v>359</v>
      </c>
      <c r="N4382" s="14">
        <v>0</v>
      </c>
      <c r="O4382" s="14">
        <v>0</v>
      </c>
      <c r="P4382" s="14">
        <v>359</v>
      </c>
      <c r="Q4382">
        <v>12073</v>
      </c>
      <c r="R4382">
        <v>2317</v>
      </c>
      <c r="S4382">
        <v>1036</v>
      </c>
    </row>
    <row r="4383" spans="11:19" x14ac:dyDescent="0.3">
      <c r="K4383" s="16">
        <f t="shared" si="68"/>
        <v>44198</v>
      </c>
      <c r="L4383" s="17">
        <v>0.54166666666666663</v>
      </c>
      <c r="M4383" s="14">
        <v>359</v>
      </c>
      <c r="N4383" s="14">
        <v>0</v>
      </c>
      <c r="O4383" s="14">
        <v>0</v>
      </c>
      <c r="P4383" s="14">
        <v>359</v>
      </c>
      <c r="Q4383">
        <v>11673</v>
      </c>
      <c r="R4383">
        <v>2476</v>
      </c>
      <c r="S4383">
        <v>1011</v>
      </c>
    </row>
    <row r="4384" spans="11:19" x14ac:dyDescent="0.3">
      <c r="K4384" s="16">
        <f t="shared" si="68"/>
        <v>44198</v>
      </c>
      <c r="L4384" s="17">
        <v>0.58333333333333337</v>
      </c>
      <c r="M4384" s="14">
        <v>359</v>
      </c>
      <c r="N4384" s="14">
        <v>0</v>
      </c>
      <c r="O4384" s="14">
        <v>0</v>
      </c>
      <c r="P4384" s="14">
        <v>359</v>
      </c>
      <c r="Q4384">
        <v>11317</v>
      </c>
      <c r="R4384">
        <v>2318</v>
      </c>
      <c r="S4384">
        <v>807</v>
      </c>
    </row>
    <row r="4385" spans="11:19" x14ac:dyDescent="0.3">
      <c r="K4385" s="16">
        <f t="shared" si="68"/>
        <v>44198</v>
      </c>
      <c r="L4385" s="17">
        <v>0.625</v>
      </c>
      <c r="M4385" s="14">
        <v>359</v>
      </c>
      <c r="N4385" s="14">
        <v>0</v>
      </c>
      <c r="O4385" s="14">
        <v>0</v>
      </c>
      <c r="P4385" s="14">
        <v>359</v>
      </c>
      <c r="Q4385">
        <v>11097</v>
      </c>
      <c r="R4385">
        <v>2496</v>
      </c>
      <c r="S4385">
        <v>463</v>
      </c>
    </row>
    <row r="4386" spans="11:19" x14ac:dyDescent="0.3">
      <c r="K4386" s="16">
        <f t="shared" si="68"/>
        <v>44198</v>
      </c>
      <c r="L4386" s="17">
        <v>0.66666666666666663</v>
      </c>
      <c r="M4386" s="14">
        <v>359</v>
      </c>
      <c r="N4386" s="14">
        <v>0</v>
      </c>
      <c r="O4386" s="14">
        <v>0</v>
      </c>
      <c r="P4386" s="14">
        <v>359</v>
      </c>
      <c r="Q4386">
        <v>11108</v>
      </c>
      <c r="R4386">
        <v>2942</v>
      </c>
      <c r="S4386">
        <v>130</v>
      </c>
    </row>
    <row r="4387" spans="11:19" x14ac:dyDescent="0.3">
      <c r="K4387" s="16">
        <f t="shared" si="68"/>
        <v>44198</v>
      </c>
      <c r="L4387" s="17">
        <v>0.70833333333333337</v>
      </c>
      <c r="M4387" s="14">
        <v>359</v>
      </c>
      <c r="N4387" s="14">
        <v>41</v>
      </c>
      <c r="O4387" s="14">
        <v>0</v>
      </c>
      <c r="P4387" s="14">
        <v>400</v>
      </c>
      <c r="Q4387">
        <v>11690</v>
      </c>
      <c r="R4387">
        <v>2873</v>
      </c>
      <c r="S4387">
        <v>7</v>
      </c>
    </row>
    <row r="4388" spans="11:19" x14ac:dyDescent="0.3">
      <c r="K4388" s="16">
        <f t="shared" si="68"/>
        <v>44198</v>
      </c>
      <c r="L4388" s="17">
        <v>0.75</v>
      </c>
      <c r="M4388" s="14">
        <v>359</v>
      </c>
      <c r="N4388" s="14">
        <v>134</v>
      </c>
      <c r="O4388" s="14">
        <v>0</v>
      </c>
      <c r="P4388" s="14">
        <v>493</v>
      </c>
      <c r="Q4388">
        <v>11862</v>
      </c>
      <c r="R4388">
        <v>2973</v>
      </c>
      <c r="S4388">
        <v>0</v>
      </c>
    </row>
    <row r="4389" spans="11:19" x14ac:dyDescent="0.3">
      <c r="K4389" s="16">
        <f t="shared" si="68"/>
        <v>44198</v>
      </c>
      <c r="L4389" s="17">
        <v>0.79166666666666663</v>
      </c>
      <c r="M4389" s="14">
        <v>359</v>
      </c>
      <c r="N4389" s="14">
        <v>0</v>
      </c>
      <c r="O4389" s="14">
        <v>0</v>
      </c>
      <c r="P4389" s="14">
        <v>359</v>
      </c>
      <c r="Q4389">
        <v>11687</v>
      </c>
      <c r="R4389">
        <v>2959</v>
      </c>
      <c r="S4389">
        <v>0</v>
      </c>
    </row>
    <row r="4390" spans="11:19" x14ac:dyDescent="0.3">
      <c r="K4390" s="16">
        <f t="shared" si="68"/>
        <v>44198</v>
      </c>
      <c r="L4390" s="17">
        <v>0.83333333333333337</v>
      </c>
      <c r="M4390" s="14">
        <v>359</v>
      </c>
      <c r="N4390" s="14">
        <v>0</v>
      </c>
      <c r="O4390" s="14">
        <v>0</v>
      </c>
      <c r="P4390" s="14">
        <v>359</v>
      </c>
      <c r="Q4390">
        <v>11092</v>
      </c>
      <c r="R4390">
        <v>3058</v>
      </c>
      <c r="S4390">
        <v>0</v>
      </c>
    </row>
    <row r="4391" spans="11:19" x14ac:dyDescent="0.3">
      <c r="K4391" s="16">
        <f t="shared" si="68"/>
        <v>44198</v>
      </c>
      <c r="L4391" s="17">
        <v>0.875</v>
      </c>
      <c r="M4391" s="14">
        <v>359</v>
      </c>
      <c r="N4391" s="14">
        <v>0</v>
      </c>
      <c r="O4391" s="14">
        <v>0</v>
      </c>
      <c r="P4391" s="14">
        <v>359</v>
      </c>
      <c r="Q4391">
        <v>10568</v>
      </c>
      <c r="R4391">
        <v>3166</v>
      </c>
      <c r="S4391">
        <v>0</v>
      </c>
    </row>
    <row r="4392" spans="11:19" x14ac:dyDescent="0.3">
      <c r="K4392" s="16">
        <f t="shared" si="68"/>
        <v>44198</v>
      </c>
      <c r="L4392" s="17">
        <v>0.91666666666666663</v>
      </c>
      <c r="M4392" s="14">
        <v>359</v>
      </c>
      <c r="N4392" s="14">
        <v>0</v>
      </c>
      <c r="O4392" s="14">
        <v>0</v>
      </c>
      <c r="P4392" s="14">
        <v>359</v>
      </c>
      <c r="Q4392">
        <v>10939</v>
      </c>
      <c r="R4392">
        <v>3238</v>
      </c>
      <c r="S4392">
        <v>0</v>
      </c>
    </row>
    <row r="4393" spans="11:19" x14ac:dyDescent="0.3">
      <c r="K4393" s="16">
        <f t="shared" si="68"/>
        <v>44198</v>
      </c>
      <c r="L4393" s="17">
        <v>0.95833333333333337</v>
      </c>
      <c r="M4393" s="14">
        <v>359</v>
      </c>
      <c r="N4393" s="14">
        <v>0</v>
      </c>
      <c r="O4393" s="14">
        <v>0</v>
      </c>
      <c r="P4393" s="14">
        <v>359</v>
      </c>
      <c r="Q4393">
        <v>11352</v>
      </c>
      <c r="R4393">
        <v>3039</v>
      </c>
      <c r="S4393">
        <v>0</v>
      </c>
    </row>
    <row r="4394" spans="11:19" x14ac:dyDescent="0.3">
      <c r="K4394" s="16">
        <f t="shared" si="68"/>
        <v>44199</v>
      </c>
      <c r="L4394" s="17">
        <v>0</v>
      </c>
      <c r="M4394" s="14">
        <v>359</v>
      </c>
      <c r="N4394" s="14">
        <v>519</v>
      </c>
      <c r="O4394" s="14">
        <v>0</v>
      </c>
      <c r="P4394" s="14">
        <v>878</v>
      </c>
      <c r="Q4394">
        <v>11060</v>
      </c>
      <c r="R4394">
        <v>2791</v>
      </c>
      <c r="S4394">
        <v>0</v>
      </c>
    </row>
    <row r="4395" spans="11:19" x14ac:dyDescent="0.3">
      <c r="K4395" s="16">
        <f t="shared" si="68"/>
        <v>44199</v>
      </c>
      <c r="L4395" s="17">
        <v>4.1666666666666664E-2</v>
      </c>
      <c r="M4395" s="14">
        <v>359</v>
      </c>
      <c r="N4395" s="14">
        <v>519</v>
      </c>
      <c r="O4395" s="14">
        <v>0</v>
      </c>
      <c r="P4395" s="14">
        <v>878</v>
      </c>
      <c r="Q4395">
        <v>10822</v>
      </c>
      <c r="R4395">
        <v>2872</v>
      </c>
      <c r="S4395">
        <v>0</v>
      </c>
    </row>
    <row r="4396" spans="11:19" x14ac:dyDescent="0.3">
      <c r="K4396" s="16">
        <f t="shared" si="68"/>
        <v>44199</v>
      </c>
      <c r="L4396" s="17">
        <v>8.3333333333333329E-2</v>
      </c>
      <c r="M4396" s="14">
        <v>359</v>
      </c>
      <c r="N4396" s="14">
        <v>0</v>
      </c>
      <c r="O4396" s="14">
        <v>0</v>
      </c>
      <c r="P4396" s="14">
        <v>359</v>
      </c>
      <c r="Q4396">
        <v>10444</v>
      </c>
      <c r="R4396">
        <v>2686</v>
      </c>
      <c r="S4396">
        <v>0</v>
      </c>
    </row>
    <row r="4397" spans="11:19" x14ac:dyDescent="0.3">
      <c r="K4397" s="16">
        <f t="shared" si="68"/>
        <v>44199</v>
      </c>
      <c r="L4397" s="17">
        <v>0.125</v>
      </c>
      <c r="M4397" s="14">
        <v>359</v>
      </c>
      <c r="N4397" s="14">
        <v>519</v>
      </c>
      <c r="O4397" s="14">
        <v>0</v>
      </c>
      <c r="P4397" s="14">
        <v>878</v>
      </c>
      <c r="Q4397">
        <v>9798</v>
      </c>
      <c r="R4397">
        <v>2635</v>
      </c>
      <c r="S4397">
        <v>0</v>
      </c>
    </row>
    <row r="4398" spans="11:19" x14ac:dyDescent="0.3">
      <c r="K4398" s="16">
        <f t="shared" si="68"/>
        <v>44199</v>
      </c>
      <c r="L4398" s="17">
        <v>0.16666666666666666</v>
      </c>
      <c r="M4398" s="14">
        <v>359</v>
      </c>
      <c r="N4398" s="14">
        <v>519</v>
      </c>
      <c r="O4398" s="14">
        <v>0</v>
      </c>
      <c r="P4398" s="14">
        <v>878</v>
      </c>
      <c r="Q4398">
        <v>9409</v>
      </c>
      <c r="R4398">
        <v>2705</v>
      </c>
      <c r="S4398">
        <v>0</v>
      </c>
    </row>
    <row r="4399" spans="11:19" x14ac:dyDescent="0.3">
      <c r="K4399" s="16">
        <f t="shared" si="68"/>
        <v>44199</v>
      </c>
      <c r="L4399" s="17">
        <v>0.20833333333333334</v>
      </c>
      <c r="M4399" s="14">
        <v>359</v>
      </c>
      <c r="N4399" s="14">
        <v>0</v>
      </c>
      <c r="O4399" s="14">
        <v>0</v>
      </c>
      <c r="P4399" s="14">
        <v>359</v>
      </c>
      <c r="Q4399">
        <v>9340</v>
      </c>
      <c r="R4399">
        <v>2955</v>
      </c>
      <c r="S4399">
        <v>0</v>
      </c>
    </row>
    <row r="4400" spans="11:19" x14ac:dyDescent="0.3">
      <c r="K4400" s="16">
        <f t="shared" si="68"/>
        <v>44199</v>
      </c>
      <c r="L4400" s="17">
        <v>0.25</v>
      </c>
      <c r="M4400" s="14">
        <v>359</v>
      </c>
      <c r="N4400" s="14">
        <v>0</v>
      </c>
      <c r="O4400" s="14">
        <v>0</v>
      </c>
      <c r="P4400" s="14">
        <v>359</v>
      </c>
      <c r="Q4400">
        <v>9402</v>
      </c>
      <c r="R4400">
        <v>2931</v>
      </c>
      <c r="S4400">
        <v>0</v>
      </c>
    </row>
    <row r="4401" spans="11:19" x14ac:dyDescent="0.3">
      <c r="K4401" s="16">
        <f t="shared" si="68"/>
        <v>44199</v>
      </c>
      <c r="L4401" s="17">
        <v>0.29166666666666669</v>
      </c>
      <c r="M4401" s="14">
        <v>359</v>
      </c>
      <c r="N4401" s="14">
        <v>0</v>
      </c>
      <c r="O4401" s="14">
        <v>0</v>
      </c>
      <c r="P4401" s="14">
        <v>359</v>
      </c>
      <c r="Q4401">
        <v>9451</v>
      </c>
      <c r="R4401">
        <v>2974</v>
      </c>
      <c r="S4401">
        <v>0</v>
      </c>
    </row>
    <row r="4402" spans="11:19" x14ac:dyDescent="0.3">
      <c r="K4402" s="16">
        <f t="shared" si="68"/>
        <v>44199</v>
      </c>
      <c r="L4402" s="17">
        <v>0.33333333333333331</v>
      </c>
      <c r="M4402" s="14">
        <v>359</v>
      </c>
      <c r="N4402" s="14">
        <v>0</v>
      </c>
      <c r="O4402" s="14">
        <v>0</v>
      </c>
      <c r="P4402" s="14">
        <v>359</v>
      </c>
      <c r="Q4402">
        <v>9643</v>
      </c>
      <c r="R4402">
        <v>2838</v>
      </c>
      <c r="S4402">
        <v>16</v>
      </c>
    </row>
    <row r="4403" spans="11:19" x14ac:dyDescent="0.3">
      <c r="K4403" s="16">
        <f t="shared" si="68"/>
        <v>44199</v>
      </c>
      <c r="L4403" s="17">
        <v>0.375</v>
      </c>
      <c r="M4403" s="14">
        <v>359</v>
      </c>
      <c r="N4403" s="14">
        <v>519</v>
      </c>
      <c r="O4403" s="14">
        <v>0</v>
      </c>
      <c r="P4403" s="14">
        <v>878</v>
      </c>
      <c r="Q4403">
        <v>9972</v>
      </c>
      <c r="R4403">
        <v>2737</v>
      </c>
      <c r="S4403">
        <v>172</v>
      </c>
    </row>
    <row r="4404" spans="11:19" x14ac:dyDescent="0.3">
      <c r="K4404" s="16">
        <f t="shared" si="68"/>
        <v>44199</v>
      </c>
      <c r="L4404" s="17">
        <v>0.41666666666666669</v>
      </c>
      <c r="M4404" s="14">
        <v>359</v>
      </c>
      <c r="N4404" s="14">
        <v>519</v>
      </c>
      <c r="O4404" s="14">
        <v>0</v>
      </c>
      <c r="P4404" s="14">
        <v>878</v>
      </c>
      <c r="Q4404">
        <v>10338</v>
      </c>
      <c r="R4404">
        <v>2780</v>
      </c>
      <c r="S4404">
        <v>443</v>
      </c>
    </row>
    <row r="4405" spans="11:19" x14ac:dyDescent="0.3">
      <c r="K4405" s="16">
        <f t="shared" si="68"/>
        <v>44199</v>
      </c>
      <c r="L4405" s="17">
        <v>0.45833333333333331</v>
      </c>
      <c r="M4405" s="14">
        <v>359</v>
      </c>
      <c r="N4405" s="14">
        <v>0</v>
      </c>
      <c r="O4405" s="14">
        <v>0</v>
      </c>
      <c r="P4405" s="14">
        <v>359</v>
      </c>
      <c r="Q4405">
        <v>10563</v>
      </c>
      <c r="R4405">
        <v>2579</v>
      </c>
      <c r="S4405">
        <v>625</v>
      </c>
    </row>
    <row r="4406" spans="11:19" x14ac:dyDescent="0.3">
      <c r="K4406" s="16">
        <f t="shared" si="68"/>
        <v>44199</v>
      </c>
      <c r="L4406" s="17">
        <v>0.5</v>
      </c>
      <c r="M4406" s="14">
        <v>359</v>
      </c>
      <c r="N4406" s="14">
        <v>519</v>
      </c>
      <c r="O4406" s="14">
        <v>0</v>
      </c>
      <c r="P4406" s="14">
        <v>878</v>
      </c>
      <c r="Q4406">
        <v>10858</v>
      </c>
      <c r="R4406">
        <v>2614</v>
      </c>
      <c r="S4406">
        <v>732</v>
      </c>
    </row>
    <row r="4407" spans="11:19" x14ac:dyDescent="0.3">
      <c r="K4407" s="16">
        <f t="shared" si="68"/>
        <v>44199</v>
      </c>
      <c r="L4407" s="17">
        <v>0.54166666666666663</v>
      </c>
      <c r="M4407" s="14">
        <v>359</v>
      </c>
      <c r="N4407" s="14">
        <v>0</v>
      </c>
      <c r="O4407" s="14">
        <v>0</v>
      </c>
      <c r="P4407" s="14">
        <v>359</v>
      </c>
      <c r="Q4407">
        <v>10392</v>
      </c>
      <c r="R4407">
        <v>2826</v>
      </c>
      <c r="S4407">
        <v>731</v>
      </c>
    </row>
    <row r="4408" spans="11:19" x14ac:dyDescent="0.3">
      <c r="K4408" s="16">
        <f t="shared" si="68"/>
        <v>44199</v>
      </c>
      <c r="L4408" s="17">
        <v>0.58333333333333337</v>
      </c>
      <c r="M4408" s="14">
        <v>359</v>
      </c>
      <c r="N4408" s="14">
        <v>0</v>
      </c>
      <c r="O4408" s="14">
        <v>0</v>
      </c>
      <c r="P4408" s="14">
        <v>359</v>
      </c>
      <c r="Q4408">
        <v>9924</v>
      </c>
      <c r="R4408">
        <v>2857</v>
      </c>
      <c r="S4408">
        <v>595</v>
      </c>
    </row>
    <row r="4409" spans="11:19" x14ac:dyDescent="0.3">
      <c r="K4409" s="16">
        <f t="shared" si="68"/>
        <v>44199</v>
      </c>
      <c r="L4409" s="17">
        <v>0.625</v>
      </c>
      <c r="M4409" s="14">
        <v>359</v>
      </c>
      <c r="N4409" s="14">
        <v>0</v>
      </c>
      <c r="O4409" s="14">
        <v>0</v>
      </c>
      <c r="P4409" s="14">
        <v>359</v>
      </c>
      <c r="Q4409">
        <v>9701</v>
      </c>
      <c r="R4409">
        <v>3001</v>
      </c>
      <c r="S4409">
        <v>389</v>
      </c>
    </row>
    <row r="4410" spans="11:19" x14ac:dyDescent="0.3">
      <c r="K4410" s="16">
        <f t="shared" si="68"/>
        <v>44199</v>
      </c>
      <c r="L4410" s="17">
        <v>0.66666666666666663</v>
      </c>
      <c r="M4410" s="14">
        <v>359</v>
      </c>
      <c r="N4410" s="14">
        <v>0</v>
      </c>
      <c r="O4410" s="14">
        <v>0</v>
      </c>
      <c r="P4410" s="14">
        <v>359</v>
      </c>
      <c r="Q4410">
        <v>9666</v>
      </c>
      <c r="R4410">
        <v>3140</v>
      </c>
      <c r="S4410">
        <v>117</v>
      </c>
    </row>
    <row r="4411" spans="11:19" x14ac:dyDescent="0.3">
      <c r="K4411" s="16">
        <f t="shared" si="68"/>
        <v>44199</v>
      </c>
      <c r="L4411" s="17">
        <v>0.70833333333333337</v>
      </c>
      <c r="M4411" s="14">
        <v>359</v>
      </c>
      <c r="N4411" s="14">
        <v>0</v>
      </c>
      <c r="O4411" s="14">
        <v>0</v>
      </c>
      <c r="P4411" s="14">
        <v>359</v>
      </c>
      <c r="Q4411">
        <v>10252</v>
      </c>
      <c r="R4411">
        <v>3141</v>
      </c>
      <c r="S4411">
        <v>7</v>
      </c>
    </row>
    <row r="4412" spans="11:19" x14ac:dyDescent="0.3">
      <c r="K4412" s="16">
        <f t="shared" si="68"/>
        <v>44199</v>
      </c>
      <c r="L4412" s="17">
        <v>0.75</v>
      </c>
      <c r="M4412" s="14">
        <v>359</v>
      </c>
      <c r="N4412" s="14">
        <v>0</v>
      </c>
      <c r="O4412" s="14">
        <v>0</v>
      </c>
      <c r="P4412" s="14">
        <v>359</v>
      </c>
      <c r="Q4412">
        <v>10585</v>
      </c>
      <c r="R4412">
        <v>3297</v>
      </c>
      <c r="S4412">
        <v>0</v>
      </c>
    </row>
    <row r="4413" spans="11:19" x14ac:dyDescent="0.3">
      <c r="K4413" s="16">
        <f t="shared" si="68"/>
        <v>44199</v>
      </c>
      <c r="L4413" s="17">
        <v>0.79166666666666663</v>
      </c>
      <c r="M4413" s="14">
        <v>359</v>
      </c>
      <c r="N4413" s="14">
        <v>519</v>
      </c>
      <c r="O4413" s="14">
        <v>0</v>
      </c>
      <c r="P4413" s="14">
        <v>878</v>
      </c>
      <c r="Q4413">
        <v>10590</v>
      </c>
      <c r="R4413">
        <v>3348</v>
      </c>
      <c r="S4413">
        <v>0</v>
      </c>
    </row>
    <row r="4414" spans="11:19" x14ac:dyDescent="0.3">
      <c r="K4414" s="16">
        <f t="shared" si="68"/>
        <v>44199</v>
      </c>
      <c r="L4414" s="17">
        <v>0.83333333333333337</v>
      </c>
      <c r="M4414" s="14">
        <v>359</v>
      </c>
      <c r="N4414" s="14">
        <v>0</v>
      </c>
      <c r="O4414" s="14">
        <v>0</v>
      </c>
      <c r="P4414" s="14">
        <v>359</v>
      </c>
      <c r="Q4414">
        <v>10332</v>
      </c>
      <c r="R4414">
        <v>3255</v>
      </c>
      <c r="S4414">
        <v>0</v>
      </c>
    </row>
    <row r="4415" spans="11:19" x14ac:dyDescent="0.3">
      <c r="K4415" s="16">
        <f t="shared" si="68"/>
        <v>44199</v>
      </c>
      <c r="L4415" s="17">
        <v>0.875</v>
      </c>
      <c r="M4415" s="14">
        <v>359</v>
      </c>
      <c r="N4415" s="14">
        <v>0</v>
      </c>
      <c r="O4415" s="14">
        <v>0</v>
      </c>
      <c r="P4415" s="14">
        <v>359</v>
      </c>
      <c r="Q4415">
        <v>9978</v>
      </c>
      <c r="R4415">
        <v>3363</v>
      </c>
      <c r="S4415">
        <v>0</v>
      </c>
    </row>
    <row r="4416" spans="11:19" x14ac:dyDescent="0.3">
      <c r="K4416" s="16">
        <f t="shared" si="68"/>
        <v>44199</v>
      </c>
      <c r="L4416" s="17">
        <v>0.91666666666666663</v>
      </c>
      <c r="M4416" s="14">
        <v>359</v>
      </c>
      <c r="N4416" s="14">
        <v>0</v>
      </c>
      <c r="O4416" s="14">
        <v>0</v>
      </c>
      <c r="P4416" s="14">
        <v>359</v>
      </c>
      <c r="Q4416">
        <v>10241</v>
      </c>
      <c r="R4416">
        <v>3443</v>
      </c>
      <c r="S4416">
        <v>0</v>
      </c>
    </row>
    <row r="4417" spans="11:19" x14ac:dyDescent="0.3">
      <c r="K4417" s="16">
        <f t="shared" si="68"/>
        <v>44199</v>
      </c>
      <c r="L4417" s="17">
        <v>0.95833333333333337</v>
      </c>
      <c r="M4417" s="14">
        <v>359</v>
      </c>
      <c r="N4417" s="14">
        <v>0</v>
      </c>
      <c r="O4417" s="14">
        <v>0</v>
      </c>
      <c r="P4417" s="14">
        <v>359</v>
      </c>
      <c r="Q4417">
        <v>10482</v>
      </c>
      <c r="R4417">
        <v>3414</v>
      </c>
      <c r="S4417">
        <v>0</v>
      </c>
    </row>
    <row r="4418" spans="11:19" x14ac:dyDescent="0.3">
      <c r="K4418" s="16">
        <f t="shared" si="68"/>
        <v>44200</v>
      </c>
      <c r="L4418" s="17">
        <v>0</v>
      </c>
      <c r="M4418" s="14">
        <v>396</v>
      </c>
      <c r="N4418" s="14">
        <v>0</v>
      </c>
      <c r="O4418" s="14">
        <v>0</v>
      </c>
      <c r="P4418" s="14">
        <v>396</v>
      </c>
      <c r="Q4418">
        <v>10780</v>
      </c>
      <c r="R4418">
        <v>3435</v>
      </c>
      <c r="S4418">
        <v>0</v>
      </c>
    </row>
    <row r="4419" spans="11:19" x14ac:dyDescent="0.3">
      <c r="K4419" s="16">
        <f t="shared" si="68"/>
        <v>44200</v>
      </c>
      <c r="L4419" s="17">
        <v>4.1666666666666664E-2</v>
      </c>
      <c r="M4419" s="14">
        <v>396</v>
      </c>
      <c r="N4419" s="14">
        <v>0</v>
      </c>
      <c r="O4419" s="14">
        <v>0</v>
      </c>
      <c r="P4419" s="14">
        <v>396</v>
      </c>
      <c r="Q4419">
        <v>10471</v>
      </c>
      <c r="R4419">
        <v>3453</v>
      </c>
      <c r="S4419">
        <v>0</v>
      </c>
    </row>
    <row r="4420" spans="11:19" x14ac:dyDescent="0.3">
      <c r="K4420" s="16">
        <f t="shared" si="68"/>
        <v>44200</v>
      </c>
      <c r="L4420" s="17">
        <v>8.3333333333333329E-2</v>
      </c>
      <c r="M4420" s="14">
        <v>396</v>
      </c>
      <c r="N4420" s="14">
        <v>0</v>
      </c>
      <c r="O4420" s="14">
        <v>0</v>
      </c>
      <c r="P4420" s="14">
        <v>396</v>
      </c>
      <c r="Q4420">
        <v>10104</v>
      </c>
      <c r="R4420">
        <v>3409</v>
      </c>
      <c r="S4420">
        <v>0</v>
      </c>
    </row>
    <row r="4421" spans="11:19" x14ac:dyDescent="0.3">
      <c r="K4421" s="16">
        <f t="shared" si="68"/>
        <v>44200</v>
      </c>
      <c r="L4421" s="17">
        <v>0.125</v>
      </c>
      <c r="M4421" s="14">
        <v>396</v>
      </c>
      <c r="N4421" s="14">
        <v>0</v>
      </c>
      <c r="O4421" s="14">
        <v>-241</v>
      </c>
      <c r="P4421" s="14">
        <v>155</v>
      </c>
      <c r="Q4421">
        <v>9517</v>
      </c>
      <c r="R4421">
        <v>3692</v>
      </c>
      <c r="S4421">
        <v>0</v>
      </c>
    </row>
    <row r="4422" spans="11:19" x14ac:dyDescent="0.3">
      <c r="K4422" s="16">
        <f t="shared" si="68"/>
        <v>44200</v>
      </c>
      <c r="L4422" s="17">
        <v>0.16666666666666666</v>
      </c>
      <c r="M4422" s="14">
        <v>396</v>
      </c>
      <c r="N4422" s="14">
        <v>0</v>
      </c>
      <c r="O4422" s="14">
        <v>-624</v>
      </c>
      <c r="P4422" s="14">
        <v>-228</v>
      </c>
      <c r="Q4422">
        <v>9148</v>
      </c>
      <c r="R4422">
        <v>3866</v>
      </c>
      <c r="S4422">
        <v>0</v>
      </c>
    </row>
    <row r="4423" spans="11:19" x14ac:dyDescent="0.3">
      <c r="K4423" s="16">
        <f t="shared" si="68"/>
        <v>44200</v>
      </c>
      <c r="L4423" s="17">
        <v>0.20833333333333334</v>
      </c>
      <c r="M4423" s="14">
        <v>396</v>
      </c>
      <c r="N4423" s="14">
        <v>0</v>
      </c>
      <c r="O4423" s="14">
        <v>-576</v>
      </c>
      <c r="P4423" s="14">
        <v>-180</v>
      </c>
      <c r="Q4423">
        <v>9079</v>
      </c>
      <c r="R4423">
        <v>3750</v>
      </c>
      <c r="S4423">
        <v>0</v>
      </c>
    </row>
    <row r="4424" spans="11:19" x14ac:dyDescent="0.3">
      <c r="K4424" s="16">
        <f t="shared" si="68"/>
        <v>44200</v>
      </c>
      <c r="L4424" s="17">
        <v>0.25</v>
      </c>
      <c r="M4424" s="14">
        <v>396</v>
      </c>
      <c r="N4424" s="14">
        <v>0</v>
      </c>
      <c r="O4424" s="14">
        <v>-477</v>
      </c>
      <c r="P4424" s="14">
        <v>-81</v>
      </c>
      <c r="Q4424">
        <v>9119</v>
      </c>
      <c r="R4424">
        <v>3689</v>
      </c>
      <c r="S4424">
        <v>0</v>
      </c>
    </row>
    <row r="4425" spans="11:19" x14ac:dyDescent="0.3">
      <c r="K4425" s="16">
        <f t="shared" si="68"/>
        <v>44200</v>
      </c>
      <c r="L4425" s="17">
        <v>0.29166666666666669</v>
      </c>
      <c r="M4425" s="14">
        <v>396</v>
      </c>
      <c r="N4425" s="14">
        <v>0</v>
      </c>
      <c r="O4425" s="14">
        <v>-256</v>
      </c>
      <c r="P4425" s="14">
        <v>140</v>
      </c>
      <c r="Q4425">
        <v>9135</v>
      </c>
      <c r="R4425">
        <v>3481</v>
      </c>
      <c r="S4425">
        <v>0</v>
      </c>
    </row>
    <row r="4426" spans="11:19" x14ac:dyDescent="0.3">
      <c r="K4426" s="16">
        <f t="shared" si="68"/>
        <v>44200</v>
      </c>
      <c r="L4426" s="17">
        <v>0.33333333333333331</v>
      </c>
      <c r="M4426" s="14">
        <v>396</v>
      </c>
      <c r="N4426" s="14">
        <v>0</v>
      </c>
      <c r="O4426" s="14">
        <v>0</v>
      </c>
      <c r="P4426" s="14">
        <v>396</v>
      </c>
      <c r="Q4426">
        <v>9300</v>
      </c>
      <c r="R4426">
        <v>3213</v>
      </c>
      <c r="S4426">
        <v>21</v>
      </c>
    </row>
    <row r="4427" spans="11:19" x14ac:dyDescent="0.3">
      <c r="K4427" s="16">
        <f t="shared" si="68"/>
        <v>44200</v>
      </c>
      <c r="L4427" s="17">
        <v>0.375</v>
      </c>
      <c r="M4427" s="14">
        <v>396</v>
      </c>
      <c r="N4427" s="14">
        <v>0</v>
      </c>
      <c r="O4427" s="14">
        <v>0</v>
      </c>
      <c r="P4427" s="14">
        <v>396</v>
      </c>
      <c r="Q4427">
        <v>9662</v>
      </c>
      <c r="R4427">
        <v>2605</v>
      </c>
      <c r="S4427">
        <v>185</v>
      </c>
    </row>
    <row r="4428" spans="11:19" x14ac:dyDescent="0.3">
      <c r="K4428" s="16">
        <f t="shared" si="68"/>
        <v>44200</v>
      </c>
      <c r="L4428" s="17">
        <v>0.41666666666666669</v>
      </c>
      <c r="M4428" s="14">
        <v>396</v>
      </c>
      <c r="N4428" s="14">
        <v>0</v>
      </c>
      <c r="O4428" s="14">
        <v>0</v>
      </c>
      <c r="P4428" s="14">
        <v>396</v>
      </c>
      <c r="Q4428">
        <v>10107</v>
      </c>
      <c r="R4428">
        <v>2454</v>
      </c>
      <c r="S4428">
        <v>488</v>
      </c>
    </row>
    <row r="4429" spans="11:19" x14ac:dyDescent="0.3">
      <c r="K4429" s="16">
        <f t="shared" si="68"/>
        <v>44200</v>
      </c>
      <c r="L4429" s="17">
        <v>0.45833333333333331</v>
      </c>
      <c r="M4429" s="14">
        <v>396</v>
      </c>
      <c r="N4429" s="14">
        <v>0</v>
      </c>
      <c r="O4429" s="14">
        <v>1200</v>
      </c>
      <c r="P4429" s="14">
        <v>1596</v>
      </c>
      <c r="Q4429">
        <v>10467</v>
      </c>
      <c r="R4429">
        <v>2354</v>
      </c>
      <c r="S4429">
        <v>688</v>
      </c>
    </row>
    <row r="4430" spans="11:19" x14ac:dyDescent="0.3">
      <c r="K4430" s="16">
        <f t="shared" si="68"/>
        <v>44200</v>
      </c>
      <c r="L4430" s="17">
        <v>0.5</v>
      </c>
      <c r="M4430" s="14">
        <v>396</v>
      </c>
      <c r="N4430" s="14">
        <v>0</v>
      </c>
      <c r="O4430" s="14">
        <v>0</v>
      </c>
      <c r="P4430" s="14">
        <v>396</v>
      </c>
      <c r="Q4430">
        <v>10888</v>
      </c>
      <c r="R4430">
        <v>2097</v>
      </c>
      <c r="S4430">
        <v>764</v>
      </c>
    </row>
    <row r="4431" spans="11:19" x14ac:dyDescent="0.3">
      <c r="K4431" s="16">
        <f t="shared" si="68"/>
        <v>44200</v>
      </c>
      <c r="L4431" s="17">
        <v>0.54166666666666663</v>
      </c>
      <c r="M4431" s="14">
        <v>396</v>
      </c>
      <c r="N4431" s="14">
        <v>555</v>
      </c>
      <c r="O4431" s="14">
        <v>0</v>
      </c>
      <c r="P4431" s="14">
        <v>951</v>
      </c>
      <c r="Q4431">
        <v>10502</v>
      </c>
      <c r="R4431">
        <v>2212</v>
      </c>
      <c r="S4431">
        <v>759</v>
      </c>
    </row>
    <row r="4432" spans="11:19" x14ac:dyDescent="0.3">
      <c r="K4432" s="16">
        <f t="shared" si="68"/>
        <v>44200</v>
      </c>
      <c r="L4432" s="17">
        <v>0.58333333333333337</v>
      </c>
      <c r="M4432" s="14">
        <v>396</v>
      </c>
      <c r="N4432" s="14">
        <v>0</v>
      </c>
      <c r="O4432" s="14">
        <v>62</v>
      </c>
      <c r="P4432" s="14">
        <v>458</v>
      </c>
      <c r="Q4432">
        <v>10088</v>
      </c>
      <c r="R4432">
        <v>2067</v>
      </c>
      <c r="S4432">
        <v>619</v>
      </c>
    </row>
    <row r="4433" spans="11:19" x14ac:dyDescent="0.3">
      <c r="K4433" s="16">
        <f t="shared" si="68"/>
        <v>44200</v>
      </c>
      <c r="L4433" s="17">
        <v>0.625</v>
      </c>
      <c r="M4433" s="14">
        <v>396</v>
      </c>
      <c r="N4433" s="14">
        <v>0</v>
      </c>
      <c r="O4433" s="14">
        <v>0</v>
      </c>
      <c r="P4433" s="14">
        <v>396</v>
      </c>
      <c r="Q4433">
        <v>9837</v>
      </c>
      <c r="R4433">
        <v>2238</v>
      </c>
      <c r="S4433">
        <v>373</v>
      </c>
    </row>
    <row r="4434" spans="11:19" x14ac:dyDescent="0.3">
      <c r="K4434" s="16">
        <f t="shared" si="68"/>
        <v>44200</v>
      </c>
      <c r="L4434" s="17">
        <v>0.66666666666666663</v>
      </c>
      <c r="M4434" s="14">
        <v>396</v>
      </c>
      <c r="N4434" s="14">
        <v>0</v>
      </c>
      <c r="O4434" s="14">
        <v>0</v>
      </c>
      <c r="P4434" s="14">
        <v>396</v>
      </c>
      <c r="Q4434">
        <v>9767</v>
      </c>
      <c r="R4434">
        <v>2344</v>
      </c>
      <c r="S4434">
        <v>92</v>
      </c>
    </row>
    <row r="4435" spans="11:19" x14ac:dyDescent="0.3">
      <c r="K4435" s="16">
        <f t="shared" si="68"/>
        <v>44200</v>
      </c>
      <c r="L4435" s="17">
        <v>0.70833333333333337</v>
      </c>
      <c r="M4435" s="14">
        <v>396</v>
      </c>
      <c r="N4435" s="14">
        <v>0</v>
      </c>
      <c r="O4435" s="14">
        <v>0</v>
      </c>
      <c r="P4435" s="14">
        <v>396</v>
      </c>
      <c r="Q4435">
        <v>10356</v>
      </c>
      <c r="R4435">
        <v>2416</v>
      </c>
      <c r="S4435">
        <v>3</v>
      </c>
    </row>
    <row r="4436" spans="11:19" x14ac:dyDescent="0.3">
      <c r="K4436" s="16">
        <f t="shared" si="68"/>
        <v>44200</v>
      </c>
      <c r="L4436" s="17">
        <v>0.75</v>
      </c>
      <c r="M4436" s="14">
        <v>396</v>
      </c>
      <c r="N4436" s="14">
        <v>0</v>
      </c>
      <c r="O4436" s="14">
        <v>0</v>
      </c>
      <c r="P4436" s="14">
        <v>396</v>
      </c>
      <c r="Q4436">
        <v>10841</v>
      </c>
      <c r="R4436">
        <v>2344</v>
      </c>
      <c r="S4436">
        <v>0</v>
      </c>
    </row>
    <row r="4437" spans="11:19" x14ac:dyDescent="0.3">
      <c r="K4437" s="16">
        <f t="shared" si="68"/>
        <v>44200</v>
      </c>
      <c r="L4437" s="17">
        <v>0.79166666666666663</v>
      </c>
      <c r="M4437" s="14">
        <v>396</v>
      </c>
      <c r="N4437" s="14">
        <v>0</v>
      </c>
      <c r="O4437" s="14">
        <v>0</v>
      </c>
      <c r="P4437" s="14">
        <v>396</v>
      </c>
      <c r="Q4437">
        <v>10887</v>
      </c>
      <c r="R4437">
        <v>2311</v>
      </c>
      <c r="S4437">
        <v>0</v>
      </c>
    </row>
    <row r="4438" spans="11:19" x14ac:dyDescent="0.3">
      <c r="K4438" s="16">
        <f t="shared" si="68"/>
        <v>44200</v>
      </c>
      <c r="L4438" s="17">
        <v>0.83333333333333337</v>
      </c>
      <c r="M4438" s="14">
        <v>396</v>
      </c>
      <c r="N4438" s="14">
        <v>0</v>
      </c>
      <c r="O4438" s="14">
        <v>0</v>
      </c>
      <c r="P4438" s="14">
        <v>396</v>
      </c>
      <c r="Q4438">
        <v>10497</v>
      </c>
      <c r="R4438">
        <v>2562</v>
      </c>
      <c r="S4438">
        <v>0</v>
      </c>
    </row>
    <row r="4439" spans="11:19" x14ac:dyDescent="0.3">
      <c r="K4439" s="16">
        <f t="shared" si="68"/>
        <v>44200</v>
      </c>
      <c r="L4439" s="17">
        <v>0.875</v>
      </c>
      <c r="M4439" s="14">
        <v>396</v>
      </c>
      <c r="N4439" s="14">
        <v>555</v>
      </c>
      <c r="O4439" s="14">
        <v>478</v>
      </c>
      <c r="P4439" s="14">
        <v>1429</v>
      </c>
      <c r="Q4439">
        <v>9983</v>
      </c>
      <c r="R4439">
        <v>2716</v>
      </c>
      <c r="S4439">
        <v>0</v>
      </c>
    </row>
    <row r="4440" spans="11:19" x14ac:dyDescent="0.3">
      <c r="K4440" s="16">
        <f t="shared" si="68"/>
        <v>44200</v>
      </c>
      <c r="L4440" s="17">
        <v>0.91666666666666663</v>
      </c>
      <c r="M4440" s="14">
        <v>396</v>
      </c>
      <c r="N4440" s="14">
        <v>0</v>
      </c>
      <c r="O4440" s="14">
        <v>0</v>
      </c>
      <c r="P4440" s="14">
        <v>396</v>
      </c>
      <c r="Q4440">
        <v>10207</v>
      </c>
      <c r="R4440">
        <v>3076</v>
      </c>
      <c r="S4440">
        <v>0</v>
      </c>
    </row>
    <row r="4441" spans="11:19" x14ac:dyDescent="0.3">
      <c r="K4441" s="16">
        <f t="shared" si="68"/>
        <v>44200</v>
      </c>
      <c r="L4441" s="17">
        <v>0.95833333333333337</v>
      </c>
      <c r="M4441" s="14">
        <v>396</v>
      </c>
      <c r="N4441" s="14">
        <v>0</v>
      </c>
      <c r="O4441" s="14">
        <v>0</v>
      </c>
      <c r="P4441" s="14">
        <v>396</v>
      </c>
      <c r="Q4441">
        <v>10424</v>
      </c>
      <c r="R4441">
        <v>2996</v>
      </c>
      <c r="S4441">
        <v>0</v>
      </c>
    </row>
    <row r="4442" spans="11:19" x14ac:dyDescent="0.3">
      <c r="K4442" s="16">
        <f t="shared" si="68"/>
        <v>44201</v>
      </c>
      <c r="L4442" s="17">
        <v>0</v>
      </c>
      <c r="M4442" s="14">
        <v>396</v>
      </c>
      <c r="N4442" s="14">
        <v>0</v>
      </c>
      <c r="O4442" s="14">
        <v>0</v>
      </c>
      <c r="P4442" s="14">
        <v>396</v>
      </c>
      <c r="Q4442">
        <v>9847</v>
      </c>
      <c r="R4442">
        <v>3441</v>
      </c>
      <c r="S4442">
        <v>0</v>
      </c>
    </row>
    <row r="4443" spans="11:19" x14ac:dyDescent="0.3">
      <c r="K4443" s="16">
        <f t="shared" ref="K4443:K4506" si="69">K4419+1</f>
        <v>44201</v>
      </c>
      <c r="L4443" s="17">
        <v>4.1666666666666664E-2</v>
      </c>
      <c r="M4443" s="14">
        <v>396</v>
      </c>
      <c r="N4443" s="14">
        <v>0</v>
      </c>
      <c r="O4443" s="14">
        <v>0</v>
      </c>
      <c r="P4443" s="14">
        <v>396</v>
      </c>
      <c r="Q4443">
        <v>9506</v>
      </c>
      <c r="R4443">
        <v>3590</v>
      </c>
      <c r="S4443">
        <v>0</v>
      </c>
    </row>
    <row r="4444" spans="11:19" x14ac:dyDescent="0.3">
      <c r="K4444" s="16">
        <f t="shared" si="69"/>
        <v>44201</v>
      </c>
      <c r="L4444" s="17">
        <v>8.3333333333333329E-2</v>
      </c>
      <c r="M4444" s="14">
        <v>396</v>
      </c>
      <c r="N4444" s="14">
        <v>0</v>
      </c>
      <c r="O4444" s="14">
        <v>-442</v>
      </c>
      <c r="P4444" s="14">
        <v>-46</v>
      </c>
      <c r="Q4444">
        <v>9222</v>
      </c>
      <c r="R4444">
        <v>3758</v>
      </c>
      <c r="S4444">
        <v>0</v>
      </c>
    </row>
    <row r="4445" spans="11:19" x14ac:dyDescent="0.3">
      <c r="K4445" s="16">
        <f t="shared" si="69"/>
        <v>44201</v>
      </c>
      <c r="L4445" s="17">
        <v>0.125</v>
      </c>
      <c r="M4445" s="14">
        <v>396</v>
      </c>
      <c r="N4445" s="14">
        <v>0</v>
      </c>
      <c r="O4445" s="14">
        <v>-1105</v>
      </c>
      <c r="P4445" s="14">
        <v>-709</v>
      </c>
      <c r="Q4445">
        <v>8794</v>
      </c>
      <c r="R4445">
        <v>3994</v>
      </c>
      <c r="S4445">
        <v>0</v>
      </c>
    </row>
    <row r="4446" spans="11:19" x14ac:dyDescent="0.3">
      <c r="K4446" s="16">
        <f t="shared" si="69"/>
        <v>44201</v>
      </c>
      <c r="L4446" s="17">
        <v>0.16666666666666666</v>
      </c>
      <c r="M4446" s="14">
        <v>396</v>
      </c>
      <c r="N4446" s="14">
        <v>0</v>
      </c>
      <c r="O4446" s="14">
        <v>-1118</v>
      </c>
      <c r="P4446" s="14">
        <v>-722</v>
      </c>
      <c r="Q4446">
        <v>8722</v>
      </c>
      <c r="R4446">
        <v>3936</v>
      </c>
      <c r="S4446">
        <v>0</v>
      </c>
    </row>
    <row r="4447" spans="11:19" x14ac:dyDescent="0.3">
      <c r="K4447" s="16">
        <f t="shared" si="69"/>
        <v>44201</v>
      </c>
      <c r="L4447" s="17">
        <v>0.20833333333333334</v>
      </c>
      <c r="M4447" s="14">
        <v>396</v>
      </c>
      <c r="N4447" s="14">
        <v>0</v>
      </c>
      <c r="O4447" s="14">
        <v>-1005</v>
      </c>
      <c r="P4447" s="14">
        <v>-609</v>
      </c>
      <c r="Q4447">
        <v>9088</v>
      </c>
      <c r="R4447">
        <v>4030</v>
      </c>
      <c r="S4447">
        <v>0</v>
      </c>
    </row>
    <row r="4448" spans="11:19" x14ac:dyDescent="0.3">
      <c r="K4448" s="16">
        <f t="shared" si="69"/>
        <v>44201</v>
      </c>
      <c r="L4448" s="17">
        <v>0.25</v>
      </c>
      <c r="M4448" s="14">
        <v>396</v>
      </c>
      <c r="N4448" s="14">
        <v>0</v>
      </c>
      <c r="O4448" s="14">
        <v>-177</v>
      </c>
      <c r="P4448" s="14">
        <v>219</v>
      </c>
      <c r="Q4448">
        <v>9914</v>
      </c>
      <c r="R4448">
        <v>4022</v>
      </c>
      <c r="S4448">
        <v>0</v>
      </c>
    </row>
    <row r="4449" spans="11:19" x14ac:dyDescent="0.3">
      <c r="K4449" s="16">
        <f t="shared" si="69"/>
        <v>44201</v>
      </c>
      <c r="L4449" s="17">
        <v>0.29166666666666669</v>
      </c>
      <c r="M4449" s="14">
        <v>396</v>
      </c>
      <c r="N4449" s="14">
        <v>0</v>
      </c>
      <c r="O4449" s="14">
        <v>0</v>
      </c>
      <c r="P4449" s="14">
        <v>396</v>
      </c>
      <c r="Q4449">
        <v>10634</v>
      </c>
      <c r="R4449">
        <v>3892</v>
      </c>
      <c r="S4449">
        <v>0</v>
      </c>
    </row>
    <row r="4450" spans="11:19" x14ac:dyDescent="0.3">
      <c r="K4450" s="16">
        <f t="shared" si="69"/>
        <v>44201</v>
      </c>
      <c r="L4450" s="17">
        <v>0.33333333333333331</v>
      </c>
      <c r="M4450" s="14">
        <v>396</v>
      </c>
      <c r="N4450" s="14">
        <v>0</v>
      </c>
      <c r="O4450" s="14">
        <v>0</v>
      </c>
      <c r="P4450" s="14">
        <v>396</v>
      </c>
      <c r="Q4450">
        <v>11131</v>
      </c>
      <c r="R4450">
        <v>3976</v>
      </c>
      <c r="S4450">
        <v>23</v>
      </c>
    </row>
    <row r="4451" spans="11:19" x14ac:dyDescent="0.3">
      <c r="K4451" s="16">
        <f t="shared" si="69"/>
        <v>44201</v>
      </c>
      <c r="L4451" s="17">
        <v>0.375</v>
      </c>
      <c r="M4451" s="14">
        <v>396</v>
      </c>
      <c r="N4451" s="14">
        <v>0</v>
      </c>
      <c r="O4451" s="14">
        <v>0</v>
      </c>
      <c r="P4451" s="14">
        <v>396</v>
      </c>
      <c r="Q4451">
        <v>11463</v>
      </c>
      <c r="R4451">
        <v>4021</v>
      </c>
      <c r="S4451">
        <v>189</v>
      </c>
    </row>
    <row r="4452" spans="11:19" x14ac:dyDescent="0.3">
      <c r="K4452" s="16">
        <f t="shared" si="69"/>
        <v>44201</v>
      </c>
      <c r="L4452" s="17">
        <v>0.41666666666666669</v>
      </c>
      <c r="M4452" s="14">
        <v>396</v>
      </c>
      <c r="N4452" s="14">
        <v>0</v>
      </c>
      <c r="O4452" s="14">
        <v>0</v>
      </c>
      <c r="P4452" s="14">
        <v>396</v>
      </c>
      <c r="Q4452">
        <v>11719</v>
      </c>
      <c r="R4452">
        <v>3963</v>
      </c>
      <c r="S4452">
        <v>498</v>
      </c>
    </row>
    <row r="4453" spans="11:19" x14ac:dyDescent="0.3">
      <c r="K4453" s="16">
        <f t="shared" si="69"/>
        <v>44201</v>
      </c>
      <c r="L4453" s="17">
        <v>0.45833333333333331</v>
      </c>
      <c r="M4453" s="14">
        <v>396</v>
      </c>
      <c r="N4453" s="14">
        <v>0</v>
      </c>
      <c r="O4453" s="14">
        <v>0</v>
      </c>
      <c r="P4453" s="14">
        <v>396</v>
      </c>
      <c r="Q4453">
        <v>11943</v>
      </c>
      <c r="R4453">
        <v>3941</v>
      </c>
      <c r="S4453">
        <v>697</v>
      </c>
    </row>
    <row r="4454" spans="11:19" x14ac:dyDescent="0.3">
      <c r="K4454" s="16">
        <f t="shared" si="69"/>
        <v>44201</v>
      </c>
      <c r="L4454" s="17">
        <v>0.5</v>
      </c>
      <c r="M4454" s="14">
        <v>396</v>
      </c>
      <c r="N4454" s="14">
        <v>0</v>
      </c>
      <c r="O4454" s="14">
        <v>0</v>
      </c>
      <c r="P4454" s="14">
        <v>396</v>
      </c>
      <c r="Q4454">
        <v>12097</v>
      </c>
      <c r="R4454">
        <v>3840</v>
      </c>
      <c r="S4454">
        <v>812</v>
      </c>
    </row>
    <row r="4455" spans="11:19" x14ac:dyDescent="0.3">
      <c r="K4455" s="16">
        <f t="shared" si="69"/>
        <v>44201</v>
      </c>
      <c r="L4455" s="17">
        <v>0.54166666666666663</v>
      </c>
      <c r="M4455" s="14">
        <v>396</v>
      </c>
      <c r="N4455" s="14">
        <v>0</v>
      </c>
      <c r="O4455" s="14">
        <v>0</v>
      </c>
      <c r="P4455" s="14">
        <v>396</v>
      </c>
      <c r="Q4455">
        <v>11841</v>
      </c>
      <c r="R4455">
        <v>3703</v>
      </c>
      <c r="S4455">
        <v>825</v>
      </c>
    </row>
    <row r="4456" spans="11:19" x14ac:dyDescent="0.3">
      <c r="K4456" s="16">
        <f t="shared" si="69"/>
        <v>44201</v>
      </c>
      <c r="L4456" s="17">
        <v>0.58333333333333337</v>
      </c>
      <c r="M4456" s="14">
        <v>396</v>
      </c>
      <c r="N4456" s="14">
        <v>0</v>
      </c>
      <c r="O4456" s="14">
        <v>0</v>
      </c>
      <c r="P4456" s="14">
        <v>396</v>
      </c>
      <c r="Q4456">
        <v>11663</v>
      </c>
      <c r="R4456">
        <v>3556</v>
      </c>
      <c r="S4456">
        <v>680</v>
      </c>
    </row>
    <row r="4457" spans="11:19" x14ac:dyDescent="0.3">
      <c r="K4457" s="16">
        <f t="shared" si="69"/>
        <v>44201</v>
      </c>
      <c r="L4457" s="17">
        <v>0.625</v>
      </c>
      <c r="M4457" s="14">
        <v>396</v>
      </c>
      <c r="N4457" s="14">
        <v>0</v>
      </c>
      <c r="O4457" s="14">
        <v>915</v>
      </c>
      <c r="P4457" s="14">
        <v>1311</v>
      </c>
      <c r="Q4457">
        <v>11440</v>
      </c>
      <c r="R4457">
        <v>3437</v>
      </c>
      <c r="S4457">
        <v>419</v>
      </c>
    </row>
    <row r="4458" spans="11:19" x14ac:dyDescent="0.3">
      <c r="K4458" s="16">
        <f t="shared" si="69"/>
        <v>44201</v>
      </c>
      <c r="L4458" s="17">
        <v>0.66666666666666663</v>
      </c>
      <c r="M4458" s="14">
        <v>396</v>
      </c>
      <c r="N4458" s="14">
        <v>0</v>
      </c>
      <c r="O4458" s="14">
        <v>0</v>
      </c>
      <c r="P4458" s="14">
        <v>396</v>
      </c>
      <c r="Q4458">
        <v>11349</v>
      </c>
      <c r="R4458">
        <v>3269</v>
      </c>
      <c r="S4458">
        <v>100</v>
      </c>
    </row>
    <row r="4459" spans="11:19" x14ac:dyDescent="0.3">
      <c r="K4459" s="16">
        <f t="shared" si="69"/>
        <v>44201</v>
      </c>
      <c r="L4459" s="17">
        <v>0.70833333333333337</v>
      </c>
      <c r="M4459" s="14">
        <v>396</v>
      </c>
      <c r="N4459" s="14">
        <v>0</v>
      </c>
      <c r="O4459" s="14">
        <v>0</v>
      </c>
      <c r="P4459" s="14">
        <v>396</v>
      </c>
      <c r="Q4459">
        <v>11892</v>
      </c>
      <c r="R4459">
        <v>3260</v>
      </c>
      <c r="S4459">
        <v>2</v>
      </c>
    </row>
    <row r="4460" spans="11:19" x14ac:dyDescent="0.3">
      <c r="K4460" s="16">
        <f t="shared" si="69"/>
        <v>44201</v>
      </c>
      <c r="L4460" s="17">
        <v>0.75</v>
      </c>
      <c r="M4460" s="14">
        <v>396</v>
      </c>
      <c r="N4460" s="14">
        <v>0</v>
      </c>
      <c r="O4460" s="14">
        <v>523</v>
      </c>
      <c r="P4460" s="14">
        <v>919</v>
      </c>
      <c r="Q4460">
        <v>12286</v>
      </c>
      <c r="R4460">
        <v>2985</v>
      </c>
      <c r="S4460">
        <v>0</v>
      </c>
    </row>
    <row r="4461" spans="11:19" x14ac:dyDescent="0.3">
      <c r="K4461" s="16">
        <f t="shared" si="69"/>
        <v>44201</v>
      </c>
      <c r="L4461" s="17">
        <v>0.79166666666666663</v>
      </c>
      <c r="M4461" s="14">
        <v>396</v>
      </c>
      <c r="N4461" s="14">
        <v>0</v>
      </c>
      <c r="O4461" s="14">
        <v>441</v>
      </c>
      <c r="P4461" s="14">
        <v>837</v>
      </c>
      <c r="Q4461">
        <v>12158</v>
      </c>
      <c r="R4461">
        <v>2941</v>
      </c>
      <c r="S4461">
        <v>0</v>
      </c>
    </row>
    <row r="4462" spans="11:19" x14ac:dyDescent="0.3">
      <c r="K4462" s="16">
        <f t="shared" si="69"/>
        <v>44201</v>
      </c>
      <c r="L4462" s="17">
        <v>0.83333333333333337</v>
      </c>
      <c r="M4462" s="14">
        <v>396</v>
      </c>
      <c r="N4462" s="14">
        <v>570</v>
      </c>
      <c r="O4462" s="14">
        <v>0</v>
      </c>
      <c r="P4462" s="14">
        <v>966</v>
      </c>
      <c r="Q4462">
        <v>11373</v>
      </c>
      <c r="R4462">
        <v>2962</v>
      </c>
      <c r="S4462">
        <v>0</v>
      </c>
    </row>
    <row r="4463" spans="11:19" x14ac:dyDescent="0.3">
      <c r="K4463" s="16">
        <f t="shared" si="69"/>
        <v>44201</v>
      </c>
      <c r="L4463" s="17">
        <v>0.875</v>
      </c>
      <c r="M4463" s="14">
        <v>396</v>
      </c>
      <c r="N4463" s="14">
        <v>0</v>
      </c>
      <c r="O4463" s="14">
        <v>0</v>
      </c>
      <c r="P4463" s="14">
        <v>396</v>
      </c>
      <c r="Q4463">
        <v>10735</v>
      </c>
      <c r="R4463">
        <v>3316</v>
      </c>
      <c r="S4463">
        <v>0</v>
      </c>
    </row>
    <row r="4464" spans="11:19" x14ac:dyDescent="0.3">
      <c r="K4464" s="16">
        <f t="shared" si="69"/>
        <v>44201</v>
      </c>
      <c r="L4464" s="17">
        <v>0.91666666666666663</v>
      </c>
      <c r="M4464" s="14">
        <v>396</v>
      </c>
      <c r="N4464" s="14">
        <v>0</v>
      </c>
      <c r="O4464" s="14">
        <v>1200</v>
      </c>
      <c r="P4464" s="14">
        <v>1596</v>
      </c>
      <c r="Q4464">
        <v>10908</v>
      </c>
      <c r="R4464">
        <v>3540</v>
      </c>
      <c r="S4464">
        <v>0</v>
      </c>
    </row>
    <row r="4465" spans="11:19" x14ac:dyDescent="0.3">
      <c r="K4465" s="16">
        <f t="shared" si="69"/>
        <v>44201</v>
      </c>
      <c r="L4465" s="17">
        <v>0.95833333333333337</v>
      </c>
      <c r="M4465" s="14">
        <v>396</v>
      </c>
      <c r="N4465" s="14">
        <v>0</v>
      </c>
      <c r="O4465" s="14">
        <v>0</v>
      </c>
      <c r="P4465" s="14">
        <v>396</v>
      </c>
      <c r="Q4465">
        <v>11063</v>
      </c>
      <c r="R4465">
        <v>3372</v>
      </c>
      <c r="S4465">
        <v>0</v>
      </c>
    </row>
    <row r="4466" spans="11:19" x14ac:dyDescent="0.3">
      <c r="K4466" s="16">
        <f t="shared" si="69"/>
        <v>44202</v>
      </c>
      <c r="L4466" s="17">
        <v>0</v>
      </c>
      <c r="M4466" s="14">
        <v>396</v>
      </c>
      <c r="N4466" s="14">
        <v>0</v>
      </c>
      <c r="O4466" s="14">
        <v>0</v>
      </c>
      <c r="P4466" s="14">
        <v>396</v>
      </c>
      <c r="Q4466">
        <v>10800</v>
      </c>
      <c r="R4466">
        <v>3534</v>
      </c>
      <c r="S4466">
        <v>0</v>
      </c>
    </row>
    <row r="4467" spans="11:19" x14ac:dyDescent="0.3">
      <c r="K4467" s="16">
        <f t="shared" si="69"/>
        <v>44202</v>
      </c>
      <c r="L4467" s="17">
        <v>4.1666666666666664E-2</v>
      </c>
      <c r="M4467" s="14">
        <v>396</v>
      </c>
      <c r="N4467" s="14">
        <v>0</v>
      </c>
      <c r="O4467" s="14">
        <v>0</v>
      </c>
      <c r="P4467" s="14">
        <v>396</v>
      </c>
      <c r="Q4467">
        <v>10475</v>
      </c>
      <c r="R4467">
        <v>3594</v>
      </c>
      <c r="S4467">
        <v>0</v>
      </c>
    </row>
    <row r="4468" spans="11:19" x14ac:dyDescent="0.3">
      <c r="K4468" s="16">
        <f t="shared" si="69"/>
        <v>44202</v>
      </c>
      <c r="L4468" s="17">
        <v>8.3333333333333329E-2</v>
      </c>
      <c r="M4468" s="14">
        <v>396</v>
      </c>
      <c r="N4468" s="14">
        <v>0</v>
      </c>
      <c r="O4468" s="14">
        <v>0</v>
      </c>
      <c r="P4468" s="14">
        <v>396</v>
      </c>
      <c r="Q4468">
        <v>10174</v>
      </c>
      <c r="R4468">
        <v>3782</v>
      </c>
      <c r="S4468">
        <v>0</v>
      </c>
    </row>
    <row r="4469" spans="11:19" x14ac:dyDescent="0.3">
      <c r="K4469" s="16">
        <f t="shared" si="69"/>
        <v>44202</v>
      </c>
      <c r="L4469" s="17">
        <v>0.125</v>
      </c>
      <c r="M4469" s="14">
        <v>396</v>
      </c>
      <c r="N4469" s="14">
        <v>0</v>
      </c>
      <c r="O4469" s="14">
        <v>-168</v>
      </c>
      <c r="P4469" s="14">
        <v>228</v>
      </c>
      <c r="Q4469">
        <v>9782</v>
      </c>
      <c r="R4469">
        <v>3962</v>
      </c>
      <c r="S4469">
        <v>0</v>
      </c>
    </row>
    <row r="4470" spans="11:19" x14ac:dyDescent="0.3">
      <c r="K4470" s="16">
        <f t="shared" si="69"/>
        <v>44202</v>
      </c>
      <c r="L4470" s="17">
        <v>0.16666666666666666</v>
      </c>
      <c r="M4470" s="14">
        <v>396</v>
      </c>
      <c r="N4470" s="14">
        <v>0</v>
      </c>
      <c r="O4470" s="14">
        <v>-143</v>
      </c>
      <c r="P4470" s="14">
        <v>253</v>
      </c>
      <c r="Q4470">
        <v>9731</v>
      </c>
      <c r="R4470">
        <v>3887</v>
      </c>
      <c r="S4470">
        <v>0</v>
      </c>
    </row>
    <row r="4471" spans="11:19" x14ac:dyDescent="0.3">
      <c r="K4471" s="16">
        <f t="shared" si="69"/>
        <v>44202</v>
      </c>
      <c r="L4471" s="17">
        <v>0.20833333333333334</v>
      </c>
      <c r="M4471" s="14">
        <v>396</v>
      </c>
      <c r="N4471" s="14">
        <v>0</v>
      </c>
      <c r="O4471" s="14">
        <v>0</v>
      </c>
      <c r="P4471" s="14">
        <v>396</v>
      </c>
      <c r="Q4471">
        <v>10216</v>
      </c>
      <c r="R4471">
        <v>3803</v>
      </c>
      <c r="S4471">
        <v>0</v>
      </c>
    </row>
    <row r="4472" spans="11:19" x14ac:dyDescent="0.3">
      <c r="K4472" s="16">
        <f t="shared" si="69"/>
        <v>44202</v>
      </c>
      <c r="L4472" s="17">
        <v>0.25</v>
      </c>
      <c r="M4472" s="14">
        <v>396</v>
      </c>
      <c r="N4472" s="14">
        <v>0</v>
      </c>
      <c r="O4472" s="14">
        <v>0</v>
      </c>
      <c r="P4472" s="14">
        <v>396</v>
      </c>
      <c r="Q4472">
        <v>11391</v>
      </c>
      <c r="R4472">
        <v>3645</v>
      </c>
      <c r="S4472">
        <v>0</v>
      </c>
    </row>
    <row r="4473" spans="11:19" x14ac:dyDescent="0.3">
      <c r="K4473" s="16">
        <f t="shared" si="69"/>
        <v>44202</v>
      </c>
      <c r="L4473" s="17">
        <v>0.29166666666666669</v>
      </c>
      <c r="M4473" s="14">
        <v>396</v>
      </c>
      <c r="N4473" s="14">
        <v>0</v>
      </c>
      <c r="O4473" s="14">
        <v>0</v>
      </c>
      <c r="P4473" s="14">
        <v>396</v>
      </c>
      <c r="Q4473">
        <v>12410</v>
      </c>
      <c r="R4473">
        <v>3638</v>
      </c>
      <c r="S4473">
        <v>0</v>
      </c>
    </row>
    <row r="4474" spans="11:19" x14ac:dyDescent="0.3">
      <c r="K4474" s="16">
        <f t="shared" si="69"/>
        <v>44202</v>
      </c>
      <c r="L4474" s="17">
        <v>0.33333333333333331</v>
      </c>
      <c r="M4474" s="14">
        <v>396</v>
      </c>
      <c r="N4474" s="14">
        <v>353</v>
      </c>
      <c r="O4474" s="14">
        <v>0</v>
      </c>
      <c r="P4474" s="14">
        <v>749</v>
      </c>
      <c r="Q4474">
        <v>12747</v>
      </c>
      <c r="R4474">
        <v>3592</v>
      </c>
      <c r="S4474">
        <v>18</v>
      </c>
    </row>
    <row r="4475" spans="11:19" x14ac:dyDescent="0.3">
      <c r="K4475" s="16">
        <f t="shared" si="69"/>
        <v>44202</v>
      </c>
      <c r="L4475" s="17">
        <v>0.375</v>
      </c>
      <c r="M4475" s="14">
        <v>396</v>
      </c>
      <c r="N4475" s="14">
        <v>917</v>
      </c>
      <c r="O4475" s="14">
        <v>0</v>
      </c>
      <c r="P4475" s="14">
        <v>1313</v>
      </c>
      <c r="Q4475">
        <v>12821</v>
      </c>
      <c r="R4475">
        <v>3530</v>
      </c>
      <c r="S4475">
        <v>192</v>
      </c>
    </row>
    <row r="4476" spans="11:19" x14ac:dyDescent="0.3">
      <c r="K4476" s="16">
        <f t="shared" si="69"/>
        <v>44202</v>
      </c>
      <c r="L4476" s="17">
        <v>0.41666666666666669</v>
      </c>
      <c r="M4476" s="14">
        <v>396</v>
      </c>
      <c r="N4476" s="14">
        <v>31</v>
      </c>
      <c r="O4476" s="14">
        <v>0</v>
      </c>
      <c r="P4476" s="14">
        <v>427</v>
      </c>
      <c r="Q4476">
        <v>12868</v>
      </c>
      <c r="R4476">
        <v>3569</v>
      </c>
      <c r="S4476">
        <v>490</v>
      </c>
    </row>
    <row r="4477" spans="11:19" x14ac:dyDescent="0.3">
      <c r="K4477" s="16">
        <f t="shared" si="69"/>
        <v>44202</v>
      </c>
      <c r="L4477" s="17">
        <v>0.45833333333333331</v>
      </c>
      <c r="M4477" s="14">
        <v>396</v>
      </c>
      <c r="N4477" s="14">
        <v>12</v>
      </c>
      <c r="O4477" s="14">
        <v>0</v>
      </c>
      <c r="P4477" s="14">
        <v>408</v>
      </c>
      <c r="Q4477">
        <v>12950</v>
      </c>
      <c r="R4477">
        <v>3467</v>
      </c>
      <c r="S4477">
        <v>691</v>
      </c>
    </row>
    <row r="4478" spans="11:19" x14ac:dyDescent="0.3">
      <c r="K4478" s="16">
        <f t="shared" si="69"/>
        <v>44202</v>
      </c>
      <c r="L4478" s="17">
        <v>0.5</v>
      </c>
      <c r="M4478" s="14">
        <v>396</v>
      </c>
      <c r="N4478" s="14">
        <v>0</v>
      </c>
      <c r="O4478" s="14">
        <v>0</v>
      </c>
      <c r="P4478" s="14">
        <v>396</v>
      </c>
      <c r="Q4478">
        <v>12926</v>
      </c>
      <c r="R4478">
        <v>3784</v>
      </c>
      <c r="S4478">
        <v>785</v>
      </c>
    </row>
    <row r="4479" spans="11:19" x14ac:dyDescent="0.3">
      <c r="K4479" s="16">
        <f t="shared" si="69"/>
        <v>44202</v>
      </c>
      <c r="L4479" s="17">
        <v>0.54166666666666663</v>
      </c>
      <c r="M4479" s="14">
        <v>396</v>
      </c>
      <c r="N4479" s="14">
        <v>0</v>
      </c>
      <c r="O4479" s="14">
        <v>0</v>
      </c>
      <c r="P4479" s="14">
        <v>396</v>
      </c>
      <c r="Q4479">
        <v>12660</v>
      </c>
      <c r="R4479">
        <v>4196</v>
      </c>
      <c r="S4479">
        <v>784</v>
      </c>
    </row>
    <row r="4480" spans="11:19" x14ac:dyDescent="0.3">
      <c r="K4480" s="16">
        <f t="shared" si="69"/>
        <v>44202</v>
      </c>
      <c r="L4480" s="17">
        <v>0.58333333333333337</v>
      </c>
      <c r="M4480" s="14">
        <v>396</v>
      </c>
      <c r="N4480" s="14">
        <v>0</v>
      </c>
      <c r="O4480" s="14">
        <v>0</v>
      </c>
      <c r="P4480" s="14">
        <v>396</v>
      </c>
      <c r="Q4480">
        <v>12435</v>
      </c>
      <c r="R4480">
        <v>4123</v>
      </c>
      <c r="S4480">
        <v>609</v>
      </c>
    </row>
    <row r="4481" spans="11:19" x14ac:dyDescent="0.3">
      <c r="K4481" s="16">
        <f t="shared" si="69"/>
        <v>44202</v>
      </c>
      <c r="L4481" s="17">
        <v>0.625</v>
      </c>
      <c r="M4481" s="14">
        <v>396</v>
      </c>
      <c r="N4481" s="14">
        <v>0</v>
      </c>
      <c r="O4481" s="14">
        <v>0</v>
      </c>
      <c r="P4481" s="14">
        <v>396</v>
      </c>
      <c r="Q4481">
        <v>12237</v>
      </c>
      <c r="R4481">
        <v>4041</v>
      </c>
      <c r="S4481">
        <v>367</v>
      </c>
    </row>
    <row r="4482" spans="11:19" x14ac:dyDescent="0.3">
      <c r="K4482" s="16">
        <f t="shared" si="69"/>
        <v>44202</v>
      </c>
      <c r="L4482" s="17">
        <v>0.66666666666666663</v>
      </c>
      <c r="M4482" s="14">
        <v>396</v>
      </c>
      <c r="N4482" s="14">
        <v>0</v>
      </c>
      <c r="O4482" s="14">
        <v>0</v>
      </c>
      <c r="P4482" s="14">
        <v>396</v>
      </c>
      <c r="Q4482">
        <v>12172</v>
      </c>
      <c r="R4482">
        <v>3781</v>
      </c>
      <c r="S4482">
        <v>90</v>
      </c>
    </row>
    <row r="4483" spans="11:19" x14ac:dyDescent="0.3">
      <c r="K4483" s="16">
        <f t="shared" si="69"/>
        <v>44202</v>
      </c>
      <c r="L4483" s="17">
        <v>0.70833333333333337</v>
      </c>
      <c r="M4483" s="14">
        <v>396</v>
      </c>
      <c r="N4483" s="14">
        <v>490</v>
      </c>
      <c r="O4483" s="14">
        <v>0</v>
      </c>
      <c r="P4483" s="14">
        <v>886</v>
      </c>
      <c r="Q4483">
        <v>12752</v>
      </c>
      <c r="R4483">
        <v>3476</v>
      </c>
      <c r="S4483">
        <v>4</v>
      </c>
    </row>
    <row r="4484" spans="11:19" x14ac:dyDescent="0.3">
      <c r="K4484" s="16">
        <f t="shared" si="69"/>
        <v>44202</v>
      </c>
      <c r="L4484" s="17">
        <v>0.75</v>
      </c>
      <c r="M4484" s="14">
        <v>396</v>
      </c>
      <c r="N4484" s="14">
        <v>917</v>
      </c>
      <c r="O4484" s="14">
        <v>195</v>
      </c>
      <c r="P4484" s="14">
        <v>1508</v>
      </c>
      <c r="Q4484">
        <v>13308</v>
      </c>
      <c r="R4484">
        <v>3415</v>
      </c>
      <c r="S4484">
        <v>0</v>
      </c>
    </row>
    <row r="4485" spans="11:19" x14ac:dyDescent="0.3">
      <c r="K4485" s="16">
        <f t="shared" si="69"/>
        <v>44202</v>
      </c>
      <c r="L4485" s="17">
        <v>0.79166666666666663</v>
      </c>
      <c r="M4485" s="14">
        <v>396</v>
      </c>
      <c r="N4485" s="14">
        <v>917</v>
      </c>
      <c r="O4485" s="14">
        <v>54</v>
      </c>
      <c r="P4485" s="14">
        <v>1367</v>
      </c>
      <c r="Q4485">
        <v>13170</v>
      </c>
      <c r="R4485">
        <v>3157</v>
      </c>
      <c r="S4485">
        <v>0</v>
      </c>
    </row>
    <row r="4486" spans="11:19" x14ac:dyDescent="0.3">
      <c r="K4486" s="16">
        <f t="shared" si="69"/>
        <v>44202</v>
      </c>
      <c r="L4486" s="17">
        <v>0.83333333333333337</v>
      </c>
      <c r="M4486" s="14">
        <v>396</v>
      </c>
      <c r="N4486" s="14">
        <v>416</v>
      </c>
      <c r="O4486" s="14">
        <v>0</v>
      </c>
      <c r="P4486" s="14">
        <v>812</v>
      </c>
      <c r="Q4486">
        <v>12311</v>
      </c>
      <c r="R4486">
        <v>3119</v>
      </c>
      <c r="S4486">
        <v>0</v>
      </c>
    </row>
    <row r="4487" spans="11:19" x14ac:dyDescent="0.3">
      <c r="K4487" s="16">
        <f t="shared" si="69"/>
        <v>44202</v>
      </c>
      <c r="L4487" s="17">
        <v>0.875</v>
      </c>
      <c r="M4487" s="14">
        <v>396</v>
      </c>
      <c r="N4487" s="14">
        <v>917</v>
      </c>
      <c r="O4487" s="14">
        <v>0</v>
      </c>
      <c r="P4487" s="14">
        <v>1313</v>
      </c>
      <c r="Q4487">
        <v>11570</v>
      </c>
      <c r="R4487">
        <v>2860</v>
      </c>
      <c r="S4487">
        <v>0</v>
      </c>
    </row>
    <row r="4488" spans="11:19" x14ac:dyDescent="0.3">
      <c r="K4488" s="16">
        <f t="shared" si="69"/>
        <v>44202</v>
      </c>
      <c r="L4488" s="17">
        <v>0.91666666666666663</v>
      </c>
      <c r="M4488" s="14">
        <v>396</v>
      </c>
      <c r="N4488" s="14">
        <v>273</v>
      </c>
      <c r="O4488" s="14">
        <v>0</v>
      </c>
      <c r="P4488" s="14">
        <v>669</v>
      </c>
      <c r="Q4488">
        <v>11716</v>
      </c>
      <c r="R4488">
        <v>2668</v>
      </c>
      <c r="S4488">
        <v>0</v>
      </c>
    </row>
    <row r="4489" spans="11:19" x14ac:dyDescent="0.3">
      <c r="K4489" s="16">
        <f t="shared" si="69"/>
        <v>44202</v>
      </c>
      <c r="L4489" s="17">
        <v>0.95833333333333337</v>
      </c>
      <c r="M4489" s="14">
        <v>396</v>
      </c>
      <c r="N4489" s="14">
        <v>547</v>
      </c>
      <c r="O4489" s="14">
        <v>0</v>
      </c>
      <c r="P4489" s="14">
        <v>943</v>
      </c>
      <c r="Q4489">
        <v>11862</v>
      </c>
      <c r="R4489">
        <v>2538</v>
      </c>
      <c r="S4489">
        <v>0</v>
      </c>
    </row>
    <row r="4490" spans="11:19" x14ac:dyDescent="0.3">
      <c r="K4490" s="16">
        <f t="shared" si="69"/>
        <v>44203</v>
      </c>
      <c r="L4490" s="17">
        <v>0</v>
      </c>
      <c r="M4490" s="14">
        <v>396</v>
      </c>
      <c r="N4490" s="14">
        <v>0</v>
      </c>
      <c r="O4490" s="14">
        <v>0</v>
      </c>
      <c r="P4490" s="14">
        <v>396</v>
      </c>
      <c r="Q4490">
        <v>11202</v>
      </c>
      <c r="R4490">
        <v>2474</v>
      </c>
      <c r="S4490">
        <v>0</v>
      </c>
    </row>
    <row r="4491" spans="11:19" x14ac:dyDescent="0.3">
      <c r="K4491" s="16">
        <f t="shared" si="69"/>
        <v>44203</v>
      </c>
      <c r="L4491" s="17">
        <v>4.1666666666666664E-2</v>
      </c>
      <c r="M4491" s="14">
        <v>396</v>
      </c>
      <c r="N4491" s="14">
        <v>0</v>
      </c>
      <c r="O4491" s="14">
        <v>0</v>
      </c>
      <c r="P4491" s="14">
        <v>396</v>
      </c>
      <c r="Q4491">
        <v>10901</v>
      </c>
      <c r="R4491">
        <v>2240</v>
      </c>
      <c r="S4491">
        <v>0</v>
      </c>
    </row>
    <row r="4492" spans="11:19" x14ac:dyDescent="0.3">
      <c r="K4492" s="16">
        <f t="shared" si="69"/>
        <v>44203</v>
      </c>
      <c r="L4492" s="17">
        <v>8.3333333333333329E-2</v>
      </c>
      <c r="M4492" s="14">
        <v>396</v>
      </c>
      <c r="N4492" s="14">
        <v>29</v>
      </c>
      <c r="O4492" s="14">
        <v>0</v>
      </c>
      <c r="P4492" s="14">
        <v>425</v>
      </c>
      <c r="Q4492">
        <v>10624</v>
      </c>
      <c r="R4492">
        <v>1827</v>
      </c>
      <c r="S4492">
        <v>0</v>
      </c>
    </row>
    <row r="4493" spans="11:19" x14ac:dyDescent="0.3">
      <c r="K4493" s="16">
        <f t="shared" si="69"/>
        <v>44203</v>
      </c>
      <c r="L4493" s="17">
        <v>0.125</v>
      </c>
      <c r="M4493" s="14">
        <v>396</v>
      </c>
      <c r="N4493" s="14">
        <v>0</v>
      </c>
      <c r="O4493" s="14">
        <v>0</v>
      </c>
      <c r="P4493" s="14">
        <v>396</v>
      </c>
      <c r="Q4493">
        <v>10251</v>
      </c>
      <c r="R4493">
        <v>1699</v>
      </c>
      <c r="S4493">
        <v>0</v>
      </c>
    </row>
    <row r="4494" spans="11:19" x14ac:dyDescent="0.3">
      <c r="K4494" s="16">
        <f t="shared" si="69"/>
        <v>44203</v>
      </c>
      <c r="L4494" s="17">
        <v>0.16666666666666666</v>
      </c>
      <c r="M4494" s="14">
        <v>396</v>
      </c>
      <c r="N4494" s="14">
        <v>1711</v>
      </c>
      <c r="O4494" s="14">
        <v>0</v>
      </c>
      <c r="P4494" s="14">
        <v>2107</v>
      </c>
      <c r="Q4494">
        <v>10216</v>
      </c>
      <c r="R4494">
        <v>1401</v>
      </c>
      <c r="S4494">
        <v>0</v>
      </c>
    </row>
    <row r="4495" spans="11:19" x14ac:dyDescent="0.3">
      <c r="K4495" s="16">
        <f t="shared" si="69"/>
        <v>44203</v>
      </c>
      <c r="L4495" s="17">
        <v>0.20833333333333334</v>
      </c>
      <c r="M4495" s="14">
        <v>396</v>
      </c>
      <c r="N4495" s="14">
        <v>831</v>
      </c>
      <c r="O4495" s="14">
        <v>0</v>
      </c>
      <c r="P4495" s="14">
        <v>1227</v>
      </c>
      <c r="Q4495">
        <v>10717</v>
      </c>
      <c r="R4495">
        <v>1121</v>
      </c>
      <c r="S4495">
        <v>0</v>
      </c>
    </row>
    <row r="4496" spans="11:19" x14ac:dyDescent="0.3">
      <c r="K4496" s="16">
        <f t="shared" si="69"/>
        <v>44203</v>
      </c>
      <c r="L4496" s="17">
        <v>0.25</v>
      </c>
      <c r="M4496" s="14">
        <v>396</v>
      </c>
      <c r="N4496" s="14">
        <v>1711</v>
      </c>
      <c r="O4496" s="14">
        <v>0</v>
      </c>
      <c r="P4496" s="14">
        <v>2107</v>
      </c>
      <c r="Q4496">
        <v>11908</v>
      </c>
      <c r="R4496">
        <v>986</v>
      </c>
      <c r="S4496">
        <v>0</v>
      </c>
    </row>
    <row r="4497" spans="11:19" x14ac:dyDescent="0.3">
      <c r="K4497" s="16">
        <f t="shared" si="69"/>
        <v>44203</v>
      </c>
      <c r="L4497" s="17">
        <v>0.29166666666666669</v>
      </c>
      <c r="M4497" s="14">
        <v>396</v>
      </c>
      <c r="N4497" s="14">
        <v>1711</v>
      </c>
      <c r="O4497" s="14">
        <v>0</v>
      </c>
      <c r="P4497" s="14">
        <v>2107</v>
      </c>
      <c r="Q4497">
        <v>12942</v>
      </c>
      <c r="R4497">
        <v>842</v>
      </c>
      <c r="S4497">
        <v>0</v>
      </c>
    </row>
    <row r="4498" spans="11:19" x14ac:dyDescent="0.3">
      <c r="K4498" s="16">
        <f t="shared" si="69"/>
        <v>44203</v>
      </c>
      <c r="L4498" s="17">
        <v>0.33333333333333331</v>
      </c>
      <c r="M4498" s="14">
        <v>396</v>
      </c>
      <c r="N4498" s="14">
        <v>1711</v>
      </c>
      <c r="O4498" s="14">
        <v>0</v>
      </c>
      <c r="P4498" s="14">
        <v>2107</v>
      </c>
      <c r="Q4498">
        <v>13281</v>
      </c>
      <c r="R4498">
        <v>746</v>
      </c>
      <c r="S4498">
        <v>20</v>
      </c>
    </row>
    <row r="4499" spans="11:19" x14ac:dyDescent="0.3">
      <c r="K4499" s="16">
        <f t="shared" si="69"/>
        <v>44203</v>
      </c>
      <c r="L4499" s="17">
        <v>0.375</v>
      </c>
      <c r="M4499" s="14">
        <v>396</v>
      </c>
      <c r="N4499" s="14">
        <v>1711</v>
      </c>
      <c r="O4499" s="14">
        <v>0</v>
      </c>
      <c r="P4499" s="14">
        <v>2107</v>
      </c>
      <c r="Q4499">
        <v>13353</v>
      </c>
      <c r="R4499">
        <v>802</v>
      </c>
      <c r="S4499">
        <v>152</v>
      </c>
    </row>
    <row r="4500" spans="11:19" x14ac:dyDescent="0.3">
      <c r="K4500" s="16">
        <f t="shared" si="69"/>
        <v>44203</v>
      </c>
      <c r="L4500" s="17">
        <v>0.41666666666666669</v>
      </c>
      <c r="M4500" s="14">
        <v>396</v>
      </c>
      <c r="N4500" s="14">
        <v>1711</v>
      </c>
      <c r="O4500" s="14">
        <v>0</v>
      </c>
      <c r="P4500" s="14">
        <v>2107</v>
      </c>
      <c r="Q4500">
        <v>13376</v>
      </c>
      <c r="R4500">
        <v>822</v>
      </c>
      <c r="S4500">
        <v>387</v>
      </c>
    </row>
    <row r="4501" spans="11:19" x14ac:dyDescent="0.3">
      <c r="K4501" s="16">
        <f t="shared" si="69"/>
        <v>44203</v>
      </c>
      <c r="L4501" s="17">
        <v>0.45833333333333331</v>
      </c>
      <c r="M4501" s="14">
        <v>396</v>
      </c>
      <c r="N4501" s="14">
        <v>1711</v>
      </c>
      <c r="O4501" s="14">
        <v>0</v>
      </c>
      <c r="P4501" s="14">
        <v>2107</v>
      </c>
      <c r="Q4501">
        <v>13453</v>
      </c>
      <c r="R4501">
        <v>1073</v>
      </c>
      <c r="S4501">
        <v>500</v>
      </c>
    </row>
    <row r="4502" spans="11:19" x14ac:dyDescent="0.3">
      <c r="K4502" s="16">
        <f t="shared" si="69"/>
        <v>44203</v>
      </c>
      <c r="L4502" s="17">
        <v>0.5</v>
      </c>
      <c r="M4502" s="14">
        <v>396</v>
      </c>
      <c r="N4502" s="14">
        <v>1711</v>
      </c>
      <c r="O4502" s="14">
        <v>0</v>
      </c>
      <c r="P4502" s="14">
        <v>2107</v>
      </c>
      <c r="Q4502">
        <v>13420</v>
      </c>
      <c r="R4502">
        <v>1309</v>
      </c>
      <c r="S4502">
        <v>573</v>
      </c>
    </row>
    <row r="4503" spans="11:19" x14ac:dyDescent="0.3">
      <c r="K4503" s="16">
        <f t="shared" si="69"/>
        <v>44203</v>
      </c>
      <c r="L4503" s="17">
        <v>0.54166666666666663</v>
      </c>
      <c r="M4503" s="14">
        <v>396</v>
      </c>
      <c r="N4503" s="14">
        <v>1711</v>
      </c>
      <c r="O4503" s="14">
        <v>0</v>
      </c>
      <c r="P4503" s="14">
        <v>2107</v>
      </c>
      <c r="Q4503">
        <v>13137</v>
      </c>
      <c r="R4503">
        <v>1512</v>
      </c>
      <c r="S4503">
        <v>588</v>
      </c>
    </row>
    <row r="4504" spans="11:19" x14ac:dyDescent="0.3">
      <c r="K4504" s="16">
        <f t="shared" si="69"/>
        <v>44203</v>
      </c>
      <c r="L4504" s="17">
        <v>0.58333333333333337</v>
      </c>
      <c r="M4504" s="14">
        <v>396</v>
      </c>
      <c r="N4504" s="14">
        <v>1711</v>
      </c>
      <c r="O4504" s="14">
        <v>0</v>
      </c>
      <c r="P4504" s="14">
        <v>2107</v>
      </c>
      <c r="Q4504">
        <v>12858</v>
      </c>
      <c r="R4504">
        <v>1743</v>
      </c>
      <c r="S4504">
        <v>504</v>
      </c>
    </row>
    <row r="4505" spans="11:19" x14ac:dyDescent="0.3">
      <c r="K4505" s="16">
        <f t="shared" si="69"/>
        <v>44203</v>
      </c>
      <c r="L4505" s="17">
        <v>0.625</v>
      </c>
      <c r="M4505" s="14">
        <v>396</v>
      </c>
      <c r="N4505" s="14">
        <v>1469</v>
      </c>
      <c r="O4505" s="14">
        <v>0</v>
      </c>
      <c r="P4505" s="14">
        <v>1865</v>
      </c>
      <c r="Q4505">
        <v>12632</v>
      </c>
      <c r="R4505">
        <v>2066</v>
      </c>
      <c r="S4505">
        <v>315</v>
      </c>
    </row>
    <row r="4506" spans="11:19" x14ac:dyDescent="0.3">
      <c r="K4506" s="16">
        <f t="shared" si="69"/>
        <v>44203</v>
      </c>
      <c r="L4506" s="17">
        <v>0.66666666666666663</v>
      </c>
      <c r="M4506" s="14">
        <v>396</v>
      </c>
      <c r="N4506" s="14">
        <v>1151</v>
      </c>
      <c r="O4506" s="14">
        <v>0</v>
      </c>
      <c r="P4506" s="14">
        <v>1547</v>
      </c>
      <c r="Q4506">
        <v>12544</v>
      </c>
      <c r="R4506">
        <v>2523</v>
      </c>
      <c r="S4506">
        <v>88</v>
      </c>
    </row>
    <row r="4507" spans="11:19" x14ac:dyDescent="0.3">
      <c r="K4507" s="16">
        <f t="shared" ref="K4507:K4570" si="70">K4483+1</f>
        <v>44203</v>
      </c>
      <c r="L4507" s="17">
        <v>0.70833333333333337</v>
      </c>
      <c r="M4507" s="14">
        <v>396</v>
      </c>
      <c r="N4507" s="14">
        <v>1267</v>
      </c>
      <c r="O4507" s="14">
        <v>0</v>
      </c>
      <c r="P4507" s="14">
        <v>1663</v>
      </c>
      <c r="Q4507">
        <v>13060</v>
      </c>
      <c r="R4507">
        <v>3004</v>
      </c>
      <c r="S4507">
        <v>7</v>
      </c>
    </row>
    <row r="4508" spans="11:19" x14ac:dyDescent="0.3">
      <c r="K4508" s="16">
        <f t="shared" si="70"/>
        <v>44203</v>
      </c>
      <c r="L4508" s="17">
        <v>0.75</v>
      </c>
      <c r="M4508" s="14">
        <v>396</v>
      </c>
      <c r="N4508" s="14">
        <v>1094</v>
      </c>
      <c r="O4508" s="14">
        <v>0</v>
      </c>
      <c r="P4508" s="14">
        <v>1490</v>
      </c>
      <c r="Q4508">
        <v>13493</v>
      </c>
      <c r="R4508">
        <v>3619</v>
      </c>
      <c r="S4508">
        <v>0</v>
      </c>
    </row>
    <row r="4509" spans="11:19" x14ac:dyDescent="0.3">
      <c r="K4509" s="16">
        <f t="shared" si="70"/>
        <v>44203</v>
      </c>
      <c r="L4509" s="17">
        <v>0.79166666666666663</v>
      </c>
      <c r="M4509" s="14">
        <v>396</v>
      </c>
      <c r="N4509" s="14">
        <v>605</v>
      </c>
      <c r="O4509" s="14">
        <v>0</v>
      </c>
      <c r="P4509" s="14">
        <v>1001</v>
      </c>
      <c r="Q4509">
        <v>13367</v>
      </c>
      <c r="R4509">
        <v>3983</v>
      </c>
      <c r="S4509">
        <v>0</v>
      </c>
    </row>
    <row r="4510" spans="11:19" x14ac:dyDescent="0.3">
      <c r="K4510" s="16">
        <f t="shared" si="70"/>
        <v>44203</v>
      </c>
      <c r="L4510" s="17">
        <v>0.83333333333333337</v>
      </c>
      <c r="M4510" s="14">
        <v>396</v>
      </c>
      <c r="N4510" s="14">
        <v>0</v>
      </c>
      <c r="O4510" s="14">
        <v>0</v>
      </c>
      <c r="P4510" s="14">
        <v>396</v>
      </c>
      <c r="Q4510">
        <v>12417</v>
      </c>
      <c r="R4510">
        <v>4317</v>
      </c>
      <c r="S4510">
        <v>0</v>
      </c>
    </row>
    <row r="4511" spans="11:19" x14ac:dyDescent="0.3">
      <c r="K4511" s="16">
        <f t="shared" si="70"/>
        <v>44203</v>
      </c>
      <c r="L4511" s="17">
        <v>0.875</v>
      </c>
      <c r="M4511" s="14">
        <v>396</v>
      </c>
      <c r="N4511" s="14">
        <v>0</v>
      </c>
      <c r="O4511" s="14">
        <v>0</v>
      </c>
      <c r="P4511" s="14">
        <v>396</v>
      </c>
      <c r="Q4511">
        <v>11608</v>
      </c>
      <c r="R4511">
        <v>4312</v>
      </c>
      <c r="S4511">
        <v>0</v>
      </c>
    </row>
    <row r="4512" spans="11:19" x14ac:dyDescent="0.3">
      <c r="K4512" s="16">
        <f t="shared" si="70"/>
        <v>44203</v>
      </c>
      <c r="L4512" s="17">
        <v>0.91666666666666663</v>
      </c>
      <c r="M4512" s="14">
        <v>396</v>
      </c>
      <c r="N4512" s="14">
        <v>1201</v>
      </c>
      <c r="O4512" s="14">
        <v>0</v>
      </c>
      <c r="P4512" s="14">
        <v>1597</v>
      </c>
      <c r="Q4512">
        <v>11692</v>
      </c>
      <c r="R4512">
        <v>4388</v>
      </c>
      <c r="S4512">
        <v>0</v>
      </c>
    </row>
    <row r="4513" spans="11:19" x14ac:dyDescent="0.3">
      <c r="K4513" s="16">
        <f t="shared" si="70"/>
        <v>44203</v>
      </c>
      <c r="L4513" s="17">
        <v>0.95833333333333337</v>
      </c>
      <c r="M4513" s="14">
        <v>396</v>
      </c>
      <c r="N4513" s="14">
        <v>1488</v>
      </c>
      <c r="O4513" s="14">
        <v>0</v>
      </c>
      <c r="P4513" s="14">
        <v>1884</v>
      </c>
      <c r="Q4513">
        <v>11772</v>
      </c>
      <c r="R4513">
        <v>4288</v>
      </c>
      <c r="S4513">
        <v>0</v>
      </c>
    </row>
    <row r="4514" spans="11:19" x14ac:dyDescent="0.3">
      <c r="K4514" s="16">
        <f t="shared" si="70"/>
        <v>44204</v>
      </c>
      <c r="L4514" s="17">
        <v>0</v>
      </c>
      <c r="M4514" s="14">
        <v>396</v>
      </c>
      <c r="N4514" s="14">
        <v>0</v>
      </c>
      <c r="O4514" s="14">
        <v>682</v>
      </c>
      <c r="P4514" s="14">
        <v>1078</v>
      </c>
      <c r="Q4514">
        <v>11133</v>
      </c>
      <c r="R4514">
        <v>4258</v>
      </c>
      <c r="S4514">
        <v>0</v>
      </c>
    </row>
    <row r="4515" spans="11:19" x14ac:dyDescent="0.3">
      <c r="K4515" s="16">
        <f t="shared" si="70"/>
        <v>44204</v>
      </c>
      <c r="L4515" s="17">
        <v>4.1666666666666664E-2</v>
      </c>
      <c r="M4515" s="14">
        <v>396</v>
      </c>
      <c r="N4515" s="14">
        <v>0</v>
      </c>
      <c r="O4515" s="14">
        <v>0</v>
      </c>
      <c r="P4515" s="14">
        <v>396</v>
      </c>
      <c r="Q4515">
        <v>10768</v>
      </c>
      <c r="R4515">
        <v>4394</v>
      </c>
      <c r="S4515">
        <v>0</v>
      </c>
    </row>
    <row r="4516" spans="11:19" x14ac:dyDescent="0.3">
      <c r="K4516" s="16">
        <f t="shared" si="70"/>
        <v>44204</v>
      </c>
      <c r="L4516" s="17">
        <v>8.3333333333333329E-2</v>
      </c>
      <c r="M4516" s="14">
        <v>396</v>
      </c>
      <c r="N4516" s="14">
        <v>0</v>
      </c>
      <c r="O4516" s="14">
        <v>-6</v>
      </c>
      <c r="P4516" s="14">
        <v>390</v>
      </c>
      <c r="Q4516">
        <v>10435</v>
      </c>
      <c r="R4516">
        <v>4454</v>
      </c>
      <c r="S4516">
        <v>0</v>
      </c>
    </row>
    <row r="4517" spans="11:19" x14ac:dyDescent="0.3">
      <c r="K4517" s="16">
        <f t="shared" si="70"/>
        <v>44204</v>
      </c>
      <c r="L4517" s="17">
        <v>0.125</v>
      </c>
      <c r="M4517" s="14">
        <v>396</v>
      </c>
      <c r="N4517" s="14">
        <v>0</v>
      </c>
      <c r="O4517" s="14">
        <v>-777</v>
      </c>
      <c r="P4517" s="14">
        <v>-381</v>
      </c>
      <c r="Q4517">
        <v>9957</v>
      </c>
      <c r="R4517">
        <v>4668</v>
      </c>
      <c r="S4517">
        <v>0</v>
      </c>
    </row>
    <row r="4518" spans="11:19" x14ac:dyDescent="0.3">
      <c r="K4518" s="16">
        <f t="shared" si="70"/>
        <v>44204</v>
      </c>
      <c r="L4518" s="17">
        <v>0.16666666666666666</v>
      </c>
      <c r="M4518" s="14">
        <v>396</v>
      </c>
      <c r="N4518" s="14">
        <v>0</v>
      </c>
      <c r="O4518" s="14">
        <v>-1006</v>
      </c>
      <c r="P4518" s="14">
        <v>-610</v>
      </c>
      <c r="Q4518">
        <v>9810</v>
      </c>
      <c r="R4518">
        <v>4752</v>
      </c>
      <c r="S4518">
        <v>0</v>
      </c>
    </row>
    <row r="4519" spans="11:19" x14ac:dyDescent="0.3">
      <c r="K4519" s="16">
        <f t="shared" si="70"/>
        <v>44204</v>
      </c>
      <c r="L4519" s="17">
        <v>0.20833333333333334</v>
      </c>
      <c r="M4519" s="14">
        <v>396</v>
      </c>
      <c r="N4519" s="14">
        <v>0</v>
      </c>
      <c r="O4519" s="14">
        <v>-595</v>
      </c>
      <c r="P4519" s="14">
        <v>-199</v>
      </c>
      <c r="Q4519">
        <v>10189</v>
      </c>
      <c r="R4519">
        <v>4720</v>
      </c>
      <c r="S4519">
        <v>0</v>
      </c>
    </row>
    <row r="4520" spans="11:19" x14ac:dyDescent="0.3">
      <c r="K4520" s="16">
        <f t="shared" si="70"/>
        <v>44204</v>
      </c>
      <c r="L4520" s="17">
        <v>0.25</v>
      </c>
      <c r="M4520" s="14">
        <v>396</v>
      </c>
      <c r="N4520" s="14">
        <v>0</v>
      </c>
      <c r="O4520" s="14">
        <v>0</v>
      </c>
      <c r="P4520" s="14">
        <v>396</v>
      </c>
      <c r="Q4520">
        <v>11099</v>
      </c>
      <c r="R4520">
        <v>4627</v>
      </c>
      <c r="S4520">
        <v>0</v>
      </c>
    </row>
    <row r="4521" spans="11:19" x14ac:dyDescent="0.3">
      <c r="K4521" s="16">
        <f t="shared" si="70"/>
        <v>44204</v>
      </c>
      <c r="L4521" s="17">
        <v>0.29166666666666669</v>
      </c>
      <c r="M4521" s="14">
        <v>396</v>
      </c>
      <c r="N4521" s="14">
        <v>0</v>
      </c>
      <c r="O4521" s="14">
        <v>0</v>
      </c>
      <c r="P4521" s="14">
        <v>396</v>
      </c>
      <c r="Q4521">
        <v>11906</v>
      </c>
      <c r="R4521">
        <v>4481</v>
      </c>
      <c r="S4521">
        <v>0</v>
      </c>
    </row>
    <row r="4522" spans="11:19" x14ac:dyDescent="0.3">
      <c r="K4522" s="16">
        <f t="shared" si="70"/>
        <v>44204</v>
      </c>
      <c r="L4522" s="17">
        <v>0.33333333333333331</v>
      </c>
      <c r="M4522" s="14">
        <v>396</v>
      </c>
      <c r="N4522" s="14">
        <v>0</v>
      </c>
      <c r="O4522" s="14">
        <v>0</v>
      </c>
      <c r="P4522" s="14">
        <v>396</v>
      </c>
      <c r="Q4522">
        <v>12197</v>
      </c>
      <c r="R4522">
        <v>4391</v>
      </c>
      <c r="S4522">
        <v>20</v>
      </c>
    </row>
    <row r="4523" spans="11:19" x14ac:dyDescent="0.3">
      <c r="K4523" s="16">
        <f t="shared" si="70"/>
        <v>44204</v>
      </c>
      <c r="L4523" s="17">
        <v>0.375</v>
      </c>
      <c r="M4523" s="14">
        <v>396</v>
      </c>
      <c r="N4523" s="14">
        <v>0</v>
      </c>
      <c r="O4523" s="14">
        <v>0</v>
      </c>
      <c r="P4523" s="14">
        <v>396</v>
      </c>
      <c r="Q4523">
        <v>12289</v>
      </c>
      <c r="R4523">
        <v>4387</v>
      </c>
      <c r="S4523">
        <v>151</v>
      </c>
    </row>
    <row r="4524" spans="11:19" x14ac:dyDescent="0.3">
      <c r="K4524" s="16">
        <f t="shared" si="70"/>
        <v>44204</v>
      </c>
      <c r="L4524" s="17">
        <v>0.41666666666666669</v>
      </c>
      <c r="M4524" s="14">
        <v>396</v>
      </c>
      <c r="N4524" s="14">
        <v>619</v>
      </c>
      <c r="O4524" s="14">
        <v>0</v>
      </c>
      <c r="P4524" s="14">
        <v>1015</v>
      </c>
      <c r="Q4524">
        <v>12342</v>
      </c>
      <c r="R4524">
        <v>4374</v>
      </c>
      <c r="S4524">
        <v>416</v>
      </c>
    </row>
    <row r="4525" spans="11:19" x14ac:dyDescent="0.3">
      <c r="K4525" s="16">
        <f t="shared" si="70"/>
        <v>44204</v>
      </c>
      <c r="L4525" s="17">
        <v>0.45833333333333331</v>
      </c>
      <c r="M4525" s="14">
        <v>396</v>
      </c>
      <c r="N4525" s="14">
        <v>0</v>
      </c>
      <c r="O4525" s="14">
        <v>0</v>
      </c>
      <c r="P4525" s="14">
        <v>396</v>
      </c>
      <c r="Q4525">
        <v>12422</v>
      </c>
      <c r="R4525">
        <v>4197</v>
      </c>
      <c r="S4525">
        <v>573</v>
      </c>
    </row>
    <row r="4526" spans="11:19" x14ac:dyDescent="0.3">
      <c r="K4526" s="16">
        <f t="shared" si="70"/>
        <v>44204</v>
      </c>
      <c r="L4526" s="17">
        <v>0.5</v>
      </c>
      <c r="M4526" s="14">
        <v>396</v>
      </c>
      <c r="N4526" s="14">
        <v>0</v>
      </c>
      <c r="O4526" s="14">
        <v>0</v>
      </c>
      <c r="P4526" s="14">
        <v>396</v>
      </c>
      <c r="Q4526">
        <v>12454</v>
      </c>
      <c r="R4526">
        <v>4301</v>
      </c>
      <c r="S4526">
        <v>673</v>
      </c>
    </row>
    <row r="4527" spans="11:19" x14ac:dyDescent="0.3">
      <c r="K4527" s="16">
        <f t="shared" si="70"/>
        <v>44204</v>
      </c>
      <c r="L4527" s="17">
        <v>0.54166666666666663</v>
      </c>
      <c r="M4527" s="14">
        <v>396</v>
      </c>
      <c r="N4527" s="14">
        <v>0</v>
      </c>
      <c r="O4527" s="14">
        <v>0</v>
      </c>
      <c r="P4527" s="14">
        <v>396</v>
      </c>
      <c r="Q4527">
        <v>12139</v>
      </c>
      <c r="R4527">
        <v>4201</v>
      </c>
      <c r="S4527">
        <v>641</v>
      </c>
    </row>
    <row r="4528" spans="11:19" x14ac:dyDescent="0.3">
      <c r="K4528" s="16">
        <f t="shared" si="70"/>
        <v>44204</v>
      </c>
      <c r="L4528" s="17">
        <v>0.58333333333333337</v>
      </c>
      <c r="M4528" s="14">
        <v>396</v>
      </c>
      <c r="N4528" s="14">
        <v>0</v>
      </c>
      <c r="O4528" s="14">
        <v>0</v>
      </c>
      <c r="P4528" s="14">
        <v>396</v>
      </c>
      <c r="Q4528">
        <v>11882</v>
      </c>
      <c r="R4528">
        <v>4240</v>
      </c>
      <c r="S4528">
        <v>538</v>
      </c>
    </row>
    <row r="4529" spans="11:19" x14ac:dyDescent="0.3">
      <c r="K4529" s="16">
        <f t="shared" si="70"/>
        <v>44204</v>
      </c>
      <c r="L4529" s="17">
        <v>0.625</v>
      </c>
      <c r="M4529" s="14">
        <v>396</v>
      </c>
      <c r="N4529" s="14">
        <v>0</v>
      </c>
      <c r="O4529" s="14">
        <v>0</v>
      </c>
      <c r="P4529" s="14">
        <v>396</v>
      </c>
      <c r="Q4529">
        <v>11627</v>
      </c>
      <c r="R4529">
        <v>4330</v>
      </c>
      <c r="S4529">
        <v>323</v>
      </c>
    </row>
    <row r="4530" spans="11:19" x14ac:dyDescent="0.3">
      <c r="K4530" s="16">
        <f t="shared" si="70"/>
        <v>44204</v>
      </c>
      <c r="L4530" s="17">
        <v>0.66666666666666663</v>
      </c>
      <c r="M4530" s="14">
        <v>396</v>
      </c>
      <c r="N4530" s="14">
        <v>0</v>
      </c>
      <c r="O4530" s="14">
        <v>982</v>
      </c>
      <c r="P4530" s="14">
        <v>1378</v>
      </c>
      <c r="Q4530">
        <v>11532</v>
      </c>
      <c r="R4530">
        <v>4310</v>
      </c>
      <c r="S4530">
        <v>79</v>
      </c>
    </row>
    <row r="4531" spans="11:19" x14ac:dyDescent="0.3">
      <c r="K4531" s="16">
        <f t="shared" si="70"/>
        <v>44204</v>
      </c>
      <c r="L4531" s="17">
        <v>0.70833333333333337</v>
      </c>
      <c r="M4531" s="14">
        <v>396</v>
      </c>
      <c r="N4531" s="14">
        <v>0</v>
      </c>
      <c r="O4531" s="14">
        <v>0</v>
      </c>
      <c r="P4531" s="14">
        <v>396</v>
      </c>
      <c r="Q4531">
        <v>12145</v>
      </c>
      <c r="R4531">
        <v>4294</v>
      </c>
      <c r="S4531">
        <v>8</v>
      </c>
    </row>
    <row r="4532" spans="11:19" x14ac:dyDescent="0.3">
      <c r="K4532" s="16">
        <f t="shared" si="70"/>
        <v>44204</v>
      </c>
      <c r="L4532" s="17">
        <v>0.75</v>
      </c>
      <c r="M4532" s="14">
        <v>396</v>
      </c>
      <c r="N4532" s="14">
        <v>0</v>
      </c>
      <c r="O4532" s="14">
        <v>0</v>
      </c>
      <c r="P4532" s="14">
        <v>396</v>
      </c>
      <c r="Q4532">
        <v>12543</v>
      </c>
      <c r="R4532">
        <v>4234</v>
      </c>
      <c r="S4532">
        <v>0</v>
      </c>
    </row>
    <row r="4533" spans="11:19" x14ac:dyDescent="0.3">
      <c r="K4533" s="16">
        <f t="shared" si="70"/>
        <v>44204</v>
      </c>
      <c r="L4533" s="17">
        <v>0.79166666666666663</v>
      </c>
      <c r="M4533" s="14">
        <v>396</v>
      </c>
      <c r="N4533" s="14">
        <v>0</v>
      </c>
      <c r="O4533" s="14">
        <v>0</v>
      </c>
      <c r="P4533" s="14">
        <v>396</v>
      </c>
      <c r="Q4533">
        <v>12190</v>
      </c>
      <c r="R4533">
        <v>3946</v>
      </c>
      <c r="S4533">
        <v>0</v>
      </c>
    </row>
    <row r="4534" spans="11:19" x14ac:dyDescent="0.3">
      <c r="K4534" s="16">
        <f t="shared" si="70"/>
        <v>44204</v>
      </c>
      <c r="L4534" s="17">
        <v>0.83333333333333337</v>
      </c>
      <c r="M4534" s="14">
        <v>396</v>
      </c>
      <c r="N4534" s="14">
        <v>619</v>
      </c>
      <c r="O4534" s="14">
        <v>0</v>
      </c>
      <c r="P4534" s="14">
        <v>1015</v>
      </c>
      <c r="Q4534">
        <v>11397</v>
      </c>
      <c r="R4534">
        <v>3437</v>
      </c>
      <c r="S4534">
        <v>0</v>
      </c>
    </row>
    <row r="4535" spans="11:19" x14ac:dyDescent="0.3">
      <c r="K4535" s="16">
        <f t="shared" si="70"/>
        <v>44204</v>
      </c>
      <c r="L4535" s="17">
        <v>0.875</v>
      </c>
      <c r="M4535" s="14">
        <v>396</v>
      </c>
      <c r="N4535" s="14">
        <v>0</v>
      </c>
      <c r="O4535" s="14">
        <v>0</v>
      </c>
      <c r="P4535" s="14">
        <v>396</v>
      </c>
      <c r="Q4535">
        <v>10828</v>
      </c>
      <c r="R4535">
        <v>2621</v>
      </c>
      <c r="S4535">
        <v>0</v>
      </c>
    </row>
    <row r="4536" spans="11:19" x14ac:dyDescent="0.3">
      <c r="K4536" s="16">
        <f t="shared" si="70"/>
        <v>44204</v>
      </c>
      <c r="L4536" s="17">
        <v>0.91666666666666663</v>
      </c>
      <c r="M4536" s="14">
        <v>396</v>
      </c>
      <c r="N4536" s="14">
        <v>0</v>
      </c>
      <c r="O4536" s="14">
        <v>89</v>
      </c>
      <c r="P4536" s="14">
        <v>485</v>
      </c>
      <c r="Q4536">
        <v>11044</v>
      </c>
      <c r="R4536">
        <v>2182</v>
      </c>
      <c r="S4536">
        <v>0</v>
      </c>
    </row>
    <row r="4537" spans="11:19" x14ac:dyDescent="0.3">
      <c r="K4537" s="16">
        <f t="shared" si="70"/>
        <v>44204</v>
      </c>
      <c r="L4537" s="17">
        <v>0.95833333333333337</v>
      </c>
      <c r="M4537" s="14">
        <v>396</v>
      </c>
      <c r="N4537" s="14">
        <v>0</v>
      </c>
      <c r="O4537" s="14">
        <v>155</v>
      </c>
      <c r="P4537" s="14">
        <v>551</v>
      </c>
      <c r="Q4537">
        <v>11223</v>
      </c>
      <c r="R4537">
        <v>2293</v>
      </c>
      <c r="S4537">
        <v>0</v>
      </c>
    </row>
    <row r="4538" spans="11:19" x14ac:dyDescent="0.3">
      <c r="K4538" s="16">
        <f t="shared" si="70"/>
        <v>44205</v>
      </c>
      <c r="L4538" s="17">
        <v>0</v>
      </c>
      <c r="M4538" s="14">
        <v>396</v>
      </c>
      <c r="N4538" s="14">
        <v>0</v>
      </c>
      <c r="O4538" s="14">
        <v>0</v>
      </c>
      <c r="P4538" s="14">
        <v>396</v>
      </c>
      <c r="Q4538">
        <v>10197</v>
      </c>
      <c r="R4538">
        <v>1941</v>
      </c>
      <c r="S4538">
        <v>0</v>
      </c>
    </row>
    <row r="4539" spans="11:19" x14ac:dyDescent="0.3">
      <c r="K4539" s="16">
        <f t="shared" si="70"/>
        <v>44205</v>
      </c>
      <c r="L4539" s="17">
        <v>4.1666666666666664E-2</v>
      </c>
      <c r="M4539" s="14">
        <v>396</v>
      </c>
      <c r="N4539" s="14">
        <v>0</v>
      </c>
      <c r="O4539" s="14">
        <v>0</v>
      </c>
      <c r="P4539" s="14">
        <v>396</v>
      </c>
      <c r="Q4539">
        <v>9872</v>
      </c>
      <c r="R4539">
        <v>1800</v>
      </c>
      <c r="S4539">
        <v>0</v>
      </c>
    </row>
    <row r="4540" spans="11:19" x14ac:dyDescent="0.3">
      <c r="K4540" s="16">
        <f t="shared" si="70"/>
        <v>44205</v>
      </c>
      <c r="L4540" s="17">
        <v>8.3333333333333329E-2</v>
      </c>
      <c r="M4540" s="14">
        <v>396</v>
      </c>
      <c r="N4540" s="14">
        <v>0</v>
      </c>
      <c r="O4540" s="14">
        <v>0</v>
      </c>
      <c r="P4540" s="14">
        <v>396</v>
      </c>
      <c r="Q4540">
        <v>9599</v>
      </c>
      <c r="R4540">
        <v>1484</v>
      </c>
      <c r="S4540">
        <v>0</v>
      </c>
    </row>
    <row r="4541" spans="11:19" x14ac:dyDescent="0.3">
      <c r="K4541" s="16">
        <f t="shared" si="70"/>
        <v>44205</v>
      </c>
      <c r="L4541" s="17">
        <v>0.125</v>
      </c>
      <c r="M4541" s="14">
        <v>396</v>
      </c>
      <c r="N4541" s="14">
        <v>0</v>
      </c>
      <c r="O4541" s="14">
        <v>0</v>
      </c>
      <c r="P4541" s="14">
        <v>396</v>
      </c>
      <c r="Q4541">
        <v>9179</v>
      </c>
      <c r="R4541">
        <v>1266</v>
      </c>
      <c r="S4541">
        <v>0</v>
      </c>
    </row>
    <row r="4542" spans="11:19" x14ac:dyDescent="0.3">
      <c r="K4542" s="16">
        <f t="shared" si="70"/>
        <v>44205</v>
      </c>
      <c r="L4542" s="17">
        <v>0.16666666666666666</v>
      </c>
      <c r="M4542" s="14">
        <v>396</v>
      </c>
      <c r="N4542" s="14">
        <v>0</v>
      </c>
      <c r="O4542" s="14">
        <v>0</v>
      </c>
      <c r="P4542" s="14">
        <v>396</v>
      </c>
      <c r="Q4542">
        <v>9065</v>
      </c>
      <c r="R4542">
        <v>1057</v>
      </c>
      <c r="S4542">
        <v>0</v>
      </c>
    </row>
    <row r="4543" spans="11:19" x14ac:dyDescent="0.3">
      <c r="K4543" s="16">
        <f t="shared" si="70"/>
        <v>44205</v>
      </c>
      <c r="L4543" s="17">
        <v>0.20833333333333334</v>
      </c>
      <c r="M4543" s="14">
        <v>396</v>
      </c>
      <c r="N4543" s="14">
        <v>0</v>
      </c>
      <c r="O4543" s="14">
        <v>0</v>
      </c>
      <c r="P4543" s="14">
        <v>396</v>
      </c>
      <c r="Q4543">
        <v>9275</v>
      </c>
      <c r="R4543">
        <v>910</v>
      </c>
      <c r="S4543">
        <v>0</v>
      </c>
    </row>
    <row r="4544" spans="11:19" x14ac:dyDescent="0.3">
      <c r="K4544" s="16">
        <f t="shared" si="70"/>
        <v>44205</v>
      </c>
      <c r="L4544" s="17">
        <v>0.25</v>
      </c>
      <c r="M4544" s="14">
        <v>396</v>
      </c>
      <c r="N4544" s="14">
        <v>0</v>
      </c>
      <c r="O4544" s="14">
        <v>0</v>
      </c>
      <c r="P4544" s="14">
        <v>396</v>
      </c>
      <c r="Q4544">
        <v>9681</v>
      </c>
      <c r="R4544">
        <v>934</v>
      </c>
      <c r="S4544">
        <v>0</v>
      </c>
    </row>
    <row r="4545" spans="11:19" x14ac:dyDescent="0.3">
      <c r="K4545" s="16">
        <f t="shared" si="70"/>
        <v>44205</v>
      </c>
      <c r="L4545" s="17">
        <v>0.29166666666666669</v>
      </c>
      <c r="M4545" s="14">
        <v>396</v>
      </c>
      <c r="N4545" s="14">
        <v>0</v>
      </c>
      <c r="O4545" s="14">
        <v>0</v>
      </c>
      <c r="P4545" s="14">
        <v>396</v>
      </c>
      <c r="Q4545">
        <v>10112</v>
      </c>
      <c r="R4545">
        <v>1058</v>
      </c>
      <c r="S4545">
        <v>0</v>
      </c>
    </row>
    <row r="4546" spans="11:19" x14ac:dyDescent="0.3">
      <c r="K4546" s="16">
        <f t="shared" si="70"/>
        <v>44205</v>
      </c>
      <c r="L4546" s="17">
        <v>0.33333333333333331</v>
      </c>
      <c r="M4546" s="14">
        <v>396</v>
      </c>
      <c r="N4546" s="14">
        <v>708</v>
      </c>
      <c r="O4546" s="14">
        <v>0</v>
      </c>
      <c r="P4546" s="14">
        <v>1104</v>
      </c>
      <c r="Q4546">
        <v>10672</v>
      </c>
      <c r="R4546">
        <v>1169</v>
      </c>
      <c r="S4546">
        <v>21</v>
      </c>
    </row>
    <row r="4547" spans="11:19" x14ac:dyDescent="0.3">
      <c r="K4547" s="16">
        <f t="shared" si="70"/>
        <v>44205</v>
      </c>
      <c r="L4547" s="17">
        <v>0.375</v>
      </c>
      <c r="M4547" s="14">
        <v>396</v>
      </c>
      <c r="N4547" s="14">
        <v>0</v>
      </c>
      <c r="O4547" s="14">
        <v>0</v>
      </c>
      <c r="P4547" s="14">
        <v>396</v>
      </c>
      <c r="Q4547">
        <v>11229</v>
      </c>
      <c r="R4547">
        <v>1324</v>
      </c>
      <c r="S4547">
        <v>175</v>
      </c>
    </row>
    <row r="4548" spans="11:19" x14ac:dyDescent="0.3">
      <c r="K4548" s="16">
        <f t="shared" si="70"/>
        <v>44205</v>
      </c>
      <c r="L4548" s="17">
        <v>0.41666666666666669</v>
      </c>
      <c r="M4548" s="14">
        <v>396</v>
      </c>
      <c r="N4548" s="14">
        <v>681</v>
      </c>
      <c r="O4548" s="14">
        <v>0</v>
      </c>
      <c r="P4548" s="14">
        <v>1077</v>
      </c>
      <c r="Q4548">
        <v>11521</v>
      </c>
      <c r="R4548">
        <v>1563</v>
      </c>
      <c r="S4548">
        <v>496</v>
      </c>
    </row>
    <row r="4549" spans="11:19" x14ac:dyDescent="0.3">
      <c r="K4549" s="16">
        <f t="shared" si="70"/>
        <v>44205</v>
      </c>
      <c r="L4549" s="17">
        <v>0.45833333333333331</v>
      </c>
      <c r="M4549" s="14">
        <v>396</v>
      </c>
      <c r="N4549" s="14">
        <v>0</v>
      </c>
      <c r="O4549" s="14">
        <v>0</v>
      </c>
      <c r="P4549" s="14">
        <v>396</v>
      </c>
      <c r="Q4549">
        <v>11727</v>
      </c>
      <c r="R4549">
        <v>1461</v>
      </c>
      <c r="S4549">
        <v>698</v>
      </c>
    </row>
    <row r="4550" spans="11:19" x14ac:dyDescent="0.3">
      <c r="K4550" s="16">
        <f t="shared" si="70"/>
        <v>44205</v>
      </c>
      <c r="L4550" s="17">
        <v>0.5</v>
      </c>
      <c r="M4550" s="14">
        <v>396</v>
      </c>
      <c r="N4550" s="14">
        <v>0</v>
      </c>
      <c r="O4550" s="14">
        <v>0</v>
      </c>
      <c r="P4550" s="14">
        <v>396</v>
      </c>
      <c r="Q4550">
        <v>11980</v>
      </c>
      <c r="R4550">
        <v>1533</v>
      </c>
      <c r="S4550">
        <v>814</v>
      </c>
    </row>
    <row r="4551" spans="11:19" x14ac:dyDescent="0.3">
      <c r="K4551" s="16">
        <f t="shared" si="70"/>
        <v>44205</v>
      </c>
      <c r="L4551" s="17">
        <v>0.54166666666666663</v>
      </c>
      <c r="M4551" s="14">
        <v>396</v>
      </c>
      <c r="N4551" s="14">
        <v>459</v>
      </c>
      <c r="O4551" s="14">
        <v>0</v>
      </c>
      <c r="P4551" s="14">
        <v>855</v>
      </c>
      <c r="Q4551">
        <v>11632</v>
      </c>
      <c r="R4551">
        <v>1629</v>
      </c>
      <c r="S4551">
        <v>764</v>
      </c>
    </row>
    <row r="4552" spans="11:19" x14ac:dyDescent="0.3">
      <c r="K4552" s="16">
        <f t="shared" si="70"/>
        <v>44205</v>
      </c>
      <c r="L4552" s="17">
        <v>0.58333333333333337</v>
      </c>
      <c r="M4552" s="14">
        <v>396</v>
      </c>
      <c r="N4552" s="14">
        <v>269</v>
      </c>
      <c r="O4552" s="14">
        <v>0</v>
      </c>
      <c r="P4552" s="14">
        <v>665</v>
      </c>
      <c r="Q4552">
        <v>11313</v>
      </c>
      <c r="R4552">
        <v>1668</v>
      </c>
      <c r="S4552">
        <v>596</v>
      </c>
    </row>
    <row r="4553" spans="11:19" x14ac:dyDescent="0.3">
      <c r="K4553" s="16">
        <f t="shared" si="70"/>
        <v>44205</v>
      </c>
      <c r="L4553" s="17">
        <v>0.625</v>
      </c>
      <c r="M4553" s="14">
        <v>396</v>
      </c>
      <c r="N4553" s="14">
        <v>139</v>
      </c>
      <c r="O4553" s="14">
        <v>0</v>
      </c>
      <c r="P4553" s="14">
        <v>535</v>
      </c>
      <c r="Q4553">
        <v>11117</v>
      </c>
      <c r="R4553">
        <v>1836</v>
      </c>
      <c r="S4553">
        <v>362</v>
      </c>
    </row>
    <row r="4554" spans="11:19" x14ac:dyDescent="0.3">
      <c r="K4554" s="16">
        <f t="shared" si="70"/>
        <v>44205</v>
      </c>
      <c r="L4554" s="17">
        <v>0.66666666666666663</v>
      </c>
      <c r="M4554" s="14">
        <v>396</v>
      </c>
      <c r="N4554" s="14">
        <v>32</v>
      </c>
      <c r="O4554" s="14">
        <v>0</v>
      </c>
      <c r="P4554" s="14">
        <v>428</v>
      </c>
      <c r="Q4554">
        <v>11049</v>
      </c>
      <c r="R4554">
        <v>2156</v>
      </c>
      <c r="S4554">
        <v>81</v>
      </c>
    </row>
    <row r="4555" spans="11:19" x14ac:dyDescent="0.3">
      <c r="K4555" s="16">
        <f t="shared" si="70"/>
        <v>44205</v>
      </c>
      <c r="L4555" s="17">
        <v>0.70833333333333337</v>
      </c>
      <c r="M4555" s="14">
        <v>396</v>
      </c>
      <c r="N4555" s="14">
        <v>0</v>
      </c>
      <c r="O4555" s="14">
        <v>0</v>
      </c>
      <c r="P4555" s="14">
        <v>396</v>
      </c>
      <c r="Q4555">
        <v>11693</v>
      </c>
      <c r="R4555">
        <v>2429</v>
      </c>
      <c r="S4555">
        <v>10</v>
      </c>
    </row>
    <row r="4556" spans="11:19" x14ac:dyDescent="0.3">
      <c r="K4556" s="16">
        <f t="shared" si="70"/>
        <v>44205</v>
      </c>
      <c r="L4556" s="17">
        <v>0.75</v>
      </c>
      <c r="M4556" s="14">
        <v>396</v>
      </c>
      <c r="N4556" s="14">
        <v>706</v>
      </c>
      <c r="O4556" s="14">
        <v>0</v>
      </c>
      <c r="P4556" s="14">
        <v>1102</v>
      </c>
      <c r="Q4556">
        <v>12010</v>
      </c>
      <c r="R4556">
        <v>2528</v>
      </c>
      <c r="S4556">
        <v>0</v>
      </c>
    </row>
    <row r="4557" spans="11:19" x14ac:dyDescent="0.3">
      <c r="K4557" s="16">
        <f t="shared" si="70"/>
        <v>44205</v>
      </c>
      <c r="L4557" s="17">
        <v>0.79166666666666663</v>
      </c>
      <c r="M4557" s="14">
        <v>396</v>
      </c>
      <c r="N4557" s="14">
        <v>351</v>
      </c>
      <c r="O4557" s="14">
        <v>0</v>
      </c>
      <c r="P4557" s="14">
        <v>747</v>
      </c>
      <c r="Q4557">
        <v>11981</v>
      </c>
      <c r="R4557">
        <v>2857</v>
      </c>
      <c r="S4557">
        <v>0</v>
      </c>
    </row>
    <row r="4558" spans="11:19" x14ac:dyDescent="0.3">
      <c r="K4558" s="16">
        <f t="shared" si="70"/>
        <v>44205</v>
      </c>
      <c r="L4558" s="17">
        <v>0.83333333333333337</v>
      </c>
      <c r="M4558" s="14">
        <v>396</v>
      </c>
      <c r="N4558" s="14">
        <v>0</v>
      </c>
      <c r="O4558" s="14">
        <v>0</v>
      </c>
      <c r="P4558" s="14">
        <v>396</v>
      </c>
      <c r="Q4558">
        <v>11273</v>
      </c>
      <c r="R4558">
        <v>2673</v>
      </c>
      <c r="S4558">
        <v>0</v>
      </c>
    </row>
    <row r="4559" spans="11:19" x14ac:dyDescent="0.3">
      <c r="K4559" s="16">
        <f t="shared" si="70"/>
        <v>44205</v>
      </c>
      <c r="L4559" s="17">
        <v>0.875</v>
      </c>
      <c r="M4559" s="14">
        <v>396</v>
      </c>
      <c r="N4559" s="14">
        <v>0</v>
      </c>
      <c r="O4559" s="14">
        <v>0</v>
      </c>
      <c r="P4559" s="14">
        <v>396</v>
      </c>
      <c r="Q4559">
        <v>10586</v>
      </c>
      <c r="R4559">
        <v>2512</v>
      </c>
      <c r="S4559">
        <v>0</v>
      </c>
    </row>
    <row r="4560" spans="11:19" x14ac:dyDescent="0.3">
      <c r="K4560" s="16">
        <f t="shared" si="70"/>
        <v>44205</v>
      </c>
      <c r="L4560" s="17">
        <v>0.91666666666666663</v>
      </c>
      <c r="M4560" s="14">
        <v>396</v>
      </c>
      <c r="N4560" s="14">
        <v>0</v>
      </c>
      <c r="O4560" s="14">
        <v>0</v>
      </c>
      <c r="P4560" s="14">
        <v>396</v>
      </c>
      <c r="Q4560">
        <v>10872</v>
      </c>
      <c r="R4560">
        <v>2453</v>
      </c>
      <c r="S4560">
        <v>0</v>
      </c>
    </row>
    <row r="4561" spans="11:19" x14ac:dyDescent="0.3">
      <c r="K4561" s="16">
        <f t="shared" si="70"/>
        <v>44205</v>
      </c>
      <c r="L4561" s="17">
        <v>0.95833333333333337</v>
      </c>
      <c r="M4561" s="14">
        <v>396</v>
      </c>
      <c r="N4561" s="14">
        <v>0</v>
      </c>
      <c r="O4561" s="14">
        <v>0</v>
      </c>
      <c r="P4561" s="14">
        <v>396</v>
      </c>
      <c r="Q4561">
        <v>11151</v>
      </c>
      <c r="R4561">
        <v>2446</v>
      </c>
      <c r="S4561">
        <v>0</v>
      </c>
    </row>
    <row r="4562" spans="11:19" x14ac:dyDescent="0.3">
      <c r="K4562" s="16">
        <f t="shared" si="70"/>
        <v>44206</v>
      </c>
      <c r="L4562" s="17">
        <v>0</v>
      </c>
      <c r="M4562" s="14">
        <v>396</v>
      </c>
      <c r="N4562" s="14">
        <v>0</v>
      </c>
      <c r="O4562" s="14">
        <v>0</v>
      </c>
      <c r="P4562" s="14">
        <v>396</v>
      </c>
      <c r="Q4562">
        <v>10766</v>
      </c>
      <c r="R4562">
        <v>2036</v>
      </c>
      <c r="S4562">
        <v>0</v>
      </c>
    </row>
    <row r="4563" spans="11:19" x14ac:dyDescent="0.3">
      <c r="K4563" s="16">
        <f t="shared" si="70"/>
        <v>44206</v>
      </c>
      <c r="L4563" s="17">
        <v>4.1666666666666664E-2</v>
      </c>
      <c r="M4563" s="14">
        <v>396</v>
      </c>
      <c r="N4563" s="14">
        <v>0</v>
      </c>
      <c r="O4563" s="14">
        <v>0</v>
      </c>
      <c r="P4563" s="14">
        <v>396</v>
      </c>
      <c r="Q4563">
        <v>10446</v>
      </c>
      <c r="R4563">
        <v>1949</v>
      </c>
      <c r="S4563">
        <v>0</v>
      </c>
    </row>
    <row r="4564" spans="11:19" x14ac:dyDescent="0.3">
      <c r="K4564" s="16">
        <f t="shared" si="70"/>
        <v>44206</v>
      </c>
      <c r="L4564" s="17">
        <v>8.3333333333333329E-2</v>
      </c>
      <c r="M4564" s="14">
        <v>396</v>
      </c>
      <c r="N4564" s="14">
        <v>0</v>
      </c>
      <c r="O4564" s="14">
        <v>0</v>
      </c>
      <c r="P4564" s="14">
        <v>396</v>
      </c>
      <c r="Q4564">
        <v>10075</v>
      </c>
      <c r="R4564">
        <v>1919</v>
      </c>
      <c r="S4564">
        <v>0</v>
      </c>
    </row>
    <row r="4565" spans="11:19" x14ac:dyDescent="0.3">
      <c r="K4565" s="16">
        <f t="shared" si="70"/>
        <v>44206</v>
      </c>
      <c r="L4565" s="17">
        <v>0.125</v>
      </c>
      <c r="M4565" s="14">
        <v>396</v>
      </c>
      <c r="N4565" s="14">
        <v>0</v>
      </c>
      <c r="O4565" s="14">
        <v>0</v>
      </c>
      <c r="P4565" s="14">
        <v>396</v>
      </c>
      <c r="Q4565">
        <v>9489</v>
      </c>
      <c r="R4565">
        <v>1962</v>
      </c>
      <c r="S4565">
        <v>0</v>
      </c>
    </row>
    <row r="4566" spans="11:19" x14ac:dyDescent="0.3">
      <c r="K4566" s="16">
        <f t="shared" si="70"/>
        <v>44206</v>
      </c>
      <c r="L4566" s="17">
        <v>0.16666666666666666</v>
      </c>
      <c r="M4566" s="14">
        <v>396</v>
      </c>
      <c r="N4566" s="14">
        <v>0</v>
      </c>
      <c r="O4566" s="14">
        <v>0</v>
      </c>
      <c r="P4566" s="14">
        <v>396</v>
      </c>
      <c r="Q4566">
        <v>9124</v>
      </c>
      <c r="R4566">
        <v>1907</v>
      </c>
      <c r="S4566">
        <v>0</v>
      </c>
    </row>
    <row r="4567" spans="11:19" x14ac:dyDescent="0.3">
      <c r="K4567" s="16">
        <f t="shared" si="70"/>
        <v>44206</v>
      </c>
      <c r="L4567" s="17">
        <v>0.20833333333333334</v>
      </c>
      <c r="M4567" s="14">
        <v>396</v>
      </c>
      <c r="N4567" s="14">
        <v>0</v>
      </c>
      <c r="O4567" s="14">
        <v>0</v>
      </c>
      <c r="P4567" s="14">
        <v>396</v>
      </c>
      <c r="Q4567">
        <v>9052</v>
      </c>
      <c r="R4567">
        <v>1967</v>
      </c>
      <c r="S4567">
        <v>0</v>
      </c>
    </row>
    <row r="4568" spans="11:19" x14ac:dyDescent="0.3">
      <c r="K4568" s="16">
        <f t="shared" si="70"/>
        <v>44206</v>
      </c>
      <c r="L4568" s="17">
        <v>0.25</v>
      </c>
      <c r="M4568" s="14">
        <v>396</v>
      </c>
      <c r="N4568" s="14">
        <v>0</v>
      </c>
      <c r="O4568" s="14">
        <v>0</v>
      </c>
      <c r="P4568" s="14">
        <v>396</v>
      </c>
      <c r="Q4568">
        <v>9082</v>
      </c>
      <c r="R4568">
        <v>1859</v>
      </c>
      <c r="S4568">
        <v>0</v>
      </c>
    </row>
    <row r="4569" spans="11:19" x14ac:dyDescent="0.3">
      <c r="K4569" s="16">
        <f t="shared" si="70"/>
        <v>44206</v>
      </c>
      <c r="L4569" s="17">
        <v>0.29166666666666669</v>
      </c>
      <c r="M4569" s="14">
        <v>396</v>
      </c>
      <c r="N4569" s="14">
        <v>0</v>
      </c>
      <c r="O4569" s="14">
        <v>0</v>
      </c>
      <c r="P4569" s="14">
        <v>396</v>
      </c>
      <c r="Q4569">
        <v>9074</v>
      </c>
      <c r="R4569">
        <v>1697</v>
      </c>
      <c r="S4569">
        <v>0</v>
      </c>
    </row>
    <row r="4570" spans="11:19" x14ac:dyDescent="0.3">
      <c r="K4570" s="16">
        <f t="shared" si="70"/>
        <v>44206</v>
      </c>
      <c r="L4570" s="17">
        <v>0.33333333333333331</v>
      </c>
      <c r="M4570" s="14">
        <v>396</v>
      </c>
      <c r="N4570" s="14">
        <v>0</v>
      </c>
      <c r="O4570" s="14">
        <v>0</v>
      </c>
      <c r="P4570" s="14">
        <v>396</v>
      </c>
      <c r="Q4570">
        <v>9203</v>
      </c>
      <c r="R4570">
        <v>1803</v>
      </c>
      <c r="S4570">
        <v>15</v>
      </c>
    </row>
    <row r="4571" spans="11:19" x14ac:dyDescent="0.3">
      <c r="K4571" s="16">
        <f t="shared" ref="K4571:K4634" si="71">K4547+1</f>
        <v>44206</v>
      </c>
      <c r="L4571" s="17">
        <v>0.375</v>
      </c>
      <c r="M4571" s="14">
        <v>396</v>
      </c>
      <c r="N4571" s="14">
        <v>0</v>
      </c>
      <c r="O4571" s="14">
        <v>0</v>
      </c>
      <c r="P4571" s="14">
        <v>396</v>
      </c>
      <c r="Q4571">
        <v>9518</v>
      </c>
      <c r="R4571">
        <v>1709</v>
      </c>
      <c r="S4571">
        <v>119</v>
      </c>
    </row>
    <row r="4572" spans="11:19" x14ac:dyDescent="0.3">
      <c r="K4572" s="16">
        <f t="shared" si="71"/>
        <v>44206</v>
      </c>
      <c r="L4572" s="17">
        <v>0.41666666666666669</v>
      </c>
      <c r="M4572" s="14">
        <v>396</v>
      </c>
      <c r="N4572" s="14">
        <v>0</v>
      </c>
      <c r="O4572" s="14">
        <v>0</v>
      </c>
      <c r="P4572" s="14">
        <v>396</v>
      </c>
      <c r="Q4572">
        <v>9916</v>
      </c>
      <c r="R4572">
        <v>1887</v>
      </c>
      <c r="S4572">
        <v>431</v>
      </c>
    </row>
    <row r="4573" spans="11:19" x14ac:dyDescent="0.3">
      <c r="K4573" s="16">
        <f t="shared" si="71"/>
        <v>44206</v>
      </c>
      <c r="L4573" s="17">
        <v>0.45833333333333331</v>
      </c>
      <c r="M4573" s="14">
        <v>396</v>
      </c>
      <c r="N4573" s="14">
        <v>0</v>
      </c>
      <c r="O4573" s="14">
        <v>0</v>
      </c>
      <c r="P4573" s="14">
        <v>396</v>
      </c>
      <c r="Q4573">
        <v>10266</v>
      </c>
      <c r="R4573">
        <v>2137</v>
      </c>
      <c r="S4573">
        <v>659</v>
      </c>
    </row>
    <row r="4574" spans="11:19" x14ac:dyDescent="0.3">
      <c r="K4574" s="16">
        <f t="shared" si="71"/>
        <v>44206</v>
      </c>
      <c r="L4574" s="17">
        <v>0.5</v>
      </c>
      <c r="M4574" s="14">
        <v>396</v>
      </c>
      <c r="N4574" s="14">
        <v>0</v>
      </c>
      <c r="O4574" s="14">
        <v>0</v>
      </c>
      <c r="P4574" s="14">
        <v>396</v>
      </c>
      <c r="Q4574">
        <v>10671</v>
      </c>
      <c r="R4574">
        <v>2468</v>
      </c>
      <c r="S4574">
        <v>829</v>
      </c>
    </row>
    <row r="4575" spans="11:19" x14ac:dyDescent="0.3">
      <c r="K4575" s="16">
        <f t="shared" si="71"/>
        <v>44206</v>
      </c>
      <c r="L4575" s="17">
        <v>0.54166666666666663</v>
      </c>
      <c r="M4575" s="14">
        <v>396</v>
      </c>
      <c r="N4575" s="14">
        <v>0</v>
      </c>
      <c r="O4575" s="14">
        <v>0</v>
      </c>
      <c r="P4575" s="14">
        <v>396</v>
      </c>
      <c r="Q4575">
        <v>10293</v>
      </c>
      <c r="R4575">
        <v>2699</v>
      </c>
      <c r="S4575">
        <v>893</v>
      </c>
    </row>
    <row r="4576" spans="11:19" x14ac:dyDescent="0.3">
      <c r="K4576" s="16">
        <f t="shared" si="71"/>
        <v>44206</v>
      </c>
      <c r="L4576" s="17">
        <v>0.58333333333333337</v>
      </c>
      <c r="M4576" s="14">
        <v>396</v>
      </c>
      <c r="N4576" s="14">
        <v>0</v>
      </c>
      <c r="O4576" s="14">
        <v>0</v>
      </c>
      <c r="P4576" s="14">
        <v>396</v>
      </c>
      <c r="Q4576">
        <v>9883</v>
      </c>
      <c r="R4576">
        <v>2797</v>
      </c>
      <c r="S4576">
        <v>768</v>
      </c>
    </row>
    <row r="4577" spans="11:19" x14ac:dyDescent="0.3">
      <c r="K4577" s="16">
        <f t="shared" si="71"/>
        <v>44206</v>
      </c>
      <c r="L4577" s="17">
        <v>0.625</v>
      </c>
      <c r="M4577" s="14">
        <v>396</v>
      </c>
      <c r="N4577" s="14">
        <v>0</v>
      </c>
      <c r="O4577" s="14">
        <v>0</v>
      </c>
      <c r="P4577" s="14">
        <v>396</v>
      </c>
      <c r="Q4577">
        <v>9671</v>
      </c>
      <c r="R4577">
        <v>2935</v>
      </c>
      <c r="S4577">
        <v>525</v>
      </c>
    </row>
    <row r="4578" spans="11:19" x14ac:dyDescent="0.3">
      <c r="K4578" s="16">
        <f t="shared" si="71"/>
        <v>44206</v>
      </c>
      <c r="L4578" s="17">
        <v>0.66666666666666663</v>
      </c>
      <c r="M4578" s="14">
        <v>396</v>
      </c>
      <c r="N4578" s="14">
        <v>0</v>
      </c>
      <c r="O4578" s="14">
        <v>0</v>
      </c>
      <c r="P4578" s="14">
        <v>396</v>
      </c>
      <c r="Q4578">
        <v>9659</v>
      </c>
      <c r="R4578">
        <v>3223</v>
      </c>
      <c r="S4578">
        <v>147</v>
      </c>
    </row>
    <row r="4579" spans="11:19" x14ac:dyDescent="0.3">
      <c r="K4579" s="16">
        <f t="shared" si="71"/>
        <v>44206</v>
      </c>
      <c r="L4579" s="17">
        <v>0.70833333333333337</v>
      </c>
      <c r="M4579" s="14">
        <v>396</v>
      </c>
      <c r="N4579" s="14">
        <v>0</v>
      </c>
      <c r="O4579" s="14">
        <v>0</v>
      </c>
      <c r="P4579" s="14">
        <v>396</v>
      </c>
      <c r="Q4579">
        <v>10358</v>
      </c>
      <c r="R4579">
        <v>3446</v>
      </c>
      <c r="S4579">
        <v>8</v>
      </c>
    </row>
    <row r="4580" spans="11:19" x14ac:dyDescent="0.3">
      <c r="K4580" s="16">
        <f t="shared" si="71"/>
        <v>44206</v>
      </c>
      <c r="L4580" s="17">
        <v>0.75</v>
      </c>
      <c r="M4580" s="14">
        <v>396</v>
      </c>
      <c r="N4580" s="14">
        <v>0</v>
      </c>
      <c r="O4580" s="14">
        <v>0</v>
      </c>
      <c r="P4580" s="14">
        <v>396</v>
      </c>
      <c r="Q4580">
        <v>10925</v>
      </c>
      <c r="R4580">
        <v>3654</v>
      </c>
      <c r="S4580">
        <v>0</v>
      </c>
    </row>
    <row r="4581" spans="11:19" x14ac:dyDescent="0.3">
      <c r="K4581" s="16">
        <f t="shared" si="71"/>
        <v>44206</v>
      </c>
      <c r="L4581" s="17">
        <v>0.79166666666666663</v>
      </c>
      <c r="M4581" s="14">
        <v>396</v>
      </c>
      <c r="N4581" s="14">
        <v>0</v>
      </c>
      <c r="O4581" s="14">
        <v>0</v>
      </c>
      <c r="P4581" s="14">
        <v>396</v>
      </c>
      <c r="Q4581">
        <v>11047</v>
      </c>
      <c r="R4581">
        <v>3693</v>
      </c>
      <c r="S4581">
        <v>0</v>
      </c>
    </row>
    <row r="4582" spans="11:19" x14ac:dyDescent="0.3">
      <c r="K4582" s="16">
        <f t="shared" si="71"/>
        <v>44206</v>
      </c>
      <c r="L4582" s="17">
        <v>0.83333333333333337</v>
      </c>
      <c r="M4582" s="14">
        <v>396</v>
      </c>
      <c r="N4582" s="14">
        <v>0</v>
      </c>
      <c r="O4582" s="14">
        <v>0</v>
      </c>
      <c r="P4582" s="14">
        <v>396</v>
      </c>
      <c r="Q4582">
        <v>10602</v>
      </c>
      <c r="R4582">
        <v>3755</v>
      </c>
      <c r="S4582">
        <v>0</v>
      </c>
    </row>
    <row r="4583" spans="11:19" x14ac:dyDescent="0.3">
      <c r="K4583" s="16">
        <f t="shared" si="71"/>
        <v>44206</v>
      </c>
      <c r="L4583" s="17">
        <v>0.875</v>
      </c>
      <c r="M4583" s="14">
        <v>396</v>
      </c>
      <c r="N4583" s="14">
        <v>0</v>
      </c>
      <c r="O4583" s="14">
        <v>0</v>
      </c>
      <c r="P4583" s="14">
        <v>396</v>
      </c>
      <c r="Q4583">
        <v>10073</v>
      </c>
      <c r="R4583">
        <v>3500</v>
      </c>
      <c r="S4583">
        <v>0</v>
      </c>
    </row>
    <row r="4584" spans="11:19" x14ac:dyDescent="0.3">
      <c r="K4584" s="16">
        <f t="shared" si="71"/>
        <v>44206</v>
      </c>
      <c r="L4584" s="17">
        <v>0.91666666666666663</v>
      </c>
      <c r="M4584" s="14">
        <v>396</v>
      </c>
      <c r="N4584" s="14">
        <v>0</v>
      </c>
      <c r="O4584" s="14">
        <v>0</v>
      </c>
      <c r="P4584" s="14">
        <v>396</v>
      </c>
      <c r="Q4584">
        <v>10329</v>
      </c>
      <c r="R4584">
        <v>3560</v>
      </c>
      <c r="S4584">
        <v>0</v>
      </c>
    </row>
    <row r="4585" spans="11:19" x14ac:dyDescent="0.3">
      <c r="K4585" s="16">
        <f t="shared" si="71"/>
        <v>44206</v>
      </c>
      <c r="L4585" s="17">
        <v>0.95833333333333337</v>
      </c>
      <c r="M4585" s="14">
        <v>396</v>
      </c>
      <c r="N4585" s="14">
        <v>0</v>
      </c>
      <c r="O4585" s="14">
        <v>0</v>
      </c>
      <c r="P4585" s="14">
        <v>396</v>
      </c>
      <c r="Q4585">
        <v>10565</v>
      </c>
      <c r="R4585">
        <v>3513</v>
      </c>
      <c r="S4585">
        <v>0</v>
      </c>
    </row>
    <row r="4586" spans="11:19" x14ac:dyDescent="0.3">
      <c r="K4586" s="16">
        <f t="shared" si="71"/>
        <v>44207</v>
      </c>
      <c r="L4586" s="17">
        <v>0</v>
      </c>
      <c r="M4586" s="14">
        <v>396</v>
      </c>
      <c r="N4586" s="14">
        <v>0</v>
      </c>
      <c r="O4586" s="14">
        <v>0</v>
      </c>
      <c r="P4586" s="14">
        <v>396</v>
      </c>
      <c r="Q4586">
        <v>10404</v>
      </c>
      <c r="R4586">
        <v>3324</v>
      </c>
      <c r="S4586">
        <v>0</v>
      </c>
    </row>
    <row r="4587" spans="11:19" x14ac:dyDescent="0.3">
      <c r="K4587" s="16">
        <f t="shared" si="71"/>
        <v>44207</v>
      </c>
      <c r="L4587" s="17">
        <v>4.1666666666666664E-2</v>
      </c>
      <c r="M4587" s="14">
        <v>396</v>
      </c>
      <c r="N4587" s="14">
        <v>0</v>
      </c>
      <c r="O4587" s="14">
        <v>0</v>
      </c>
      <c r="P4587" s="14">
        <v>396</v>
      </c>
      <c r="Q4587">
        <v>10180</v>
      </c>
      <c r="R4587">
        <v>3323</v>
      </c>
      <c r="S4587">
        <v>0</v>
      </c>
    </row>
    <row r="4588" spans="11:19" x14ac:dyDescent="0.3">
      <c r="K4588" s="16">
        <f t="shared" si="71"/>
        <v>44207</v>
      </c>
      <c r="L4588" s="17">
        <v>8.3333333333333329E-2</v>
      </c>
      <c r="M4588" s="14">
        <v>396</v>
      </c>
      <c r="N4588" s="14">
        <v>0</v>
      </c>
      <c r="O4588" s="14">
        <v>0</v>
      </c>
      <c r="P4588" s="14">
        <v>396</v>
      </c>
      <c r="Q4588">
        <v>9913</v>
      </c>
      <c r="R4588">
        <v>3410</v>
      </c>
      <c r="S4588">
        <v>0</v>
      </c>
    </row>
    <row r="4589" spans="11:19" x14ac:dyDescent="0.3">
      <c r="K4589" s="16">
        <f t="shared" si="71"/>
        <v>44207</v>
      </c>
      <c r="L4589" s="17">
        <v>0.125</v>
      </c>
      <c r="M4589" s="14">
        <v>396</v>
      </c>
      <c r="N4589" s="14">
        <v>0</v>
      </c>
      <c r="O4589" s="14">
        <v>-264</v>
      </c>
      <c r="P4589" s="14">
        <v>132</v>
      </c>
      <c r="Q4589">
        <v>9491</v>
      </c>
      <c r="R4589">
        <v>3688</v>
      </c>
      <c r="S4589">
        <v>0</v>
      </c>
    </row>
    <row r="4590" spans="11:19" x14ac:dyDescent="0.3">
      <c r="K4590" s="16">
        <f t="shared" si="71"/>
        <v>44207</v>
      </c>
      <c r="L4590" s="17">
        <v>0.16666666666666666</v>
      </c>
      <c r="M4590" s="14">
        <v>396</v>
      </c>
      <c r="N4590" s="14">
        <v>0</v>
      </c>
      <c r="O4590" s="14">
        <v>-603</v>
      </c>
      <c r="P4590" s="14">
        <v>-207</v>
      </c>
      <c r="Q4590">
        <v>9448</v>
      </c>
      <c r="R4590">
        <v>3825</v>
      </c>
      <c r="S4590">
        <v>0</v>
      </c>
    </row>
    <row r="4591" spans="11:19" x14ac:dyDescent="0.3">
      <c r="K4591" s="16">
        <f t="shared" si="71"/>
        <v>44207</v>
      </c>
      <c r="L4591" s="17">
        <v>0.20833333333333334</v>
      </c>
      <c r="M4591" s="14">
        <v>396</v>
      </c>
      <c r="N4591" s="14">
        <v>0</v>
      </c>
      <c r="O4591" s="14">
        <v>-46</v>
      </c>
      <c r="P4591" s="14">
        <v>350</v>
      </c>
      <c r="Q4591">
        <v>10000</v>
      </c>
      <c r="R4591">
        <v>3821</v>
      </c>
      <c r="S4591">
        <v>0</v>
      </c>
    </row>
    <row r="4592" spans="11:19" x14ac:dyDescent="0.3">
      <c r="K4592" s="16">
        <f t="shared" si="71"/>
        <v>44207</v>
      </c>
      <c r="L4592" s="17">
        <v>0.25</v>
      </c>
      <c r="M4592" s="14">
        <v>396</v>
      </c>
      <c r="N4592" s="14">
        <v>0</v>
      </c>
      <c r="O4592" s="14">
        <v>0</v>
      </c>
      <c r="P4592" s="14">
        <v>396</v>
      </c>
      <c r="Q4592">
        <v>11225</v>
      </c>
      <c r="R4592">
        <v>3930</v>
      </c>
      <c r="S4592">
        <v>0</v>
      </c>
    </row>
    <row r="4593" spans="11:19" x14ac:dyDescent="0.3">
      <c r="K4593" s="16">
        <f t="shared" si="71"/>
        <v>44207</v>
      </c>
      <c r="L4593" s="17">
        <v>0.29166666666666669</v>
      </c>
      <c r="M4593" s="14">
        <v>396</v>
      </c>
      <c r="N4593" s="14">
        <v>0</v>
      </c>
      <c r="O4593" s="14">
        <v>0</v>
      </c>
      <c r="P4593" s="14">
        <v>396</v>
      </c>
      <c r="Q4593">
        <v>12275</v>
      </c>
      <c r="R4593">
        <v>4106</v>
      </c>
      <c r="S4593">
        <v>0</v>
      </c>
    </row>
    <row r="4594" spans="11:19" x14ac:dyDescent="0.3">
      <c r="K4594" s="16">
        <f t="shared" si="71"/>
        <v>44207</v>
      </c>
      <c r="L4594" s="17">
        <v>0.33333333333333331</v>
      </c>
      <c r="M4594" s="14">
        <v>396</v>
      </c>
      <c r="N4594" s="14">
        <v>0</v>
      </c>
      <c r="O4594" s="14">
        <v>0</v>
      </c>
      <c r="P4594" s="14">
        <v>396</v>
      </c>
      <c r="Q4594">
        <v>12597</v>
      </c>
      <c r="R4594">
        <v>4199</v>
      </c>
      <c r="S4594">
        <v>19</v>
      </c>
    </row>
    <row r="4595" spans="11:19" x14ac:dyDescent="0.3">
      <c r="K4595" s="16">
        <f t="shared" si="71"/>
        <v>44207</v>
      </c>
      <c r="L4595" s="17">
        <v>0.375</v>
      </c>
      <c r="M4595" s="14">
        <v>396</v>
      </c>
      <c r="N4595" s="14">
        <v>0</v>
      </c>
      <c r="O4595" s="14">
        <v>0</v>
      </c>
      <c r="P4595" s="14">
        <v>396</v>
      </c>
      <c r="Q4595">
        <v>12663</v>
      </c>
      <c r="R4595">
        <v>4249</v>
      </c>
      <c r="S4595">
        <v>184</v>
      </c>
    </row>
    <row r="4596" spans="11:19" x14ac:dyDescent="0.3">
      <c r="K4596" s="16">
        <f t="shared" si="71"/>
        <v>44207</v>
      </c>
      <c r="L4596" s="17">
        <v>0.41666666666666669</v>
      </c>
      <c r="M4596" s="14">
        <v>396</v>
      </c>
      <c r="N4596" s="14">
        <v>0</v>
      </c>
      <c r="O4596" s="14">
        <v>0</v>
      </c>
      <c r="P4596" s="14">
        <v>396</v>
      </c>
      <c r="Q4596">
        <v>12647</v>
      </c>
      <c r="R4596">
        <v>4183</v>
      </c>
      <c r="S4596">
        <v>504</v>
      </c>
    </row>
    <row r="4597" spans="11:19" x14ac:dyDescent="0.3">
      <c r="K4597" s="16">
        <f t="shared" si="71"/>
        <v>44207</v>
      </c>
      <c r="L4597" s="17">
        <v>0.45833333333333331</v>
      </c>
      <c r="M4597" s="14">
        <v>396</v>
      </c>
      <c r="N4597" s="14">
        <v>0</v>
      </c>
      <c r="O4597" s="14">
        <v>0</v>
      </c>
      <c r="P4597" s="14">
        <v>396</v>
      </c>
      <c r="Q4597">
        <v>12725</v>
      </c>
      <c r="R4597">
        <v>4231</v>
      </c>
      <c r="S4597">
        <v>716</v>
      </c>
    </row>
    <row r="4598" spans="11:19" x14ac:dyDescent="0.3">
      <c r="K4598" s="16">
        <f t="shared" si="71"/>
        <v>44207</v>
      </c>
      <c r="L4598" s="17">
        <v>0.5</v>
      </c>
      <c r="M4598" s="14">
        <v>396</v>
      </c>
      <c r="N4598" s="14">
        <v>0</v>
      </c>
      <c r="O4598" s="14">
        <v>0</v>
      </c>
      <c r="P4598" s="14">
        <v>396</v>
      </c>
      <c r="Q4598">
        <v>12706</v>
      </c>
      <c r="R4598">
        <v>4351</v>
      </c>
      <c r="S4598">
        <v>833</v>
      </c>
    </row>
    <row r="4599" spans="11:19" x14ac:dyDescent="0.3">
      <c r="K4599" s="16">
        <f t="shared" si="71"/>
        <v>44207</v>
      </c>
      <c r="L4599" s="17">
        <v>0.54166666666666663</v>
      </c>
      <c r="M4599" s="14">
        <v>396</v>
      </c>
      <c r="N4599" s="14">
        <v>0</v>
      </c>
      <c r="O4599" s="14">
        <v>0</v>
      </c>
      <c r="P4599" s="14">
        <v>396</v>
      </c>
      <c r="Q4599">
        <v>12480</v>
      </c>
      <c r="R4599">
        <v>4388</v>
      </c>
      <c r="S4599">
        <v>826</v>
      </c>
    </row>
    <row r="4600" spans="11:19" x14ac:dyDescent="0.3">
      <c r="K4600" s="16">
        <f t="shared" si="71"/>
        <v>44207</v>
      </c>
      <c r="L4600" s="17">
        <v>0.58333333333333337</v>
      </c>
      <c r="M4600" s="14">
        <v>396</v>
      </c>
      <c r="N4600" s="14">
        <v>0</v>
      </c>
      <c r="O4600" s="14">
        <v>0</v>
      </c>
      <c r="P4600" s="14">
        <v>396</v>
      </c>
      <c r="Q4600">
        <v>12242</v>
      </c>
      <c r="R4600">
        <v>4547</v>
      </c>
      <c r="S4600">
        <v>671</v>
      </c>
    </row>
    <row r="4601" spans="11:19" x14ac:dyDescent="0.3">
      <c r="K4601" s="16">
        <f t="shared" si="71"/>
        <v>44207</v>
      </c>
      <c r="L4601" s="17">
        <v>0.625</v>
      </c>
      <c r="M4601" s="14">
        <v>396</v>
      </c>
      <c r="N4601" s="14">
        <v>0</v>
      </c>
      <c r="O4601" s="14">
        <v>0</v>
      </c>
      <c r="P4601" s="14">
        <v>396</v>
      </c>
      <c r="Q4601">
        <v>12028</v>
      </c>
      <c r="R4601">
        <v>4462</v>
      </c>
      <c r="S4601">
        <v>378</v>
      </c>
    </row>
    <row r="4602" spans="11:19" x14ac:dyDescent="0.3">
      <c r="K4602" s="16">
        <f t="shared" si="71"/>
        <v>44207</v>
      </c>
      <c r="L4602" s="17">
        <v>0.66666666666666663</v>
      </c>
      <c r="M4602" s="14">
        <v>396</v>
      </c>
      <c r="N4602" s="14">
        <v>0</v>
      </c>
      <c r="O4602" s="14">
        <v>0</v>
      </c>
      <c r="P4602" s="14">
        <v>396</v>
      </c>
      <c r="Q4602">
        <v>12004</v>
      </c>
      <c r="R4602">
        <v>4477</v>
      </c>
      <c r="S4602">
        <v>102</v>
      </c>
    </row>
    <row r="4603" spans="11:19" x14ac:dyDescent="0.3">
      <c r="K4603" s="16">
        <f t="shared" si="71"/>
        <v>44207</v>
      </c>
      <c r="L4603" s="17">
        <v>0.70833333333333337</v>
      </c>
      <c r="M4603" s="14">
        <v>396</v>
      </c>
      <c r="N4603" s="14">
        <v>0</v>
      </c>
      <c r="O4603" s="14">
        <v>0</v>
      </c>
      <c r="P4603" s="14">
        <v>396</v>
      </c>
      <c r="Q4603">
        <v>12455</v>
      </c>
      <c r="R4603">
        <v>4327</v>
      </c>
      <c r="S4603">
        <v>12</v>
      </c>
    </row>
    <row r="4604" spans="11:19" x14ac:dyDescent="0.3">
      <c r="K4604" s="16">
        <f t="shared" si="71"/>
        <v>44207</v>
      </c>
      <c r="L4604" s="17">
        <v>0.75</v>
      </c>
      <c r="M4604" s="14">
        <v>396</v>
      </c>
      <c r="N4604" s="14">
        <v>0</v>
      </c>
      <c r="O4604" s="14">
        <v>0</v>
      </c>
      <c r="P4604" s="14">
        <v>396</v>
      </c>
      <c r="Q4604">
        <v>12915</v>
      </c>
      <c r="R4604">
        <v>4286</v>
      </c>
      <c r="S4604">
        <v>0</v>
      </c>
    </row>
    <row r="4605" spans="11:19" x14ac:dyDescent="0.3">
      <c r="K4605" s="16">
        <f t="shared" si="71"/>
        <v>44207</v>
      </c>
      <c r="L4605" s="17">
        <v>0.79166666666666663</v>
      </c>
      <c r="M4605" s="14">
        <v>396</v>
      </c>
      <c r="N4605" s="14">
        <v>0</v>
      </c>
      <c r="O4605" s="14">
        <v>0</v>
      </c>
      <c r="P4605" s="14">
        <v>396</v>
      </c>
      <c r="Q4605">
        <v>12650</v>
      </c>
      <c r="R4605">
        <v>4130</v>
      </c>
      <c r="S4605">
        <v>0</v>
      </c>
    </row>
    <row r="4606" spans="11:19" x14ac:dyDescent="0.3">
      <c r="K4606" s="16">
        <f t="shared" si="71"/>
        <v>44207</v>
      </c>
      <c r="L4606" s="17">
        <v>0.83333333333333337</v>
      </c>
      <c r="M4606" s="14">
        <v>396</v>
      </c>
      <c r="N4606" s="14">
        <v>0</v>
      </c>
      <c r="O4606" s="14">
        <v>0</v>
      </c>
      <c r="P4606" s="14">
        <v>396</v>
      </c>
      <c r="Q4606">
        <v>11717</v>
      </c>
      <c r="R4606">
        <v>3937</v>
      </c>
      <c r="S4606">
        <v>0</v>
      </c>
    </row>
    <row r="4607" spans="11:19" x14ac:dyDescent="0.3">
      <c r="K4607" s="16">
        <f t="shared" si="71"/>
        <v>44207</v>
      </c>
      <c r="L4607" s="17">
        <v>0.875</v>
      </c>
      <c r="M4607" s="14">
        <v>396</v>
      </c>
      <c r="N4607" s="14">
        <v>0</v>
      </c>
      <c r="O4607" s="14">
        <v>731</v>
      </c>
      <c r="P4607" s="14">
        <v>1127</v>
      </c>
      <c r="Q4607">
        <v>10976</v>
      </c>
      <c r="R4607">
        <v>3635</v>
      </c>
      <c r="S4607">
        <v>0</v>
      </c>
    </row>
    <row r="4608" spans="11:19" x14ac:dyDescent="0.3">
      <c r="K4608" s="16">
        <f t="shared" si="71"/>
        <v>44207</v>
      </c>
      <c r="L4608" s="17">
        <v>0.91666666666666663</v>
      </c>
      <c r="M4608" s="14">
        <v>396</v>
      </c>
      <c r="N4608" s="14">
        <v>0</v>
      </c>
      <c r="O4608" s="14">
        <v>0</v>
      </c>
      <c r="P4608" s="14">
        <v>396</v>
      </c>
      <c r="Q4608">
        <v>11082</v>
      </c>
      <c r="R4608">
        <v>3316</v>
      </c>
      <c r="S4608">
        <v>0</v>
      </c>
    </row>
    <row r="4609" spans="11:19" x14ac:dyDescent="0.3">
      <c r="K4609" s="16">
        <f t="shared" si="71"/>
        <v>44207</v>
      </c>
      <c r="L4609" s="17">
        <v>0.95833333333333337</v>
      </c>
      <c r="M4609" s="14">
        <v>396</v>
      </c>
      <c r="N4609" s="14">
        <v>0</v>
      </c>
      <c r="O4609" s="14">
        <v>0</v>
      </c>
      <c r="P4609" s="14">
        <v>396</v>
      </c>
      <c r="Q4609">
        <v>11167</v>
      </c>
      <c r="R4609">
        <v>3192</v>
      </c>
      <c r="S4609">
        <v>0</v>
      </c>
    </row>
    <row r="4610" spans="11:19" x14ac:dyDescent="0.3">
      <c r="K4610" s="16">
        <f t="shared" si="71"/>
        <v>44208</v>
      </c>
      <c r="L4610" s="17">
        <v>0</v>
      </c>
      <c r="M4610" s="14">
        <v>396</v>
      </c>
      <c r="N4610" s="14">
        <v>0</v>
      </c>
      <c r="O4610" s="14">
        <v>0</v>
      </c>
      <c r="P4610" s="14">
        <v>396</v>
      </c>
      <c r="Q4610">
        <v>10694</v>
      </c>
      <c r="R4610">
        <v>3141</v>
      </c>
      <c r="S4610">
        <v>0</v>
      </c>
    </row>
    <row r="4611" spans="11:19" x14ac:dyDescent="0.3">
      <c r="K4611" s="16">
        <f t="shared" si="71"/>
        <v>44208</v>
      </c>
      <c r="L4611" s="17">
        <v>4.1666666666666664E-2</v>
      </c>
      <c r="M4611" s="14">
        <v>396</v>
      </c>
      <c r="N4611" s="14">
        <v>0</v>
      </c>
      <c r="O4611" s="14">
        <v>0</v>
      </c>
      <c r="P4611" s="14">
        <v>396</v>
      </c>
      <c r="Q4611">
        <v>10336</v>
      </c>
      <c r="R4611">
        <v>3273</v>
      </c>
      <c r="S4611">
        <v>0</v>
      </c>
    </row>
    <row r="4612" spans="11:19" x14ac:dyDescent="0.3">
      <c r="K4612" s="16">
        <f t="shared" si="71"/>
        <v>44208</v>
      </c>
      <c r="L4612" s="17">
        <v>8.3333333333333329E-2</v>
      </c>
      <c r="M4612" s="14">
        <v>396</v>
      </c>
      <c r="N4612" s="14">
        <v>0</v>
      </c>
      <c r="O4612" s="14">
        <v>0</v>
      </c>
      <c r="P4612" s="14">
        <v>396</v>
      </c>
      <c r="Q4612">
        <v>10041</v>
      </c>
      <c r="R4612">
        <v>3161</v>
      </c>
      <c r="S4612">
        <v>0</v>
      </c>
    </row>
    <row r="4613" spans="11:19" x14ac:dyDescent="0.3">
      <c r="K4613" s="16">
        <f t="shared" si="71"/>
        <v>44208</v>
      </c>
      <c r="L4613" s="17">
        <v>0.125</v>
      </c>
      <c r="M4613" s="14">
        <v>396</v>
      </c>
      <c r="N4613" s="14">
        <v>0</v>
      </c>
      <c r="O4613" s="14">
        <v>0</v>
      </c>
      <c r="P4613" s="14">
        <v>396</v>
      </c>
      <c r="Q4613">
        <v>9595</v>
      </c>
      <c r="R4613">
        <v>3193</v>
      </c>
      <c r="S4613">
        <v>0</v>
      </c>
    </row>
    <row r="4614" spans="11:19" x14ac:dyDescent="0.3">
      <c r="K4614" s="16">
        <f t="shared" si="71"/>
        <v>44208</v>
      </c>
      <c r="L4614" s="17">
        <v>0.16666666666666666</v>
      </c>
      <c r="M4614" s="14">
        <v>396</v>
      </c>
      <c r="N4614" s="14">
        <v>0</v>
      </c>
      <c r="O4614" s="14">
        <v>0</v>
      </c>
      <c r="P4614" s="14">
        <v>396</v>
      </c>
      <c r="Q4614">
        <v>9512</v>
      </c>
      <c r="R4614">
        <v>3163</v>
      </c>
      <c r="S4614">
        <v>0</v>
      </c>
    </row>
    <row r="4615" spans="11:19" x14ac:dyDescent="0.3">
      <c r="K4615" s="16">
        <f t="shared" si="71"/>
        <v>44208</v>
      </c>
      <c r="L4615" s="17">
        <v>0.20833333333333334</v>
      </c>
      <c r="M4615" s="14">
        <v>396</v>
      </c>
      <c r="N4615" s="14">
        <v>0</v>
      </c>
      <c r="O4615" s="14">
        <v>0</v>
      </c>
      <c r="P4615" s="14">
        <v>396</v>
      </c>
      <c r="Q4615">
        <v>10012</v>
      </c>
      <c r="R4615">
        <v>3358</v>
      </c>
      <c r="S4615">
        <v>0</v>
      </c>
    </row>
    <row r="4616" spans="11:19" x14ac:dyDescent="0.3">
      <c r="K4616" s="16">
        <f t="shared" si="71"/>
        <v>44208</v>
      </c>
      <c r="L4616" s="17">
        <v>0.25</v>
      </c>
      <c r="M4616" s="14">
        <v>396</v>
      </c>
      <c r="N4616" s="14">
        <v>0</v>
      </c>
      <c r="O4616" s="14">
        <v>0</v>
      </c>
      <c r="P4616" s="14">
        <v>396</v>
      </c>
      <c r="Q4616">
        <v>11182</v>
      </c>
      <c r="R4616">
        <v>3416</v>
      </c>
      <c r="S4616">
        <v>0</v>
      </c>
    </row>
    <row r="4617" spans="11:19" x14ac:dyDescent="0.3">
      <c r="K4617" s="16">
        <f t="shared" si="71"/>
        <v>44208</v>
      </c>
      <c r="L4617" s="17">
        <v>0.29166666666666669</v>
      </c>
      <c r="M4617" s="14">
        <v>396</v>
      </c>
      <c r="N4617" s="14">
        <v>0</v>
      </c>
      <c r="O4617" s="14">
        <v>0</v>
      </c>
      <c r="P4617" s="14">
        <v>396</v>
      </c>
      <c r="Q4617">
        <v>12222</v>
      </c>
      <c r="R4617">
        <v>3542</v>
      </c>
      <c r="S4617">
        <v>0</v>
      </c>
    </row>
    <row r="4618" spans="11:19" x14ac:dyDescent="0.3">
      <c r="K4618" s="16">
        <f t="shared" si="71"/>
        <v>44208</v>
      </c>
      <c r="L4618" s="17">
        <v>0.33333333333333331</v>
      </c>
      <c r="M4618" s="14">
        <v>396</v>
      </c>
      <c r="N4618" s="14">
        <v>0</v>
      </c>
      <c r="O4618" s="14">
        <v>0</v>
      </c>
      <c r="P4618" s="14">
        <v>396</v>
      </c>
      <c r="Q4618">
        <v>12542</v>
      </c>
      <c r="R4618">
        <v>3518</v>
      </c>
      <c r="S4618">
        <v>16</v>
      </c>
    </row>
    <row r="4619" spans="11:19" x14ac:dyDescent="0.3">
      <c r="K4619" s="16">
        <f t="shared" si="71"/>
        <v>44208</v>
      </c>
      <c r="L4619" s="17">
        <v>0.375</v>
      </c>
      <c r="M4619" s="14">
        <v>396</v>
      </c>
      <c r="N4619" s="14">
        <v>143</v>
      </c>
      <c r="O4619" s="14">
        <v>0</v>
      </c>
      <c r="P4619" s="14">
        <v>539</v>
      </c>
      <c r="Q4619">
        <v>12547</v>
      </c>
      <c r="R4619">
        <v>3517</v>
      </c>
      <c r="S4619">
        <v>108</v>
      </c>
    </row>
    <row r="4620" spans="11:19" x14ac:dyDescent="0.3">
      <c r="K4620" s="16">
        <f t="shared" si="71"/>
        <v>44208</v>
      </c>
      <c r="L4620" s="17">
        <v>0.41666666666666669</v>
      </c>
      <c r="M4620" s="14">
        <v>396</v>
      </c>
      <c r="N4620" s="14">
        <v>93</v>
      </c>
      <c r="O4620" s="14">
        <v>0</v>
      </c>
      <c r="P4620" s="14">
        <v>489</v>
      </c>
      <c r="Q4620">
        <v>12538</v>
      </c>
      <c r="R4620">
        <v>3364</v>
      </c>
      <c r="S4620">
        <v>305</v>
      </c>
    </row>
    <row r="4621" spans="11:19" x14ac:dyDescent="0.3">
      <c r="K4621" s="16">
        <f t="shared" si="71"/>
        <v>44208</v>
      </c>
      <c r="L4621" s="17">
        <v>0.45833333333333331</v>
      </c>
      <c r="M4621" s="14">
        <v>396</v>
      </c>
      <c r="N4621" s="14">
        <v>66</v>
      </c>
      <c r="O4621" s="14">
        <v>0</v>
      </c>
      <c r="P4621" s="14">
        <v>462</v>
      </c>
      <c r="Q4621">
        <v>12621</v>
      </c>
      <c r="R4621">
        <v>3284</v>
      </c>
      <c r="S4621">
        <v>493</v>
      </c>
    </row>
    <row r="4622" spans="11:19" x14ac:dyDescent="0.3">
      <c r="K4622" s="16">
        <f t="shared" si="71"/>
        <v>44208</v>
      </c>
      <c r="L4622" s="17">
        <v>0.5</v>
      </c>
      <c r="M4622" s="14">
        <v>396</v>
      </c>
      <c r="N4622" s="14">
        <v>0</v>
      </c>
      <c r="O4622" s="14">
        <v>0</v>
      </c>
      <c r="P4622" s="14">
        <v>396</v>
      </c>
      <c r="Q4622">
        <v>12616</v>
      </c>
      <c r="R4622">
        <v>3333</v>
      </c>
      <c r="S4622">
        <v>567</v>
      </c>
    </row>
    <row r="4623" spans="11:19" x14ac:dyDescent="0.3">
      <c r="K4623" s="16">
        <f t="shared" si="71"/>
        <v>44208</v>
      </c>
      <c r="L4623" s="17">
        <v>0.54166666666666663</v>
      </c>
      <c r="M4623" s="14">
        <v>396</v>
      </c>
      <c r="N4623" s="14">
        <v>0</v>
      </c>
      <c r="O4623" s="14">
        <v>0</v>
      </c>
      <c r="P4623" s="14">
        <v>396</v>
      </c>
      <c r="Q4623">
        <v>12371</v>
      </c>
      <c r="R4623">
        <v>3362</v>
      </c>
      <c r="S4623">
        <v>560</v>
      </c>
    </row>
    <row r="4624" spans="11:19" x14ac:dyDescent="0.3">
      <c r="K4624" s="16">
        <f t="shared" si="71"/>
        <v>44208</v>
      </c>
      <c r="L4624" s="17">
        <v>0.58333333333333337</v>
      </c>
      <c r="M4624" s="14">
        <v>396</v>
      </c>
      <c r="N4624" s="14">
        <v>0</v>
      </c>
      <c r="O4624" s="14">
        <v>0</v>
      </c>
      <c r="P4624" s="14">
        <v>396</v>
      </c>
      <c r="Q4624">
        <v>12154</v>
      </c>
      <c r="R4624">
        <v>3333</v>
      </c>
      <c r="S4624">
        <v>483</v>
      </c>
    </row>
    <row r="4625" spans="11:19" x14ac:dyDescent="0.3">
      <c r="K4625" s="16">
        <f t="shared" si="71"/>
        <v>44208</v>
      </c>
      <c r="L4625" s="17">
        <v>0.625</v>
      </c>
      <c r="M4625" s="14">
        <v>396</v>
      </c>
      <c r="N4625" s="14">
        <v>0</v>
      </c>
      <c r="O4625" s="14">
        <v>0</v>
      </c>
      <c r="P4625" s="14">
        <v>396</v>
      </c>
      <c r="Q4625">
        <v>11959</v>
      </c>
      <c r="R4625">
        <v>3061</v>
      </c>
      <c r="S4625">
        <v>296</v>
      </c>
    </row>
    <row r="4626" spans="11:19" x14ac:dyDescent="0.3">
      <c r="K4626" s="16">
        <f t="shared" si="71"/>
        <v>44208</v>
      </c>
      <c r="L4626" s="17">
        <v>0.66666666666666663</v>
      </c>
      <c r="M4626" s="14">
        <v>396</v>
      </c>
      <c r="N4626" s="14">
        <v>269</v>
      </c>
      <c r="O4626" s="14">
        <v>0</v>
      </c>
      <c r="P4626" s="14">
        <v>665</v>
      </c>
      <c r="Q4626">
        <v>11961</v>
      </c>
      <c r="R4626">
        <v>2826</v>
      </c>
      <c r="S4626">
        <v>85</v>
      </c>
    </row>
    <row r="4627" spans="11:19" x14ac:dyDescent="0.3">
      <c r="K4627" s="16">
        <f t="shared" si="71"/>
        <v>44208</v>
      </c>
      <c r="L4627" s="17">
        <v>0.70833333333333337</v>
      </c>
      <c r="M4627" s="14">
        <v>396</v>
      </c>
      <c r="N4627" s="14">
        <v>645</v>
      </c>
      <c r="O4627" s="14">
        <v>0</v>
      </c>
      <c r="P4627" s="14">
        <v>1041</v>
      </c>
      <c r="Q4627">
        <v>12499</v>
      </c>
      <c r="R4627">
        <v>2748</v>
      </c>
      <c r="S4627">
        <v>11</v>
      </c>
    </row>
    <row r="4628" spans="11:19" x14ac:dyDescent="0.3">
      <c r="K4628" s="16">
        <f t="shared" si="71"/>
        <v>44208</v>
      </c>
      <c r="L4628" s="17">
        <v>0.75</v>
      </c>
      <c r="M4628" s="14">
        <v>396</v>
      </c>
      <c r="N4628" s="14">
        <v>1007</v>
      </c>
      <c r="O4628" s="14">
        <v>0</v>
      </c>
      <c r="P4628" s="14">
        <v>1403</v>
      </c>
      <c r="Q4628">
        <v>13038</v>
      </c>
      <c r="R4628">
        <v>2669</v>
      </c>
      <c r="S4628">
        <v>0</v>
      </c>
    </row>
    <row r="4629" spans="11:19" x14ac:dyDescent="0.3">
      <c r="K4629" s="16">
        <f t="shared" si="71"/>
        <v>44208</v>
      </c>
      <c r="L4629" s="17">
        <v>0.79166666666666663</v>
      </c>
      <c r="M4629" s="14">
        <v>396</v>
      </c>
      <c r="N4629" s="14">
        <v>1007</v>
      </c>
      <c r="O4629" s="14">
        <v>0</v>
      </c>
      <c r="P4629" s="14">
        <v>1403</v>
      </c>
      <c r="Q4629">
        <v>12716</v>
      </c>
      <c r="R4629">
        <v>2602</v>
      </c>
      <c r="S4629">
        <v>0</v>
      </c>
    </row>
    <row r="4630" spans="11:19" x14ac:dyDescent="0.3">
      <c r="K4630" s="16">
        <f t="shared" si="71"/>
        <v>44208</v>
      </c>
      <c r="L4630" s="17">
        <v>0.83333333333333337</v>
      </c>
      <c r="M4630" s="14">
        <v>396</v>
      </c>
      <c r="N4630" s="14">
        <v>0</v>
      </c>
      <c r="O4630" s="14">
        <v>0</v>
      </c>
      <c r="P4630" s="14">
        <v>396</v>
      </c>
      <c r="Q4630">
        <v>11857</v>
      </c>
      <c r="R4630">
        <v>2600</v>
      </c>
      <c r="S4630">
        <v>0</v>
      </c>
    </row>
    <row r="4631" spans="11:19" x14ac:dyDescent="0.3">
      <c r="K4631" s="16">
        <f t="shared" si="71"/>
        <v>44208</v>
      </c>
      <c r="L4631" s="17">
        <v>0.875</v>
      </c>
      <c r="M4631" s="14">
        <v>396</v>
      </c>
      <c r="N4631" s="14">
        <v>0</v>
      </c>
      <c r="O4631" s="14">
        <v>0</v>
      </c>
      <c r="P4631" s="14">
        <v>396</v>
      </c>
      <c r="Q4631">
        <v>11155</v>
      </c>
      <c r="R4631">
        <v>2359</v>
      </c>
      <c r="S4631">
        <v>0</v>
      </c>
    </row>
    <row r="4632" spans="11:19" x14ac:dyDescent="0.3">
      <c r="K4632" s="16">
        <f t="shared" si="71"/>
        <v>44208</v>
      </c>
      <c r="L4632" s="17">
        <v>0.91666666666666663</v>
      </c>
      <c r="M4632" s="14">
        <v>396</v>
      </c>
      <c r="N4632" s="14">
        <v>0</v>
      </c>
      <c r="O4632" s="14">
        <v>0</v>
      </c>
      <c r="P4632" s="14">
        <v>396</v>
      </c>
      <c r="Q4632">
        <v>11227</v>
      </c>
      <c r="R4632">
        <v>2548</v>
      </c>
      <c r="S4632">
        <v>0</v>
      </c>
    </row>
    <row r="4633" spans="11:19" x14ac:dyDescent="0.3">
      <c r="K4633" s="16">
        <f t="shared" si="71"/>
        <v>44208</v>
      </c>
      <c r="L4633" s="17">
        <v>0.95833333333333337</v>
      </c>
      <c r="M4633" s="14">
        <v>396</v>
      </c>
      <c r="N4633" s="14">
        <v>106</v>
      </c>
      <c r="O4633" s="14">
        <v>0</v>
      </c>
      <c r="P4633" s="14">
        <v>502</v>
      </c>
      <c r="Q4633">
        <v>11339</v>
      </c>
      <c r="R4633">
        <v>2458</v>
      </c>
      <c r="S4633">
        <v>0</v>
      </c>
    </row>
    <row r="4634" spans="11:19" x14ac:dyDescent="0.3">
      <c r="K4634" s="16">
        <f t="shared" si="71"/>
        <v>44209</v>
      </c>
      <c r="L4634" s="17">
        <v>0</v>
      </c>
      <c r="M4634" s="14">
        <v>396</v>
      </c>
      <c r="N4634" s="14">
        <v>0</v>
      </c>
      <c r="O4634" s="14">
        <v>0</v>
      </c>
      <c r="P4634" s="14">
        <v>396</v>
      </c>
      <c r="Q4634">
        <v>10714</v>
      </c>
      <c r="R4634">
        <v>2912</v>
      </c>
      <c r="S4634">
        <v>0</v>
      </c>
    </row>
    <row r="4635" spans="11:19" x14ac:dyDescent="0.3">
      <c r="K4635" s="16">
        <f t="shared" ref="K4635:K4698" si="72">K4611+1</f>
        <v>44209</v>
      </c>
      <c r="L4635" s="17">
        <v>4.1666666666666664E-2</v>
      </c>
      <c r="M4635" s="14">
        <v>396</v>
      </c>
      <c r="N4635" s="14">
        <v>0</v>
      </c>
      <c r="O4635" s="14">
        <v>0</v>
      </c>
      <c r="P4635" s="14">
        <v>396</v>
      </c>
      <c r="Q4635">
        <v>10367</v>
      </c>
      <c r="R4635">
        <v>2917</v>
      </c>
      <c r="S4635">
        <v>0</v>
      </c>
    </row>
    <row r="4636" spans="11:19" x14ac:dyDescent="0.3">
      <c r="K4636" s="16">
        <f t="shared" si="72"/>
        <v>44209</v>
      </c>
      <c r="L4636" s="17">
        <v>8.3333333333333329E-2</v>
      </c>
      <c r="M4636" s="14">
        <v>396</v>
      </c>
      <c r="N4636" s="14">
        <v>0</v>
      </c>
      <c r="O4636" s="14">
        <v>0</v>
      </c>
      <c r="P4636" s="14">
        <v>396</v>
      </c>
      <c r="Q4636">
        <v>10090</v>
      </c>
      <c r="R4636">
        <v>2930</v>
      </c>
      <c r="S4636">
        <v>0</v>
      </c>
    </row>
    <row r="4637" spans="11:19" x14ac:dyDescent="0.3">
      <c r="K4637" s="16">
        <f t="shared" si="72"/>
        <v>44209</v>
      </c>
      <c r="L4637" s="17">
        <v>0.125</v>
      </c>
      <c r="M4637" s="14">
        <v>396</v>
      </c>
      <c r="N4637" s="14">
        <v>0</v>
      </c>
      <c r="O4637" s="14">
        <v>0</v>
      </c>
      <c r="P4637" s="14">
        <v>396</v>
      </c>
      <c r="Q4637">
        <v>9663</v>
      </c>
      <c r="R4637">
        <v>2949</v>
      </c>
      <c r="S4637">
        <v>0</v>
      </c>
    </row>
    <row r="4638" spans="11:19" x14ac:dyDescent="0.3">
      <c r="K4638" s="16">
        <f t="shared" si="72"/>
        <v>44209</v>
      </c>
      <c r="L4638" s="17">
        <v>0.16666666666666666</v>
      </c>
      <c r="M4638" s="14">
        <v>396</v>
      </c>
      <c r="N4638" s="14">
        <v>0</v>
      </c>
      <c r="O4638" s="14">
        <v>0</v>
      </c>
      <c r="P4638" s="14">
        <v>396</v>
      </c>
      <c r="Q4638">
        <v>9595</v>
      </c>
      <c r="R4638">
        <v>3074</v>
      </c>
      <c r="S4638">
        <v>0</v>
      </c>
    </row>
    <row r="4639" spans="11:19" x14ac:dyDescent="0.3">
      <c r="K4639" s="16">
        <f t="shared" si="72"/>
        <v>44209</v>
      </c>
      <c r="L4639" s="17">
        <v>0.20833333333333334</v>
      </c>
      <c r="M4639" s="14">
        <v>396</v>
      </c>
      <c r="N4639" s="14">
        <v>0</v>
      </c>
      <c r="O4639" s="14">
        <v>0</v>
      </c>
      <c r="P4639" s="14">
        <v>396</v>
      </c>
      <c r="Q4639">
        <v>10108</v>
      </c>
      <c r="R4639">
        <v>3014</v>
      </c>
      <c r="S4639">
        <v>0</v>
      </c>
    </row>
    <row r="4640" spans="11:19" x14ac:dyDescent="0.3">
      <c r="K4640" s="16">
        <f t="shared" si="72"/>
        <v>44209</v>
      </c>
      <c r="L4640" s="17">
        <v>0.25</v>
      </c>
      <c r="M4640" s="14">
        <v>396</v>
      </c>
      <c r="N4640" s="14">
        <v>0</v>
      </c>
      <c r="O4640" s="14">
        <v>0</v>
      </c>
      <c r="P4640" s="14">
        <v>396</v>
      </c>
      <c r="Q4640">
        <v>11295</v>
      </c>
      <c r="R4640">
        <v>2913</v>
      </c>
      <c r="S4640">
        <v>0</v>
      </c>
    </row>
    <row r="4641" spans="11:19" x14ac:dyDescent="0.3">
      <c r="K4641" s="16">
        <f t="shared" si="72"/>
        <v>44209</v>
      </c>
      <c r="L4641" s="17">
        <v>0.29166666666666669</v>
      </c>
      <c r="M4641" s="14">
        <v>396</v>
      </c>
      <c r="N4641" s="14">
        <v>931</v>
      </c>
      <c r="O4641" s="14">
        <v>0</v>
      </c>
      <c r="P4641" s="14">
        <v>1327</v>
      </c>
      <c r="Q4641">
        <v>12354</v>
      </c>
      <c r="R4641">
        <v>2643</v>
      </c>
      <c r="S4641">
        <v>0</v>
      </c>
    </row>
    <row r="4642" spans="11:19" x14ac:dyDescent="0.3">
      <c r="K4642" s="16">
        <f t="shared" si="72"/>
        <v>44209</v>
      </c>
      <c r="L4642" s="17">
        <v>0.33333333333333331</v>
      </c>
      <c r="M4642" s="14">
        <v>396</v>
      </c>
      <c r="N4642" s="14">
        <v>0</v>
      </c>
      <c r="O4642" s="14">
        <v>0</v>
      </c>
      <c r="P4642" s="14">
        <v>396</v>
      </c>
      <c r="Q4642">
        <v>12716</v>
      </c>
      <c r="R4642">
        <v>2084</v>
      </c>
      <c r="S4642">
        <v>19</v>
      </c>
    </row>
    <row r="4643" spans="11:19" x14ac:dyDescent="0.3">
      <c r="K4643" s="16">
        <f t="shared" si="72"/>
        <v>44209</v>
      </c>
      <c r="L4643" s="17">
        <v>0.375</v>
      </c>
      <c r="M4643" s="14">
        <v>396</v>
      </c>
      <c r="N4643" s="14">
        <v>1742</v>
      </c>
      <c r="O4643" s="14">
        <v>0</v>
      </c>
      <c r="P4643" s="14">
        <v>2138</v>
      </c>
      <c r="Q4643">
        <v>12745</v>
      </c>
      <c r="R4643">
        <v>1753</v>
      </c>
      <c r="S4643">
        <v>118</v>
      </c>
    </row>
    <row r="4644" spans="11:19" x14ac:dyDescent="0.3">
      <c r="K4644" s="16">
        <f t="shared" si="72"/>
        <v>44209</v>
      </c>
      <c r="L4644" s="17">
        <v>0.41666666666666669</v>
      </c>
      <c r="M4644" s="14">
        <v>396</v>
      </c>
      <c r="N4644" s="14">
        <v>1742</v>
      </c>
      <c r="O4644" s="14">
        <v>0</v>
      </c>
      <c r="P4644" s="14">
        <v>2138</v>
      </c>
      <c r="Q4644">
        <v>12738</v>
      </c>
      <c r="R4644">
        <v>1477</v>
      </c>
      <c r="S4644">
        <v>359</v>
      </c>
    </row>
    <row r="4645" spans="11:19" x14ac:dyDescent="0.3">
      <c r="K4645" s="16">
        <f t="shared" si="72"/>
        <v>44209</v>
      </c>
      <c r="L4645" s="17">
        <v>0.45833333333333331</v>
      </c>
      <c r="M4645" s="14">
        <v>396</v>
      </c>
      <c r="N4645" s="14">
        <v>0</v>
      </c>
      <c r="O4645" s="14">
        <v>0</v>
      </c>
      <c r="P4645" s="14">
        <v>396</v>
      </c>
      <c r="Q4645">
        <v>12819</v>
      </c>
      <c r="R4645">
        <v>1364</v>
      </c>
      <c r="S4645">
        <v>493</v>
      </c>
    </row>
    <row r="4646" spans="11:19" x14ac:dyDescent="0.3">
      <c r="K4646" s="16">
        <f t="shared" si="72"/>
        <v>44209</v>
      </c>
      <c r="L4646" s="17">
        <v>0.5</v>
      </c>
      <c r="M4646" s="14">
        <v>396</v>
      </c>
      <c r="N4646" s="14">
        <v>1742</v>
      </c>
      <c r="O4646" s="14">
        <v>0</v>
      </c>
      <c r="P4646" s="14">
        <v>2138</v>
      </c>
      <c r="Q4646">
        <v>12817</v>
      </c>
      <c r="R4646">
        <v>1319</v>
      </c>
      <c r="S4646">
        <v>570</v>
      </c>
    </row>
    <row r="4647" spans="11:19" x14ac:dyDescent="0.3">
      <c r="K4647" s="16">
        <f t="shared" si="72"/>
        <v>44209</v>
      </c>
      <c r="L4647" s="17">
        <v>0.54166666666666663</v>
      </c>
      <c r="M4647" s="14">
        <v>396</v>
      </c>
      <c r="N4647" s="14">
        <v>0</v>
      </c>
      <c r="O4647" s="14">
        <v>0</v>
      </c>
      <c r="P4647" s="14">
        <v>396</v>
      </c>
      <c r="Q4647">
        <v>12593</v>
      </c>
      <c r="R4647">
        <v>1319</v>
      </c>
      <c r="S4647">
        <v>558</v>
      </c>
    </row>
    <row r="4648" spans="11:19" x14ac:dyDescent="0.3">
      <c r="K4648" s="16">
        <f t="shared" si="72"/>
        <v>44209</v>
      </c>
      <c r="L4648" s="17">
        <v>0.58333333333333337</v>
      </c>
      <c r="M4648" s="14">
        <v>396</v>
      </c>
      <c r="N4648" s="14">
        <v>0</v>
      </c>
      <c r="O4648" s="14">
        <v>0</v>
      </c>
      <c r="P4648" s="14">
        <v>396</v>
      </c>
      <c r="Q4648">
        <v>12414</v>
      </c>
      <c r="R4648">
        <v>1255</v>
      </c>
      <c r="S4648">
        <v>476</v>
      </c>
    </row>
    <row r="4649" spans="11:19" x14ac:dyDescent="0.3">
      <c r="K4649" s="16">
        <f t="shared" si="72"/>
        <v>44209</v>
      </c>
      <c r="L4649" s="17">
        <v>0.625</v>
      </c>
      <c r="M4649" s="14">
        <v>396</v>
      </c>
      <c r="N4649" s="14">
        <v>1742</v>
      </c>
      <c r="O4649" s="14">
        <v>0</v>
      </c>
      <c r="P4649" s="14">
        <v>2138</v>
      </c>
      <c r="Q4649">
        <v>12246</v>
      </c>
      <c r="R4649">
        <v>1207</v>
      </c>
      <c r="S4649">
        <v>322</v>
      </c>
    </row>
    <row r="4650" spans="11:19" x14ac:dyDescent="0.3">
      <c r="K4650" s="16">
        <f t="shared" si="72"/>
        <v>44209</v>
      </c>
      <c r="L4650" s="17">
        <v>0.66666666666666663</v>
      </c>
      <c r="M4650" s="14">
        <v>396</v>
      </c>
      <c r="N4650" s="14">
        <v>1742</v>
      </c>
      <c r="O4650" s="14">
        <v>0</v>
      </c>
      <c r="P4650" s="14">
        <v>2138</v>
      </c>
      <c r="Q4650">
        <v>12265</v>
      </c>
      <c r="R4650">
        <v>1018</v>
      </c>
      <c r="S4650">
        <v>93</v>
      </c>
    </row>
    <row r="4651" spans="11:19" x14ac:dyDescent="0.3">
      <c r="K4651" s="16">
        <f t="shared" si="72"/>
        <v>44209</v>
      </c>
      <c r="L4651" s="17">
        <v>0.70833333333333337</v>
      </c>
      <c r="M4651" s="14">
        <v>396</v>
      </c>
      <c r="N4651" s="14">
        <v>1742</v>
      </c>
      <c r="O4651" s="14">
        <v>0</v>
      </c>
      <c r="P4651" s="14">
        <v>2138</v>
      </c>
      <c r="Q4651">
        <v>12855</v>
      </c>
      <c r="R4651">
        <v>1038</v>
      </c>
      <c r="S4651">
        <v>10</v>
      </c>
    </row>
    <row r="4652" spans="11:19" x14ac:dyDescent="0.3">
      <c r="K4652" s="16">
        <f t="shared" si="72"/>
        <v>44209</v>
      </c>
      <c r="L4652" s="17">
        <v>0.75</v>
      </c>
      <c r="M4652" s="14">
        <v>396</v>
      </c>
      <c r="N4652" s="14">
        <v>1742</v>
      </c>
      <c r="O4652" s="14">
        <v>0</v>
      </c>
      <c r="P4652" s="14">
        <v>2138</v>
      </c>
      <c r="Q4652">
        <v>13455</v>
      </c>
      <c r="R4652">
        <v>886</v>
      </c>
      <c r="S4652">
        <v>0</v>
      </c>
    </row>
    <row r="4653" spans="11:19" x14ac:dyDescent="0.3">
      <c r="K4653" s="16">
        <f t="shared" si="72"/>
        <v>44209</v>
      </c>
      <c r="L4653" s="17">
        <v>0.79166666666666663</v>
      </c>
      <c r="M4653" s="14">
        <v>396</v>
      </c>
      <c r="N4653" s="14">
        <v>1742</v>
      </c>
      <c r="O4653" s="14">
        <v>0</v>
      </c>
      <c r="P4653" s="14">
        <v>2138</v>
      </c>
      <c r="Q4653">
        <v>13207</v>
      </c>
      <c r="R4653">
        <v>795</v>
      </c>
      <c r="S4653">
        <v>0</v>
      </c>
    </row>
    <row r="4654" spans="11:19" x14ac:dyDescent="0.3">
      <c r="K4654" s="16">
        <f t="shared" si="72"/>
        <v>44209</v>
      </c>
      <c r="L4654" s="17">
        <v>0.83333333333333337</v>
      </c>
      <c r="M4654" s="14">
        <v>396</v>
      </c>
      <c r="N4654" s="14">
        <v>1742</v>
      </c>
      <c r="O4654" s="14">
        <v>0</v>
      </c>
      <c r="P4654" s="14">
        <v>2138</v>
      </c>
      <c r="Q4654">
        <v>12289</v>
      </c>
      <c r="R4654">
        <v>809</v>
      </c>
      <c r="S4654">
        <v>0</v>
      </c>
    </row>
    <row r="4655" spans="11:19" x14ac:dyDescent="0.3">
      <c r="K4655" s="16">
        <f t="shared" si="72"/>
        <v>44209</v>
      </c>
      <c r="L4655" s="17">
        <v>0.875</v>
      </c>
      <c r="M4655" s="14">
        <v>396</v>
      </c>
      <c r="N4655" s="14">
        <v>1742</v>
      </c>
      <c r="O4655" s="14">
        <v>0</v>
      </c>
      <c r="P4655" s="14">
        <v>2138</v>
      </c>
      <c r="Q4655">
        <v>11524</v>
      </c>
      <c r="R4655">
        <v>717</v>
      </c>
      <c r="S4655">
        <v>0</v>
      </c>
    </row>
    <row r="4656" spans="11:19" x14ac:dyDescent="0.3">
      <c r="K4656" s="16">
        <f t="shared" si="72"/>
        <v>44209</v>
      </c>
      <c r="L4656" s="17">
        <v>0.91666666666666663</v>
      </c>
      <c r="M4656" s="14">
        <v>396</v>
      </c>
      <c r="N4656" s="14">
        <v>1742</v>
      </c>
      <c r="O4656" s="14">
        <v>0</v>
      </c>
      <c r="P4656" s="14">
        <v>2138</v>
      </c>
      <c r="Q4656">
        <v>11588</v>
      </c>
      <c r="R4656">
        <v>716</v>
      </c>
      <c r="S4656">
        <v>0</v>
      </c>
    </row>
    <row r="4657" spans="11:19" x14ac:dyDescent="0.3">
      <c r="K4657" s="16">
        <f t="shared" si="72"/>
        <v>44209</v>
      </c>
      <c r="L4657" s="17">
        <v>0.95833333333333337</v>
      </c>
      <c r="M4657" s="14">
        <v>396</v>
      </c>
      <c r="N4657" s="14">
        <v>0</v>
      </c>
      <c r="O4657" s="14">
        <v>0</v>
      </c>
      <c r="P4657" s="14">
        <v>396</v>
      </c>
      <c r="Q4657">
        <v>11688</v>
      </c>
      <c r="R4657">
        <v>740</v>
      </c>
      <c r="S4657">
        <v>0</v>
      </c>
    </row>
    <row r="4658" spans="11:19" x14ac:dyDescent="0.3">
      <c r="K4658" s="16">
        <f t="shared" si="72"/>
        <v>44210</v>
      </c>
      <c r="L4658" s="17">
        <v>0</v>
      </c>
      <c r="M4658" s="14">
        <v>396</v>
      </c>
      <c r="N4658" s="14">
        <v>1518</v>
      </c>
      <c r="O4658" s="14">
        <v>0</v>
      </c>
      <c r="P4658" s="14">
        <v>1914</v>
      </c>
      <c r="Q4658">
        <v>11066</v>
      </c>
      <c r="R4658">
        <v>775</v>
      </c>
      <c r="S4658">
        <v>0</v>
      </c>
    </row>
    <row r="4659" spans="11:19" x14ac:dyDescent="0.3">
      <c r="K4659" s="16">
        <f t="shared" si="72"/>
        <v>44210</v>
      </c>
      <c r="L4659" s="17">
        <v>4.1666666666666664E-2</v>
      </c>
      <c r="M4659" s="14">
        <v>396</v>
      </c>
      <c r="N4659" s="14">
        <v>0</v>
      </c>
      <c r="O4659" s="14">
        <v>0</v>
      </c>
      <c r="P4659" s="14">
        <v>396</v>
      </c>
      <c r="Q4659">
        <v>10720</v>
      </c>
      <c r="R4659">
        <v>844</v>
      </c>
      <c r="S4659">
        <v>0</v>
      </c>
    </row>
    <row r="4660" spans="11:19" x14ac:dyDescent="0.3">
      <c r="K4660" s="16">
        <f t="shared" si="72"/>
        <v>44210</v>
      </c>
      <c r="L4660" s="17">
        <v>8.3333333333333329E-2</v>
      </c>
      <c r="M4660" s="14">
        <v>396</v>
      </c>
      <c r="N4660" s="14">
        <v>802</v>
      </c>
      <c r="O4660" s="14">
        <v>0</v>
      </c>
      <c r="P4660" s="14">
        <v>1198</v>
      </c>
      <c r="Q4660">
        <v>10443</v>
      </c>
      <c r="R4660">
        <v>872</v>
      </c>
      <c r="S4660">
        <v>0</v>
      </c>
    </row>
    <row r="4661" spans="11:19" x14ac:dyDescent="0.3">
      <c r="K4661" s="16">
        <f t="shared" si="72"/>
        <v>44210</v>
      </c>
      <c r="L4661" s="17">
        <v>0.125</v>
      </c>
      <c r="M4661" s="14">
        <v>396</v>
      </c>
      <c r="N4661" s="14">
        <v>0</v>
      </c>
      <c r="O4661" s="14">
        <v>0</v>
      </c>
      <c r="P4661" s="14">
        <v>396</v>
      </c>
      <c r="Q4661">
        <v>10010</v>
      </c>
      <c r="R4661">
        <v>763</v>
      </c>
      <c r="S4661">
        <v>0</v>
      </c>
    </row>
    <row r="4662" spans="11:19" x14ac:dyDescent="0.3">
      <c r="K4662" s="16">
        <f t="shared" si="72"/>
        <v>44210</v>
      </c>
      <c r="L4662" s="17">
        <v>0.16666666666666666</v>
      </c>
      <c r="M4662" s="14">
        <v>396</v>
      </c>
      <c r="N4662" s="14">
        <v>262</v>
      </c>
      <c r="O4662" s="14">
        <v>0</v>
      </c>
      <c r="P4662" s="14">
        <v>658</v>
      </c>
      <c r="Q4662">
        <v>9934</v>
      </c>
      <c r="R4662">
        <v>906</v>
      </c>
      <c r="S4662">
        <v>0</v>
      </c>
    </row>
    <row r="4663" spans="11:19" x14ac:dyDescent="0.3">
      <c r="K4663" s="16">
        <f t="shared" si="72"/>
        <v>44210</v>
      </c>
      <c r="L4663" s="17">
        <v>0.20833333333333334</v>
      </c>
      <c r="M4663" s="14">
        <v>396</v>
      </c>
      <c r="N4663" s="14">
        <v>658</v>
      </c>
      <c r="O4663" s="14">
        <v>0</v>
      </c>
      <c r="P4663" s="14">
        <v>1054</v>
      </c>
      <c r="Q4663">
        <v>10442</v>
      </c>
      <c r="R4663">
        <v>1019</v>
      </c>
      <c r="S4663">
        <v>0</v>
      </c>
    </row>
    <row r="4664" spans="11:19" x14ac:dyDescent="0.3">
      <c r="K4664" s="16">
        <f t="shared" si="72"/>
        <v>44210</v>
      </c>
      <c r="L4664" s="17">
        <v>0.25</v>
      </c>
      <c r="M4664" s="14">
        <v>396</v>
      </c>
      <c r="N4664" s="14">
        <v>0</v>
      </c>
      <c r="O4664" s="14">
        <v>0</v>
      </c>
      <c r="P4664" s="14">
        <v>396</v>
      </c>
      <c r="Q4664">
        <v>11612</v>
      </c>
      <c r="R4664">
        <v>1164</v>
      </c>
      <c r="S4664">
        <v>0</v>
      </c>
    </row>
    <row r="4665" spans="11:19" x14ac:dyDescent="0.3">
      <c r="K4665" s="16">
        <f t="shared" si="72"/>
        <v>44210</v>
      </c>
      <c r="L4665" s="17">
        <v>0.29166666666666669</v>
      </c>
      <c r="M4665" s="14">
        <v>396</v>
      </c>
      <c r="N4665" s="14">
        <v>2352</v>
      </c>
      <c r="O4665" s="14">
        <v>0</v>
      </c>
      <c r="P4665" s="14">
        <v>2748</v>
      </c>
      <c r="Q4665">
        <v>12662</v>
      </c>
      <c r="R4665">
        <v>1192</v>
      </c>
      <c r="S4665">
        <v>0</v>
      </c>
    </row>
    <row r="4666" spans="11:19" x14ac:dyDescent="0.3">
      <c r="K4666" s="16">
        <f t="shared" si="72"/>
        <v>44210</v>
      </c>
      <c r="L4666" s="17">
        <v>0.33333333333333331</v>
      </c>
      <c r="M4666" s="14">
        <v>396</v>
      </c>
      <c r="N4666" s="14">
        <v>2352</v>
      </c>
      <c r="O4666" s="14">
        <v>0</v>
      </c>
      <c r="P4666" s="14">
        <v>2748</v>
      </c>
      <c r="Q4666">
        <v>13012</v>
      </c>
      <c r="R4666">
        <v>1122</v>
      </c>
      <c r="S4666">
        <v>17</v>
      </c>
    </row>
    <row r="4667" spans="11:19" x14ac:dyDescent="0.3">
      <c r="K4667" s="16">
        <f t="shared" si="72"/>
        <v>44210</v>
      </c>
      <c r="L4667" s="17">
        <v>0.375</v>
      </c>
      <c r="M4667" s="14">
        <v>396</v>
      </c>
      <c r="N4667" s="14">
        <v>449</v>
      </c>
      <c r="O4667" s="14">
        <v>0</v>
      </c>
      <c r="P4667" s="14">
        <v>845</v>
      </c>
      <c r="Q4667">
        <v>13095</v>
      </c>
      <c r="R4667">
        <v>891</v>
      </c>
      <c r="S4667">
        <v>77</v>
      </c>
    </row>
    <row r="4668" spans="11:19" x14ac:dyDescent="0.3">
      <c r="K4668" s="16">
        <f t="shared" si="72"/>
        <v>44210</v>
      </c>
      <c r="L4668" s="17">
        <v>0.41666666666666669</v>
      </c>
      <c r="M4668" s="14">
        <v>396</v>
      </c>
      <c r="N4668" s="14">
        <v>2352</v>
      </c>
      <c r="O4668" s="14">
        <v>0</v>
      </c>
      <c r="P4668" s="14">
        <v>2748</v>
      </c>
      <c r="Q4668">
        <v>13136</v>
      </c>
      <c r="R4668">
        <v>965</v>
      </c>
      <c r="S4668">
        <v>192</v>
      </c>
    </row>
    <row r="4669" spans="11:19" x14ac:dyDescent="0.3">
      <c r="K4669" s="16">
        <f t="shared" si="72"/>
        <v>44210</v>
      </c>
      <c r="L4669" s="17">
        <v>0.45833333333333331</v>
      </c>
      <c r="M4669" s="14">
        <v>396</v>
      </c>
      <c r="N4669" s="14">
        <v>270</v>
      </c>
      <c r="O4669" s="14">
        <v>0</v>
      </c>
      <c r="P4669" s="14">
        <v>666</v>
      </c>
      <c r="Q4669">
        <v>13290</v>
      </c>
      <c r="R4669">
        <v>1060</v>
      </c>
      <c r="S4669">
        <v>283</v>
      </c>
    </row>
    <row r="4670" spans="11:19" x14ac:dyDescent="0.3">
      <c r="K4670" s="16">
        <f t="shared" si="72"/>
        <v>44210</v>
      </c>
      <c r="L4670" s="17">
        <v>0.5</v>
      </c>
      <c r="M4670" s="14">
        <v>396</v>
      </c>
      <c r="N4670" s="14">
        <v>274</v>
      </c>
      <c r="O4670" s="14">
        <v>0</v>
      </c>
      <c r="P4670" s="14">
        <v>670</v>
      </c>
      <c r="Q4670">
        <v>13330</v>
      </c>
      <c r="R4670">
        <v>1054</v>
      </c>
      <c r="S4670">
        <v>325</v>
      </c>
    </row>
    <row r="4671" spans="11:19" x14ac:dyDescent="0.3">
      <c r="K4671" s="16">
        <f t="shared" si="72"/>
        <v>44210</v>
      </c>
      <c r="L4671" s="17">
        <v>0.54166666666666663</v>
      </c>
      <c r="M4671" s="14">
        <v>396</v>
      </c>
      <c r="N4671" s="14">
        <v>2352</v>
      </c>
      <c r="O4671" s="14">
        <v>0</v>
      </c>
      <c r="P4671" s="14">
        <v>2748</v>
      </c>
      <c r="Q4671">
        <v>13113</v>
      </c>
      <c r="R4671">
        <v>1150</v>
      </c>
      <c r="S4671">
        <v>388</v>
      </c>
    </row>
    <row r="4672" spans="11:19" x14ac:dyDescent="0.3">
      <c r="K4672" s="16">
        <f t="shared" si="72"/>
        <v>44210</v>
      </c>
      <c r="L4672" s="17">
        <v>0.58333333333333337</v>
      </c>
      <c r="M4672" s="14">
        <v>396</v>
      </c>
      <c r="N4672" s="14">
        <v>0</v>
      </c>
      <c r="O4672" s="14">
        <v>0</v>
      </c>
      <c r="P4672" s="14">
        <v>396</v>
      </c>
      <c r="Q4672">
        <v>12874</v>
      </c>
      <c r="R4672">
        <v>1344</v>
      </c>
      <c r="S4672">
        <v>359</v>
      </c>
    </row>
    <row r="4673" spans="11:19" x14ac:dyDescent="0.3">
      <c r="K4673" s="16">
        <f t="shared" si="72"/>
        <v>44210</v>
      </c>
      <c r="L4673" s="17">
        <v>0.625</v>
      </c>
      <c r="M4673" s="14">
        <v>396</v>
      </c>
      <c r="N4673" s="14">
        <v>0</v>
      </c>
      <c r="O4673" s="14">
        <v>0</v>
      </c>
      <c r="P4673" s="14">
        <v>396</v>
      </c>
      <c r="Q4673">
        <v>12684</v>
      </c>
      <c r="R4673">
        <v>1307</v>
      </c>
      <c r="S4673">
        <v>274</v>
      </c>
    </row>
    <row r="4674" spans="11:19" x14ac:dyDescent="0.3">
      <c r="K4674" s="16">
        <f t="shared" si="72"/>
        <v>44210</v>
      </c>
      <c r="L4674" s="17">
        <v>0.66666666666666663</v>
      </c>
      <c r="M4674" s="14">
        <v>396</v>
      </c>
      <c r="N4674" s="14">
        <v>2352</v>
      </c>
      <c r="O4674" s="14">
        <v>0</v>
      </c>
      <c r="P4674" s="14">
        <v>2748</v>
      </c>
      <c r="Q4674">
        <v>12687</v>
      </c>
      <c r="R4674">
        <v>1450</v>
      </c>
      <c r="S4674">
        <v>81</v>
      </c>
    </row>
    <row r="4675" spans="11:19" x14ac:dyDescent="0.3">
      <c r="K4675" s="16">
        <f t="shared" si="72"/>
        <v>44210</v>
      </c>
      <c r="L4675" s="17">
        <v>0.70833333333333337</v>
      </c>
      <c r="M4675" s="14">
        <v>396</v>
      </c>
      <c r="N4675" s="14">
        <v>2352</v>
      </c>
      <c r="O4675" s="14">
        <v>0</v>
      </c>
      <c r="P4675" s="14">
        <v>2748</v>
      </c>
      <c r="Q4675">
        <v>13239</v>
      </c>
      <c r="R4675">
        <v>1441</v>
      </c>
      <c r="S4675">
        <v>15</v>
      </c>
    </row>
    <row r="4676" spans="11:19" x14ac:dyDescent="0.3">
      <c r="K4676" s="16">
        <f t="shared" si="72"/>
        <v>44210</v>
      </c>
      <c r="L4676" s="17">
        <v>0.75</v>
      </c>
      <c r="M4676" s="14">
        <v>396</v>
      </c>
      <c r="N4676" s="14">
        <v>2352</v>
      </c>
      <c r="O4676" s="14">
        <v>0</v>
      </c>
      <c r="P4676" s="14">
        <v>2748</v>
      </c>
      <c r="Q4676">
        <v>13732</v>
      </c>
      <c r="R4676">
        <v>1336</v>
      </c>
      <c r="S4676">
        <v>0</v>
      </c>
    </row>
    <row r="4677" spans="11:19" x14ac:dyDescent="0.3">
      <c r="K4677" s="16">
        <f t="shared" si="72"/>
        <v>44210</v>
      </c>
      <c r="L4677" s="17">
        <v>0.79166666666666663</v>
      </c>
      <c r="M4677" s="14">
        <v>396</v>
      </c>
      <c r="N4677" s="14">
        <v>2352</v>
      </c>
      <c r="O4677" s="14">
        <v>0</v>
      </c>
      <c r="P4677" s="14">
        <v>2748</v>
      </c>
      <c r="Q4677">
        <v>13566</v>
      </c>
      <c r="R4677">
        <v>1325</v>
      </c>
      <c r="S4677">
        <v>0</v>
      </c>
    </row>
    <row r="4678" spans="11:19" x14ac:dyDescent="0.3">
      <c r="K4678" s="16">
        <f t="shared" si="72"/>
        <v>44210</v>
      </c>
      <c r="L4678" s="17">
        <v>0.83333333333333337</v>
      </c>
      <c r="M4678" s="14">
        <v>396</v>
      </c>
      <c r="N4678" s="14">
        <v>2352</v>
      </c>
      <c r="O4678" s="14">
        <v>0</v>
      </c>
      <c r="P4678" s="14">
        <v>2748</v>
      </c>
      <c r="Q4678">
        <v>12644</v>
      </c>
      <c r="R4678">
        <v>1420</v>
      </c>
      <c r="S4678">
        <v>0</v>
      </c>
    </row>
    <row r="4679" spans="11:19" x14ac:dyDescent="0.3">
      <c r="K4679" s="16">
        <f t="shared" si="72"/>
        <v>44210</v>
      </c>
      <c r="L4679" s="17">
        <v>0.875</v>
      </c>
      <c r="M4679" s="14">
        <v>396</v>
      </c>
      <c r="N4679" s="14">
        <v>0</v>
      </c>
      <c r="O4679" s="14">
        <v>0</v>
      </c>
      <c r="P4679" s="14">
        <v>396</v>
      </c>
      <c r="Q4679">
        <v>11867</v>
      </c>
      <c r="R4679">
        <v>1559</v>
      </c>
      <c r="S4679">
        <v>0</v>
      </c>
    </row>
    <row r="4680" spans="11:19" x14ac:dyDescent="0.3">
      <c r="K4680" s="16">
        <f t="shared" si="72"/>
        <v>44210</v>
      </c>
      <c r="L4680" s="17">
        <v>0.91666666666666663</v>
      </c>
      <c r="M4680" s="14">
        <v>396</v>
      </c>
      <c r="N4680" s="14">
        <v>1494</v>
      </c>
      <c r="O4680" s="14">
        <v>0</v>
      </c>
      <c r="P4680" s="14">
        <v>1890</v>
      </c>
      <c r="Q4680">
        <v>11963</v>
      </c>
      <c r="R4680">
        <v>1694</v>
      </c>
      <c r="S4680">
        <v>0</v>
      </c>
    </row>
    <row r="4681" spans="11:19" x14ac:dyDescent="0.3">
      <c r="K4681" s="16">
        <f t="shared" si="72"/>
        <v>44210</v>
      </c>
      <c r="L4681" s="17">
        <v>0.95833333333333337</v>
      </c>
      <c r="M4681" s="14">
        <v>396</v>
      </c>
      <c r="N4681" s="14">
        <v>1614</v>
      </c>
      <c r="O4681" s="14">
        <v>0</v>
      </c>
      <c r="P4681" s="14">
        <v>2010</v>
      </c>
      <c r="Q4681">
        <v>12090</v>
      </c>
      <c r="R4681">
        <v>1699</v>
      </c>
      <c r="S4681">
        <v>0</v>
      </c>
    </row>
    <row r="4682" spans="11:19" x14ac:dyDescent="0.3">
      <c r="K4682" s="16">
        <f t="shared" si="72"/>
        <v>44211</v>
      </c>
      <c r="L4682" s="17">
        <v>0</v>
      </c>
      <c r="M4682" s="14">
        <v>396</v>
      </c>
      <c r="N4682" s="14">
        <v>0</v>
      </c>
      <c r="O4682" s="14">
        <v>0</v>
      </c>
      <c r="P4682" s="14">
        <v>396</v>
      </c>
      <c r="Q4682">
        <v>11690</v>
      </c>
      <c r="R4682">
        <v>1576</v>
      </c>
      <c r="S4682">
        <v>0</v>
      </c>
    </row>
    <row r="4683" spans="11:19" x14ac:dyDescent="0.3">
      <c r="K4683" s="16">
        <f t="shared" si="72"/>
        <v>44211</v>
      </c>
      <c r="L4683" s="17">
        <v>4.1666666666666664E-2</v>
      </c>
      <c r="M4683" s="14">
        <v>396</v>
      </c>
      <c r="N4683" s="14">
        <v>0</v>
      </c>
      <c r="O4683" s="14">
        <v>0</v>
      </c>
      <c r="P4683" s="14">
        <v>396</v>
      </c>
      <c r="Q4683">
        <v>11410</v>
      </c>
      <c r="R4683">
        <v>1651</v>
      </c>
      <c r="S4683">
        <v>0</v>
      </c>
    </row>
    <row r="4684" spans="11:19" x14ac:dyDescent="0.3">
      <c r="K4684" s="16">
        <f t="shared" si="72"/>
        <v>44211</v>
      </c>
      <c r="L4684" s="17">
        <v>8.3333333333333329E-2</v>
      </c>
      <c r="M4684" s="14">
        <v>396</v>
      </c>
      <c r="N4684" s="14">
        <v>732</v>
      </c>
      <c r="O4684" s="14">
        <v>0</v>
      </c>
      <c r="P4684" s="14">
        <v>1128</v>
      </c>
      <c r="Q4684">
        <v>11181</v>
      </c>
      <c r="R4684">
        <v>1680</v>
      </c>
      <c r="S4684">
        <v>0</v>
      </c>
    </row>
    <row r="4685" spans="11:19" x14ac:dyDescent="0.3">
      <c r="K4685" s="16">
        <f t="shared" si="72"/>
        <v>44211</v>
      </c>
      <c r="L4685" s="17">
        <v>0.125</v>
      </c>
      <c r="M4685" s="14">
        <v>396</v>
      </c>
      <c r="N4685" s="14">
        <v>0</v>
      </c>
      <c r="O4685" s="14">
        <v>0</v>
      </c>
      <c r="P4685" s="14">
        <v>396</v>
      </c>
      <c r="Q4685">
        <v>10817</v>
      </c>
      <c r="R4685">
        <v>1783</v>
      </c>
      <c r="S4685">
        <v>0</v>
      </c>
    </row>
    <row r="4686" spans="11:19" x14ac:dyDescent="0.3">
      <c r="K4686" s="16">
        <f t="shared" si="72"/>
        <v>44211</v>
      </c>
      <c r="L4686" s="17">
        <v>0.16666666666666666</v>
      </c>
      <c r="M4686" s="14">
        <v>396</v>
      </c>
      <c r="N4686" s="14">
        <v>55</v>
      </c>
      <c r="O4686" s="14">
        <v>0</v>
      </c>
      <c r="P4686" s="14">
        <v>451</v>
      </c>
      <c r="Q4686">
        <v>10787</v>
      </c>
      <c r="R4686">
        <v>1965</v>
      </c>
      <c r="S4686">
        <v>0</v>
      </c>
    </row>
    <row r="4687" spans="11:19" x14ac:dyDescent="0.3">
      <c r="K4687" s="16">
        <f t="shared" si="72"/>
        <v>44211</v>
      </c>
      <c r="L4687" s="17">
        <v>0.20833333333333334</v>
      </c>
      <c r="M4687" s="14">
        <v>396</v>
      </c>
      <c r="N4687" s="14">
        <v>0</v>
      </c>
      <c r="O4687" s="14">
        <v>0</v>
      </c>
      <c r="P4687" s="14">
        <v>396</v>
      </c>
      <c r="Q4687">
        <v>11338</v>
      </c>
      <c r="R4687">
        <v>1981</v>
      </c>
      <c r="S4687">
        <v>0</v>
      </c>
    </row>
    <row r="4688" spans="11:19" x14ac:dyDescent="0.3">
      <c r="K4688" s="16">
        <f t="shared" si="72"/>
        <v>44211</v>
      </c>
      <c r="L4688" s="17">
        <v>0.25</v>
      </c>
      <c r="M4688" s="14">
        <v>396</v>
      </c>
      <c r="N4688" s="14">
        <v>1798</v>
      </c>
      <c r="O4688" s="14">
        <v>0</v>
      </c>
      <c r="P4688" s="14">
        <v>2194</v>
      </c>
      <c r="Q4688">
        <v>12557</v>
      </c>
      <c r="R4688">
        <v>1987</v>
      </c>
      <c r="S4688">
        <v>0</v>
      </c>
    </row>
    <row r="4689" spans="11:19" x14ac:dyDescent="0.3">
      <c r="K4689" s="16">
        <f t="shared" si="72"/>
        <v>44211</v>
      </c>
      <c r="L4689" s="17">
        <v>0.29166666666666669</v>
      </c>
      <c r="M4689" s="14">
        <v>396</v>
      </c>
      <c r="N4689" s="14">
        <v>2373</v>
      </c>
      <c r="O4689" s="14">
        <v>0</v>
      </c>
      <c r="P4689" s="14">
        <v>2769</v>
      </c>
      <c r="Q4689">
        <v>13655</v>
      </c>
      <c r="R4689">
        <v>1866</v>
      </c>
      <c r="S4689">
        <v>0</v>
      </c>
    </row>
    <row r="4690" spans="11:19" x14ac:dyDescent="0.3">
      <c r="K4690" s="16">
        <f t="shared" si="72"/>
        <v>44211</v>
      </c>
      <c r="L4690" s="17">
        <v>0.33333333333333331</v>
      </c>
      <c r="M4690" s="14">
        <v>396</v>
      </c>
      <c r="N4690" s="14">
        <v>489</v>
      </c>
      <c r="O4690" s="14">
        <v>0</v>
      </c>
      <c r="P4690" s="14">
        <v>885</v>
      </c>
      <c r="Q4690">
        <v>13979</v>
      </c>
      <c r="R4690">
        <v>1786</v>
      </c>
      <c r="S4690">
        <v>21</v>
      </c>
    </row>
    <row r="4691" spans="11:19" x14ac:dyDescent="0.3">
      <c r="K4691" s="16">
        <f t="shared" si="72"/>
        <v>44211</v>
      </c>
      <c r="L4691" s="17">
        <v>0.375</v>
      </c>
      <c r="M4691" s="14">
        <v>396</v>
      </c>
      <c r="N4691" s="14">
        <v>2373</v>
      </c>
      <c r="O4691" s="14">
        <v>0</v>
      </c>
      <c r="P4691" s="14">
        <v>2769</v>
      </c>
      <c r="Q4691">
        <v>14070</v>
      </c>
      <c r="R4691">
        <v>1740</v>
      </c>
      <c r="S4691">
        <v>201</v>
      </c>
    </row>
    <row r="4692" spans="11:19" x14ac:dyDescent="0.3">
      <c r="K4692" s="16">
        <f t="shared" si="72"/>
        <v>44211</v>
      </c>
      <c r="L4692" s="17">
        <v>0.41666666666666669</v>
      </c>
      <c r="M4692" s="14">
        <v>396</v>
      </c>
      <c r="N4692" s="14">
        <v>0</v>
      </c>
      <c r="O4692" s="14">
        <v>0</v>
      </c>
      <c r="P4692" s="14">
        <v>396</v>
      </c>
      <c r="Q4692">
        <v>14039</v>
      </c>
      <c r="R4692">
        <v>1952</v>
      </c>
      <c r="S4692">
        <v>526</v>
      </c>
    </row>
    <row r="4693" spans="11:19" x14ac:dyDescent="0.3">
      <c r="K4693" s="16">
        <f t="shared" si="72"/>
        <v>44211</v>
      </c>
      <c r="L4693" s="17">
        <v>0.45833333333333331</v>
      </c>
      <c r="M4693" s="14">
        <v>396</v>
      </c>
      <c r="N4693" s="14">
        <v>0</v>
      </c>
      <c r="O4693" s="14">
        <v>0</v>
      </c>
      <c r="P4693" s="14">
        <v>396</v>
      </c>
      <c r="Q4693">
        <v>14101</v>
      </c>
      <c r="R4693">
        <v>1890</v>
      </c>
      <c r="S4693">
        <v>580</v>
      </c>
    </row>
    <row r="4694" spans="11:19" x14ac:dyDescent="0.3">
      <c r="K4694" s="16">
        <f t="shared" si="72"/>
        <v>44211</v>
      </c>
      <c r="L4694" s="17">
        <v>0.5</v>
      </c>
      <c r="M4694" s="14">
        <v>396</v>
      </c>
      <c r="N4694" s="14">
        <v>2373</v>
      </c>
      <c r="O4694" s="14">
        <v>0</v>
      </c>
      <c r="P4694" s="14">
        <v>2769</v>
      </c>
      <c r="Q4694">
        <v>14047</v>
      </c>
      <c r="R4694">
        <v>1692</v>
      </c>
      <c r="S4694">
        <v>653</v>
      </c>
    </row>
    <row r="4695" spans="11:19" x14ac:dyDescent="0.3">
      <c r="K4695" s="16">
        <f t="shared" si="72"/>
        <v>44211</v>
      </c>
      <c r="L4695" s="17">
        <v>0.54166666666666663</v>
      </c>
      <c r="M4695" s="14">
        <v>396</v>
      </c>
      <c r="N4695" s="14">
        <v>2373</v>
      </c>
      <c r="O4695" s="14">
        <v>0</v>
      </c>
      <c r="P4695" s="14">
        <v>2769</v>
      </c>
      <c r="Q4695">
        <v>13739</v>
      </c>
      <c r="R4695">
        <v>1609</v>
      </c>
      <c r="S4695">
        <v>620</v>
      </c>
    </row>
    <row r="4696" spans="11:19" x14ac:dyDescent="0.3">
      <c r="K4696" s="16">
        <f t="shared" si="72"/>
        <v>44211</v>
      </c>
      <c r="L4696" s="17">
        <v>0.58333333333333337</v>
      </c>
      <c r="M4696" s="14">
        <v>396</v>
      </c>
      <c r="N4696" s="14">
        <v>0</v>
      </c>
      <c r="O4696" s="14">
        <v>0</v>
      </c>
      <c r="P4696" s="14">
        <v>396</v>
      </c>
      <c r="Q4696">
        <v>13490</v>
      </c>
      <c r="R4696">
        <v>1661</v>
      </c>
      <c r="S4696">
        <v>543</v>
      </c>
    </row>
    <row r="4697" spans="11:19" x14ac:dyDescent="0.3">
      <c r="K4697" s="16">
        <f t="shared" si="72"/>
        <v>44211</v>
      </c>
      <c r="L4697" s="17">
        <v>0.625</v>
      </c>
      <c r="M4697" s="14">
        <v>396</v>
      </c>
      <c r="N4697" s="14">
        <v>2373</v>
      </c>
      <c r="O4697" s="14">
        <v>0</v>
      </c>
      <c r="P4697" s="14">
        <v>2769</v>
      </c>
      <c r="Q4697">
        <v>13254</v>
      </c>
      <c r="R4697">
        <v>1641</v>
      </c>
      <c r="S4697">
        <v>354</v>
      </c>
    </row>
    <row r="4698" spans="11:19" x14ac:dyDescent="0.3">
      <c r="K4698" s="16">
        <f t="shared" si="72"/>
        <v>44211</v>
      </c>
      <c r="L4698" s="17">
        <v>0.66666666666666663</v>
      </c>
      <c r="M4698" s="14">
        <v>396</v>
      </c>
      <c r="N4698" s="14">
        <v>0</v>
      </c>
      <c r="O4698" s="14">
        <v>0</v>
      </c>
      <c r="P4698" s="14">
        <v>396</v>
      </c>
      <c r="Q4698">
        <v>13167</v>
      </c>
      <c r="R4698">
        <v>1723</v>
      </c>
      <c r="S4698">
        <v>103</v>
      </c>
    </row>
    <row r="4699" spans="11:19" x14ac:dyDescent="0.3">
      <c r="K4699" s="16">
        <f t="shared" ref="K4699:K4762" si="73">K4675+1</f>
        <v>44211</v>
      </c>
      <c r="L4699" s="17">
        <v>0.70833333333333337</v>
      </c>
      <c r="M4699" s="14">
        <v>396</v>
      </c>
      <c r="N4699" s="14">
        <v>309</v>
      </c>
      <c r="O4699" s="14">
        <v>0</v>
      </c>
      <c r="P4699" s="14">
        <v>705</v>
      </c>
      <c r="Q4699">
        <v>13673</v>
      </c>
      <c r="R4699">
        <v>1672</v>
      </c>
      <c r="S4699">
        <v>11</v>
      </c>
    </row>
    <row r="4700" spans="11:19" x14ac:dyDescent="0.3">
      <c r="K4700" s="16">
        <f t="shared" si="73"/>
        <v>44211</v>
      </c>
      <c r="L4700" s="17">
        <v>0.75</v>
      </c>
      <c r="M4700" s="14">
        <v>396</v>
      </c>
      <c r="N4700" s="14">
        <v>2373</v>
      </c>
      <c r="O4700" s="14">
        <v>0</v>
      </c>
      <c r="P4700" s="14">
        <v>2769</v>
      </c>
      <c r="Q4700">
        <v>14156</v>
      </c>
      <c r="R4700">
        <v>1623</v>
      </c>
      <c r="S4700">
        <v>0</v>
      </c>
    </row>
    <row r="4701" spans="11:19" x14ac:dyDescent="0.3">
      <c r="K4701" s="16">
        <f t="shared" si="73"/>
        <v>44211</v>
      </c>
      <c r="L4701" s="17">
        <v>0.79166666666666663</v>
      </c>
      <c r="M4701" s="14">
        <v>396</v>
      </c>
      <c r="N4701" s="14">
        <v>2373</v>
      </c>
      <c r="O4701" s="14">
        <v>0</v>
      </c>
      <c r="P4701" s="14">
        <v>2769</v>
      </c>
      <c r="Q4701">
        <v>14023</v>
      </c>
      <c r="R4701">
        <v>1711</v>
      </c>
      <c r="S4701">
        <v>0</v>
      </c>
    </row>
    <row r="4702" spans="11:19" x14ac:dyDescent="0.3">
      <c r="K4702" s="16">
        <f t="shared" si="73"/>
        <v>44211</v>
      </c>
      <c r="L4702" s="17">
        <v>0.83333333333333337</v>
      </c>
      <c r="M4702" s="14">
        <v>396</v>
      </c>
      <c r="N4702" s="14">
        <v>2373</v>
      </c>
      <c r="O4702" s="14">
        <v>0</v>
      </c>
      <c r="P4702" s="14">
        <v>2769</v>
      </c>
      <c r="Q4702">
        <v>13169</v>
      </c>
      <c r="R4702">
        <v>1946</v>
      </c>
      <c r="S4702">
        <v>0</v>
      </c>
    </row>
    <row r="4703" spans="11:19" x14ac:dyDescent="0.3">
      <c r="K4703" s="16">
        <f t="shared" si="73"/>
        <v>44211</v>
      </c>
      <c r="L4703" s="17">
        <v>0.875</v>
      </c>
      <c r="M4703" s="14">
        <v>396</v>
      </c>
      <c r="N4703" s="14">
        <v>0</v>
      </c>
      <c r="O4703" s="14">
        <v>0</v>
      </c>
      <c r="P4703" s="14">
        <v>396</v>
      </c>
      <c r="Q4703">
        <v>12487</v>
      </c>
      <c r="R4703">
        <v>1956</v>
      </c>
      <c r="S4703">
        <v>0</v>
      </c>
    </row>
    <row r="4704" spans="11:19" x14ac:dyDescent="0.3">
      <c r="K4704" s="16">
        <f t="shared" si="73"/>
        <v>44211</v>
      </c>
      <c r="L4704" s="17">
        <v>0.91666666666666663</v>
      </c>
      <c r="M4704" s="14">
        <v>396</v>
      </c>
      <c r="N4704" s="14">
        <v>1875</v>
      </c>
      <c r="O4704" s="14">
        <v>0</v>
      </c>
      <c r="P4704" s="14">
        <v>2271</v>
      </c>
      <c r="Q4704">
        <v>12671</v>
      </c>
      <c r="R4704">
        <v>2020</v>
      </c>
      <c r="S4704">
        <v>0</v>
      </c>
    </row>
    <row r="4705" spans="11:19" x14ac:dyDescent="0.3">
      <c r="K4705" s="16">
        <f t="shared" si="73"/>
        <v>44211</v>
      </c>
      <c r="L4705" s="17">
        <v>0.95833333333333337</v>
      </c>
      <c r="M4705" s="14">
        <v>396</v>
      </c>
      <c r="N4705" s="14">
        <v>0</v>
      </c>
      <c r="O4705" s="14">
        <v>0</v>
      </c>
      <c r="P4705" s="14">
        <v>396</v>
      </c>
      <c r="Q4705">
        <v>12769</v>
      </c>
      <c r="R4705">
        <v>1941</v>
      </c>
      <c r="S4705">
        <v>0</v>
      </c>
    </row>
    <row r="4706" spans="11:19" x14ac:dyDescent="0.3">
      <c r="K4706" s="16">
        <f t="shared" si="73"/>
        <v>44212</v>
      </c>
      <c r="L4706" s="17">
        <v>0</v>
      </c>
      <c r="M4706" s="14">
        <v>396</v>
      </c>
      <c r="N4706" s="14">
        <v>0</v>
      </c>
      <c r="O4706" s="14">
        <v>0</v>
      </c>
      <c r="P4706" s="14">
        <v>396</v>
      </c>
      <c r="Q4706">
        <v>12166</v>
      </c>
      <c r="R4706">
        <v>1899</v>
      </c>
      <c r="S4706">
        <v>0</v>
      </c>
    </row>
    <row r="4707" spans="11:19" x14ac:dyDescent="0.3">
      <c r="K4707" s="16">
        <f t="shared" si="73"/>
        <v>44212</v>
      </c>
      <c r="L4707" s="17">
        <v>4.1666666666666664E-2</v>
      </c>
      <c r="M4707" s="14">
        <v>396</v>
      </c>
      <c r="N4707" s="14">
        <v>0</v>
      </c>
      <c r="O4707" s="14">
        <v>0</v>
      </c>
      <c r="P4707" s="14">
        <v>396</v>
      </c>
      <c r="Q4707">
        <v>11783</v>
      </c>
      <c r="R4707">
        <v>1754</v>
      </c>
      <c r="S4707">
        <v>0</v>
      </c>
    </row>
    <row r="4708" spans="11:19" x14ac:dyDescent="0.3">
      <c r="K4708" s="16">
        <f t="shared" si="73"/>
        <v>44212</v>
      </c>
      <c r="L4708" s="17">
        <v>8.3333333333333329E-2</v>
      </c>
      <c r="M4708" s="14">
        <v>396</v>
      </c>
      <c r="N4708" s="14">
        <v>0</v>
      </c>
      <c r="O4708" s="14">
        <v>0</v>
      </c>
      <c r="P4708" s="14">
        <v>396</v>
      </c>
      <c r="Q4708">
        <v>11460</v>
      </c>
      <c r="R4708">
        <v>1633</v>
      </c>
      <c r="S4708">
        <v>0</v>
      </c>
    </row>
    <row r="4709" spans="11:19" x14ac:dyDescent="0.3">
      <c r="K4709" s="16">
        <f t="shared" si="73"/>
        <v>44212</v>
      </c>
      <c r="L4709" s="17">
        <v>0.125</v>
      </c>
      <c r="M4709" s="14">
        <v>396</v>
      </c>
      <c r="N4709" s="14">
        <v>0</v>
      </c>
      <c r="O4709" s="14">
        <v>0</v>
      </c>
      <c r="P4709" s="14">
        <v>396</v>
      </c>
      <c r="Q4709">
        <v>10992</v>
      </c>
      <c r="R4709">
        <v>1642</v>
      </c>
      <c r="S4709">
        <v>0</v>
      </c>
    </row>
    <row r="4710" spans="11:19" x14ac:dyDescent="0.3">
      <c r="K4710" s="16">
        <f t="shared" si="73"/>
        <v>44212</v>
      </c>
      <c r="L4710" s="17">
        <v>0.16666666666666666</v>
      </c>
      <c r="M4710" s="14">
        <v>396</v>
      </c>
      <c r="N4710" s="14">
        <v>0</v>
      </c>
      <c r="O4710" s="14">
        <v>0</v>
      </c>
      <c r="P4710" s="14">
        <v>396</v>
      </c>
      <c r="Q4710">
        <v>10822</v>
      </c>
      <c r="R4710">
        <v>1741</v>
      </c>
      <c r="S4710">
        <v>0</v>
      </c>
    </row>
    <row r="4711" spans="11:19" x14ac:dyDescent="0.3">
      <c r="K4711" s="16">
        <f t="shared" si="73"/>
        <v>44212</v>
      </c>
      <c r="L4711" s="17">
        <v>0.20833333333333334</v>
      </c>
      <c r="M4711" s="14">
        <v>396</v>
      </c>
      <c r="N4711" s="14">
        <v>0</v>
      </c>
      <c r="O4711" s="14">
        <v>0</v>
      </c>
      <c r="P4711" s="14">
        <v>396</v>
      </c>
      <c r="Q4711">
        <v>11008</v>
      </c>
      <c r="R4711">
        <v>1655</v>
      </c>
      <c r="S4711">
        <v>0</v>
      </c>
    </row>
    <row r="4712" spans="11:19" x14ac:dyDescent="0.3">
      <c r="K4712" s="16">
        <f t="shared" si="73"/>
        <v>44212</v>
      </c>
      <c r="L4712" s="17">
        <v>0.25</v>
      </c>
      <c r="M4712" s="14">
        <v>396</v>
      </c>
      <c r="N4712" s="14">
        <v>0</v>
      </c>
      <c r="O4712" s="14">
        <v>0</v>
      </c>
      <c r="P4712" s="14">
        <v>396</v>
      </c>
      <c r="Q4712">
        <v>11423</v>
      </c>
      <c r="R4712">
        <v>1420</v>
      </c>
      <c r="S4712">
        <v>0</v>
      </c>
    </row>
    <row r="4713" spans="11:19" x14ac:dyDescent="0.3">
      <c r="K4713" s="16">
        <f t="shared" si="73"/>
        <v>44212</v>
      </c>
      <c r="L4713" s="17">
        <v>0.29166666666666669</v>
      </c>
      <c r="M4713" s="14">
        <v>396</v>
      </c>
      <c r="N4713" s="14">
        <v>0</v>
      </c>
      <c r="O4713" s="14">
        <v>0</v>
      </c>
      <c r="P4713" s="14">
        <v>396</v>
      </c>
      <c r="Q4713">
        <v>11901</v>
      </c>
      <c r="R4713">
        <v>1419</v>
      </c>
      <c r="S4713">
        <v>0</v>
      </c>
    </row>
    <row r="4714" spans="11:19" x14ac:dyDescent="0.3">
      <c r="K4714" s="16">
        <f t="shared" si="73"/>
        <v>44212</v>
      </c>
      <c r="L4714" s="17">
        <v>0.33333333333333331</v>
      </c>
      <c r="M4714" s="14">
        <v>396</v>
      </c>
      <c r="N4714" s="14">
        <v>2061</v>
      </c>
      <c r="O4714" s="14">
        <v>0</v>
      </c>
      <c r="P4714" s="14">
        <v>2457</v>
      </c>
      <c r="Q4714">
        <v>12460</v>
      </c>
      <c r="R4714">
        <v>1287</v>
      </c>
      <c r="S4714">
        <v>15</v>
      </c>
    </row>
    <row r="4715" spans="11:19" x14ac:dyDescent="0.3">
      <c r="K4715" s="16">
        <f t="shared" si="73"/>
        <v>44212</v>
      </c>
      <c r="L4715" s="17">
        <v>0.375</v>
      </c>
      <c r="M4715" s="14">
        <v>396</v>
      </c>
      <c r="N4715" s="14">
        <v>0</v>
      </c>
      <c r="O4715" s="14">
        <v>0</v>
      </c>
      <c r="P4715" s="14">
        <v>396</v>
      </c>
      <c r="Q4715">
        <v>12926</v>
      </c>
      <c r="R4715">
        <v>1189</v>
      </c>
      <c r="S4715">
        <v>246</v>
      </c>
    </row>
    <row r="4716" spans="11:19" x14ac:dyDescent="0.3">
      <c r="K4716" s="16">
        <f t="shared" si="73"/>
        <v>44212</v>
      </c>
      <c r="L4716" s="17">
        <v>0.41666666666666669</v>
      </c>
      <c r="M4716" s="14">
        <v>396</v>
      </c>
      <c r="N4716" s="14">
        <v>2061</v>
      </c>
      <c r="O4716" s="14">
        <v>0</v>
      </c>
      <c r="P4716" s="14">
        <v>2457</v>
      </c>
      <c r="Q4716">
        <v>13000</v>
      </c>
      <c r="R4716">
        <v>1116</v>
      </c>
      <c r="S4716">
        <v>746</v>
      </c>
    </row>
    <row r="4717" spans="11:19" x14ac:dyDescent="0.3">
      <c r="K4717" s="16">
        <f t="shared" si="73"/>
        <v>44212</v>
      </c>
      <c r="L4717" s="17">
        <v>0.45833333333333331</v>
      </c>
      <c r="M4717" s="14">
        <v>396</v>
      </c>
      <c r="N4717" s="14">
        <v>0</v>
      </c>
      <c r="O4717" s="14">
        <v>0</v>
      </c>
      <c r="P4717" s="14">
        <v>396</v>
      </c>
      <c r="Q4717">
        <v>13023</v>
      </c>
      <c r="R4717">
        <v>1130</v>
      </c>
      <c r="S4717">
        <v>1198</v>
      </c>
    </row>
    <row r="4718" spans="11:19" x14ac:dyDescent="0.3">
      <c r="K4718" s="16">
        <f t="shared" si="73"/>
        <v>44212</v>
      </c>
      <c r="L4718" s="17">
        <v>0.5</v>
      </c>
      <c r="M4718" s="14">
        <v>396</v>
      </c>
      <c r="N4718" s="14">
        <v>0</v>
      </c>
      <c r="O4718" s="14">
        <v>0</v>
      </c>
      <c r="P4718" s="14">
        <v>396</v>
      </c>
      <c r="Q4718">
        <v>13199</v>
      </c>
      <c r="R4718">
        <v>1310</v>
      </c>
      <c r="S4718">
        <v>1429</v>
      </c>
    </row>
    <row r="4719" spans="11:19" x14ac:dyDescent="0.3">
      <c r="K4719" s="16">
        <f t="shared" si="73"/>
        <v>44212</v>
      </c>
      <c r="L4719" s="17">
        <v>0.54166666666666663</v>
      </c>
      <c r="M4719" s="14">
        <v>396</v>
      </c>
      <c r="N4719" s="14">
        <v>0</v>
      </c>
      <c r="O4719" s="14">
        <v>0</v>
      </c>
      <c r="P4719" s="14">
        <v>396</v>
      </c>
      <c r="Q4719">
        <v>12696</v>
      </c>
      <c r="R4719">
        <v>1675</v>
      </c>
      <c r="S4719">
        <v>1461</v>
      </c>
    </row>
    <row r="4720" spans="11:19" x14ac:dyDescent="0.3">
      <c r="K4720" s="16">
        <f t="shared" si="73"/>
        <v>44212</v>
      </c>
      <c r="L4720" s="17">
        <v>0.58333333333333337</v>
      </c>
      <c r="M4720" s="14">
        <v>396</v>
      </c>
      <c r="N4720" s="14">
        <v>468</v>
      </c>
      <c r="O4720" s="14">
        <v>0</v>
      </c>
      <c r="P4720" s="14">
        <v>864</v>
      </c>
      <c r="Q4720">
        <v>12267</v>
      </c>
      <c r="R4720">
        <v>1795</v>
      </c>
      <c r="S4720">
        <v>1223</v>
      </c>
    </row>
    <row r="4721" spans="11:19" x14ac:dyDescent="0.3">
      <c r="K4721" s="16">
        <f t="shared" si="73"/>
        <v>44212</v>
      </c>
      <c r="L4721" s="17">
        <v>0.625</v>
      </c>
      <c r="M4721" s="14">
        <v>396</v>
      </c>
      <c r="N4721" s="14">
        <v>0</v>
      </c>
      <c r="O4721" s="14">
        <v>0</v>
      </c>
      <c r="P4721" s="14">
        <v>396</v>
      </c>
      <c r="Q4721">
        <v>12016</v>
      </c>
      <c r="R4721">
        <v>1954</v>
      </c>
      <c r="S4721">
        <v>787</v>
      </c>
    </row>
    <row r="4722" spans="11:19" x14ac:dyDescent="0.3">
      <c r="K4722" s="16">
        <f t="shared" si="73"/>
        <v>44212</v>
      </c>
      <c r="L4722" s="17">
        <v>0.66666666666666663</v>
      </c>
      <c r="M4722" s="14">
        <v>396</v>
      </c>
      <c r="N4722" s="14">
        <v>0</v>
      </c>
      <c r="O4722" s="14">
        <v>0</v>
      </c>
      <c r="P4722" s="14">
        <v>396</v>
      </c>
      <c r="Q4722">
        <v>11987</v>
      </c>
      <c r="R4722">
        <v>2012</v>
      </c>
      <c r="S4722">
        <v>248</v>
      </c>
    </row>
    <row r="4723" spans="11:19" x14ac:dyDescent="0.3">
      <c r="K4723" s="16">
        <f t="shared" si="73"/>
        <v>44212</v>
      </c>
      <c r="L4723" s="17">
        <v>0.70833333333333337</v>
      </c>
      <c r="M4723" s="14">
        <v>396</v>
      </c>
      <c r="N4723" s="14">
        <v>0</v>
      </c>
      <c r="O4723" s="14">
        <v>0</v>
      </c>
      <c r="P4723" s="14">
        <v>396</v>
      </c>
      <c r="Q4723">
        <v>12665</v>
      </c>
      <c r="R4723">
        <v>1703</v>
      </c>
      <c r="S4723">
        <v>9</v>
      </c>
    </row>
    <row r="4724" spans="11:19" x14ac:dyDescent="0.3">
      <c r="K4724" s="16">
        <f t="shared" si="73"/>
        <v>44212</v>
      </c>
      <c r="L4724" s="17">
        <v>0.75</v>
      </c>
      <c r="M4724" s="14">
        <v>396</v>
      </c>
      <c r="N4724" s="14">
        <v>160</v>
      </c>
      <c r="O4724" s="14">
        <v>0</v>
      </c>
      <c r="P4724" s="14">
        <v>556</v>
      </c>
      <c r="Q4724">
        <v>13407</v>
      </c>
      <c r="R4724">
        <v>1572</v>
      </c>
      <c r="S4724">
        <v>0</v>
      </c>
    </row>
    <row r="4725" spans="11:19" x14ac:dyDescent="0.3">
      <c r="K4725" s="16">
        <f t="shared" si="73"/>
        <v>44212</v>
      </c>
      <c r="L4725" s="17">
        <v>0.79166666666666663</v>
      </c>
      <c r="M4725" s="14">
        <v>396</v>
      </c>
      <c r="N4725" s="14">
        <v>561</v>
      </c>
      <c r="O4725" s="14">
        <v>0</v>
      </c>
      <c r="P4725" s="14">
        <v>957</v>
      </c>
      <c r="Q4725">
        <v>13510</v>
      </c>
      <c r="R4725">
        <v>1277</v>
      </c>
      <c r="S4725">
        <v>0</v>
      </c>
    </row>
    <row r="4726" spans="11:19" x14ac:dyDescent="0.3">
      <c r="K4726" s="16">
        <f t="shared" si="73"/>
        <v>44212</v>
      </c>
      <c r="L4726" s="17">
        <v>0.83333333333333337</v>
      </c>
      <c r="M4726" s="14">
        <v>396</v>
      </c>
      <c r="N4726" s="14">
        <v>0</v>
      </c>
      <c r="O4726" s="14">
        <v>0</v>
      </c>
      <c r="P4726" s="14">
        <v>396</v>
      </c>
      <c r="Q4726">
        <v>12892</v>
      </c>
      <c r="R4726">
        <v>1232</v>
      </c>
      <c r="S4726">
        <v>0</v>
      </c>
    </row>
    <row r="4727" spans="11:19" x14ac:dyDescent="0.3">
      <c r="K4727" s="16">
        <f t="shared" si="73"/>
        <v>44212</v>
      </c>
      <c r="L4727" s="17">
        <v>0.875</v>
      </c>
      <c r="M4727" s="14">
        <v>396</v>
      </c>
      <c r="N4727" s="14">
        <v>0</v>
      </c>
      <c r="O4727" s="14">
        <v>0</v>
      </c>
      <c r="P4727" s="14">
        <v>396</v>
      </c>
      <c r="Q4727">
        <v>12306</v>
      </c>
      <c r="R4727">
        <v>1096</v>
      </c>
      <c r="S4727">
        <v>0</v>
      </c>
    </row>
    <row r="4728" spans="11:19" x14ac:dyDescent="0.3">
      <c r="K4728" s="16">
        <f t="shared" si="73"/>
        <v>44212</v>
      </c>
      <c r="L4728" s="17">
        <v>0.91666666666666663</v>
      </c>
      <c r="M4728" s="14">
        <v>396</v>
      </c>
      <c r="N4728" s="14">
        <v>0</v>
      </c>
      <c r="O4728" s="14">
        <v>0</v>
      </c>
      <c r="P4728" s="14">
        <v>396</v>
      </c>
      <c r="Q4728">
        <v>12699</v>
      </c>
      <c r="R4728">
        <v>1362</v>
      </c>
      <c r="S4728">
        <v>0</v>
      </c>
    </row>
    <row r="4729" spans="11:19" x14ac:dyDescent="0.3">
      <c r="K4729" s="16">
        <f t="shared" si="73"/>
        <v>44212</v>
      </c>
      <c r="L4729" s="17">
        <v>0.95833333333333337</v>
      </c>
      <c r="M4729" s="14">
        <v>396</v>
      </c>
      <c r="N4729" s="14">
        <v>98</v>
      </c>
      <c r="O4729" s="14">
        <v>0</v>
      </c>
      <c r="P4729" s="14">
        <v>494</v>
      </c>
      <c r="Q4729">
        <v>13014</v>
      </c>
      <c r="R4729">
        <v>1245</v>
      </c>
      <c r="S4729">
        <v>0</v>
      </c>
    </row>
    <row r="4730" spans="11:19" x14ac:dyDescent="0.3">
      <c r="K4730" s="16">
        <f t="shared" si="73"/>
        <v>44213</v>
      </c>
      <c r="L4730" s="17">
        <v>0</v>
      </c>
      <c r="M4730" s="14">
        <v>396</v>
      </c>
      <c r="N4730" s="14">
        <v>2447</v>
      </c>
      <c r="O4730" s="14">
        <v>0</v>
      </c>
      <c r="P4730" s="14">
        <v>2843</v>
      </c>
      <c r="Q4730">
        <v>12672</v>
      </c>
      <c r="R4730">
        <v>1306</v>
      </c>
      <c r="S4730">
        <v>0</v>
      </c>
    </row>
    <row r="4731" spans="11:19" x14ac:dyDescent="0.3">
      <c r="K4731" s="16">
        <f t="shared" si="73"/>
        <v>44213</v>
      </c>
      <c r="L4731" s="17">
        <v>4.1666666666666664E-2</v>
      </c>
      <c r="M4731" s="14">
        <v>396</v>
      </c>
      <c r="N4731" s="14">
        <v>0</v>
      </c>
      <c r="O4731" s="14">
        <v>0</v>
      </c>
      <c r="P4731" s="14">
        <v>396</v>
      </c>
      <c r="Q4731">
        <v>12372</v>
      </c>
      <c r="R4731">
        <v>1214</v>
      </c>
      <c r="S4731">
        <v>0</v>
      </c>
    </row>
    <row r="4732" spans="11:19" x14ac:dyDescent="0.3">
      <c r="K4732" s="16">
        <f t="shared" si="73"/>
        <v>44213</v>
      </c>
      <c r="L4732" s="17">
        <v>8.3333333333333329E-2</v>
      </c>
      <c r="M4732" s="14">
        <v>396</v>
      </c>
      <c r="N4732" s="14">
        <v>0</v>
      </c>
      <c r="O4732" s="14">
        <v>0</v>
      </c>
      <c r="P4732" s="14">
        <v>396</v>
      </c>
      <c r="Q4732">
        <v>12056</v>
      </c>
      <c r="R4732">
        <v>1164</v>
      </c>
      <c r="S4732">
        <v>0</v>
      </c>
    </row>
    <row r="4733" spans="11:19" x14ac:dyDescent="0.3">
      <c r="K4733" s="16">
        <f t="shared" si="73"/>
        <v>44213</v>
      </c>
      <c r="L4733" s="17">
        <v>0.125</v>
      </c>
      <c r="M4733" s="14">
        <v>396</v>
      </c>
      <c r="N4733" s="14">
        <v>0</v>
      </c>
      <c r="O4733" s="14">
        <v>0</v>
      </c>
      <c r="P4733" s="14">
        <v>396</v>
      </c>
      <c r="Q4733">
        <v>11527</v>
      </c>
      <c r="R4733">
        <v>1306</v>
      </c>
      <c r="S4733">
        <v>0</v>
      </c>
    </row>
    <row r="4734" spans="11:19" x14ac:dyDescent="0.3">
      <c r="K4734" s="16">
        <f t="shared" si="73"/>
        <v>44213</v>
      </c>
      <c r="L4734" s="17">
        <v>0.16666666666666666</v>
      </c>
      <c r="M4734" s="14">
        <v>396</v>
      </c>
      <c r="N4734" s="14">
        <v>0</v>
      </c>
      <c r="O4734" s="14">
        <v>0</v>
      </c>
      <c r="P4734" s="14">
        <v>396</v>
      </c>
      <c r="Q4734">
        <v>11277</v>
      </c>
      <c r="R4734">
        <v>1296</v>
      </c>
      <c r="S4734">
        <v>0</v>
      </c>
    </row>
    <row r="4735" spans="11:19" x14ac:dyDescent="0.3">
      <c r="K4735" s="16">
        <f t="shared" si="73"/>
        <v>44213</v>
      </c>
      <c r="L4735" s="17">
        <v>0.20833333333333334</v>
      </c>
      <c r="M4735" s="14">
        <v>396</v>
      </c>
      <c r="N4735" s="14">
        <v>0</v>
      </c>
      <c r="O4735" s="14">
        <v>0</v>
      </c>
      <c r="P4735" s="14">
        <v>396</v>
      </c>
      <c r="Q4735">
        <v>11338</v>
      </c>
      <c r="R4735">
        <v>1114</v>
      </c>
      <c r="S4735">
        <v>0</v>
      </c>
    </row>
    <row r="4736" spans="11:19" x14ac:dyDescent="0.3">
      <c r="K4736" s="16">
        <f t="shared" si="73"/>
        <v>44213</v>
      </c>
      <c r="L4736" s="17">
        <v>0.25</v>
      </c>
      <c r="M4736" s="14">
        <v>396</v>
      </c>
      <c r="N4736" s="14">
        <v>0</v>
      </c>
      <c r="O4736" s="14">
        <v>0</v>
      </c>
      <c r="P4736" s="14">
        <v>396</v>
      </c>
      <c r="Q4736">
        <v>11515</v>
      </c>
      <c r="R4736">
        <v>1135</v>
      </c>
      <c r="S4736">
        <v>0</v>
      </c>
    </row>
    <row r="4737" spans="11:19" x14ac:dyDescent="0.3">
      <c r="K4737" s="16">
        <f t="shared" si="73"/>
        <v>44213</v>
      </c>
      <c r="L4737" s="17">
        <v>0.29166666666666669</v>
      </c>
      <c r="M4737" s="14">
        <v>396</v>
      </c>
      <c r="N4737" s="14">
        <v>1131</v>
      </c>
      <c r="O4737" s="14">
        <v>0</v>
      </c>
      <c r="P4737" s="14">
        <v>1527</v>
      </c>
      <c r="Q4737">
        <v>11700</v>
      </c>
      <c r="R4737">
        <v>1145</v>
      </c>
      <c r="S4737">
        <v>0</v>
      </c>
    </row>
    <row r="4738" spans="11:19" x14ac:dyDescent="0.3">
      <c r="K4738" s="16">
        <f t="shared" si="73"/>
        <v>44213</v>
      </c>
      <c r="L4738" s="17">
        <v>0.33333333333333331</v>
      </c>
      <c r="M4738" s="14">
        <v>396</v>
      </c>
      <c r="N4738" s="14">
        <v>0</v>
      </c>
      <c r="O4738" s="14">
        <v>0</v>
      </c>
      <c r="P4738" s="14">
        <v>396</v>
      </c>
      <c r="Q4738">
        <v>12060</v>
      </c>
      <c r="R4738">
        <v>1089</v>
      </c>
      <c r="S4738">
        <v>21</v>
      </c>
    </row>
    <row r="4739" spans="11:19" x14ac:dyDescent="0.3">
      <c r="K4739" s="16">
        <f t="shared" si="73"/>
        <v>44213</v>
      </c>
      <c r="L4739" s="17">
        <v>0.375</v>
      </c>
      <c r="M4739" s="14">
        <v>396</v>
      </c>
      <c r="N4739" s="14">
        <v>0</v>
      </c>
      <c r="O4739" s="14">
        <v>0</v>
      </c>
      <c r="P4739" s="14">
        <v>396</v>
      </c>
      <c r="Q4739">
        <v>12540</v>
      </c>
      <c r="R4739">
        <v>1135</v>
      </c>
      <c r="S4739">
        <v>283</v>
      </c>
    </row>
    <row r="4740" spans="11:19" x14ac:dyDescent="0.3">
      <c r="K4740" s="16">
        <f t="shared" si="73"/>
        <v>44213</v>
      </c>
      <c r="L4740" s="17">
        <v>0.41666666666666669</v>
      </c>
      <c r="M4740" s="14">
        <v>396</v>
      </c>
      <c r="N4740" s="14">
        <v>0</v>
      </c>
      <c r="O4740" s="14">
        <v>0</v>
      </c>
      <c r="P4740" s="14">
        <v>396</v>
      </c>
      <c r="Q4740">
        <v>12816</v>
      </c>
      <c r="R4740">
        <v>1003</v>
      </c>
      <c r="S4740">
        <v>823</v>
      </c>
    </row>
    <row r="4741" spans="11:19" x14ac:dyDescent="0.3">
      <c r="K4741" s="16">
        <f t="shared" si="73"/>
        <v>44213</v>
      </c>
      <c r="L4741" s="17">
        <v>0.45833333333333331</v>
      </c>
      <c r="M4741" s="14">
        <v>396</v>
      </c>
      <c r="N4741" s="14">
        <v>0</v>
      </c>
      <c r="O4741" s="14">
        <v>0</v>
      </c>
      <c r="P4741" s="14">
        <v>396</v>
      </c>
      <c r="Q4741">
        <v>12980</v>
      </c>
      <c r="R4741">
        <v>1044</v>
      </c>
      <c r="S4741">
        <v>1314</v>
      </c>
    </row>
    <row r="4742" spans="11:19" x14ac:dyDescent="0.3">
      <c r="K4742" s="16">
        <f t="shared" si="73"/>
        <v>44213</v>
      </c>
      <c r="L4742" s="17">
        <v>0.5</v>
      </c>
      <c r="M4742" s="14">
        <v>396</v>
      </c>
      <c r="N4742" s="14">
        <v>0</v>
      </c>
      <c r="O4742" s="14">
        <v>0</v>
      </c>
      <c r="P4742" s="14">
        <v>396</v>
      </c>
      <c r="Q4742">
        <v>13175</v>
      </c>
      <c r="R4742">
        <v>1065</v>
      </c>
      <c r="S4742">
        <v>1546</v>
      </c>
    </row>
    <row r="4743" spans="11:19" x14ac:dyDescent="0.3">
      <c r="K4743" s="16">
        <f t="shared" si="73"/>
        <v>44213</v>
      </c>
      <c r="L4743" s="17">
        <v>0.54166666666666663</v>
      </c>
      <c r="M4743" s="14">
        <v>396</v>
      </c>
      <c r="N4743" s="14">
        <v>0</v>
      </c>
      <c r="O4743" s="14">
        <v>0</v>
      </c>
      <c r="P4743" s="14">
        <v>396</v>
      </c>
      <c r="Q4743">
        <v>12544</v>
      </c>
      <c r="R4743">
        <v>983</v>
      </c>
      <c r="S4743">
        <v>1561</v>
      </c>
    </row>
    <row r="4744" spans="11:19" x14ac:dyDescent="0.3">
      <c r="K4744" s="16">
        <f t="shared" si="73"/>
        <v>44213</v>
      </c>
      <c r="L4744" s="17">
        <v>0.58333333333333337</v>
      </c>
      <c r="M4744" s="14">
        <v>396</v>
      </c>
      <c r="N4744" s="14">
        <v>0</v>
      </c>
      <c r="O4744" s="14">
        <v>0</v>
      </c>
      <c r="P4744" s="14">
        <v>396</v>
      </c>
      <c r="Q4744">
        <v>11958</v>
      </c>
      <c r="R4744">
        <v>887</v>
      </c>
      <c r="S4744">
        <v>1322</v>
      </c>
    </row>
    <row r="4745" spans="11:19" x14ac:dyDescent="0.3">
      <c r="K4745" s="16">
        <f t="shared" si="73"/>
        <v>44213</v>
      </c>
      <c r="L4745" s="17">
        <v>0.625</v>
      </c>
      <c r="M4745" s="14">
        <v>396</v>
      </c>
      <c r="N4745" s="14">
        <v>0</v>
      </c>
      <c r="O4745" s="14">
        <v>0</v>
      </c>
      <c r="P4745" s="14">
        <v>396</v>
      </c>
      <c r="Q4745">
        <v>11644</v>
      </c>
      <c r="R4745">
        <v>849</v>
      </c>
      <c r="S4745">
        <v>847</v>
      </c>
    </row>
    <row r="4746" spans="11:19" x14ac:dyDescent="0.3">
      <c r="K4746" s="16">
        <f t="shared" si="73"/>
        <v>44213</v>
      </c>
      <c r="L4746" s="17">
        <v>0.66666666666666663</v>
      </c>
      <c r="M4746" s="14">
        <v>396</v>
      </c>
      <c r="N4746" s="14">
        <v>0</v>
      </c>
      <c r="O4746" s="14">
        <v>0</v>
      </c>
      <c r="P4746" s="14">
        <v>396</v>
      </c>
      <c r="Q4746">
        <v>11659</v>
      </c>
      <c r="R4746">
        <v>842</v>
      </c>
      <c r="S4746">
        <v>276</v>
      </c>
    </row>
    <row r="4747" spans="11:19" x14ac:dyDescent="0.3">
      <c r="K4747" s="16">
        <f t="shared" si="73"/>
        <v>44213</v>
      </c>
      <c r="L4747" s="17">
        <v>0.70833333333333337</v>
      </c>
      <c r="M4747" s="14">
        <v>396</v>
      </c>
      <c r="N4747" s="14">
        <v>0</v>
      </c>
      <c r="O4747" s="14">
        <v>0</v>
      </c>
      <c r="P4747" s="14">
        <v>396</v>
      </c>
      <c r="Q4747">
        <v>12396</v>
      </c>
      <c r="R4747">
        <v>807</v>
      </c>
      <c r="S4747">
        <v>12</v>
      </c>
    </row>
    <row r="4748" spans="11:19" x14ac:dyDescent="0.3">
      <c r="K4748" s="16">
        <f t="shared" si="73"/>
        <v>44213</v>
      </c>
      <c r="L4748" s="17">
        <v>0.75</v>
      </c>
      <c r="M4748" s="14">
        <v>396</v>
      </c>
      <c r="N4748" s="14">
        <v>949</v>
      </c>
      <c r="O4748" s="14">
        <v>0</v>
      </c>
      <c r="P4748" s="14">
        <v>1345</v>
      </c>
      <c r="Q4748">
        <v>13328</v>
      </c>
      <c r="R4748">
        <v>701</v>
      </c>
      <c r="S4748">
        <v>0</v>
      </c>
    </row>
    <row r="4749" spans="11:19" x14ac:dyDescent="0.3">
      <c r="K4749" s="16">
        <f t="shared" si="73"/>
        <v>44213</v>
      </c>
      <c r="L4749" s="17">
        <v>0.79166666666666663</v>
      </c>
      <c r="M4749" s="14">
        <v>396</v>
      </c>
      <c r="N4749" s="14">
        <v>1288</v>
      </c>
      <c r="O4749" s="14">
        <v>0</v>
      </c>
      <c r="P4749" s="14">
        <v>1684</v>
      </c>
      <c r="Q4749">
        <v>13589</v>
      </c>
      <c r="R4749">
        <v>627</v>
      </c>
      <c r="S4749">
        <v>0</v>
      </c>
    </row>
    <row r="4750" spans="11:19" x14ac:dyDescent="0.3">
      <c r="K4750" s="16">
        <f t="shared" si="73"/>
        <v>44213</v>
      </c>
      <c r="L4750" s="17">
        <v>0.83333333333333337</v>
      </c>
      <c r="M4750" s="14">
        <v>396</v>
      </c>
      <c r="N4750" s="14">
        <v>2447</v>
      </c>
      <c r="O4750" s="14">
        <v>0</v>
      </c>
      <c r="P4750" s="14">
        <v>2843</v>
      </c>
      <c r="Q4750">
        <v>13165</v>
      </c>
      <c r="R4750">
        <v>484</v>
      </c>
      <c r="S4750">
        <v>0</v>
      </c>
    </row>
    <row r="4751" spans="11:19" x14ac:dyDescent="0.3">
      <c r="K4751" s="16">
        <f t="shared" si="73"/>
        <v>44213</v>
      </c>
      <c r="L4751" s="17">
        <v>0.875</v>
      </c>
      <c r="M4751" s="14">
        <v>396</v>
      </c>
      <c r="N4751" s="14">
        <v>428</v>
      </c>
      <c r="O4751" s="14">
        <v>0</v>
      </c>
      <c r="P4751" s="14">
        <v>824</v>
      </c>
      <c r="Q4751">
        <v>12637</v>
      </c>
      <c r="R4751">
        <v>536</v>
      </c>
      <c r="S4751">
        <v>0</v>
      </c>
    </row>
    <row r="4752" spans="11:19" x14ac:dyDescent="0.3">
      <c r="K4752" s="16">
        <f t="shared" si="73"/>
        <v>44213</v>
      </c>
      <c r="L4752" s="17">
        <v>0.91666666666666663</v>
      </c>
      <c r="M4752" s="14">
        <v>396</v>
      </c>
      <c r="N4752" s="14">
        <v>689</v>
      </c>
      <c r="O4752" s="14">
        <v>0</v>
      </c>
      <c r="P4752" s="14">
        <v>1085</v>
      </c>
      <c r="Q4752">
        <v>12907</v>
      </c>
      <c r="R4752">
        <v>546</v>
      </c>
      <c r="S4752">
        <v>0</v>
      </c>
    </row>
    <row r="4753" spans="11:19" x14ac:dyDescent="0.3">
      <c r="K4753" s="16">
        <f t="shared" si="73"/>
        <v>44213</v>
      </c>
      <c r="L4753" s="17">
        <v>0.95833333333333337</v>
      </c>
      <c r="M4753" s="14">
        <v>396</v>
      </c>
      <c r="N4753" s="14">
        <v>876</v>
      </c>
      <c r="O4753" s="14">
        <v>0</v>
      </c>
      <c r="P4753" s="14">
        <v>1272</v>
      </c>
      <c r="Q4753">
        <v>13135</v>
      </c>
      <c r="R4753">
        <v>586</v>
      </c>
      <c r="S4753">
        <v>0</v>
      </c>
    </row>
    <row r="4754" spans="11:19" x14ac:dyDescent="0.3">
      <c r="K4754" s="16">
        <f t="shared" si="73"/>
        <v>44214</v>
      </c>
      <c r="L4754" s="17">
        <v>0</v>
      </c>
      <c r="M4754" s="14">
        <v>396</v>
      </c>
      <c r="N4754" s="14">
        <v>685</v>
      </c>
      <c r="O4754" s="14">
        <v>0</v>
      </c>
      <c r="P4754" s="14">
        <v>1081</v>
      </c>
      <c r="Q4754">
        <v>12854</v>
      </c>
      <c r="R4754">
        <v>497</v>
      </c>
      <c r="S4754">
        <v>0</v>
      </c>
    </row>
    <row r="4755" spans="11:19" x14ac:dyDescent="0.3">
      <c r="K4755" s="16">
        <f t="shared" si="73"/>
        <v>44214</v>
      </c>
      <c r="L4755" s="17">
        <v>4.1666666666666664E-2</v>
      </c>
      <c r="M4755" s="14">
        <v>396</v>
      </c>
      <c r="N4755" s="14">
        <v>493</v>
      </c>
      <c r="O4755" s="14">
        <v>0</v>
      </c>
      <c r="P4755" s="14">
        <v>889</v>
      </c>
      <c r="Q4755">
        <v>12687</v>
      </c>
      <c r="R4755">
        <v>525</v>
      </c>
      <c r="S4755">
        <v>0</v>
      </c>
    </row>
    <row r="4756" spans="11:19" x14ac:dyDescent="0.3">
      <c r="K4756" s="16">
        <f t="shared" si="73"/>
        <v>44214</v>
      </c>
      <c r="L4756" s="17">
        <v>8.3333333333333329E-2</v>
      </c>
      <c r="M4756" s="14">
        <v>396</v>
      </c>
      <c r="N4756" s="14">
        <v>3080</v>
      </c>
      <c r="O4756" s="14">
        <v>0</v>
      </c>
      <c r="P4756" s="14">
        <v>3476</v>
      </c>
      <c r="Q4756">
        <v>12502</v>
      </c>
      <c r="R4756">
        <v>653</v>
      </c>
      <c r="S4756">
        <v>0</v>
      </c>
    </row>
    <row r="4757" spans="11:19" x14ac:dyDescent="0.3">
      <c r="K4757" s="16">
        <f t="shared" si="73"/>
        <v>44214</v>
      </c>
      <c r="L4757" s="17">
        <v>0.125</v>
      </c>
      <c r="M4757" s="14">
        <v>396</v>
      </c>
      <c r="N4757" s="14">
        <v>0</v>
      </c>
      <c r="O4757" s="14">
        <v>0</v>
      </c>
      <c r="P4757" s="14">
        <v>396</v>
      </c>
      <c r="Q4757">
        <v>12120</v>
      </c>
      <c r="R4757">
        <v>704</v>
      </c>
      <c r="S4757">
        <v>0</v>
      </c>
    </row>
    <row r="4758" spans="11:19" x14ac:dyDescent="0.3">
      <c r="K4758" s="16">
        <f t="shared" si="73"/>
        <v>44214</v>
      </c>
      <c r="L4758" s="17">
        <v>0.16666666666666666</v>
      </c>
      <c r="M4758" s="14">
        <v>396</v>
      </c>
      <c r="N4758" s="14">
        <v>0</v>
      </c>
      <c r="O4758" s="14">
        <v>0</v>
      </c>
      <c r="P4758" s="14">
        <v>396</v>
      </c>
      <c r="Q4758">
        <v>12102</v>
      </c>
      <c r="R4758">
        <v>670</v>
      </c>
      <c r="S4758">
        <v>0</v>
      </c>
    </row>
    <row r="4759" spans="11:19" x14ac:dyDescent="0.3">
      <c r="K4759" s="16">
        <f t="shared" si="73"/>
        <v>44214</v>
      </c>
      <c r="L4759" s="17">
        <v>0.20833333333333334</v>
      </c>
      <c r="M4759" s="14">
        <v>396</v>
      </c>
      <c r="N4759" s="14">
        <v>468</v>
      </c>
      <c r="O4759" s="14">
        <v>0</v>
      </c>
      <c r="P4759" s="14">
        <v>864</v>
      </c>
      <c r="Q4759">
        <v>12760</v>
      </c>
      <c r="R4759">
        <v>628</v>
      </c>
      <c r="S4759">
        <v>0</v>
      </c>
    </row>
    <row r="4760" spans="11:19" x14ac:dyDescent="0.3">
      <c r="K4760" s="16">
        <f t="shared" si="73"/>
        <v>44214</v>
      </c>
      <c r="L4760" s="17">
        <v>0.25</v>
      </c>
      <c r="M4760" s="14">
        <v>396</v>
      </c>
      <c r="N4760" s="14">
        <v>1800</v>
      </c>
      <c r="O4760" s="14">
        <v>0</v>
      </c>
      <c r="P4760" s="14">
        <v>2196</v>
      </c>
      <c r="Q4760">
        <v>14062</v>
      </c>
      <c r="R4760">
        <v>592</v>
      </c>
      <c r="S4760">
        <v>0</v>
      </c>
    </row>
    <row r="4761" spans="11:19" x14ac:dyDescent="0.3">
      <c r="K4761" s="16">
        <f t="shared" si="73"/>
        <v>44214</v>
      </c>
      <c r="L4761" s="17">
        <v>0.29166666666666669</v>
      </c>
      <c r="M4761" s="14">
        <v>396</v>
      </c>
      <c r="N4761" s="14">
        <v>2943</v>
      </c>
      <c r="O4761" s="14">
        <v>0</v>
      </c>
      <c r="P4761" s="14">
        <v>3339</v>
      </c>
      <c r="Q4761">
        <v>15126</v>
      </c>
      <c r="R4761">
        <v>504</v>
      </c>
      <c r="S4761">
        <v>0</v>
      </c>
    </row>
    <row r="4762" spans="11:19" x14ac:dyDescent="0.3">
      <c r="K4762" s="16">
        <f t="shared" si="73"/>
        <v>44214</v>
      </c>
      <c r="L4762" s="17">
        <v>0.33333333333333331</v>
      </c>
      <c r="M4762" s="14">
        <v>396</v>
      </c>
      <c r="N4762" s="14">
        <v>3144</v>
      </c>
      <c r="O4762" s="14">
        <v>0</v>
      </c>
      <c r="P4762" s="14">
        <v>3540</v>
      </c>
      <c r="Q4762">
        <v>15398</v>
      </c>
      <c r="R4762">
        <v>546</v>
      </c>
      <c r="S4762">
        <v>26</v>
      </c>
    </row>
    <row r="4763" spans="11:19" x14ac:dyDescent="0.3">
      <c r="K4763" s="16">
        <f t="shared" ref="K4763:K4826" si="74">K4739+1</f>
        <v>44214</v>
      </c>
      <c r="L4763" s="17">
        <v>0.375</v>
      </c>
      <c r="M4763" s="14">
        <v>396</v>
      </c>
      <c r="N4763" s="14">
        <v>2892</v>
      </c>
      <c r="O4763" s="14">
        <v>0</v>
      </c>
      <c r="P4763" s="14">
        <v>3288</v>
      </c>
      <c r="Q4763">
        <v>15393</v>
      </c>
      <c r="R4763">
        <v>475</v>
      </c>
      <c r="S4763">
        <v>348</v>
      </c>
    </row>
    <row r="4764" spans="11:19" x14ac:dyDescent="0.3">
      <c r="K4764" s="16">
        <f t="shared" si="74"/>
        <v>44214</v>
      </c>
      <c r="L4764" s="17">
        <v>0.41666666666666669</v>
      </c>
      <c r="M4764" s="14">
        <v>396</v>
      </c>
      <c r="N4764" s="14">
        <v>2235</v>
      </c>
      <c r="O4764" s="14">
        <v>0</v>
      </c>
      <c r="P4764" s="14">
        <v>2631</v>
      </c>
      <c r="Q4764">
        <v>15251</v>
      </c>
      <c r="R4764">
        <v>380</v>
      </c>
      <c r="S4764">
        <v>960</v>
      </c>
    </row>
    <row r="4765" spans="11:19" x14ac:dyDescent="0.3">
      <c r="K4765" s="16">
        <f t="shared" si="74"/>
        <v>44214</v>
      </c>
      <c r="L4765" s="17">
        <v>0.45833333333333331</v>
      </c>
      <c r="M4765" s="14">
        <v>396</v>
      </c>
      <c r="N4765" s="14">
        <v>1605</v>
      </c>
      <c r="O4765" s="14">
        <v>0</v>
      </c>
      <c r="P4765" s="14">
        <v>2001</v>
      </c>
      <c r="Q4765">
        <v>15203</v>
      </c>
      <c r="R4765">
        <v>418</v>
      </c>
      <c r="S4765">
        <v>1502</v>
      </c>
    </row>
    <row r="4766" spans="11:19" x14ac:dyDescent="0.3">
      <c r="K4766" s="16">
        <f t="shared" si="74"/>
        <v>44214</v>
      </c>
      <c r="L4766" s="17">
        <v>0.5</v>
      </c>
      <c r="M4766" s="14">
        <v>396</v>
      </c>
      <c r="N4766" s="14">
        <v>1060</v>
      </c>
      <c r="O4766" s="14">
        <v>0</v>
      </c>
      <c r="P4766" s="14">
        <v>1456</v>
      </c>
      <c r="Q4766">
        <v>15041</v>
      </c>
      <c r="R4766">
        <v>530</v>
      </c>
      <c r="S4766">
        <v>1773</v>
      </c>
    </row>
    <row r="4767" spans="11:19" x14ac:dyDescent="0.3">
      <c r="K4767" s="16">
        <f t="shared" si="74"/>
        <v>44214</v>
      </c>
      <c r="L4767" s="17">
        <v>0.54166666666666663</v>
      </c>
      <c r="M4767" s="14">
        <v>396</v>
      </c>
      <c r="N4767" s="14">
        <v>643</v>
      </c>
      <c r="O4767" s="14">
        <v>0</v>
      </c>
      <c r="P4767" s="14">
        <v>1039</v>
      </c>
      <c r="Q4767">
        <v>14705</v>
      </c>
      <c r="R4767">
        <v>636</v>
      </c>
      <c r="S4767">
        <v>1749</v>
      </c>
    </row>
    <row r="4768" spans="11:19" x14ac:dyDescent="0.3">
      <c r="K4768" s="16">
        <f t="shared" si="74"/>
        <v>44214</v>
      </c>
      <c r="L4768" s="17">
        <v>0.58333333333333337</v>
      </c>
      <c r="M4768" s="14">
        <v>396</v>
      </c>
      <c r="N4768" s="14">
        <v>404</v>
      </c>
      <c r="O4768" s="14">
        <v>0</v>
      </c>
      <c r="P4768" s="14">
        <v>800</v>
      </c>
      <c r="Q4768">
        <v>14377</v>
      </c>
      <c r="R4768">
        <v>833</v>
      </c>
      <c r="S4768">
        <v>1461</v>
      </c>
    </row>
    <row r="4769" spans="11:19" x14ac:dyDescent="0.3">
      <c r="K4769" s="16">
        <f t="shared" si="74"/>
        <v>44214</v>
      </c>
      <c r="L4769" s="17">
        <v>0.625</v>
      </c>
      <c r="M4769" s="14">
        <v>396</v>
      </c>
      <c r="N4769" s="14">
        <v>567</v>
      </c>
      <c r="O4769" s="14">
        <v>0</v>
      </c>
      <c r="P4769" s="14">
        <v>963</v>
      </c>
      <c r="Q4769">
        <v>14103</v>
      </c>
      <c r="R4769">
        <v>933</v>
      </c>
      <c r="S4769">
        <v>922</v>
      </c>
    </row>
    <row r="4770" spans="11:19" x14ac:dyDescent="0.3">
      <c r="K4770" s="16">
        <f t="shared" si="74"/>
        <v>44214</v>
      </c>
      <c r="L4770" s="17">
        <v>0.66666666666666663</v>
      </c>
      <c r="M4770" s="14">
        <v>396</v>
      </c>
      <c r="N4770" s="14">
        <v>1123</v>
      </c>
      <c r="O4770" s="14">
        <v>0</v>
      </c>
      <c r="P4770" s="14">
        <v>1519</v>
      </c>
      <c r="Q4770">
        <v>14120</v>
      </c>
      <c r="R4770">
        <v>1010</v>
      </c>
      <c r="S4770">
        <v>306</v>
      </c>
    </row>
    <row r="4771" spans="11:19" x14ac:dyDescent="0.3">
      <c r="K4771" s="16">
        <f t="shared" si="74"/>
        <v>44214</v>
      </c>
      <c r="L4771" s="17">
        <v>0.70833333333333337</v>
      </c>
      <c r="M4771" s="14">
        <v>396</v>
      </c>
      <c r="N4771" s="14">
        <v>4225</v>
      </c>
      <c r="O4771" s="14">
        <v>0</v>
      </c>
      <c r="P4771" s="14">
        <v>4621</v>
      </c>
      <c r="Q4771">
        <v>14716</v>
      </c>
      <c r="R4771">
        <v>818</v>
      </c>
      <c r="S4771">
        <v>15</v>
      </c>
    </row>
    <row r="4772" spans="11:19" x14ac:dyDescent="0.3">
      <c r="K4772" s="16">
        <f t="shared" si="74"/>
        <v>44214</v>
      </c>
      <c r="L4772" s="17">
        <v>0.75</v>
      </c>
      <c r="M4772" s="14">
        <v>396</v>
      </c>
      <c r="N4772" s="14">
        <v>3233</v>
      </c>
      <c r="O4772" s="14">
        <v>0</v>
      </c>
      <c r="P4772" s="14">
        <v>3629</v>
      </c>
      <c r="Q4772">
        <v>15534</v>
      </c>
      <c r="R4772">
        <v>622</v>
      </c>
      <c r="S4772">
        <v>0</v>
      </c>
    </row>
    <row r="4773" spans="11:19" x14ac:dyDescent="0.3">
      <c r="K4773" s="16">
        <f t="shared" si="74"/>
        <v>44214</v>
      </c>
      <c r="L4773" s="17">
        <v>0.79166666666666663</v>
      </c>
      <c r="M4773" s="14">
        <v>396</v>
      </c>
      <c r="N4773" s="14">
        <v>4225</v>
      </c>
      <c r="O4773" s="14">
        <v>0</v>
      </c>
      <c r="P4773" s="14">
        <v>4621</v>
      </c>
      <c r="Q4773">
        <v>15390</v>
      </c>
      <c r="R4773">
        <v>676</v>
      </c>
      <c r="S4773">
        <v>0</v>
      </c>
    </row>
    <row r="4774" spans="11:19" x14ac:dyDescent="0.3">
      <c r="K4774" s="16">
        <f t="shared" si="74"/>
        <v>44214</v>
      </c>
      <c r="L4774" s="17">
        <v>0.83333333333333337</v>
      </c>
      <c r="M4774" s="14">
        <v>396</v>
      </c>
      <c r="N4774" s="14">
        <v>2262</v>
      </c>
      <c r="O4774" s="14">
        <v>0</v>
      </c>
      <c r="P4774" s="14">
        <v>2658</v>
      </c>
      <c r="Q4774">
        <v>14567</v>
      </c>
      <c r="R4774">
        <v>631</v>
      </c>
      <c r="S4774">
        <v>0</v>
      </c>
    </row>
    <row r="4775" spans="11:19" x14ac:dyDescent="0.3">
      <c r="K4775" s="16">
        <f t="shared" si="74"/>
        <v>44214</v>
      </c>
      <c r="L4775" s="17">
        <v>0.875</v>
      </c>
      <c r="M4775" s="14">
        <v>396</v>
      </c>
      <c r="N4775" s="14">
        <v>1628</v>
      </c>
      <c r="O4775" s="14">
        <v>0</v>
      </c>
      <c r="P4775" s="14">
        <v>2024</v>
      </c>
      <c r="Q4775">
        <v>13870</v>
      </c>
      <c r="R4775">
        <v>567</v>
      </c>
      <c r="S4775">
        <v>0</v>
      </c>
    </row>
    <row r="4776" spans="11:19" x14ac:dyDescent="0.3">
      <c r="K4776" s="16">
        <f t="shared" si="74"/>
        <v>44214</v>
      </c>
      <c r="L4776" s="17">
        <v>0.91666666666666663</v>
      </c>
      <c r="M4776" s="14">
        <v>396</v>
      </c>
      <c r="N4776" s="14">
        <v>1842</v>
      </c>
      <c r="O4776" s="14">
        <v>0</v>
      </c>
      <c r="P4776" s="14">
        <v>2238</v>
      </c>
      <c r="Q4776">
        <v>14049</v>
      </c>
      <c r="R4776">
        <v>534</v>
      </c>
      <c r="S4776">
        <v>0</v>
      </c>
    </row>
    <row r="4777" spans="11:19" x14ac:dyDescent="0.3">
      <c r="K4777" s="16">
        <f t="shared" si="74"/>
        <v>44214</v>
      </c>
      <c r="L4777" s="17">
        <v>0.95833333333333337</v>
      </c>
      <c r="M4777" s="14">
        <v>396</v>
      </c>
      <c r="N4777" s="14">
        <v>4225</v>
      </c>
      <c r="O4777" s="14">
        <v>0</v>
      </c>
      <c r="P4777" s="14">
        <v>4621</v>
      </c>
      <c r="Q4777">
        <v>14128</v>
      </c>
      <c r="R4777">
        <v>496</v>
      </c>
      <c r="S4777">
        <v>0</v>
      </c>
    </row>
    <row r="4778" spans="11:19" x14ac:dyDescent="0.3">
      <c r="K4778" s="16">
        <f t="shared" si="74"/>
        <v>44215</v>
      </c>
      <c r="L4778" s="17">
        <v>0</v>
      </c>
      <c r="M4778" s="14">
        <v>396</v>
      </c>
      <c r="N4778" s="14">
        <v>1657</v>
      </c>
      <c r="O4778" s="14">
        <v>0</v>
      </c>
      <c r="P4778" s="14">
        <v>2053</v>
      </c>
      <c r="Q4778">
        <v>13746</v>
      </c>
      <c r="R4778">
        <v>419</v>
      </c>
      <c r="S4778">
        <v>0</v>
      </c>
    </row>
    <row r="4779" spans="11:19" x14ac:dyDescent="0.3">
      <c r="K4779" s="16">
        <f t="shared" si="74"/>
        <v>44215</v>
      </c>
      <c r="L4779" s="17">
        <v>4.1666666666666664E-2</v>
      </c>
      <c r="M4779" s="14">
        <v>396</v>
      </c>
      <c r="N4779" s="14">
        <v>1466</v>
      </c>
      <c r="O4779" s="14">
        <v>0</v>
      </c>
      <c r="P4779" s="14">
        <v>1862</v>
      </c>
      <c r="Q4779">
        <v>13539</v>
      </c>
      <c r="R4779">
        <v>406</v>
      </c>
      <c r="S4779">
        <v>0</v>
      </c>
    </row>
    <row r="4780" spans="11:19" x14ac:dyDescent="0.3">
      <c r="K4780" s="16">
        <f t="shared" si="74"/>
        <v>44215</v>
      </c>
      <c r="L4780" s="17">
        <v>8.3333333333333329E-2</v>
      </c>
      <c r="M4780" s="14">
        <v>396</v>
      </c>
      <c r="N4780" s="14">
        <v>1255</v>
      </c>
      <c r="O4780" s="14">
        <v>0</v>
      </c>
      <c r="P4780" s="14">
        <v>1651</v>
      </c>
      <c r="Q4780">
        <v>13325</v>
      </c>
      <c r="R4780">
        <v>404</v>
      </c>
      <c r="S4780">
        <v>0</v>
      </c>
    </row>
    <row r="4781" spans="11:19" x14ac:dyDescent="0.3">
      <c r="K4781" s="16">
        <f t="shared" si="74"/>
        <v>44215</v>
      </c>
      <c r="L4781" s="17">
        <v>0.125</v>
      </c>
      <c r="M4781" s="14">
        <v>396</v>
      </c>
      <c r="N4781" s="14">
        <v>810</v>
      </c>
      <c r="O4781" s="14">
        <v>0</v>
      </c>
      <c r="P4781" s="14">
        <v>1206</v>
      </c>
      <c r="Q4781">
        <v>12920</v>
      </c>
      <c r="R4781">
        <v>445</v>
      </c>
      <c r="S4781">
        <v>0</v>
      </c>
    </row>
    <row r="4782" spans="11:19" x14ac:dyDescent="0.3">
      <c r="K4782" s="16">
        <f t="shared" si="74"/>
        <v>44215</v>
      </c>
      <c r="L4782" s="17">
        <v>0.16666666666666666</v>
      </c>
      <c r="M4782" s="14">
        <v>396</v>
      </c>
      <c r="N4782" s="14">
        <v>754</v>
      </c>
      <c r="O4782" s="14">
        <v>0</v>
      </c>
      <c r="P4782" s="14">
        <v>1150</v>
      </c>
      <c r="Q4782">
        <v>12862</v>
      </c>
      <c r="R4782">
        <v>445</v>
      </c>
      <c r="S4782">
        <v>0</v>
      </c>
    </row>
    <row r="4783" spans="11:19" x14ac:dyDescent="0.3">
      <c r="K4783" s="16">
        <f t="shared" si="74"/>
        <v>44215</v>
      </c>
      <c r="L4783" s="17">
        <v>0.20833333333333334</v>
      </c>
      <c r="M4783" s="14">
        <v>396</v>
      </c>
      <c r="N4783" s="14">
        <v>4279</v>
      </c>
      <c r="O4783" s="14">
        <v>0</v>
      </c>
      <c r="P4783" s="14">
        <v>4675</v>
      </c>
      <c r="Q4783">
        <v>13435</v>
      </c>
      <c r="R4783">
        <v>391</v>
      </c>
      <c r="S4783">
        <v>0</v>
      </c>
    </row>
    <row r="4784" spans="11:19" x14ac:dyDescent="0.3">
      <c r="K4784" s="16">
        <f t="shared" si="74"/>
        <v>44215</v>
      </c>
      <c r="L4784" s="17">
        <v>0.25</v>
      </c>
      <c r="M4784" s="14">
        <v>396</v>
      </c>
      <c r="N4784" s="14">
        <v>2694</v>
      </c>
      <c r="O4784" s="14">
        <v>0</v>
      </c>
      <c r="P4784" s="14">
        <v>3090</v>
      </c>
      <c r="Q4784">
        <v>14681</v>
      </c>
      <c r="R4784">
        <v>319</v>
      </c>
      <c r="S4784">
        <v>0</v>
      </c>
    </row>
    <row r="4785" spans="11:19" x14ac:dyDescent="0.3">
      <c r="K4785" s="16">
        <f t="shared" si="74"/>
        <v>44215</v>
      </c>
      <c r="L4785" s="17">
        <v>0.29166666666666669</v>
      </c>
      <c r="M4785" s="14">
        <v>396</v>
      </c>
      <c r="N4785" s="14">
        <v>3680</v>
      </c>
      <c r="O4785" s="14">
        <v>0</v>
      </c>
      <c r="P4785" s="14">
        <v>4076</v>
      </c>
      <c r="Q4785">
        <v>15714</v>
      </c>
      <c r="R4785">
        <v>356</v>
      </c>
      <c r="S4785">
        <v>0</v>
      </c>
    </row>
    <row r="4786" spans="11:19" x14ac:dyDescent="0.3">
      <c r="K4786" s="16">
        <f t="shared" si="74"/>
        <v>44215</v>
      </c>
      <c r="L4786" s="17">
        <v>0.33333333333333331</v>
      </c>
      <c r="M4786" s="14">
        <v>396</v>
      </c>
      <c r="N4786" s="14">
        <v>3893</v>
      </c>
      <c r="O4786" s="14">
        <v>0</v>
      </c>
      <c r="P4786" s="14">
        <v>4289</v>
      </c>
      <c r="Q4786">
        <v>15935</v>
      </c>
      <c r="R4786">
        <v>340</v>
      </c>
      <c r="S4786">
        <v>21</v>
      </c>
    </row>
    <row r="4787" spans="11:19" x14ac:dyDescent="0.3">
      <c r="K4787" s="16">
        <f t="shared" si="74"/>
        <v>44215</v>
      </c>
      <c r="L4787" s="17">
        <v>0.375</v>
      </c>
      <c r="M4787" s="14">
        <v>396</v>
      </c>
      <c r="N4787" s="14">
        <v>3454</v>
      </c>
      <c r="O4787" s="14">
        <v>0</v>
      </c>
      <c r="P4787" s="14">
        <v>3850</v>
      </c>
      <c r="Q4787">
        <v>15849</v>
      </c>
      <c r="R4787">
        <v>376</v>
      </c>
      <c r="S4787">
        <v>342</v>
      </c>
    </row>
    <row r="4788" spans="11:19" x14ac:dyDescent="0.3">
      <c r="K4788" s="16">
        <f t="shared" si="74"/>
        <v>44215</v>
      </c>
      <c r="L4788" s="17">
        <v>0.41666666666666669</v>
      </c>
      <c r="M4788" s="14">
        <v>396</v>
      </c>
      <c r="N4788" s="14">
        <v>2505</v>
      </c>
      <c r="O4788" s="14">
        <v>0</v>
      </c>
      <c r="P4788" s="14">
        <v>2901</v>
      </c>
      <c r="Q4788">
        <v>15666</v>
      </c>
      <c r="R4788">
        <v>535</v>
      </c>
      <c r="S4788">
        <v>951</v>
      </c>
    </row>
    <row r="4789" spans="11:19" x14ac:dyDescent="0.3">
      <c r="K4789" s="16">
        <f t="shared" si="74"/>
        <v>44215</v>
      </c>
      <c r="L4789" s="17">
        <v>0.45833333333333331</v>
      </c>
      <c r="M4789" s="14">
        <v>396</v>
      </c>
      <c r="N4789" s="14">
        <v>1923</v>
      </c>
      <c r="O4789" s="14">
        <v>0</v>
      </c>
      <c r="P4789" s="14">
        <v>2319</v>
      </c>
      <c r="Q4789">
        <v>15592</v>
      </c>
      <c r="R4789">
        <v>525</v>
      </c>
      <c r="S4789">
        <v>1468</v>
      </c>
    </row>
    <row r="4790" spans="11:19" x14ac:dyDescent="0.3">
      <c r="K4790" s="16">
        <f t="shared" si="74"/>
        <v>44215</v>
      </c>
      <c r="L4790" s="17">
        <v>0.5</v>
      </c>
      <c r="M4790" s="14">
        <v>396</v>
      </c>
      <c r="N4790" s="14">
        <v>1292</v>
      </c>
      <c r="O4790" s="14">
        <v>0</v>
      </c>
      <c r="P4790" s="14">
        <v>1688</v>
      </c>
      <c r="Q4790">
        <v>15397</v>
      </c>
      <c r="R4790">
        <v>708</v>
      </c>
      <c r="S4790">
        <v>1721</v>
      </c>
    </row>
    <row r="4791" spans="11:19" x14ac:dyDescent="0.3">
      <c r="K4791" s="16">
        <f t="shared" si="74"/>
        <v>44215</v>
      </c>
      <c r="L4791" s="17">
        <v>0.54166666666666663</v>
      </c>
      <c r="M4791" s="14">
        <v>396</v>
      </c>
      <c r="N4791" s="14">
        <v>960</v>
      </c>
      <c r="O4791" s="14">
        <v>0</v>
      </c>
      <c r="P4791" s="14">
        <v>1356</v>
      </c>
      <c r="Q4791">
        <v>15015</v>
      </c>
      <c r="R4791">
        <v>676</v>
      </c>
      <c r="S4791">
        <v>1703</v>
      </c>
    </row>
    <row r="4792" spans="11:19" x14ac:dyDescent="0.3">
      <c r="K4792" s="16">
        <f t="shared" si="74"/>
        <v>44215</v>
      </c>
      <c r="L4792" s="17">
        <v>0.58333333333333337</v>
      </c>
      <c r="M4792" s="14">
        <v>396</v>
      </c>
      <c r="N4792" s="14">
        <v>938</v>
      </c>
      <c r="O4792" s="14">
        <v>0</v>
      </c>
      <c r="P4792" s="14">
        <v>1334</v>
      </c>
      <c r="Q4792">
        <v>14667</v>
      </c>
      <c r="R4792">
        <v>621</v>
      </c>
      <c r="S4792">
        <v>1430</v>
      </c>
    </row>
    <row r="4793" spans="11:19" x14ac:dyDescent="0.3">
      <c r="K4793" s="16">
        <f t="shared" si="74"/>
        <v>44215</v>
      </c>
      <c r="L4793" s="17">
        <v>0.625</v>
      </c>
      <c r="M4793" s="14">
        <v>396</v>
      </c>
      <c r="N4793" s="14">
        <v>1176</v>
      </c>
      <c r="O4793" s="14">
        <v>0</v>
      </c>
      <c r="P4793" s="14">
        <v>1572</v>
      </c>
      <c r="Q4793">
        <v>14371</v>
      </c>
      <c r="R4793">
        <v>600</v>
      </c>
      <c r="S4793">
        <v>915</v>
      </c>
    </row>
    <row r="4794" spans="11:19" x14ac:dyDescent="0.3">
      <c r="K4794" s="16">
        <f t="shared" si="74"/>
        <v>44215</v>
      </c>
      <c r="L4794" s="17">
        <v>0.66666666666666663</v>
      </c>
      <c r="M4794" s="14">
        <v>396</v>
      </c>
      <c r="N4794" s="14">
        <v>1798</v>
      </c>
      <c r="O4794" s="14">
        <v>0</v>
      </c>
      <c r="P4794" s="14">
        <v>2194</v>
      </c>
      <c r="Q4794">
        <v>14330</v>
      </c>
      <c r="R4794">
        <v>537</v>
      </c>
      <c r="S4794">
        <v>315</v>
      </c>
    </row>
    <row r="4795" spans="11:19" x14ac:dyDescent="0.3">
      <c r="K4795" s="16">
        <f t="shared" si="74"/>
        <v>44215</v>
      </c>
      <c r="L4795" s="17">
        <v>0.70833333333333337</v>
      </c>
      <c r="M4795" s="14">
        <v>396</v>
      </c>
      <c r="N4795" s="14">
        <v>2758</v>
      </c>
      <c r="O4795" s="14">
        <v>0</v>
      </c>
      <c r="P4795" s="14">
        <v>3154</v>
      </c>
      <c r="Q4795">
        <v>14865</v>
      </c>
      <c r="R4795">
        <v>412</v>
      </c>
      <c r="S4795">
        <v>16</v>
      </c>
    </row>
    <row r="4796" spans="11:19" x14ac:dyDescent="0.3">
      <c r="K4796" s="16">
        <f t="shared" si="74"/>
        <v>44215</v>
      </c>
      <c r="L4796" s="17">
        <v>0.75</v>
      </c>
      <c r="M4796" s="14">
        <v>396</v>
      </c>
      <c r="N4796" s="14">
        <v>3545</v>
      </c>
      <c r="O4796" s="14">
        <v>0</v>
      </c>
      <c r="P4796" s="14">
        <v>3941</v>
      </c>
      <c r="Q4796">
        <v>15667</v>
      </c>
      <c r="R4796">
        <v>444</v>
      </c>
      <c r="S4796">
        <v>0</v>
      </c>
    </row>
    <row r="4797" spans="11:19" x14ac:dyDescent="0.3">
      <c r="K4797" s="16">
        <f t="shared" si="74"/>
        <v>44215</v>
      </c>
      <c r="L4797" s="17">
        <v>0.79166666666666663</v>
      </c>
      <c r="M4797" s="14">
        <v>396</v>
      </c>
      <c r="N4797" s="14">
        <v>3378</v>
      </c>
      <c r="O4797" s="14">
        <v>0</v>
      </c>
      <c r="P4797" s="14">
        <v>3774</v>
      </c>
      <c r="Q4797">
        <v>15453</v>
      </c>
      <c r="R4797">
        <v>399</v>
      </c>
      <c r="S4797">
        <v>0</v>
      </c>
    </row>
    <row r="4798" spans="11:19" x14ac:dyDescent="0.3">
      <c r="K4798" s="16">
        <f t="shared" si="74"/>
        <v>44215</v>
      </c>
      <c r="L4798" s="17">
        <v>0.83333333333333337</v>
      </c>
      <c r="M4798" s="14">
        <v>396</v>
      </c>
      <c r="N4798" s="14">
        <v>2651</v>
      </c>
      <c r="O4798" s="14">
        <v>0</v>
      </c>
      <c r="P4798" s="14">
        <v>3047</v>
      </c>
      <c r="Q4798">
        <v>14644</v>
      </c>
      <c r="R4798">
        <v>320</v>
      </c>
      <c r="S4798">
        <v>0</v>
      </c>
    </row>
    <row r="4799" spans="11:19" x14ac:dyDescent="0.3">
      <c r="K4799" s="16">
        <f t="shared" si="74"/>
        <v>44215</v>
      </c>
      <c r="L4799" s="17">
        <v>0.875</v>
      </c>
      <c r="M4799" s="14">
        <v>396</v>
      </c>
      <c r="N4799" s="14">
        <v>4758</v>
      </c>
      <c r="O4799" s="14">
        <v>0</v>
      </c>
      <c r="P4799" s="14">
        <v>5154</v>
      </c>
      <c r="Q4799">
        <v>13978</v>
      </c>
      <c r="R4799">
        <v>445</v>
      </c>
      <c r="S4799">
        <v>0</v>
      </c>
    </row>
    <row r="4800" spans="11:19" x14ac:dyDescent="0.3">
      <c r="K4800" s="16">
        <f t="shared" si="74"/>
        <v>44215</v>
      </c>
      <c r="L4800" s="17">
        <v>0.91666666666666663</v>
      </c>
      <c r="M4800" s="14">
        <v>396</v>
      </c>
      <c r="N4800" s="14">
        <v>1981</v>
      </c>
      <c r="O4800" s="14">
        <v>0</v>
      </c>
      <c r="P4800" s="14">
        <v>2377</v>
      </c>
      <c r="Q4800">
        <v>14126</v>
      </c>
      <c r="R4800">
        <v>473</v>
      </c>
      <c r="S4800">
        <v>0</v>
      </c>
    </row>
    <row r="4801" spans="11:19" x14ac:dyDescent="0.3">
      <c r="K4801" s="16">
        <f t="shared" si="74"/>
        <v>44215</v>
      </c>
      <c r="L4801" s="17">
        <v>0.95833333333333337</v>
      </c>
      <c r="M4801" s="14">
        <v>396</v>
      </c>
      <c r="N4801" s="14">
        <v>2067</v>
      </c>
      <c r="O4801" s="14">
        <v>0</v>
      </c>
      <c r="P4801" s="14">
        <v>2463</v>
      </c>
      <c r="Q4801">
        <v>14203</v>
      </c>
      <c r="R4801">
        <v>462</v>
      </c>
      <c r="S4801">
        <v>0</v>
      </c>
    </row>
    <row r="4802" spans="11:19" x14ac:dyDescent="0.3">
      <c r="K4802" s="16">
        <f t="shared" si="74"/>
        <v>44216</v>
      </c>
      <c r="L4802" s="17">
        <v>0</v>
      </c>
      <c r="M4802" s="14">
        <v>396</v>
      </c>
      <c r="N4802" s="14">
        <v>1607</v>
      </c>
      <c r="O4802" s="14">
        <v>0</v>
      </c>
      <c r="P4802" s="14">
        <v>2003</v>
      </c>
      <c r="Q4802">
        <v>13714</v>
      </c>
      <c r="R4802">
        <v>437</v>
      </c>
      <c r="S4802">
        <v>0</v>
      </c>
    </row>
    <row r="4803" spans="11:19" x14ac:dyDescent="0.3">
      <c r="K4803" s="16">
        <f t="shared" si="74"/>
        <v>44216</v>
      </c>
      <c r="L4803" s="17">
        <v>4.1666666666666664E-2</v>
      </c>
      <c r="M4803" s="14">
        <v>396</v>
      </c>
      <c r="N4803" s="14">
        <v>1350</v>
      </c>
      <c r="O4803" s="14">
        <v>0</v>
      </c>
      <c r="P4803" s="14">
        <v>1746</v>
      </c>
      <c r="Q4803">
        <v>13497</v>
      </c>
      <c r="R4803">
        <v>480</v>
      </c>
      <c r="S4803">
        <v>0</v>
      </c>
    </row>
    <row r="4804" spans="11:19" x14ac:dyDescent="0.3">
      <c r="K4804" s="16">
        <f t="shared" si="74"/>
        <v>44216</v>
      </c>
      <c r="L4804" s="17">
        <v>8.3333333333333329E-2</v>
      </c>
      <c r="M4804" s="14">
        <v>396</v>
      </c>
      <c r="N4804" s="14">
        <v>1061</v>
      </c>
      <c r="O4804" s="14">
        <v>0</v>
      </c>
      <c r="P4804" s="14">
        <v>1457</v>
      </c>
      <c r="Q4804">
        <v>13272</v>
      </c>
      <c r="R4804">
        <v>546</v>
      </c>
      <c r="S4804">
        <v>0</v>
      </c>
    </row>
    <row r="4805" spans="11:19" x14ac:dyDescent="0.3">
      <c r="K4805" s="16">
        <f t="shared" si="74"/>
        <v>44216</v>
      </c>
      <c r="L4805" s="17">
        <v>0.125</v>
      </c>
      <c r="M4805" s="14">
        <v>396</v>
      </c>
      <c r="N4805" s="14">
        <v>438</v>
      </c>
      <c r="O4805" s="14">
        <v>0</v>
      </c>
      <c r="P4805" s="14">
        <v>834</v>
      </c>
      <c r="Q4805">
        <v>12854</v>
      </c>
      <c r="R4805">
        <v>752</v>
      </c>
      <c r="S4805">
        <v>0</v>
      </c>
    </row>
    <row r="4806" spans="11:19" x14ac:dyDescent="0.3">
      <c r="K4806" s="16">
        <f t="shared" si="74"/>
        <v>44216</v>
      </c>
      <c r="L4806" s="17">
        <v>0.16666666666666666</v>
      </c>
      <c r="M4806" s="14">
        <v>396</v>
      </c>
      <c r="N4806" s="14">
        <v>451</v>
      </c>
      <c r="O4806" s="14">
        <v>0</v>
      </c>
      <c r="P4806" s="14">
        <v>847</v>
      </c>
      <c r="Q4806">
        <v>12780</v>
      </c>
      <c r="R4806">
        <v>666</v>
      </c>
      <c r="S4806">
        <v>0</v>
      </c>
    </row>
    <row r="4807" spans="11:19" x14ac:dyDescent="0.3">
      <c r="K4807" s="16">
        <f t="shared" si="74"/>
        <v>44216</v>
      </c>
      <c r="L4807" s="17">
        <v>0.20833333333333334</v>
      </c>
      <c r="M4807" s="14">
        <v>396</v>
      </c>
      <c r="N4807" s="14">
        <v>3899</v>
      </c>
      <c r="O4807" s="14">
        <v>0</v>
      </c>
      <c r="P4807" s="14">
        <v>4295</v>
      </c>
      <c r="Q4807">
        <v>13340</v>
      </c>
      <c r="R4807">
        <v>677</v>
      </c>
      <c r="S4807">
        <v>0</v>
      </c>
    </row>
    <row r="4808" spans="11:19" x14ac:dyDescent="0.3">
      <c r="K4808" s="16">
        <f t="shared" si="74"/>
        <v>44216</v>
      </c>
      <c r="L4808" s="17">
        <v>0.25</v>
      </c>
      <c r="M4808" s="14">
        <v>396</v>
      </c>
      <c r="N4808" s="14">
        <v>2324</v>
      </c>
      <c r="O4808" s="14">
        <v>0</v>
      </c>
      <c r="P4808" s="14">
        <v>2720</v>
      </c>
      <c r="Q4808">
        <v>14570</v>
      </c>
      <c r="R4808">
        <v>578</v>
      </c>
      <c r="S4808">
        <v>0</v>
      </c>
    </row>
    <row r="4809" spans="11:19" x14ac:dyDescent="0.3">
      <c r="K4809" s="16">
        <f t="shared" si="74"/>
        <v>44216</v>
      </c>
      <c r="L4809" s="17">
        <v>0.29166666666666669</v>
      </c>
      <c r="M4809" s="14">
        <v>396</v>
      </c>
      <c r="N4809" s="14">
        <v>3380</v>
      </c>
      <c r="O4809" s="14">
        <v>0</v>
      </c>
      <c r="P4809" s="14">
        <v>3776</v>
      </c>
      <c r="Q4809">
        <v>15588</v>
      </c>
      <c r="R4809">
        <v>530</v>
      </c>
      <c r="S4809">
        <v>0</v>
      </c>
    </row>
    <row r="4810" spans="11:19" x14ac:dyDescent="0.3">
      <c r="K4810" s="16">
        <f t="shared" si="74"/>
        <v>44216</v>
      </c>
      <c r="L4810" s="17">
        <v>0.33333333333333331</v>
      </c>
      <c r="M4810" s="14">
        <v>396</v>
      </c>
      <c r="N4810" s="14">
        <v>3627</v>
      </c>
      <c r="O4810" s="14">
        <v>0</v>
      </c>
      <c r="P4810" s="14">
        <v>4023</v>
      </c>
      <c r="Q4810">
        <v>15807</v>
      </c>
      <c r="R4810">
        <v>475</v>
      </c>
      <c r="S4810">
        <v>25</v>
      </c>
    </row>
    <row r="4811" spans="11:19" x14ac:dyDescent="0.3">
      <c r="K4811" s="16">
        <f t="shared" si="74"/>
        <v>44216</v>
      </c>
      <c r="L4811" s="17">
        <v>0.375</v>
      </c>
      <c r="M4811" s="14">
        <v>396</v>
      </c>
      <c r="N4811" s="14">
        <v>3137</v>
      </c>
      <c r="O4811" s="14">
        <v>0</v>
      </c>
      <c r="P4811" s="14">
        <v>3533</v>
      </c>
      <c r="Q4811">
        <v>15736</v>
      </c>
      <c r="R4811">
        <v>561</v>
      </c>
      <c r="S4811">
        <v>361</v>
      </c>
    </row>
    <row r="4812" spans="11:19" x14ac:dyDescent="0.3">
      <c r="K4812" s="16">
        <f t="shared" si="74"/>
        <v>44216</v>
      </c>
      <c r="L4812" s="17">
        <v>0.41666666666666669</v>
      </c>
      <c r="M4812" s="14">
        <v>396</v>
      </c>
      <c r="N4812" s="14">
        <v>2301</v>
      </c>
      <c r="O4812" s="14">
        <v>0</v>
      </c>
      <c r="P4812" s="14">
        <v>2697</v>
      </c>
      <c r="Q4812">
        <v>15570</v>
      </c>
      <c r="R4812">
        <v>597</v>
      </c>
      <c r="S4812">
        <v>998</v>
      </c>
    </row>
    <row r="4813" spans="11:19" x14ac:dyDescent="0.3">
      <c r="K4813" s="16">
        <f t="shared" si="74"/>
        <v>44216</v>
      </c>
      <c r="L4813" s="17">
        <v>0.45833333333333331</v>
      </c>
      <c r="M4813" s="14">
        <v>396</v>
      </c>
      <c r="N4813" s="14">
        <v>1617</v>
      </c>
      <c r="O4813" s="14">
        <v>0</v>
      </c>
      <c r="P4813" s="14">
        <v>2013</v>
      </c>
      <c r="Q4813">
        <v>15487</v>
      </c>
      <c r="R4813">
        <v>675</v>
      </c>
      <c r="S4813">
        <v>1519</v>
      </c>
    </row>
    <row r="4814" spans="11:19" x14ac:dyDescent="0.3">
      <c r="K4814" s="16">
        <f t="shared" si="74"/>
        <v>44216</v>
      </c>
      <c r="L4814" s="17">
        <v>0.5</v>
      </c>
      <c r="M4814" s="14">
        <v>396</v>
      </c>
      <c r="N4814" s="14">
        <v>1156</v>
      </c>
      <c r="O4814" s="14">
        <v>0</v>
      </c>
      <c r="P4814" s="14">
        <v>1552</v>
      </c>
      <c r="Q4814">
        <v>15310</v>
      </c>
      <c r="R4814">
        <v>696</v>
      </c>
      <c r="S4814">
        <v>1782</v>
      </c>
    </row>
    <row r="4815" spans="11:19" x14ac:dyDescent="0.3">
      <c r="K4815" s="16">
        <f t="shared" si="74"/>
        <v>44216</v>
      </c>
      <c r="L4815" s="17">
        <v>0.54166666666666663</v>
      </c>
      <c r="M4815" s="14">
        <v>396</v>
      </c>
      <c r="N4815" s="14">
        <v>3595</v>
      </c>
      <c r="O4815" s="14">
        <v>0</v>
      </c>
      <c r="P4815" s="14">
        <v>3991</v>
      </c>
      <c r="Q4815">
        <v>14931</v>
      </c>
      <c r="R4815">
        <v>787</v>
      </c>
      <c r="S4815">
        <v>1772</v>
      </c>
    </row>
    <row r="4816" spans="11:19" x14ac:dyDescent="0.3">
      <c r="K4816" s="16">
        <f t="shared" si="74"/>
        <v>44216</v>
      </c>
      <c r="L4816" s="17">
        <v>0.58333333333333337</v>
      </c>
      <c r="M4816" s="14">
        <v>396</v>
      </c>
      <c r="N4816" s="14">
        <v>492</v>
      </c>
      <c r="O4816" s="14">
        <v>0</v>
      </c>
      <c r="P4816" s="14">
        <v>888</v>
      </c>
      <c r="Q4816">
        <v>14578</v>
      </c>
      <c r="R4816">
        <v>928</v>
      </c>
      <c r="S4816">
        <v>1480</v>
      </c>
    </row>
    <row r="4817" spans="11:19" x14ac:dyDescent="0.3">
      <c r="K4817" s="16">
        <f t="shared" si="74"/>
        <v>44216</v>
      </c>
      <c r="L4817" s="17">
        <v>0.625</v>
      </c>
      <c r="M4817" s="14">
        <v>396</v>
      </c>
      <c r="N4817" s="14">
        <v>780</v>
      </c>
      <c r="O4817" s="14">
        <v>0</v>
      </c>
      <c r="P4817" s="14">
        <v>1176</v>
      </c>
      <c r="Q4817">
        <v>14301</v>
      </c>
      <c r="R4817">
        <v>878</v>
      </c>
      <c r="S4817">
        <v>964</v>
      </c>
    </row>
    <row r="4818" spans="11:19" x14ac:dyDescent="0.3">
      <c r="K4818" s="16">
        <f t="shared" si="74"/>
        <v>44216</v>
      </c>
      <c r="L4818" s="17">
        <v>0.66666666666666663</v>
      </c>
      <c r="M4818" s="14">
        <v>396</v>
      </c>
      <c r="N4818" s="14">
        <v>1298</v>
      </c>
      <c r="O4818" s="14">
        <v>0</v>
      </c>
      <c r="P4818" s="14">
        <v>1694</v>
      </c>
      <c r="Q4818">
        <v>14252</v>
      </c>
      <c r="R4818">
        <v>930</v>
      </c>
      <c r="S4818">
        <v>345</v>
      </c>
    </row>
    <row r="4819" spans="11:19" x14ac:dyDescent="0.3">
      <c r="K4819" s="16">
        <f t="shared" si="74"/>
        <v>44216</v>
      </c>
      <c r="L4819" s="17">
        <v>0.70833333333333337</v>
      </c>
      <c r="M4819" s="14">
        <v>396</v>
      </c>
      <c r="N4819" s="14">
        <v>2221</v>
      </c>
      <c r="O4819" s="14">
        <v>0</v>
      </c>
      <c r="P4819" s="14">
        <v>2617</v>
      </c>
      <c r="Q4819">
        <v>14737</v>
      </c>
      <c r="R4819">
        <v>818</v>
      </c>
      <c r="S4819">
        <v>20</v>
      </c>
    </row>
    <row r="4820" spans="11:19" x14ac:dyDescent="0.3">
      <c r="K4820" s="16">
        <f t="shared" si="74"/>
        <v>44216</v>
      </c>
      <c r="L4820" s="17">
        <v>0.75</v>
      </c>
      <c r="M4820" s="14">
        <v>396</v>
      </c>
      <c r="N4820" s="14">
        <v>3038</v>
      </c>
      <c r="O4820" s="14">
        <v>0</v>
      </c>
      <c r="P4820" s="14">
        <v>3434</v>
      </c>
      <c r="Q4820">
        <v>15518</v>
      </c>
      <c r="R4820">
        <v>802</v>
      </c>
      <c r="S4820">
        <v>0</v>
      </c>
    </row>
    <row r="4821" spans="11:19" x14ac:dyDescent="0.3">
      <c r="K4821" s="16">
        <f t="shared" si="74"/>
        <v>44216</v>
      </c>
      <c r="L4821" s="17">
        <v>0.79166666666666663</v>
      </c>
      <c r="M4821" s="14">
        <v>396</v>
      </c>
      <c r="N4821" s="14">
        <v>2760</v>
      </c>
      <c r="O4821" s="14">
        <v>0</v>
      </c>
      <c r="P4821" s="14">
        <v>3156</v>
      </c>
      <c r="Q4821">
        <v>15253</v>
      </c>
      <c r="R4821">
        <v>817</v>
      </c>
      <c r="S4821">
        <v>0</v>
      </c>
    </row>
    <row r="4822" spans="11:19" x14ac:dyDescent="0.3">
      <c r="K4822" s="16">
        <f t="shared" si="74"/>
        <v>44216</v>
      </c>
      <c r="L4822" s="17">
        <v>0.83333333333333337</v>
      </c>
      <c r="M4822" s="14">
        <v>396</v>
      </c>
      <c r="N4822" s="14">
        <v>1852</v>
      </c>
      <c r="O4822" s="14">
        <v>0</v>
      </c>
      <c r="P4822" s="14">
        <v>2248</v>
      </c>
      <c r="Q4822">
        <v>14502</v>
      </c>
      <c r="R4822">
        <v>977</v>
      </c>
      <c r="S4822">
        <v>0</v>
      </c>
    </row>
    <row r="4823" spans="11:19" x14ac:dyDescent="0.3">
      <c r="K4823" s="16">
        <f t="shared" si="74"/>
        <v>44216</v>
      </c>
      <c r="L4823" s="17">
        <v>0.875</v>
      </c>
      <c r="M4823" s="14">
        <v>396</v>
      </c>
      <c r="N4823" s="14">
        <v>1094</v>
      </c>
      <c r="O4823" s="14">
        <v>0</v>
      </c>
      <c r="P4823" s="14">
        <v>1490</v>
      </c>
      <c r="Q4823">
        <v>13877</v>
      </c>
      <c r="R4823">
        <v>1110</v>
      </c>
      <c r="S4823">
        <v>0</v>
      </c>
    </row>
    <row r="4824" spans="11:19" x14ac:dyDescent="0.3">
      <c r="K4824" s="16">
        <f t="shared" si="74"/>
        <v>44216</v>
      </c>
      <c r="L4824" s="17">
        <v>0.91666666666666663</v>
      </c>
      <c r="M4824" s="14">
        <v>396</v>
      </c>
      <c r="N4824" s="14">
        <v>3823</v>
      </c>
      <c r="O4824" s="14">
        <v>0</v>
      </c>
      <c r="P4824" s="14">
        <v>4219</v>
      </c>
      <c r="Q4824">
        <v>14020</v>
      </c>
      <c r="R4824">
        <v>1423</v>
      </c>
      <c r="S4824">
        <v>0</v>
      </c>
    </row>
    <row r="4825" spans="11:19" x14ac:dyDescent="0.3">
      <c r="K4825" s="16">
        <f t="shared" si="74"/>
        <v>44216</v>
      </c>
      <c r="L4825" s="17">
        <v>0.95833333333333337</v>
      </c>
      <c r="M4825" s="14">
        <v>396</v>
      </c>
      <c r="N4825" s="14">
        <v>1018</v>
      </c>
      <c r="O4825" s="14">
        <v>0</v>
      </c>
      <c r="P4825" s="14">
        <v>1414</v>
      </c>
      <c r="Q4825">
        <v>14093</v>
      </c>
      <c r="R4825">
        <v>1402</v>
      </c>
      <c r="S4825">
        <v>0</v>
      </c>
    </row>
    <row r="4826" spans="11:19" x14ac:dyDescent="0.3">
      <c r="K4826" s="16">
        <f t="shared" si="74"/>
        <v>44217</v>
      </c>
      <c r="L4826" s="17">
        <v>0</v>
      </c>
      <c r="M4826" s="14">
        <v>396</v>
      </c>
      <c r="N4826" s="14">
        <v>746</v>
      </c>
      <c r="O4826" s="14">
        <v>0</v>
      </c>
      <c r="P4826" s="14">
        <v>1142</v>
      </c>
      <c r="Q4826">
        <v>13591</v>
      </c>
      <c r="R4826">
        <v>1175</v>
      </c>
      <c r="S4826">
        <v>0</v>
      </c>
    </row>
    <row r="4827" spans="11:19" x14ac:dyDescent="0.3">
      <c r="K4827" s="16">
        <f t="shared" ref="K4827:K4890" si="75">K4803+1</f>
        <v>44217</v>
      </c>
      <c r="L4827" s="17">
        <v>4.1666666666666664E-2</v>
      </c>
      <c r="M4827" s="14">
        <v>396</v>
      </c>
      <c r="N4827" s="14">
        <v>577</v>
      </c>
      <c r="O4827" s="14">
        <v>0</v>
      </c>
      <c r="P4827" s="14">
        <v>973</v>
      </c>
      <c r="Q4827">
        <v>13359</v>
      </c>
      <c r="R4827">
        <v>1115</v>
      </c>
      <c r="S4827">
        <v>0</v>
      </c>
    </row>
    <row r="4828" spans="11:19" x14ac:dyDescent="0.3">
      <c r="K4828" s="16">
        <f t="shared" si="75"/>
        <v>44217</v>
      </c>
      <c r="L4828" s="17">
        <v>8.3333333333333329E-2</v>
      </c>
      <c r="M4828" s="14">
        <v>396</v>
      </c>
      <c r="N4828" s="14">
        <v>395</v>
      </c>
      <c r="O4828" s="14">
        <v>0</v>
      </c>
      <c r="P4828" s="14">
        <v>791</v>
      </c>
      <c r="Q4828">
        <v>13120</v>
      </c>
      <c r="R4828">
        <v>1060</v>
      </c>
      <c r="S4828">
        <v>0</v>
      </c>
    </row>
    <row r="4829" spans="11:19" x14ac:dyDescent="0.3">
      <c r="K4829" s="16">
        <f t="shared" si="75"/>
        <v>44217</v>
      </c>
      <c r="L4829" s="17">
        <v>0.125</v>
      </c>
      <c r="M4829" s="14">
        <v>396</v>
      </c>
      <c r="N4829" s="14">
        <v>0</v>
      </c>
      <c r="O4829" s="14">
        <v>0</v>
      </c>
      <c r="P4829" s="14">
        <v>396</v>
      </c>
      <c r="Q4829">
        <v>12684</v>
      </c>
      <c r="R4829">
        <v>1211</v>
      </c>
      <c r="S4829">
        <v>0</v>
      </c>
    </row>
    <row r="4830" spans="11:19" x14ac:dyDescent="0.3">
      <c r="K4830" s="16">
        <f t="shared" si="75"/>
        <v>44217</v>
      </c>
      <c r="L4830" s="17">
        <v>0.16666666666666666</v>
      </c>
      <c r="M4830" s="14">
        <v>396</v>
      </c>
      <c r="N4830" s="14">
        <v>0</v>
      </c>
      <c r="O4830" s="14">
        <v>0</v>
      </c>
      <c r="P4830" s="14">
        <v>396</v>
      </c>
      <c r="Q4830">
        <v>12588</v>
      </c>
      <c r="R4830">
        <v>1422</v>
      </c>
      <c r="S4830">
        <v>0</v>
      </c>
    </row>
    <row r="4831" spans="11:19" x14ac:dyDescent="0.3">
      <c r="K4831" s="16">
        <f t="shared" si="75"/>
        <v>44217</v>
      </c>
      <c r="L4831" s="17">
        <v>0.20833333333333334</v>
      </c>
      <c r="M4831" s="14">
        <v>396</v>
      </c>
      <c r="N4831" s="14">
        <v>0</v>
      </c>
      <c r="O4831" s="14">
        <v>0</v>
      </c>
      <c r="P4831" s="14">
        <v>396</v>
      </c>
      <c r="Q4831">
        <v>13122</v>
      </c>
      <c r="R4831">
        <v>1515</v>
      </c>
      <c r="S4831">
        <v>0</v>
      </c>
    </row>
    <row r="4832" spans="11:19" x14ac:dyDescent="0.3">
      <c r="K4832" s="16">
        <f t="shared" si="75"/>
        <v>44217</v>
      </c>
      <c r="L4832" s="17">
        <v>0.25</v>
      </c>
      <c r="M4832" s="14">
        <v>396</v>
      </c>
      <c r="N4832" s="14">
        <v>1321</v>
      </c>
      <c r="O4832" s="14">
        <v>0</v>
      </c>
      <c r="P4832" s="14">
        <v>1717</v>
      </c>
      <c r="Q4832">
        <v>14316</v>
      </c>
      <c r="R4832">
        <v>1327</v>
      </c>
      <c r="S4832">
        <v>0</v>
      </c>
    </row>
    <row r="4833" spans="11:19" x14ac:dyDescent="0.3">
      <c r="K4833" s="16">
        <f t="shared" si="75"/>
        <v>44217</v>
      </c>
      <c r="L4833" s="17">
        <v>0.29166666666666669</v>
      </c>
      <c r="M4833" s="14">
        <v>396</v>
      </c>
      <c r="N4833" s="14">
        <v>2297</v>
      </c>
      <c r="O4833" s="14">
        <v>0</v>
      </c>
      <c r="P4833" s="14">
        <v>2693</v>
      </c>
      <c r="Q4833">
        <v>15288</v>
      </c>
      <c r="R4833">
        <v>1313</v>
      </c>
      <c r="S4833">
        <v>0</v>
      </c>
    </row>
    <row r="4834" spans="11:19" x14ac:dyDescent="0.3">
      <c r="K4834" s="16">
        <f t="shared" si="75"/>
        <v>44217</v>
      </c>
      <c r="L4834" s="17">
        <v>0.33333333333333331</v>
      </c>
      <c r="M4834" s="14">
        <v>396</v>
      </c>
      <c r="N4834" s="14">
        <v>2470</v>
      </c>
      <c r="O4834" s="14">
        <v>0</v>
      </c>
      <c r="P4834" s="14">
        <v>2866</v>
      </c>
      <c r="Q4834">
        <v>15472</v>
      </c>
      <c r="R4834">
        <v>1301</v>
      </c>
      <c r="S4834">
        <v>21</v>
      </c>
    </row>
    <row r="4835" spans="11:19" x14ac:dyDescent="0.3">
      <c r="K4835" s="16">
        <f t="shared" si="75"/>
        <v>44217</v>
      </c>
      <c r="L4835" s="17">
        <v>0.375</v>
      </c>
      <c r="M4835" s="14">
        <v>396</v>
      </c>
      <c r="N4835" s="14">
        <v>3041</v>
      </c>
      <c r="O4835" s="14">
        <v>0</v>
      </c>
      <c r="P4835" s="14">
        <v>3437</v>
      </c>
      <c r="Q4835">
        <v>15356</v>
      </c>
      <c r="R4835">
        <v>1436</v>
      </c>
      <c r="S4835">
        <v>378</v>
      </c>
    </row>
    <row r="4836" spans="11:19" x14ac:dyDescent="0.3">
      <c r="K4836" s="16">
        <f t="shared" si="75"/>
        <v>44217</v>
      </c>
      <c r="L4836" s="17">
        <v>0.41666666666666669</v>
      </c>
      <c r="M4836" s="14">
        <v>396</v>
      </c>
      <c r="N4836" s="14">
        <v>1014</v>
      </c>
      <c r="O4836" s="14">
        <v>0</v>
      </c>
      <c r="P4836" s="14">
        <v>1410</v>
      </c>
      <c r="Q4836">
        <v>15141</v>
      </c>
      <c r="R4836">
        <v>1392</v>
      </c>
      <c r="S4836">
        <v>1061</v>
      </c>
    </row>
    <row r="4837" spans="11:19" x14ac:dyDescent="0.3">
      <c r="K4837" s="16">
        <f t="shared" si="75"/>
        <v>44217</v>
      </c>
      <c r="L4837" s="17">
        <v>0.45833333333333331</v>
      </c>
      <c r="M4837" s="14">
        <v>396</v>
      </c>
      <c r="N4837" s="14">
        <v>79</v>
      </c>
      <c r="O4837" s="14">
        <v>0</v>
      </c>
      <c r="P4837" s="14">
        <v>475</v>
      </c>
      <c r="Q4837">
        <v>14987</v>
      </c>
      <c r="R4837">
        <v>1580</v>
      </c>
      <c r="S4837">
        <v>1652</v>
      </c>
    </row>
    <row r="4838" spans="11:19" x14ac:dyDescent="0.3">
      <c r="K4838" s="16">
        <f t="shared" si="75"/>
        <v>44217</v>
      </c>
      <c r="L4838" s="17">
        <v>0.5</v>
      </c>
      <c r="M4838" s="14">
        <v>396</v>
      </c>
      <c r="N4838" s="14">
        <v>0</v>
      </c>
      <c r="O4838" s="14">
        <v>0</v>
      </c>
      <c r="P4838" s="14">
        <v>396</v>
      </c>
      <c r="Q4838">
        <v>14750</v>
      </c>
      <c r="R4838">
        <v>1913</v>
      </c>
      <c r="S4838">
        <v>1931</v>
      </c>
    </row>
    <row r="4839" spans="11:19" x14ac:dyDescent="0.3">
      <c r="K4839" s="16">
        <f t="shared" si="75"/>
        <v>44217</v>
      </c>
      <c r="L4839" s="17">
        <v>0.54166666666666663</v>
      </c>
      <c r="M4839" s="14">
        <v>396</v>
      </c>
      <c r="N4839" s="14">
        <v>1621</v>
      </c>
      <c r="O4839" s="14">
        <v>0</v>
      </c>
      <c r="P4839" s="14">
        <v>2017</v>
      </c>
      <c r="Q4839">
        <v>14337</v>
      </c>
      <c r="R4839">
        <v>2033</v>
      </c>
      <c r="S4839">
        <v>1906</v>
      </c>
    </row>
    <row r="4840" spans="11:19" x14ac:dyDescent="0.3">
      <c r="K4840" s="16">
        <f t="shared" si="75"/>
        <v>44217</v>
      </c>
      <c r="L4840" s="17">
        <v>0.58333333333333337</v>
      </c>
      <c r="M4840" s="14">
        <v>396</v>
      </c>
      <c r="N4840" s="14">
        <v>0</v>
      </c>
      <c r="O4840" s="14">
        <v>0</v>
      </c>
      <c r="P4840" s="14">
        <v>396</v>
      </c>
      <c r="Q4840">
        <v>13964</v>
      </c>
      <c r="R4840">
        <v>2098</v>
      </c>
      <c r="S4840">
        <v>1595</v>
      </c>
    </row>
    <row r="4841" spans="11:19" x14ac:dyDescent="0.3">
      <c r="K4841" s="16">
        <f t="shared" si="75"/>
        <v>44217</v>
      </c>
      <c r="L4841" s="17">
        <v>0.625</v>
      </c>
      <c r="M4841" s="14">
        <v>396</v>
      </c>
      <c r="N4841" s="14">
        <v>0</v>
      </c>
      <c r="O4841" s="14">
        <v>0</v>
      </c>
      <c r="P4841" s="14">
        <v>396</v>
      </c>
      <c r="Q4841">
        <v>13671</v>
      </c>
      <c r="R4841">
        <v>2201</v>
      </c>
      <c r="S4841">
        <v>1034</v>
      </c>
    </row>
    <row r="4842" spans="11:19" x14ac:dyDescent="0.3">
      <c r="K4842" s="16">
        <f t="shared" si="75"/>
        <v>44217</v>
      </c>
      <c r="L4842" s="17">
        <v>0.66666666666666663</v>
      </c>
      <c r="M4842" s="14">
        <v>396</v>
      </c>
      <c r="N4842" s="14">
        <v>0</v>
      </c>
      <c r="O4842" s="14">
        <v>0</v>
      </c>
      <c r="P4842" s="14">
        <v>396</v>
      </c>
      <c r="Q4842">
        <v>13620</v>
      </c>
      <c r="R4842">
        <v>2331</v>
      </c>
      <c r="S4842">
        <v>371</v>
      </c>
    </row>
    <row r="4843" spans="11:19" x14ac:dyDescent="0.3">
      <c r="K4843" s="16">
        <f t="shared" si="75"/>
        <v>44217</v>
      </c>
      <c r="L4843" s="17">
        <v>0.70833333333333337</v>
      </c>
      <c r="M4843" s="14">
        <v>396</v>
      </c>
      <c r="N4843" s="14">
        <v>138</v>
      </c>
      <c r="O4843" s="14">
        <v>0</v>
      </c>
      <c r="P4843" s="14">
        <v>534</v>
      </c>
      <c r="Q4843">
        <v>14136</v>
      </c>
      <c r="R4843">
        <v>2292</v>
      </c>
      <c r="S4843">
        <v>28</v>
      </c>
    </row>
    <row r="4844" spans="11:19" x14ac:dyDescent="0.3">
      <c r="K4844" s="16">
        <f t="shared" si="75"/>
        <v>44217</v>
      </c>
      <c r="L4844" s="17">
        <v>0.75</v>
      </c>
      <c r="M4844" s="14">
        <v>396</v>
      </c>
      <c r="N4844" s="14">
        <v>890</v>
      </c>
      <c r="O4844" s="14">
        <v>0</v>
      </c>
      <c r="P4844" s="14">
        <v>1286</v>
      </c>
      <c r="Q4844">
        <v>14978</v>
      </c>
      <c r="R4844">
        <v>2410</v>
      </c>
      <c r="S4844">
        <v>0</v>
      </c>
    </row>
    <row r="4845" spans="11:19" x14ac:dyDescent="0.3">
      <c r="K4845" s="16">
        <f t="shared" si="75"/>
        <v>44217</v>
      </c>
      <c r="L4845" s="17">
        <v>0.79166666666666663</v>
      </c>
      <c r="M4845" s="14">
        <v>396</v>
      </c>
      <c r="N4845" s="14">
        <v>630</v>
      </c>
      <c r="O4845" s="14">
        <v>0</v>
      </c>
      <c r="P4845" s="14">
        <v>1026</v>
      </c>
      <c r="Q4845">
        <v>14718</v>
      </c>
      <c r="R4845">
        <v>2412</v>
      </c>
      <c r="S4845">
        <v>0</v>
      </c>
    </row>
    <row r="4846" spans="11:19" x14ac:dyDescent="0.3">
      <c r="K4846" s="16">
        <f t="shared" si="75"/>
        <v>44217</v>
      </c>
      <c r="L4846" s="17">
        <v>0.83333333333333337</v>
      </c>
      <c r="M4846" s="14">
        <v>396</v>
      </c>
      <c r="N4846" s="14">
        <v>0</v>
      </c>
      <c r="O4846" s="14">
        <v>0</v>
      </c>
      <c r="P4846" s="14">
        <v>396</v>
      </c>
      <c r="Q4846">
        <v>14046</v>
      </c>
      <c r="R4846">
        <v>2415</v>
      </c>
      <c r="S4846">
        <v>0</v>
      </c>
    </row>
    <row r="4847" spans="11:19" x14ac:dyDescent="0.3">
      <c r="K4847" s="16">
        <f t="shared" si="75"/>
        <v>44217</v>
      </c>
      <c r="L4847" s="17">
        <v>0.875</v>
      </c>
      <c r="M4847" s="14">
        <v>396</v>
      </c>
      <c r="N4847" s="14">
        <v>2217</v>
      </c>
      <c r="O4847" s="14">
        <v>0</v>
      </c>
      <c r="P4847" s="14">
        <v>2613</v>
      </c>
      <c r="Q4847">
        <v>13467</v>
      </c>
      <c r="R4847">
        <v>2475</v>
      </c>
      <c r="S4847">
        <v>0</v>
      </c>
    </row>
    <row r="4848" spans="11:19" x14ac:dyDescent="0.3">
      <c r="K4848" s="16">
        <f t="shared" si="75"/>
        <v>44217</v>
      </c>
      <c r="L4848" s="17">
        <v>0.91666666666666663</v>
      </c>
      <c r="M4848" s="14">
        <v>396</v>
      </c>
      <c r="N4848" s="14">
        <v>0</v>
      </c>
      <c r="O4848" s="14">
        <v>0</v>
      </c>
      <c r="P4848" s="14">
        <v>396</v>
      </c>
      <c r="Q4848">
        <v>13616</v>
      </c>
      <c r="R4848">
        <v>2408</v>
      </c>
      <c r="S4848">
        <v>0</v>
      </c>
    </row>
    <row r="4849" spans="11:19" x14ac:dyDescent="0.3">
      <c r="K4849" s="16">
        <f t="shared" si="75"/>
        <v>44217</v>
      </c>
      <c r="L4849" s="17">
        <v>0.95833333333333337</v>
      </c>
      <c r="M4849" s="14">
        <v>396</v>
      </c>
      <c r="N4849" s="14">
        <v>0</v>
      </c>
      <c r="O4849" s="14">
        <v>0</v>
      </c>
      <c r="P4849" s="14">
        <v>396</v>
      </c>
      <c r="Q4849">
        <v>13700</v>
      </c>
      <c r="R4849">
        <v>2335</v>
      </c>
      <c r="S4849">
        <v>0</v>
      </c>
    </row>
    <row r="4850" spans="11:19" x14ac:dyDescent="0.3">
      <c r="K4850" s="16">
        <f t="shared" si="75"/>
        <v>44218</v>
      </c>
      <c r="L4850" s="17">
        <v>0</v>
      </c>
      <c r="M4850" s="14">
        <v>396</v>
      </c>
      <c r="N4850" s="14">
        <v>0</v>
      </c>
      <c r="O4850" s="14">
        <v>0</v>
      </c>
      <c r="P4850" s="14">
        <v>396</v>
      </c>
      <c r="Q4850">
        <v>13240</v>
      </c>
      <c r="R4850">
        <v>2369</v>
      </c>
      <c r="S4850">
        <v>0</v>
      </c>
    </row>
    <row r="4851" spans="11:19" x14ac:dyDescent="0.3">
      <c r="K4851" s="16">
        <f t="shared" si="75"/>
        <v>44218</v>
      </c>
      <c r="L4851" s="17">
        <v>4.1666666666666664E-2</v>
      </c>
      <c r="M4851" s="14">
        <v>396</v>
      </c>
      <c r="N4851" s="14">
        <v>0</v>
      </c>
      <c r="O4851" s="14">
        <v>0</v>
      </c>
      <c r="P4851" s="14">
        <v>396</v>
      </c>
      <c r="Q4851">
        <v>12996</v>
      </c>
      <c r="R4851">
        <v>2437</v>
      </c>
      <c r="S4851">
        <v>0</v>
      </c>
    </row>
    <row r="4852" spans="11:19" x14ac:dyDescent="0.3">
      <c r="K4852" s="16">
        <f t="shared" si="75"/>
        <v>44218</v>
      </c>
      <c r="L4852" s="17">
        <v>8.3333333333333329E-2</v>
      </c>
      <c r="M4852" s="14">
        <v>396</v>
      </c>
      <c r="N4852" s="14">
        <v>0</v>
      </c>
      <c r="O4852" s="14">
        <v>0</v>
      </c>
      <c r="P4852" s="14">
        <v>396</v>
      </c>
      <c r="Q4852">
        <v>12743</v>
      </c>
      <c r="R4852">
        <v>2513</v>
      </c>
      <c r="S4852">
        <v>0</v>
      </c>
    </row>
    <row r="4853" spans="11:19" x14ac:dyDescent="0.3">
      <c r="K4853" s="16">
        <f t="shared" si="75"/>
        <v>44218</v>
      </c>
      <c r="L4853" s="17">
        <v>0.125</v>
      </c>
      <c r="M4853" s="14">
        <v>396</v>
      </c>
      <c r="N4853" s="14">
        <v>0</v>
      </c>
      <c r="O4853" s="14">
        <v>0</v>
      </c>
      <c r="P4853" s="14">
        <v>396</v>
      </c>
      <c r="Q4853">
        <v>12292</v>
      </c>
      <c r="R4853">
        <v>2689</v>
      </c>
      <c r="S4853">
        <v>0</v>
      </c>
    </row>
    <row r="4854" spans="11:19" x14ac:dyDescent="0.3">
      <c r="K4854" s="16">
        <f t="shared" si="75"/>
        <v>44218</v>
      </c>
      <c r="L4854" s="17">
        <v>0.16666666666666666</v>
      </c>
      <c r="M4854" s="14">
        <v>396</v>
      </c>
      <c r="N4854" s="14">
        <v>0</v>
      </c>
      <c r="O4854" s="14">
        <v>0</v>
      </c>
      <c r="P4854" s="14">
        <v>396</v>
      </c>
      <c r="Q4854">
        <v>12190</v>
      </c>
      <c r="R4854">
        <v>2650</v>
      </c>
      <c r="S4854">
        <v>0</v>
      </c>
    </row>
    <row r="4855" spans="11:19" x14ac:dyDescent="0.3">
      <c r="K4855" s="16">
        <f t="shared" si="75"/>
        <v>44218</v>
      </c>
      <c r="L4855" s="17">
        <v>0.20833333333333334</v>
      </c>
      <c r="M4855" s="14">
        <v>396</v>
      </c>
      <c r="N4855" s="14">
        <v>0</v>
      </c>
      <c r="O4855" s="14">
        <v>0</v>
      </c>
      <c r="P4855" s="14">
        <v>396</v>
      </c>
      <c r="Q4855">
        <v>12695</v>
      </c>
      <c r="R4855">
        <v>2628</v>
      </c>
      <c r="S4855">
        <v>0</v>
      </c>
    </row>
    <row r="4856" spans="11:19" x14ac:dyDescent="0.3">
      <c r="K4856" s="16">
        <f t="shared" si="75"/>
        <v>44218</v>
      </c>
      <c r="L4856" s="17">
        <v>0.25</v>
      </c>
      <c r="M4856" s="14">
        <v>396</v>
      </c>
      <c r="N4856" s="14">
        <v>0</v>
      </c>
      <c r="O4856" s="14">
        <v>0</v>
      </c>
      <c r="P4856" s="14">
        <v>396</v>
      </c>
      <c r="Q4856">
        <v>13816</v>
      </c>
      <c r="R4856">
        <v>2580</v>
      </c>
      <c r="S4856">
        <v>0</v>
      </c>
    </row>
    <row r="4857" spans="11:19" x14ac:dyDescent="0.3">
      <c r="K4857" s="16">
        <f t="shared" si="75"/>
        <v>44218</v>
      </c>
      <c r="L4857" s="17">
        <v>0.29166666666666669</v>
      </c>
      <c r="M4857" s="14">
        <v>396</v>
      </c>
      <c r="N4857" s="14">
        <v>412</v>
      </c>
      <c r="O4857" s="14">
        <v>0</v>
      </c>
      <c r="P4857" s="14">
        <v>808</v>
      </c>
      <c r="Q4857">
        <v>14789</v>
      </c>
      <c r="R4857">
        <v>2702</v>
      </c>
      <c r="S4857">
        <v>0</v>
      </c>
    </row>
    <row r="4858" spans="11:19" x14ac:dyDescent="0.3">
      <c r="K4858" s="16">
        <f t="shared" si="75"/>
        <v>44218</v>
      </c>
      <c r="L4858" s="17">
        <v>0.33333333333333331</v>
      </c>
      <c r="M4858" s="14">
        <v>396</v>
      </c>
      <c r="N4858" s="14">
        <v>723</v>
      </c>
      <c r="O4858" s="14">
        <v>0</v>
      </c>
      <c r="P4858" s="14">
        <v>1119</v>
      </c>
      <c r="Q4858">
        <v>14983</v>
      </c>
      <c r="R4858">
        <v>2559</v>
      </c>
      <c r="S4858">
        <v>23</v>
      </c>
    </row>
    <row r="4859" spans="11:19" x14ac:dyDescent="0.3">
      <c r="K4859" s="16">
        <f t="shared" si="75"/>
        <v>44218</v>
      </c>
      <c r="L4859" s="17">
        <v>0.375</v>
      </c>
      <c r="M4859" s="14">
        <v>396</v>
      </c>
      <c r="N4859" s="14">
        <v>344</v>
      </c>
      <c r="O4859" s="14">
        <v>0</v>
      </c>
      <c r="P4859" s="14">
        <v>740</v>
      </c>
      <c r="Q4859">
        <v>14897</v>
      </c>
      <c r="R4859">
        <v>2495</v>
      </c>
      <c r="S4859">
        <v>384</v>
      </c>
    </row>
    <row r="4860" spans="11:19" x14ac:dyDescent="0.3">
      <c r="K4860" s="16">
        <f t="shared" si="75"/>
        <v>44218</v>
      </c>
      <c r="L4860" s="17">
        <v>0.41666666666666669</v>
      </c>
      <c r="M4860" s="14">
        <v>396</v>
      </c>
      <c r="N4860" s="14">
        <v>0</v>
      </c>
      <c r="O4860" s="14">
        <v>0</v>
      </c>
      <c r="P4860" s="14">
        <v>396</v>
      </c>
      <c r="Q4860">
        <v>14739</v>
      </c>
      <c r="R4860">
        <v>2130</v>
      </c>
      <c r="S4860">
        <v>987</v>
      </c>
    </row>
    <row r="4861" spans="11:19" x14ac:dyDescent="0.3">
      <c r="K4861" s="16">
        <f t="shared" si="75"/>
        <v>44218</v>
      </c>
      <c r="L4861" s="17">
        <v>0.45833333333333331</v>
      </c>
      <c r="M4861" s="14">
        <v>396</v>
      </c>
      <c r="N4861" s="14">
        <v>0</v>
      </c>
      <c r="O4861" s="14">
        <v>0</v>
      </c>
      <c r="P4861" s="14">
        <v>396</v>
      </c>
      <c r="Q4861">
        <v>14648</v>
      </c>
      <c r="R4861">
        <v>1948</v>
      </c>
      <c r="S4861">
        <v>1475</v>
      </c>
    </row>
    <row r="4862" spans="11:19" x14ac:dyDescent="0.3">
      <c r="K4862" s="16">
        <f t="shared" si="75"/>
        <v>44218</v>
      </c>
      <c r="L4862" s="17">
        <v>0.5</v>
      </c>
      <c r="M4862" s="14">
        <v>396</v>
      </c>
      <c r="N4862" s="14">
        <v>0</v>
      </c>
      <c r="O4862" s="14">
        <v>0</v>
      </c>
      <c r="P4862" s="14">
        <v>396</v>
      </c>
      <c r="Q4862">
        <v>14497</v>
      </c>
      <c r="R4862">
        <v>1800</v>
      </c>
      <c r="S4862">
        <v>1697</v>
      </c>
    </row>
    <row r="4863" spans="11:19" x14ac:dyDescent="0.3">
      <c r="K4863" s="16">
        <f t="shared" si="75"/>
        <v>44218</v>
      </c>
      <c r="L4863" s="17">
        <v>0.54166666666666663</v>
      </c>
      <c r="M4863" s="14">
        <v>396</v>
      </c>
      <c r="N4863" s="14">
        <v>0</v>
      </c>
      <c r="O4863" s="14">
        <v>0</v>
      </c>
      <c r="P4863" s="14">
        <v>396</v>
      </c>
      <c r="Q4863">
        <v>14062</v>
      </c>
      <c r="R4863">
        <v>1451</v>
      </c>
      <c r="S4863">
        <v>1659</v>
      </c>
    </row>
    <row r="4864" spans="11:19" x14ac:dyDescent="0.3">
      <c r="K4864" s="16">
        <f t="shared" si="75"/>
        <v>44218</v>
      </c>
      <c r="L4864" s="17">
        <v>0.58333333333333337</v>
      </c>
      <c r="M4864" s="14">
        <v>396</v>
      </c>
      <c r="N4864" s="14">
        <v>0</v>
      </c>
      <c r="O4864" s="14">
        <v>0</v>
      </c>
      <c r="P4864" s="14">
        <v>396</v>
      </c>
      <c r="Q4864">
        <v>13701</v>
      </c>
      <c r="R4864">
        <v>1394</v>
      </c>
      <c r="S4864">
        <v>1387</v>
      </c>
    </row>
    <row r="4865" spans="11:19" x14ac:dyDescent="0.3">
      <c r="K4865" s="16">
        <f t="shared" si="75"/>
        <v>44218</v>
      </c>
      <c r="L4865" s="17">
        <v>0.625</v>
      </c>
      <c r="M4865" s="14">
        <v>396</v>
      </c>
      <c r="N4865" s="14">
        <v>0</v>
      </c>
      <c r="O4865" s="14">
        <v>0</v>
      </c>
      <c r="P4865" s="14">
        <v>396</v>
      </c>
      <c r="Q4865">
        <v>13383</v>
      </c>
      <c r="R4865">
        <v>1211</v>
      </c>
      <c r="S4865">
        <v>887</v>
      </c>
    </row>
    <row r="4866" spans="11:19" x14ac:dyDescent="0.3">
      <c r="K4866" s="16">
        <f t="shared" si="75"/>
        <v>44218</v>
      </c>
      <c r="L4866" s="17">
        <v>0.66666666666666663</v>
      </c>
      <c r="M4866" s="14">
        <v>396</v>
      </c>
      <c r="N4866" s="14">
        <v>217</v>
      </c>
      <c r="O4866" s="14">
        <v>0</v>
      </c>
      <c r="P4866" s="14">
        <v>613</v>
      </c>
      <c r="Q4866">
        <v>13329</v>
      </c>
      <c r="R4866">
        <v>1108</v>
      </c>
      <c r="S4866">
        <v>327</v>
      </c>
    </row>
    <row r="4867" spans="11:19" x14ac:dyDescent="0.3">
      <c r="K4867" s="16">
        <f t="shared" si="75"/>
        <v>44218</v>
      </c>
      <c r="L4867" s="17">
        <v>0.70833333333333337</v>
      </c>
      <c r="M4867" s="14">
        <v>396</v>
      </c>
      <c r="N4867" s="14">
        <v>1082</v>
      </c>
      <c r="O4867" s="14">
        <v>0</v>
      </c>
      <c r="P4867" s="14">
        <v>1478</v>
      </c>
      <c r="Q4867">
        <v>13826</v>
      </c>
      <c r="R4867">
        <v>1038</v>
      </c>
      <c r="S4867">
        <v>30</v>
      </c>
    </row>
    <row r="4868" spans="11:19" x14ac:dyDescent="0.3">
      <c r="K4868" s="16">
        <f t="shared" si="75"/>
        <v>44218</v>
      </c>
      <c r="L4868" s="17">
        <v>0.75</v>
      </c>
      <c r="M4868" s="14">
        <v>396</v>
      </c>
      <c r="N4868" s="14">
        <v>1774</v>
      </c>
      <c r="O4868" s="14">
        <v>0</v>
      </c>
      <c r="P4868" s="14">
        <v>2170</v>
      </c>
      <c r="Q4868">
        <v>14518</v>
      </c>
      <c r="R4868">
        <v>1069</v>
      </c>
      <c r="S4868">
        <v>0</v>
      </c>
    </row>
    <row r="4869" spans="11:19" x14ac:dyDescent="0.3">
      <c r="K4869" s="16">
        <f t="shared" si="75"/>
        <v>44218</v>
      </c>
      <c r="L4869" s="17">
        <v>0.79166666666666663</v>
      </c>
      <c r="M4869" s="14">
        <v>396</v>
      </c>
      <c r="N4869" s="14">
        <v>1444</v>
      </c>
      <c r="O4869" s="14">
        <v>0</v>
      </c>
      <c r="P4869" s="14">
        <v>1840</v>
      </c>
      <c r="Q4869">
        <v>14179</v>
      </c>
      <c r="R4869">
        <v>1062</v>
      </c>
      <c r="S4869">
        <v>0</v>
      </c>
    </row>
    <row r="4870" spans="11:19" x14ac:dyDescent="0.3">
      <c r="K4870" s="16">
        <f t="shared" si="75"/>
        <v>44218</v>
      </c>
      <c r="L4870" s="17">
        <v>0.83333333333333337</v>
      </c>
      <c r="M4870" s="14">
        <v>396</v>
      </c>
      <c r="N4870" s="14">
        <v>917</v>
      </c>
      <c r="O4870" s="14">
        <v>0</v>
      </c>
      <c r="P4870" s="14">
        <v>1313</v>
      </c>
      <c r="Q4870">
        <v>13519</v>
      </c>
      <c r="R4870">
        <v>932</v>
      </c>
      <c r="S4870">
        <v>0</v>
      </c>
    </row>
    <row r="4871" spans="11:19" x14ac:dyDescent="0.3">
      <c r="K4871" s="16">
        <f t="shared" si="75"/>
        <v>44218</v>
      </c>
      <c r="L4871" s="17">
        <v>0.875</v>
      </c>
      <c r="M4871" s="14">
        <v>396</v>
      </c>
      <c r="N4871" s="14">
        <v>456</v>
      </c>
      <c r="O4871" s="14">
        <v>0</v>
      </c>
      <c r="P4871" s="14">
        <v>852</v>
      </c>
      <c r="Q4871">
        <v>12984</v>
      </c>
      <c r="R4871">
        <v>857</v>
      </c>
      <c r="S4871">
        <v>0</v>
      </c>
    </row>
    <row r="4872" spans="11:19" x14ac:dyDescent="0.3">
      <c r="K4872" s="16">
        <f t="shared" si="75"/>
        <v>44218</v>
      </c>
      <c r="L4872" s="17">
        <v>0.91666666666666663</v>
      </c>
      <c r="M4872" s="14">
        <v>396</v>
      </c>
      <c r="N4872" s="14">
        <v>254</v>
      </c>
      <c r="O4872" s="14">
        <v>0</v>
      </c>
      <c r="P4872" s="14">
        <v>650</v>
      </c>
      <c r="Q4872">
        <v>13201</v>
      </c>
      <c r="R4872">
        <v>1278</v>
      </c>
      <c r="S4872">
        <v>0</v>
      </c>
    </row>
    <row r="4873" spans="11:19" x14ac:dyDescent="0.3">
      <c r="K4873" s="16">
        <f t="shared" si="75"/>
        <v>44218</v>
      </c>
      <c r="L4873" s="17">
        <v>0.95833333333333337</v>
      </c>
      <c r="M4873" s="14">
        <v>396</v>
      </c>
      <c r="N4873" s="14">
        <v>428</v>
      </c>
      <c r="O4873" s="14">
        <v>0</v>
      </c>
      <c r="P4873" s="14">
        <v>824</v>
      </c>
      <c r="Q4873">
        <v>13290</v>
      </c>
      <c r="R4873">
        <v>1191</v>
      </c>
      <c r="S4873">
        <v>0</v>
      </c>
    </row>
    <row r="4874" spans="11:19" x14ac:dyDescent="0.3">
      <c r="K4874" s="16">
        <f t="shared" si="75"/>
        <v>44219</v>
      </c>
      <c r="L4874" s="17">
        <v>0</v>
      </c>
      <c r="M4874" s="14">
        <v>396</v>
      </c>
      <c r="N4874" s="14">
        <v>0</v>
      </c>
      <c r="O4874" s="14">
        <v>0</v>
      </c>
      <c r="P4874" s="14">
        <v>396</v>
      </c>
      <c r="Q4874">
        <v>12719</v>
      </c>
      <c r="R4874">
        <v>1407</v>
      </c>
      <c r="S4874">
        <v>0</v>
      </c>
    </row>
    <row r="4875" spans="11:19" x14ac:dyDescent="0.3">
      <c r="K4875" s="16">
        <f t="shared" si="75"/>
        <v>44219</v>
      </c>
      <c r="L4875" s="17">
        <v>4.1666666666666664E-2</v>
      </c>
      <c r="M4875" s="14">
        <v>396</v>
      </c>
      <c r="N4875" s="14">
        <v>0</v>
      </c>
      <c r="O4875" s="14">
        <v>0</v>
      </c>
      <c r="P4875" s="14">
        <v>396</v>
      </c>
      <c r="Q4875">
        <v>12376</v>
      </c>
      <c r="R4875">
        <v>1495</v>
      </c>
      <c r="S4875">
        <v>0</v>
      </c>
    </row>
    <row r="4876" spans="11:19" x14ac:dyDescent="0.3">
      <c r="K4876" s="16">
        <f t="shared" si="75"/>
        <v>44219</v>
      </c>
      <c r="L4876" s="17">
        <v>8.3333333333333329E-2</v>
      </c>
      <c r="M4876" s="14">
        <v>396</v>
      </c>
      <c r="N4876" s="14">
        <v>0</v>
      </c>
      <c r="O4876" s="14">
        <v>0</v>
      </c>
      <c r="P4876" s="14">
        <v>396</v>
      </c>
      <c r="Q4876">
        <v>12037</v>
      </c>
      <c r="R4876">
        <v>1566</v>
      </c>
      <c r="S4876">
        <v>0</v>
      </c>
    </row>
    <row r="4877" spans="11:19" x14ac:dyDescent="0.3">
      <c r="K4877" s="16">
        <f t="shared" si="75"/>
        <v>44219</v>
      </c>
      <c r="L4877" s="17">
        <v>0.125</v>
      </c>
      <c r="M4877" s="14">
        <v>396</v>
      </c>
      <c r="N4877" s="14">
        <v>0</v>
      </c>
      <c r="O4877" s="14">
        <v>0</v>
      </c>
      <c r="P4877" s="14">
        <v>396</v>
      </c>
      <c r="Q4877">
        <v>11517</v>
      </c>
      <c r="R4877">
        <v>1581</v>
      </c>
      <c r="S4877">
        <v>0</v>
      </c>
    </row>
    <row r="4878" spans="11:19" x14ac:dyDescent="0.3">
      <c r="K4878" s="16">
        <f t="shared" si="75"/>
        <v>44219</v>
      </c>
      <c r="L4878" s="17">
        <v>0.16666666666666666</v>
      </c>
      <c r="M4878" s="14">
        <v>396</v>
      </c>
      <c r="N4878" s="14">
        <v>0</v>
      </c>
      <c r="O4878" s="14">
        <v>0</v>
      </c>
      <c r="P4878" s="14">
        <v>396</v>
      </c>
      <c r="Q4878">
        <v>11272</v>
      </c>
      <c r="R4878">
        <v>1487</v>
      </c>
      <c r="S4878">
        <v>0</v>
      </c>
    </row>
    <row r="4879" spans="11:19" x14ac:dyDescent="0.3">
      <c r="K4879" s="16">
        <f t="shared" si="75"/>
        <v>44219</v>
      </c>
      <c r="L4879" s="17">
        <v>0.20833333333333334</v>
      </c>
      <c r="M4879" s="14">
        <v>396</v>
      </c>
      <c r="N4879" s="14">
        <v>0</v>
      </c>
      <c r="O4879" s="14">
        <v>0</v>
      </c>
      <c r="P4879" s="14">
        <v>396</v>
      </c>
      <c r="Q4879">
        <v>11416</v>
      </c>
      <c r="R4879">
        <v>1639</v>
      </c>
      <c r="S4879">
        <v>0</v>
      </c>
    </row>
    <row r="4880" spans="11:19" x14ac:dyDescent="0.3">
      <c r="K4880" s="16">
        <f t="shared" si="75"/>
        <v>44219</v>
      </c>
      <c r="L4880" s="17">
        <v>0.25</v>
      </c>
      <c r="M4880" s="14">
        <v>396</v>
      </c>
      <c r="N4880" s="14">
        <v>0</v>
      </c>
      <c r="O4880" s="14">
        <v>0</v>
      </c>
      <c r="P4880" s="14">
        <v>396</v>
      </c>
      <c r="Q4880">
        <v>11762</v>
      </c>
      <c r="R4880">
        <v>1806</v>
      </c>
      <c r="S4880">
        <v>0</v>
      </c>
    </row>
    <row r="4881" spans="11:19" x14ac:dyDescent="0.3">
      <c r="K4881" s="16">
        <f t="shared" si="75"/>
        <v>44219</v>
      </c>
      <c r="L4881" s="17">
        <v>0.29166666666666669</v>
      </c>
      <c r="M4881" s="14">
        <v>396</v>
      </c>
      <c r="N4881" s="14">
        <v>0</v>
      </c>
      <c r="O4881" s="14">
        <v>0</v>
      </c>
      <c r="P4881" s="14">
        <v>396</v>
      </c>
      <c r="Q4881">
        <v>12160</v>
      </c>
      <c r="R4881">
        <v>2192</v>
      </c>
      <c r="S4881">
        <v>0</v>
      </c>
    </row>
    <row r="4882" spans="11:19" x14ac:dyDescent="0.3">
      <c r="K4882" s="16">
        <f t="shared" si="75"/>
        <v>44219</v>
      </c>
      <c r="L4882" s="17">
        <v>0.33333333333333331</v>
      </c>
      <c r="M4882" s="14">
        <v>396</v>
      </c>
      <c r="N4882" s="14">
        <v>1699</v>
      </c>
      <c r="O4882" s="14">
        <v>0</v>
      </c>
      <c r="P4882" s="14">
        <v>2095</v>
      </c>
      <c r="Q4882">
        <v>12652</v>
      </c>
      <c r="R4882">
        <v>2156</v>
      </c>
      <c r="S4882">
        <v>24</v>
      </c>
    </row>
    <row r="4883" spans="11:19" x14ac:dyDescent="0.3">
      <c r="K4883" s="16">
        <f t="shared" si="75"/>
        <v>44219</v>
      </c>
      <c r="L4883" s="17">
        <v>0.375</v>
      </c>
      <c r="M4883" s="14">
        <v>396</v>
      </c>
      <c r="N4883" s="14">
        <v>0</v>
      </c>
      <c r="O4883" s="14">
        <v>0</v>
      </c>
      <c r="P4883" s="14">
        <v>396</v>
      </c>
      <c r="Q4883">
        <v>13043</v>
      </c>
      <c r="R4883">
        <v>1979</v>
      </c>
      <c r="S4883">
        <v>380</v>
      </c>
    </row>
    <row r="4884" spans="11:19" x14ac:dyDescent="0.3">
      <c r="K4884" s="16">
        <f t="shared" si="75"/>
        <v>44219</v>
      </c>
      <c r="L4884" s="17">
        <v>0.41666666666666669</v>
      </c>
      <c r="M4884" s="14">
        <v>396</v>
      </c>
      <c r="N4884" s="14">
        <v>1303</v>
      </c>
      <c r="O4884" s="14">
        <v>0</v>
      </c>
      <c r="P4884" s="14">
        <v>1699</v>
      </c>
      <c r="Q4884">
        <v>13035</v>
      </c>
      <c r="R4884">
        <v>1954</v>
      </c>
      <c r="S4884">
        <v>998</v>
      </c>
    </row>
    <row r="4885" spans="11:19" x14ac:dyDescent="0.3">
      <c r="K4885" s="16">
        <f t="shared" si="75"/>
        <v>44219</v>
      </c>
      <c r="L4885" s="17">
        <v>0.45833333333333331</v>
      </c>
      <c r="M4885" s="14">
        <v>396</v>
      </c>
      <c r="N4885" s="14">
        <v>799</v>
      </c>
      <c r="O4885" s="14">
        <v>0</v>
      </c>
      <c r="P4885" s="14">
        <v>1195</v>
      </c>
      <c r="Q4885">
        <v>12973</v>
      </c>
      <c r="R4885">
        <v>1849</v>
      </c>
      <c r="S4885">
        <v>1544</v>
      </c>
    </row>
    <row r="4886" spans="11:19" x14ac:dyDescent="0.3">
      <c r="K4886" s="16">
        <f t="shared" si="75"/>
        <v>44219</v>
      </c>
      <c r="L4886" s="17">
        <v>0.5</v>
      </c>
      <c r="M4886" s="14">
        <v>396</v>
      </c>
      <c r="N4886" s="14">
        <v>0</v>
      </c>
      <c r="O4886" s="14">
        <v>0</v>
      </c>
      <c r="P4886" s="14">
        <v>396</v>
      </c>
      <c r="Q4886">
        <v>13050</v>
      </c>
      <c r="R4886">
        <v>2037</v>
      </c>
      <c r="S4886">
        <v>1814</v>
      </c>
    </row>
    <row r="4887" spans="11:19" x14ac:dyDescent="0.3">
      <c r="K4887" s="16">
        <f t="shared" si="75"/>
        <v>44219</v>
      </c>
      <c r="L4887" s="17">
        <v>0.54166666666666663</v>
      </c>
      <c r="M4887" s="14">
        <v>396</v>
      </c>
      <c r="N4887" s="14">
        <v>0</v>
      </c>
      <c r="O4887" s="14">
        <v>0</v>
      </c>
      <c r="P4887" s="14">
        <v>396</v>
      </c>
      <c r="Q4887">
        <v>12462</v>
      </c>
      <c r="R4887">
        <v>1932</v>
      </c>
      <c r="S4887">
        <v>1807</v>
      </c>
    </row>
    <row r="4888" spans="11:19" x14ac:dyDescent="0.3">
      <c r="K4888" s="16">
        <f t="shared" si="75"/>
        <v>44219</v>
      </c>
      <c r="L4888" s="17">
        <v>0.58333333333333337</v>
      </c>
      <c r="M4888" s="14">
        <v>396</v>
      </c>
      <c r="N4888" s="14">
        <v>0</v>
      </c>
      <c r="O4888" s="14">
        <v>0</v>
      </c>
      <c r="P4888" s="14">
        <v>396</v>
      </c>
      <c r="Q4888">
        <v>11947</v>
      </c>
      <c r="R4888">
        <v>2049</v>
      </c>
      <c r="S4888">
        <v>1545</v>
      </c>
    </row>
    <row r="4889" spans="11:19" x14ac:dyDescent="0.3">
      <c r="K4889" s="16">
        <f t="shared" si="75"/>
        <v>44219</v>
      </c>
      <c r="L4889" s="17">
        <v>0.625</v>
      </c>
      <c r="M4889" s="14">
        <v>396</v>
      </c>
      <c r="N4889" s="14">
        <v>0</v>
      </c>
      <c r="O4889" s="14">
        <v>0</v>
      </c>
      <c r="P4889" s="14">
        <v>396</v>
      </c>
      <c r="Q4889">
        <v>11615</v>
      </c>
      <c r="R4889">
        <v>2071</v>
      </c>
      <c r="S4889">
        <v>1014</v>
      </c>
    </row>
    <row r="4890" spans="11:19" x14ac:dyDescent="0.3">
      <c r="K4890" s="16">
        <f t="shared" si="75"/>
        <v>44219</v>
      </c>
      <c r="L4890" s="17">
        <v>0.66666666666666663</v>
      </c>
      <c r="M4890" s="14">
        <v>396</v>
      </c>
      <c r="N4890" s="14">
        <v>167</v>
      </c>
      <c r="O4890" s="14">
        <v>0</v>
      </c>
      <c r="P4890" s="14">
        <v>563</v>
      </c>
      <c r="Q4890">
        <v>11514</v>
      </c>
      <c r="R4890">
        <v>2179</v>
      </c>
      <c r="S4890">
        <v>390</v>
      </c>
    </row>
    <row r="4891" spans="11:19" x14ac:dyDescent="0.3">
      <c r="K4891" s="16">
        <f t="shared" ref="K4891:K4954" si="76">K4867+1</f>
        <v>44219</v>
      </c>
      <c r="L4891" s="17">
        <v>0.70833333333333337</v>
      </c>
      <c r="M4891" s="14">
        <v>396</v>
      </c>
      <c r="N4891" s="14">
        <v>0</v>
      </c>
      <c r="O4891" s="14">
        <v>0</v>
      </c>
      <c r="P4891" s="14">
        <v>396</v>
      </c>
      <c r="Q4891">
        <v>12082</v>
      </c>
      <c r="R4891">
        <v>2112</v>
      </c>
      <c r="S4891">
        <v>36</v>
      </c>
    </row>
    <row r="4892" spans="11:19" x14ac:dyDescent="0.3">
      <c r="K4892" s="16">
        <f t="shared" si="76"/>
        <v>44219</v>
      </c>
      <c r="L4892" s="17">
        <v>0.75</v>
      </c>
      <c r="M4892" s="14">
        <v>396</v>
      </c>
      <c r="N4892" s="14">
        <v>1757</v>
      </c>
      <c r="O4892" s="14">
        <v>0</v>
      </c>
      <c r="P4892" s="14">
        <v>2153</v>
      </c>
      <c r="Q4892">
        <v>12932</v>
      </c>
      <c r="R4892">
        <v>1998</v>
      </c>
      <c r="S4892">
        <v>0</v>
      </c>
    </row>
    <row r="4893" spans="11:19" x14ac:dyDescent="0.3">
      <c r="K4893" s="16">
        <f t="shared" si="76"/>
        <v>44219</v>
      </c>
      <c r="L4893" s="17">
        <v>0.79166666666666663</v>
      </c>
      <c r="M4893" s="14">
        <v>396</v>
      </c>
      <c r="N4893" s="14">
        <v>1757</v>
      </c>
      <c r="O4893" s="14">
        <v>0</v>
      </c>
      <c r="P4893" s="14">
        <v>2153</v>
      </c>
      <c r="Q4893">
        <v>12881</v>
      </c>
      <c r="R4893">
        <v>2007</v>
      </c>
      <c r="S4893">
        <v>0</v>
      </c>
    </row>
    <row r="4894" spans="11:19" x14ac:dyDescent="0.3">
      <c r="K4894" s="16">
        <f t="shared" si="76"/>
        <v>44219</v>
      </c>
      <c r="L4894" s="17">
        <v>0.83333333333333337</v>
      </c>
      <c r="M4894" s="14">
        <v>396</v>
      </c>
      <c r="N4894" s="14">
        <v>1757</v>
      </c>
      <c r="O4894" s="14">
        <v>0</v>
      </c>
      <c r="P4894" s="14">
        <v>2153</v>
      </c>
      <c r="Q4894">
        <v>12417</v>
      </c>
      <c r="R4894">
        <v>1891</v>
      </c>
      <c r="S4894">
        <v>0</v>
      </c>
    </row>
    <row r="4895" spans="11:19" x14ac:dyDescent="0.3">
      <c r="K4895" s="16">
        <f t="shared" si="76"/>
        <v>44219</v>
      </c>
      <c r="L4895" s="17">
        <v>0.875</v>
      </c>
      <c r="M4895" s="14">
        <v>396</v>
      </c>
      <c r="N4895" s="14">
        <v>0</v>
      </c>
      <c r="O4895" s="14">
        <v>0</v>
      </c>
      <c r="P4895" s="14">
        <v>396</v>
      </c>
      <c r="Q4895">
        <v>11969</v>
      </c>
      <c r="R4895">
        <v>1963</v>
      </c>
      <c r="S4895">
        <v>0</v>
      </c>
    </row>
    <row r="4896" spans="11:19" x14ac:dyDescent="0.3">
      <c r="K4896" s="16">
        <f t="shared" si="76"/>
        <v>44219</v>
      </c>
      <c r="L4896" s="17">
        <v>0.91666666666666663</v>
      </c>
      <c r="M4896" s="14">
        <v>396</v>
      </c>
      <c r="N4896" s="14">
        <v>1413</v>
      </c>
      <c r="O4896" s="14">
        <v>0</v>
      </c>
      <c r="P4896" s="14">
        <v>1809</v>
      </c>
      <c r="Q4896">
        <v>12352</v>
      </c>
      <c r="R4896">
        <v>2170</v>
      </c>
      <c r="S4896">
        <v>0</v>
      </c>
    </row>
    <row r="4897" spans="11:19" x14ac:dyDescent="0.3">
      <c r="K4897" s="16">
        <f t="shared" si="76"/>
        <v>44219</v>
      </c>
      <c r="L4897" s="17">
        <v>0.95833333333333337</v>
      </c>
      <c r="M4897" s="14">
        <v>396</v>
      </c>
      <c r="N4897" s="14">
        <v>1757</v>
      </c>
      <c r="O4897" s="14">
        <v>0</v>
      </c>
      <c r="P4897" s="14">
        <v>2153</v>
      </c>
      <c r="Q4897">
        <v>12700</v>
      </c>
      <c r="R4897">
        <v>1955</v>
      </c>
      <c r="S4897">
        <v>0</v>
      </c>
    </row>
    <row r="4898" spans="11:19" x14ac:dyDescent="0.3">
      <c r="K4898" s="16">
        <f t="shared" si="76"/>
        <v>44220</v>
      </c>
      <c r="L4898" s="17">
        <v>0</v>
      </c>
      <c r="M4898" s="14">
        <v>396</v>
      </c>
      <c r="N4898" s="14">
        <v>1378</v>
      </c>
      <c r="O4898" s="14">
        <v>0</v>
      </c>
      <c r="P4898" s="14">
        <v>1774</v>
      </c>
      <c r="Q4898">
        <v>12361</v>
      </c>
      <c r="R4898">
        <v>1852</v>
      </c>
      <c r="S4898">
        <v>0</v>
      </c>
    </row>
    <row r="4899" spans="11:19" x14ac:dyDescent="0.3">
      <c r="K4899" s="16">
        <f t="shared" si="76"/>
        <v>44220</v>
      </c>
      <c r="L4899" s="17">
        <v>4.1666666666666664E-2</v>
      </c>
      <c r="M4899" s="14">
        <v>396</v>
      </c>
      <c r="N4899" s="14">
        <v>0</v>
      </c>
      <c r="O4899" s="14">
        <v>0</v>
      </c>
      <c r="P4899" s="14">
        <v>396</v>
      </c>
      <c r="Q4899">
        <v>12081</v>
      </c>
      <c r="R4899">
        <v>1708</v>
      </c>
      <c r="S4899">
        <v>0</v>
      </c>
    </row>
    <row r="4900" spans="11:19" x14ac:dyDescent="0.3">
      <c r="K4900" s="16">
        <f t="shared" si="76"/>
        <v>44220</v>
      </c>
      <c r="L4900" s="17">
        <v>8.3333333333333329E-2</v>
      </c>
      <c r="M4900" s="14">
        <v>396</v>
      </c>
      <c r="N4900" s="14">
        <v>0</v>
      </c>
      <c r="O4900" s="14">
        <v>0</v>
      </c>
      <c r="P4900" s="14">
        <v>396</v>
      </c>
      <c r="Q4900">
        <v>11744</v>
      </c>
      <c r="R4900">
        <v>1634</v>
      </c>
      <c r="S4900">
        <v>0</v>
      </c>
    </row>
    <row r="4901" spans="11:19" x14ac:dyDescent="0.3">
      <c r="K4901" s="16">
        <f t="shared" si="76"/>
        <v>44220</v>
      </c>
      <c r="L4901" s="17">
        <v>0.125</v>
      </c>
      <c r="M4901" s="14">
        <v>396</v>
      </c>
      <c r="N4901" s="14">
        <v>680</v>
      </c>
      <c r="O4901" s="14">
        <v>0</v>
      </c>
      <c r="P4901" s="14">
        <v>1076</v>
      </c>
      <c r="Q4901">
        <v>11183</v>
      </c>
      <c r="R4901">
        <v>1739</v>
      </c>
      <c r="S4901">
        <v>0</v>
      </c>
    </row>
    <row r="4902" spans="11:19" x14ac:dyDescent="0.3">
      <c r="K4902" s="16">
        <f t="shared" si="76"/>
        <v>44220</v>
      </c>
      <c r="L4902" s="17">
        <v>0.16666666666666666</v>
      </c>
      <c r="M4902" s="14">
        <v>396</v>
      </c>
      <c r="N4902" s="14">
        <v>0</v>
      </c>
      <c r="O4902" s="14">
        <v>0</v>
      </c>
      <c r="P4902" s="14">
        <v>396</v>
      </c>
      <c r="Q4902">
        <v>10866</v>
      </c>
      <c r="R4902">
        <v>1763</v>
      </c>
      <c r="S4902">
        <v>0</v>
      </c>
    </row>
    <row r="4903" spans="11:19" x14ac:dyDescent="0.3">
      <c r="K4903" s="16">
        <f t="shared" si="76"/>
        <v>44220</v>
      </c>
      <c r="L4903" s="17">
        <v>0.20833333333333334</v>
      </c>
      <c r="M4903" s="14">
        <v>396</v>
      </c>
      <c r="N4903" s="14">
        <v>0</v>
      </c>
      <c r="O4903" s="14">
        <v>0</v>
      </c>
      <c r="P4903" s="14">
        <v>396</v>
      </c>
      <c r="Q4903">
        <v>10874</v>
      </c>
      <c r="R4903">
        <v>1905</v>
      </c>
      <c r="S4903">
        <v>0</v>
      </c>
    </row>
    <row r="4904" spans="11:19" x14ac:dyDescent="0.3">
      <c r="K4904" s="16">
        <f t="shared" si="76"/>
        <v>44220</v>
      </c>
      <c r="L4904" s="17">
        <v>0.25</v>
      </c>
      <c r="M4904" s="14">
        <v>396</v>
      </c>
      <c r="N4904" s="14">
        <v>81</v>
      </c>
      <c r="O4904" s="14">
        <v>0</v>
      </c>
      <c r="P4904" s="14">
        <v>477</v>
      </c>
      <c r="Q4904">
        <v>10985</v>
      </c>
      <c r="R4904">
        <v>2139</v>
      </c>
      <c r="S4904">
        <v>0</v>
      </c>
    </row>
    <row r="4905" spans="11:19" x14ac:dyDescent="0.3">
      <c r="K4905" s="16">
        <f t="shared" si="76"/>
        <v>44220</v>
      </c>
      <c r="L4905" s="17">
        <v>0.29166666666666669</v>
      </c>
      <c r="M4905" s="14">
        <v>396</v>
      </c>
      <c r="N4905" s="14">
        <v>128</v>
      </c>
      <c r="O4905" s="14">
        <v>0</v>
      </c>
      <c r="P4905" s="14">
        <v>524</v>
      </c>
      <c r="Q4905">
        <v>11109</v>
      </c>
      <c r="R4905">
        <v>2213</v>
      </c>
      <c r="S4905">
        <v>0</v>
      </c>
    </row>
    <row r="4906" spans="11:19" x14ac:dyDescent="0.3">
      <c r="K4906" s="16">
        <f t="shared" si="76"/>
        <v>44220</v>
      </c>
      <c r="L4906" s="17">
        <v>0.33333333333333331</v>
      </c>
      <c r="M4906" s="14">
        <v>396</v>
      </c>
      <c r="N4906" s="14">
        <v>438</v>
      </c>
      <c r="O4906" s="14">
        <v>0</v>
      </c>
      <c r="P4906" s="14">
        <v>834</v>
      </c>
      <c r="Q4906">
        <v>11404</v>
      </c>
      <c r="R4906">
        <v>2166</v>
      </c>
      <c r="S4906">
        <v>27</v>
      </c>
    </row>
    <row r="4907" spans="11:19" x14ac:dyDescent="0.3">
      <c r="K4907" s="16">
        <f t="shared" si="76"/>
        <v>44220</v>
      </c>
      <c r="L4907" s="17">
        <v>0.375</v>
      </c>
      <c r="M4907" s="14">
        <v>396</v>
      </c>
      <c r="N4907" s="14">
        <v>534</v>
      </c>
      <c r="O4907" s="14">
        <v>0</v>
      </c>
      <c r="P4907" s="14">
        <v>930</v>
      </c>
      <c r="Q4907">
        <v>11832</v>
      </c>
      <c r="R4907">
        <v>2146</v>
      </c>
      <c r="S4907">
        <v>375</v>
      </c>
    </row>
    <row r="4908" spans="11:19" x14ac:dyDescent="0.3">
      <c r="K4908" s="16">
        <f t="shared" si="76"/>
        <v>44220</v>
      </c>
      <c r="L4908" s="17">
        <v>0.41666666666666669</v>
      </c>
      <c r="M4908" s="14">
        <v>396</v>
      </c>
      <c r="N4908" s="14">
        <v>199</v>
      </c>
      <c r="O4908" s="14">
        <v>0</v>
      </c>
      <c r="P4908" s="14">
        <v>595</v>
      </c>
      <c r="Q4908">
        <v>12115</v>
      </c>
      <c r="R4908">
        <v>2197</v>
      </c>
      <c r="S4908">
        <v>938</v>
      </c>
    </row>
    <row r="4909" spans="11:19" x14ac:dyDescent="0.3">
      <c r="K4909" s="16">
        <f t="shared" si="76"/>
        <v>44220</v>
      </c>
      <c r="L4909" s="17">
        <v>0.45833333333333331</v>
      </c>
      <c r="M4909" s="14">
        <v>396</v>
      </c>
      <c r="N4909" s="14">
        <v>0</v>
      </c>
      <c r="O4909" s="14">
        <v>0</v>
      </c>
      <c r="P4909" s="14">
        <v>396</v>
      </c>
      <c r="Q4909">
        <v>12246</v>
      </c>
      <c r="R4909">
        <v>2128</v>
      </c>
      <c r="S4909">
        <v>1397</v>
      </c>
    </row>
    <row r="4910" spans="11:19" x14ac:dyDescent="0.3">
      <c r="K4910" s="16">
        <f t="shared" si="76"/>
        <v>44220</v>
      </c>
      <c r="L4910" s="17">
        <v>0.5</v>
      </c>
      <c r="M4910" s="14">
        <v>396</v>
      </c>
      <c r="N4910" s="14">
        <v>0</v>
      </c>
      <c r="O4910" s="14">
        <v>0</v>
      </c>
      <c r="P4910" s="14">
        <v>396</v>
      </c>
      <c r="Q4910">
        <v>12418</v>
      </c>
      <c r="R4910">
        <v>2001</v>
      </c>
      <c r="S4910">
        <v>1644</v>
      </c>
    </row>
    <row r="4911" spans="11:19" x14ac:dyDescent="0.3">
      <c r="K4911" s="16">
        <f t="shared" si="76"/>
        <v>44220</v>
      </c>
      <c r="L4911" s="17">
        <v>0.54166666666666663</v>
      </c>
      <c r="M4911" s="14">
        <v>396</v>
      </c>
      <c r="N4911" s="14">
        <v>0</v>
      </c>
      <c r="O4911" s="14">
        <v>0</v>
      </c>
      <c r="P4911" s="14">
        <v>396</v>
      </c>
      <c r="Q4911">
        <v>11711</v>
      </c>
      <c r="R4911">
        <v>2087</v>
      </c>
      <c r="S4911">
        <v>1662</v>
      </c>
    </row>
    <row r="4912" spans="11:19" x14ac:dyDescent="0.3">
      <c r="K4912" s="16">
        <f t="shared" si="76"/>
        <v>44220</v>
      </c>
      <c r="L4912" s="17">
        <v>0.58333333333333337</v>
      </c>
      <c r="M4912" s="14">
        <v>396</v>
      </c>
      <c r="N4912" s="14">
        <v>0</v>
      </c>
      <c r="O4912" s="14">
        <v>0</v>
      </c>
      <c r="P4912" s="14">
        <v>396</v>
      </c>
      <c r="Q4912">
        <v>11090</v>
      </c>
      <c r="R4912">
        <v>2048</v>
      </c>
      <c r="S4912">
        <v>1439</v>
      </c>
    </row>
    <row r="4913" spans="11:19" x14ac:dyDescent="0.3">
      <c r="K4913" s="16">
        <f t="shared" si="76"/>
        <v>44220</v>
      </c>
      <c r="L4913" s="17">
        <v>0.625</v>
      </c>
      <c r="M4913" s="14">
        <v>396</v>
      </c>
      <c r="N4913" s="14">
        <v>0</v>
      </c>
      <c r="O4913" s="14">
        <v>0</v>
      </c>
      <c r="P4913" s="14">
        <v>396</v>
      </c>
      <c r="Q4913">
        <v>10719</v>
      </c>
      <c r="R4913">
        <v>1999</v>
      </c>
      <c r="S4913">
        <v>963</v>
      </c>
    </row>
    <row r="4914" spans="11:19" x14ac:dyDescent="0.3">
      <c r="K4914" s="16">
        <f t="shared" si="76"/>
        <v>44220</v>
      </c>
      <c r="L4914" s="17">
        <v>0.66666666666666663</v>
      </c>
      <c r="M4914" s="14">
        <v>396</v>
      </c>
      <c r="N4914" s="14">
        <v>0</v>
      </c>
      <c r="O4914" s="14">
        <v>0</v>
      </c>
      <c r="P4914" s="14">
        <v>396</v>
      </c>
      <c r="Q4914">
        <v>10627</v>
      </c>
      <c r="R4914">
        <v>2221</v>
      </c>
      <c r="S4914">
        <v>390</v>
      </c>
    </row>
    <row r="4915" spans="11:19" x14ac:dyDescent="0.3">
      <c r="K4915" s="16">
        <f t="shared" si="76"/>
        <v>44220</v>
      </c>
      <c r="L4915" s="17">
        <v>0.70833333333333337</v>
      </c>
      <c r="M4915" s="14">
        <v>396</v>
      </c>
      <c r="N4915" s="14">
        <v>192</v>
      </c>
      <c r="O4915" s="14">
        <v>0</v>
      </c>
      <c r="P4915" s="14">
        <v>588</v>
      </c>
      <c r="Q4915">
        <v>11155</v>
      </c>
      <c r="R4915">
        <v>2143</v>
      </c>
      <c r="S4915">
        <v>41</v>
      </c>
    </row>
    <row r="4916" spans="11:19" x14ac:dyDescent="0.3">
      <c r="K4916" s="16">
        <f t="shared" si="76"/>
        <v>44220</v>
      </c>
      <c r="L4916" s="17">
        <v>0.75</v>
      </c>
      <c r="M4916" s="14">
        <v>396</v>
      </c>
      <c r="N4916" s="14">
        <v>1345</v>
      </c>
      <c r="O4916" s="14">
        <v>0</v>
      </c>
      <c r="P4916" s="14">
        <v>1741</v>
      </c>
      <c r="Q4916">
        <v>12173</v>
      </c>
      <c r="R4916">
        <v>2052</v>
      </c>
      <c r="S4916">
        <v>0</v>
      </c>
    </row>
    <row r="4917" spans="11:19" x14ac:dyDescent="0.3">
      <c r="K4917" s="16">
        <f t="shared" si="76"/>
        <v>44220</v>
      </c>
      <c r="L4917" s="17">
        <v>0.79166666666666663</v>
      </c>
      <c r="M4917" s="14">
        <v>396</v>
      </c>
      <c r="N4917" s="14">
        <v>0</v>
      </c>
      <c r="O4917" s="14">
        <v>0</v>
      </c>
      <c r="P4917" s="14">
        <v>396</v>
      </c>
      <c r="Q4917">
        <v>12331</v>
      </c>
      <c r="R4917">
        <v>1942</v>
      </c>
      <c r="S4917">
        <v>0</v>
      </c>
    </row>
    <row r="4918" spans="11:19" x14ac:dyDescent="0.3">
      <c r="K4918" s="16">
        <f t="shared" si="76"/>
        <v>44220</v>
      </c>
      <c r="L4918" s="17">
        <v>0.83333333333333337</v>
      </c>
      <c r="M4918" s="14">
        <v>396</v>
      </c>
      <c r="N4918" s="14">
        <v>0</v>
      </c>
      <c r="O4918" s="14">
        <v>0</v>
      </c>
      <c r="P4918" s="14">
        <v>396</v>
      </c>
      <c r="Q4918">
        <v>11996</v>
      </c>
      <c r="R4918">
        <v>1815</v>
      </c>
      <c r="S4918">
        <v>0</v>
      </c>
    </row>
    <row r="4919" spans="11:19" x14ac:dyDescent="0.3">
      <c r="K4919" s="16">
        <f t="shared" si="76"/>
        <v>44220</v>
      </c>
      <c r="L4919" s="17">
        <v>0.875</v>
      </c>
      <c r="M4919" s="14">
        <v>396</v>
      </c>
      <c r="N4919" s="14">
        <v>0</v>
      </c>
      <c r="O4919" s="14">
        <v>0</v>
      </c>
      <c r="P4919" s="14">
        <v>396</v>
      </c>
      <c r="Q4919">
        <v>11529</v>
      </c>
      <c r="R4919">
        <v>1691</v>
      </c>
      <c r="S4919">
        <v>0</v>
      </c>
    </row>
    <row r="4920" spans="11:19" x14ac:dyDescent="0.3">
      <c r="K4920" s="16">
        <f t="shared" si="76"/>
        <v>44220</v>
      </c>
      <c r="L4920" s="17">
        <v>0.91666666666666663</v>
      </c>
      <c r="M4920" s="14">
        <v>396</v>
      </c>
      <c r="N4920" s="14">
        <v>0</v>
      </c>
      <c r="O4920" s="14">
        <v>0</v>
      </c>
      <c r="P4920" s="14">
        <v>396</v>
      </c>
      <c r="Q4920">
        <v>11798</v>
      </c>
      <c r="R4920">
        <v>1816</v>
      </c>
      <c r="S4920">
        <v>0</v>
      </c>
    </row>
    <row r="4921" spans="11:19" x14ac:dyDescent="0.3">
      <c r="K4921" s="16">
        <f t="shared" si="76"/>
        <v>44220</v>
      </c>
      <c r="L4921" s="17">
        <v>0.95833333333333337</v>
      </c>
      <c r="M4921" s="14">
        <v>396</v>
      </c>
      <c r="N4921" s="14">
        <v>0</v>
      </c>
      <c r="O4921" s="14">
        <v>0</v>
      </c>
      <c r="P4921" s="14">
        <v>396</v>
      </c>
      <c r="Q4921">
        <v>12017</v>
      </c>
      <c r="R4921">
        <v>1650</v>
      </c>
      <c r="S4921">
        <v>0</v>
      </c>
    </row>
    <row r="4922" spans="11:19" x14ac:dyDescent="0.3">
      <c r="K4922" s="16">
        <f t="shared" si="76"/>
        <v>44221</v>
      </c>
      <c r="L4922" s="17">
        <v>0</v>
      </c>
      <c r="M4922" s="14">
        <v>396</v>
      </c>
      <c r="N4922" s="14">
        <v>1264</v>
      </c>
      <c r="O4922" s="14">
        <v>0</v>
      </c>
      <c r="P4922" s="14">
        <v>1660</v>
      </c>
      <c r="Q4922">
        <v>11745</v>
      </c>
      <c r="R4922">
        <v>1710</v>
      </c>
      <c r="S4922">
        <v>0</v>
      </c>
    </row>
    <row r="4923" spans="11:19" x14ac:dyDescent="0.3">
      <c r="K4923" s="16">
        <f t="shared" si="76"/>
        <v>44221</v>
      </c>
      <c r="L4923" s="17">
        <v>4.1666666666666664E-2</v>
      </c>
      <c r="M4923" s="14">
        <v>396</v>
      </c>
      <c r="N4923" s="14">
        <v>0</v>
      </c>
      <c r="O4923" s="14">
        <v>0</v>
      </c>
      <c r="P4923" s="14">
        <v>396</v>
      </c>
      <c r="Q4923">
        <v>11543</v>
      </c>
      <c r="R4923">
        <v>1627</v>
      </c>
      <c r="S4923">
        <v>0</v>
      </c>
    </row>
    <row r="4924" spans="11:19" x14ac:dyDescent="0.3">
      <c r="K4924" s="16">
        <f t="shared" si="76"/>
        <v>44221</v>
      </c>
      <c r="L4924" s="17">
        <v>8.3333333333333329E-2</v>
      </c>
      <c r="M4924" s="14">
        <v>396</v>
      </c>
      <c r="N4924" s="14">
        <v>992</v>
      </c>
      <c r="O4924" s="14">
        <v>0</v>
      </c>
      <c r="P4924" s="14">
        <v>1388</v>
      </c>
      <c r="Q4924">
        <v>11322</v>
      </c>
      <c r="R4924">
        <v>1564</v>
      </c>
      <c r="S4924">
        <v>0</v>
      </c>
    </row>
    <row r="4925" spans="11:19" x14ac:dyDescent="0.3">
      <c r="K4925" s="16">
        <f t="shared" si="76"/>
        <v>44221</v>
      </c>
      <c r="L4925" s="17">
        <v>0.125</v>
      </c>
      <c r="M4925" s="14">
        <v>396</v>
      </c>
      <c r="N4925" s="14">
        <v>669</v>
      </c>
      <c r="O4925" s="14">
        <v>0</v>
      </c>
      <c r="P4925" s="14">
        <v>1065</v>
      </c>
      <c r="Q4925">
        <v>10895</v>
      </c>
      <c r="R4925">
        <v>1461</v>
      </c>
      <c r="S4925">
        <v>0</v>
      </c>
    </row>
    <row r="4926" spans="11:19" x14ac:dyDescent="0.3">
      <c r="K4926" s="16">
        <f t="shared" si="76"/>
        <v>44221</v>
      </c>
      <c r="L4926" s="17">
        <v>0.16666666666666666</v>
      </c>
      <c r="M4926" s="14">
        <v>396</v>
      </c>
      <c r="N4926" s="14">
        <v>857</v>
      </c>
      <c r="O4926" s="14">
        <v>0</v>
      </c>
      <c r="P4926" s="14">
        <v>1253</v>
      </c>
      <c r="Q4926">
        <v>10827</v>
      </c>
      <c r="R4926">
        <v>1206</v>
      </c>
      <c r="S4926">
        <v>0</v>
      </c>
    </row>
    <row r="4927" spans="11:19" x14ac:dyDescent="0.3">
      <c r="K4927" s="16">
        <f t="shared" si="76"/>
        <v>44221</v>
      </c>
      <c r="L4927" s="17">
        <v>0.20833333333333334</v>
      </c>
      <c r="M4927" s="14">
        <v>396</v>
      </c>
      <c r="N4927" s="14">
        <v>0</v>
      </c>
      <c r="O4927" s="14">
        <v>0</v>
      </c>
      <c r="P4927" s="14">
        <v>396</v>
      </c>
      <c r="Q4927">
        <v>11407</v>
      </c>
      <c r="R4927">
        <v>1087</v>
      </c>
      <c r="S4927">
        <v>0</v>
      </c>
    </row>
    <row r="4928" spans="11:19" x14ac:dyDescent="0.3">
      <c r="K4928" s="16">
        <f t="shared" si="76"/>
        <v>44221</v>
      </c>
      <c r="L4928" s="17">
        <v>0.25</v>
      </c>
      <c r="M4928" s="14">
        <v>396</v>
      </c>
      <c r="N4928" s="14">
        <v>0</v>
      </c>
      <c r="O4928" s="14">
        <v>0</v>
      </c>
      <c r="P4928" s="14">
        <v>396</v>
      </c>
      <c r="Q4928">
        <v>12599</v>
      </c>
      <c r="R4928">
        <v>961</v>
      </c>
      <c r="S4928">
        <v>0</v>
      </c>
    </row>
    <row r="4929" spans="11:19" x14ac:dyDescent="0.3">
      <c r="K4929" s="16">
        <f t="shared" si="76"/>
        <v>44221</v>
      </c>
      <c r="L4929" s="17">
        <v>0.29166666666666669</v>
      </c>
      <c r="M4929" s="14">
        <v>396</v>
      </c>
      <c r="N4929" s="14">
        <v>2797</v>
      </c>
      <c r="O4929" s="14">
        <v>0</v>
      </c>
      <c r="P4929" s="14">
        <v>3193</v>
      </c>
      <c r="Q4929">
        <v>13592</v>
      </c>
      <c r="R4929">
        <v>917</v>
      </c>
      <c r="S4929">
        <v>0</v>
      </c>
    </row>
    <row r="4930" spans="11:19" x14ac:dyDescent="0.3">
      <c r="K4930" s="16">
        <f t="shared" si="76"/>
        <v>44221</v>
      </c>
      <c r="L4930" s="17">
        <v>0.33333333333333331</v>
      </c>
      <c r="M4930" s="14">
        <v>396</v>
      </c>
      <c r="N4930" s="14">
        <v>2797</v>
      </c>
      <c r="O4930" s="14">
        <v>0</v>
      </c>
      <c r="P4930" s="14">
        <v>3193</v>
      </c>
      <c r="Q4930">
        <v>13846</v>
      </c>
      <c r="R4930">
        <v>823</v>
      </c>
      <c r="S4930">
        <v>35</v>
      </c>
    </row>
    <row r="4931" spans="11:19" x14ac:dyDescent="0.3">
      <c r="K4931" s="16">
        <f t="shared" si="76"/>
        <v>44221</v>
      </c>
      <c r="L4931" s="17">
        <v>0.375</v>
      </c>
      <c r="M4931" s="14">
        <v>396</v>
      </c>
      <c r="N4931" s="14">
        <v>1015</v>
      </c>
      <c r="O4931" s="14">
        <v>0</v>
      </c>
      <c r="P4931" s="14">
        <v>1411</v>
      </c>
      <c r="Q4931">
        <v>13866</v>
      </c>
      <c r="R4931">
        <v>799</v>
      </c>
      <c r="S4931">
        <v>377</v>
      </c>
    </row>
    <row r="4932" spans="11:19" x14ac:dyDescent="0.3">
      <c r="K4932" s="16">
        <f t="shared" si="76"/>
        <v>44221</v>
      </c>
      <c r="L4932" s="17">
        <v>0.41666666666666669</v>
      </c>
      <c r="M4932" s="14">
        <v>396</v>
      </c>
      <c r="N4932" s="14">
        <v>570</v>
      </c>
      <c r="O4932" s="14">
        <v>0</v>
      </c>
      <c r="P4932" s="14">
        <v>966</v>
      </c>
      <c r="Q4932">
        <v>13818</v>
      </c>
      <c r="R4932">
        <v>650</v>
      </c>
      <c r="S4932">
        <v>925</v>
      </c>
    </row>
    <row r="4933" spans="11:19" x14ac:dyDescent="0.3">
      <c r="K4933" s="16">
        <f t="shared" si="76"/>
        <v>44221</v>
      </c>
      <c r="L4933" s="17">
        <v>0.45833333333333331</v>
      </c>
      <c r="M4933" s="14">
        <v>396</v>
      </c>
      <c r="N4933" s="14">
        <v>279</v>
      </c>
      <c r="O4933" s="14">
        <v>0</v>
      </c>
      <c r="P4933" s="14">
        <v>675</v>
      </c>
      <c r="Q4933">
        <v>13854</v>
      </c>
      <c r="R4933">
        <v>567</v>
      </c>
      <c r="S4933">
        <v>1334</v>
      </c>
    </row>
    <row r="4934" spans="11:19" x14ac:dyDescent="0.3">
      <c r="K4934" s="16">
        <f t="shared" si="76"/>
        <v>44221</v>
      </c>
      <c r="L4934" s="17">
        <v>0.5</v>
      </c>
      <c r="M4934" s="14">
        <v>396</v>
      </c>
      <c r="N4934" s="14">
        <v>87</v>
      </c>
      <c r="O4934" s="14">
        <v>0</v>
      </c>
      <c r="P4934" s="14">
        <v>483</v>
      </c>
      <c r="Q4934">
        <v>13799</v>
      </c>
      <c r="R4934">
        <v>491</v>
      </c>
      <c r="S4934">
        <v>1547</v>
      </c>
    </row>
    <row r="4935" spans="11:19" x14ac:dyDescent="0.3">
      <c r="K4935" s="16">
        <f t="shared" si="76"/>
        <v>44221</v>
      </c>
      <c r="L4935" s="17">
        <v>0.54166666666666663</v>
      </c>
      <c r="M4935" s="14">
        <v>396</v>
      </c>
      <c r="N4935" s="14">
        <v>2474</v>
      </c>
      <c r="O4935" s="14">
        <v>0</v>
      </c>
      <c r="P4935" s="14">
        <v>2870</v>
      </c>
      <c r="Q4935">
        <v>13422</v>
      </c>
      <c r="R4935">
        <v>627</v>
      </c>
      <c r="S4935">
        <v>1545</v>
      </c>
    </row>
    <row r="4936" spans="11:19" x14ac:dyDescent="0.3">
      <c r="K4936" s="16">
        <f t="shared" si="76"/>
        <v>44221</v>
      </c>
      <c r="L4936" s="17">
        <v>0.58333333333333337</v>
      </c>
      <c r="M4936" s="14">
        <v>396</v>
      </c>
      <c r="N4936" s="14">
        <v>2343</v>
      </c>
      <c r="O4936" s="14">
        <v>0</v>
      </c>
      <c r="P4936" s="14">
        <v>2739</v>
      </c>
      <c r="Q4936">
        <v>13064</v>
      </c>
      <c r="R4936">
        <v>616</v>
      </c>
      <c r="S4936">
        <v>1327</v>
      </c>
    </row>
    <row r="4937" spans="11:19" x14ac:dyDescent="0.3">
      <c r="K4937" s="16">
        <f t="shared" si="76"/>
        <v>44221</v>
      </c>
      <c r="L4937" s="17">
        <v>0.625</v>
      </c>
      <c r="M4937" s="14">
        <v>396</v>
      </c>
      <c r="N4937" s="14">
        <v>0</v>
      </c>
      <c r="O4937" s="14">
        <v>0</v>
      </c>
      <c r="P4937" s="14">
        <v>396</v>
      </c>
      <c r="Q4937">
        <v>12730</v>
      </c>
      <c r="R4937">
        <v>718</v>
      </c>
      <c r="S4937">
        <v>909</v>
      </c>
    </row>
    <row r="4938" spans="11:19" x14ac:dyDescent="0.3">
      <c r="K4938" s="16">
        <f t="shared" si="76"/>
        <v>44221</v>
      </c>
      <c r="L4938" s="17">
        <v>0.66666666666666663</v>
      </c>
      <c r="M4938" s="14">
        <v>396</v>
      </c>
      <c r="N4938" s="14">
        <v>2797</v>
      </c>
      <c r="O4938" s="14">
        <v>0</v>
      </c>
      <c r="P4938" s="14">
        <v>3193</v>
      </c>
      <c r="Q4938">
        <v>12626</v>
      </c>
      <c r="R4938">
        <v>617</v>
      </c>
      <c r="S4938">
        <v>368</v>
      </c>
    </row>
    <row r="4939" spans="11:19" x14ac:dyDescent="0.3">
      <c r="K4939" s="16">
        <f t="shared" si="76"/>
        <v>44221</v>
      </c>
      <c r="L4939" s="17">
        <v>0.70833333333333337</v>
      </c>
      <c r="M4939" s="14">
        <v>396</v>
      </c>
      <c r="N4939" s="14">
        <v>795</v>
      </c>
      <c r="O4939" s="14">
        <v>0</v>
      </c>
      <c r="P4939" s="14">
        <v>1191</v>
      </c>
      <c r="Q4939">
        <v>13026</v>
      </c>
      <c r="R4939">
        <v>507</v>
      </c>
      <c r="S4939">
        <v>47</v>
      </c>
    </row>
    <row r="4940" spans="11:19" x14ac:dyDescent="0.3">
      <c r="K4940" s="16">
        <f t="shared" si="76"/>
        <v>44221</v>
      </c>
      <c r="L4940" s="17">
        <v>0.75</v>
      </c>
      <c r="M4940" s="14">
        <v>396</v>
      </c>
      <c r="N4940" s="14">
        <v>1756</v>
      </c>
      <c r="O4940" s="14">
        <v>0</v>
      </c>
      <c r="P4940" s="14">
        <v>2152</v>
      </c>
      <c r="Q4940">
        <v>13855</v>
      </c>
      <c r="R4940">
        <v>423</v>
      </c>
      <c r="S4940">
        <v>0</v>
      </c>
    </row>
    <row r="4941" spans="11:19" x14ac:dyDescent="0.3">
      <c r="K4941" s="16">
        <f t="shared" si="76"/>
        <v>44221</v>
      </c>
      <c r="L4941" s="17">
        <v>0.79166666666666663</v>
      </c>
      <c r="M4941" s="14">
        <v>396</v>
      </c>
      <c r="N4941" s="14">
        <v>1587</v>
      </c>
      <c r="O4941" s="14">
        <v>0</v>
      </c>
      <c r="P4941" s="14">
        <v>1983</v>
      </c>
      <c r="Q4941">
        <v>13661</v>
      </c>
      <c r="R4941">
        <v>400</v>
      </c>
      <c r="S4941">
        <v>0</v>
      </c>
    </row>
    <row r="4942" spans="11:19" x14ac:dyDescent="0.3">
      <c r="K4942" s="16">
        <f t="shared" si="76"/>
        <v>44221</v>
      </c>
      <c r="L4942" s="17">
        <v>0.83333333333333337</v>
      </c>
      <c r="M4942" s="14">
        <v>396</v>
      </c>
      <c r="N4942" s="14">
        <v>2797</v>
      </c>
      <c r="O4942" s="14">
        <v>0</v>
      </c>
      <c r="P4942" s="14">
        <v>3193</v>
      </c>
      <c r="Q4942">
        <v>12905</v>
      </c>
      <c r="R4942">
        <v>456</v>
      </c>
      <c r="S4942">
        <v>0</v>
      </c>
    </row>
    <row r="4943" spans="11:19" x14ac:dyDescent="0.3">
      <c r="K4943" s="16">
        <f t="shared" si="76"/>
        <v>44221</v>
      </c>
      <c r="L4943" s="17">
        <v>0.875</v>
      </c>
      <c r="M4943" s="14">
        <v>396</v>
      </c>
      <c r="N4943" s="14">
        <v>66</v>
      </c>
      <c r="O4943" s="14">
        <v>0</v>
      </c>
      <c r="P4943" s="14">
        <v>462</v>
      </c>
      <c r="Q4943">
        <v>12235</v>
      </c>
      <c r="R4943">
        <v>497</v>
      </c>
      <c r="S4943">
        <v>0</v>
      </c>
    </row>
    <row r="4944" spans="11:19" x14ac:dyDescent="0.3">
      <c r="K4944" s="16">
        <f t="shared" si="76"/>
        <v>44221</v>
      </c>
      <c r="L4944" s="17">
        <v>0.91666666666666663</v>
      </c>
      <c r="M4944" s="14">
        <v>396</v>
      </c>
      <c r="N4944" s="14">
        <v>238</v>
      </c>
      <c r="O4944" s="14">
        <v>0</v>
      </c>
      <c r="P4944" s="14">
        <v>634</v>
      </c>
      <c r="Q4944">
        <v>12424</v>
      </c>
      <c r="R4944">
        <v>516</v>
      </c>
      <c r="S4944">
        <v>0</v>
      </c>
    </row>
    <row r="4945" spans="11:19" x14ac:dyDescent="0.3">
      <c r="K4945" s="16">
        <f t="shared" si="76"/>
        <v>44221</v>
      </c>
      <c r="L4945" s="17">
        <v>0.95833333333333337</v>
      </c>
      <c r="M4945" s="14">
        <v>396</v>
      </c>
      <c r="N4945" s="14">
        <v>2797</v>
      </c>
      <c r="O4945" s="14">
        <v>0</v>
      </c>
      <c r="P4945" s="14">
        <v>3193</v>
      </c>
      <c r="Q4945">
        <v>12556</v>
      </c>
      <c r="R4945">
        <v>507</v>
      </c>
      <c r="S4945">
        <v>0</v>
      </c>
    </row>
    <row r="4946" spans="11:19" x14ac:dyDescent="0.3">
      <c r="K4946" s="16">
        <f t="shared" si="76"/>
        <v>44222</v>
      </c>
      <c r="L4946" s="17">
        <v>0</v>
      </c>
      <c r="M4946" s="14">
        <v>396</v>
      </c>
      <c r="N4946" s="14">
        <v>2844</v>
      </c>
      <c r="O4946" s="14">
        <v>0</v>
      </c>
      <c r="P4946" s="14">
        <v>3240</v>
      </c>
      <c r="Q4946">
        <v>12147</v>
      </c>
      <c r="R4946">
        <v>529</v>
      </c>
      <c r="S4946">
        <v>0</v>
      </c>
    </row>
    <row r="4947" spans="11:19" x14ac:dyDescent="0.3">
      <c r="K4947" s="16">
        <f t="shared" si="76"/>
        <v>44222</v>
      </c>
      <c r="L4947" s="17">
        <v>4.1666666666666664E-2</v>
      </c>
      <c r="M4947" s="14">
        <v>396</v>
      </c>
      <c r="N4947" s="14">
        <v>0</v>
      </c>
      <c r="O4947" s="14">
        <v>0</v>
      </c>
      <c r="P4947" s="14">
        <v>396</v>
      </c>
      <c r="Q4947">
        <v>11906</v>
      </c>
      <c r="R4947">
        <v>547</v>
      </c>
      <c r="S4947">
        <v>0</v>
      </c>
    </row>
    <row r="4948" spans="11:19" x14ac:dyDescent="0.3">
      <c r="K4948" s="16">
        <f t="shared" si="76"/>
        <v>44222</v>
      </c>
      <c r="L4948" s="17">
        <v>8.3333333333333329E-2</v>
      </c>
      <c r="M4948" s="14">
        <v>396</v>
      </c>
      <c r="N4948" s="14">
        <v>2338</v>
      </c>
      <c r="O4948" s="14">
        <v>0</v>
      </c>
      <c r="P4948" s="14">
        <v>2734</v>
      </c>
      <c r="Q4948">
        <v>11648</v>
      </c>
      <c r="R4948">
        <v>541</v>
      </c>
      <c r="S4948">
        <v>0</v>
      </c>
    </row>
    <row r="4949" spans="11:19" x14ac:dyDescent="0.3">
      <c r="K4949" s="16">
        <f t="shared" si="76"/>
        <v>44222</v>
      </c>
      <c r="L4949" s="17">
        <v>0.125</v>
      </c>
      <c r="M4949" s="14">
        <v>396</v>
      </c>
      <c r="N4949" s="14">
        <v>0</v>
      </c>
      <c r="O4949" s="14">
        <v>0</v>
      </c>
      <c r="P4949" s="14">
        <v>396</v>
      </c>
      <c r="Q4949">
        <v>11209</v>
      </c>
      <c r="R4949">
        <v>698</v>
      </c>
      <c r="S4949">
        <v>0</v>
      </c>
    </row>
    <row r="4950" spans="11:19" x14ac:dyDescent="0.3">
      <c r="K4950" s="16">
        <f t="shared" si="76"/>
        <v>44222</v>
      </c>
      <c r="L4950" s="17">
        <v>0.16666666666666666</v>
      </c>
      <c r="M4950" s="14">
        <v>396</v>
      </c>
      <c r="N4950" s="14">
        <v>0</v>
      </c>
      <c r="O4950" s="14">
        <v>0</v>
      </c>
      <c r="P4950" s="14">
        <v>396</v>
      </c>
      <c r="Q4950">
        <v>11125</v>
      </c>
      <c r="R4950">
        <v>752</v>
      </c>
      <c r="S4950">
        <v>0</v>
      </c>
    </row>
    <row r="4951" spans="11:19" x14ac:dyDescent="0.3">
      <c r="K4951" s="16">
        <f t="shared" si="76"/>
        <v>44222</v>
      </c>
      <c r="L4951" s="17">
        <v>0.20833333333333334</v>
      </c>
      <c r="M4951" s="14">
        <v>396</v>
      </c>
      <c r="N4951" s="14">
        <v>0</v>
      </c>
      <c r="O4951" s="14">
        <v>0</v>
      </c>
      <c r="P4951" s="14">
        <v>396</v>
      </c>
      <c r="Q4951">
        <v>11637</v>
      </c>
      <c r="R4951">
        <v>686</v>
      </c>
      <c r="S4951">
        <v>0</v>
      </c>
    </row>
    <row r="4952" spans="11:19" x14ac:dyDescent="0.3">
      <c r="K4952" s="16">
        <f t="shared" si="76"/>
        <v>44222</v>
      </c>
      <c r="L4952" s="17">
        <v>0.25</v>
      </c>
      <c r="M4952" s="14">
        <v>396</v>
      </c>
      <c r="N4952" s="14">
        <v>3153</v>
      </c>
      <c r="O4952" s="14">
        <v>0</v>
      </c>
      <c r="P4952" s="14">
        <v>3549</v>
      </c>
      <c r="Q4952">
        <v>12848</v>
      </c>
      <c r="R4952">
        <v>631</v>
      </c>
      <c r="S4952">
        <v>0</v>
      </c>
    </row>
    <row r="4953" spans="11:19" x14ac:dyDescent="0.3">
      <c r="K4953" s="16">
        <f t="shared" si="76"/>
        <v>44222</v>
      </c>
      <c r="L4953" s="17">
        <v>0.29166666666666669</v>
      </c>
      <c r="M4953" s="14">
        <v>396</v>
      </c>
      <c r="N4953" s="14">
        <v>1554</v>
      </c>
      <c r="O4953" s="14">
        <v>0</v>
      </c>
      <c r="P4953" s="14">
        <v>1950</v>
      </c>
      <c r="Q4953">
        <v>13817</v>
      </c>
      <c r="R4953">
        <v>584</v>
      </c>
      <c r="S4953">
        <v>0</v>
      </c>
    </row>
    <row r="4954" spans="11:19" x14ac:dyDescent="0.3">
      <c r="K4954" s="16">
        <f t="shared" si="76"/>
        <v>44222</v>
      </c>
      <c r="L4954" s="17">
        <v>0.33333333333333331</v>
      </c>
      <c r="M4954" s="14">
        <v>396</v>
      </c>
      <c r="N4954" s="14">
        <v>1765</v>
      </c>
      <c r="O4954" s="14">
        <v>0</v>
      </c>
      <c r="P4954" s="14">
        <v>2161</v>
      </c>
      <c r="Q4954">
        <v>14082</v>
      </c>
      <c r="R4954">
        <v>600</v>
      </c>
      <c r="S4954">
        <v>35</v>
      </c>
    </row>
    <row r="4955" spans="11:19" x14ac:dyDescent="0.3">
      <c r="K4955" s="16">
        <f t="shared" ref="K4955:K5018" si="77">K4931+1</f>
        <v>44222</v>
      </c>
      <c r="L4955" s="17">
        <v>0.375</v>
      </c>
      <c r="M4955" s="14">
        <v>396</v>
      </c>
      <c r="N4955" s="14">
        <v>1532</v>
      </c>
      <c r="O4955" s="14">
        <v>0</v>
      </c>
      <c r="P4955" s="14">
        <v>1928</v>
      </c>
      <c r="Q4955">
        <v>14120</v>
      </c>
      <c r="R4955">
        <v>556</v>
      </c>
      <c r="S4955">
        <v>354</v>
      </c>
    </row>
    <row r="4956" spans="11:19" x14ac:dyDescent="0.3">
      <c r="K4956" s="16">
        <f t="shared" si="77"/>
        <v>44222</v>
      </c>
      <c r="L4956" s="17">
        <v>0.41666666666666669</v>
      </c>
      <c r="M4956" s="14">
        <v>396</v>
      </c>
      <c r="N4956" s="14">
        <v>973</v>
      </c>
      <c r="O4956" s="14">
        <v>0</v>
      </c>
      <c r="P4956" s="14">
        <v>1369</v>
      </c>
      <c r="Q4956">
        <v>14093</v>
      </c>
      <c r="R4956">
        <v>627</v>
      </c>
      <c r="S4956">
        <v>817</v>
      </c>
    </row>
    <row r="4957" spans="11:19" x14ac:dyDescent="0.3">
      <c r="K4957" s="16">
        <f t="shared" si="77"/>
        <v>44222</v>
      </c>
      <c r="L4957" s="17">
        <v>0.45833333333333331</v>
      </c>
      <c r="M4957" s="14">
        <v>396</v>
      </c>
      <c r="N4957" s="14">
        <v>1356</v>
      </c>
      <c r="O4957" s="14">
        <v>0</v>
      </c>
      <c r="P4957" s="14">
        <v>1752</v>
      </c>
      <c r="Q4957">
        <v>14097</v>
      </c>
      <c r="R4957">
        <v>592</v>
      </c>
      <c r="S4957">
        <v>1178</v>
      </c>
    </row>
    <row r="4958" spans="11:19" x14ac:dyDescent="0.3">
      <c r="K4958" s="16">
        <f t="shared" si="77"/>
        <v>44222</v>
      </c>
      <c r="L4958" s="17">
        <v>0.5</v>
      </c>
      <c r="M4958" s="14">
        <v>396</v>
      </c>
      <c r="N4958" s="14">
        <v>3153</v>
      </c>
      <c r="O4958" s="14">
        <v>0</v>
      </c>
      <c r="P4958" s="14">
        <v>3549</v>
      </c>
      <c r="Q4958">
        <v>13994</v>
      </c>
      <c r="R4958">
        <v>564</v>
      </c>
      <c r="S4958">
        <v>1394</v>
      </c>
    </row>
    <row r="4959" spans="11:19" x14ac:dyDescent="0.3">
      <c r="K4959" s="16">
        <f t="shared" si="77"/>
        <v>44222</v>
      </c>
      <c r="L4959" s="17">
        <v>0.54166666666666663</v>
      </c>
      <c r="M4959" s="14">
        <v>396</v>
      </c>
      <c r="N4959" s="14">
        <v>0</v>
      </c>
      <c r="O4959" s="14">
        <v>0</v>
      </c>
      <c r="P4959" s="14">
        <v>396</v>
      </c>
      <c r="Q4959">
        <v>13634</v>
      </c>
      <c r="R4959">
        <v>575</v>
      </c>
      <c r="S4959">
        <v>1455</v>
      </c>
    </row>
    <row r="4960" spans="11:19" x14ac:dyDescent="0.3">
      <c r="K4960" s="16">
        <f t="shared" si="77"/>
        <v>44222</v>
      </c>
      <c r="L4960" s="17">
        <v>0.58333333333333337</v>
      </c>
      <c r="M4960" s="14">
        <v>396</v>
      </c>
      <c r="N4960" s="14">
        <v>2737</v>
      </c>
      <c r="O4960" s="14">
        <v>0</v>
      </c>
      <c r="P4960" s="14">
        <v>3133</v>
      </c>
      <c r="Q4960">
        <v>13303</v>
      </c>
      <c r="R4960">
        <v>531</v>
      </c>
      <c r="S4960">
        <v>1254</v>
      </c>
    </row>
    <row r="4961" spans="11:19" x14ac:dyDescent="0.3">
      <c r="K4961" s="16">
        <f t="shared" si="77"/>
        <v>44222</v>
      </c>
      <c r="L4961" s="17">
        <v>0.625</v>
      </c>
      <c r="M4961" s="14">
        <v>396</v>
      </c>
      <c r="N4961" s="14">
        <v>0</v>
      </c>
      <c r="O4961" s="14">
        <v>0</v>
      </c>
      <c r="P4961" s="14">
        <v>396</v>
      </c>
      <c r="Q4961">
        <v>12991</v>
      </c>
      <c r="R4961">
        <v>556</v>
      </c>
      <c r="S4961">
        <v>870</v>
      </c>
    </row>
    <row r="4962" spans="11:19" x14ac:dyDescent="0.3">
      <c r="K4962" s="16">
        <f t="shared" si="77"/>
        <v>44222</v>
      </c>
      <c r="L4962" s="17">
        <v>0.66666666666666663</v>
      </c>
      <c r="M4962" s="14">
        <v>396</v>
      </c>
      <c r="N4962" s="14">
        <v>3153</v>
      </c>
      <c r="O4962" s="14">
        <v>0</v>
      </c>
      <c r="P4962" s="14">
        <v>3549</v>
      </c>
      <c r="Q4962">
        <v>12879</v>
      </c>
      <c r="R4962">
        <v>522</v>
      </c>
      <c r="S4962">
        <v>369</v>
      </c>
    </row>
    <row r="4963" spans="11:19" x14ac:dyDescent="0.3">
      <c r="K4963" s="16">
        <f t="shared" si="77"/>
        <v>44222</v>
      </c>
      <c r="L4963" s="17">
        <v>0.70833333333333337</v>
      </c>
      <c r="M4963" s="14">
        <v>396</v>
      </c>
      <c r="N4963" s="14">
        <v>952</v>
      </c>
      <c r="O4963" s="14">
        <v>0</v>
      </c>
      <c r="P4963" s="14">
        <v>1348</v>
      </c>
      <c r="Q4963">
        <v>13244</v>
      </c>
      <c r="R4963">
        <v>561</v>
      </c>
      <c r="S4963">
        <v>51</v>
      </c>
    </row>
    <row r="4964" spans="11:19" x14ac:dyDescent="0.3">
      <c r="K4964" s="16">
        <f t="shared" si="77"/>
        <v>44222</v>
      </c>
      <c r="L4964" s="17">
        <v>0.75</v>
      </c>
      <c r="M4964" s="14">
        <v>396</v>
      </c>
      <c r="N4964" s="14">
        <v>1705</v>
      </c>
      <c r="O4964" s="14">
        <v>0</v>
      </c>
      <c r="P4964" s="14">
        <v>2101</v>
      </c>
      <c r="Q4964">
        <v>14103</v>
      </c>
      <c r="R4964">
        <v>719</v>
      </c>
      <c r="S4964">
        <v>0</v>
      </c>
    </row>
    <row r="4965" spans="11:19" x14ac:dyDescent="0.3">
      <c r="K4965" s="16">
        <f t="shared" si="77"/>
        <v>44222</v>
      </c>
      <c r="L4965" s="17">
        <v>0.79166666666666663</v>
      </c>
      <c r="M4965" s="14">
        <v>396</v>
      </c>
      <c r="N4965" s="14">
        <v>1626</v>
      </c>
      <c r="O4965" s="14">
        <v>0</v>
      </c>
      <c r="P4965" s="14">
        <v>2022</v>
      </c>
      <c r="Q4965">
        <v>13975</v>
      </c>
      <c r="R4965">
        <v>671</v>
      </c>
      <c r="S4965">
        <v>0</v>
      </c>
    </row>
    <row r="4966" spans="11:19" x14ac:dyDescent="0.3">
      <c r="K4966" s="16">
        <f t="shared" si="77"/>
        <v>44222</v>
      </c>
      <c r="L4966" s="17">
        <v>0.83333333333333337</v>
      </c>
      <c r="M4966" s="14">
        <v>396</v>
      </c>
      <c r="N4966" s="14">
        <v>811</v>
      </c>
      <c r="O4966" s="14">
        <v>0</v>
      </c>
      <c r="P4966" s="14">
        <v>1207</v>
      </c>
      <c r="Q4966">
        <v>13207</v>
      </c>
      <c r="R4966">
        <v>722</v>
      </c>
      <c r="S4966">
        <v>0</v>
      </c>
    </row>
    <row r="4967" spans="11:19" x14ac:dyDescent="0.3">
      <c r="K4967" s="16">
        <f t="shared" si="77"/>
        <v>44222</v>
      </c>
      <c r="L4967" s="17">
        <v>0.875</v>
      </c>
      <c r="M4967" s="14">
        <v>396</v>
      </c>
      <c r="N4967" s="14">
        <v>0</v>
      </c>
      <c r="O4967" s="14">
        <v>0</v>
      </c>
      <c r="P4967" s="14">
        <v>396</v>
      </c>
      <c r="Q4967">
        <v>12513</v>
      </c>
      <c r="R4967">
        <v>941</v>
      </c>
      <c r="S4967">
        <v>0</v>
      </c>
    </row>
    <row r="4968" spans="11:19" x14ac:dyDescent="0.3">
      <c r="K4968" s="16">
        <f t="shared" si="77"/>
        <v>44222</v>
      </c>
      <c r="L4968" s="17">
        <v>0.91666666666666663</v>
      </c>
      <c r="M4968" s="14">
        <v>396</v>
      </c>
      <c r="N4968" s="14">
        <v>0</v>
      </c>
      <c r="O4968" s="14">
        <v>0</v>
      </c>
      <c r="P4968" s="14">
        <v>396</v>
      </c>
      <c r="Q4968">
        <v>12682</v>
      </c>
      <c r="R4968">
        <v>1223</v>
      </c>
      <c r="S4968">
        <v>0</v>
      </c>
    </row>
    <row r="4969" spans="11:19" x14ac:dyDescent="0.3">
      <c r="K4969" s="16">
        <f t="shared" si="77"/>
        <v>44222</v>
      </c>
      <c r="L4969" s="17">
        <v>0.95833333333333337</v>
      </c>
      <c r="M4969" s="14">
        <v>396</v>
      </c>
      <c r="N4969" s="14">
        <v>2882</v>
      </c>
      <c r="O4969" s="14">
        <v>0</v>
      </c>
      <c r="P4969" s="14">
        <v>3278</v>
      </c>
      <c r="Q4969">
        <v>12808</v>
      </c>
      <c r="R4969">
        <v>1149</v>
      </c>
      <c r="S4969">
        <v>0</v>
      </c>
    </row>
    <row r="4970" spans="11:19" x14ac:dyDescent="0.3">
      <c r="K4970" s="16">
        <f t="shared" si="77"/>
        <v>44223</v>
      </c>
      <c r="L4970" s="17">
        <v>0</v>
      </c>
      <c r="M4970" s="14">
        <v>396</v>
      </c>
      <c r="N4970" s="14">
        <v>0</v>
      </c>
      <c r="O4970" s="14">
        <v>0</v>
      </c>
      <c r="P4970" s="14">
        <v>396</v>
      </c>
      <c r="Q4970">
        <v>12295</v>
      </c>
      <c r="R4970">
        <v>1163</v>
      </c>
      <c r="S4970">
        <v>0</v>
      </c>
    </row>
    <row r="4971" spans="11:19" x14ac:dyDescent="0.3">
      <c r="K4971" s="16">
        <f t="shared" si="77"/>
        <v>44223</v>
      </c>
      <c r="L4971" s="17">
        <v>4.1666666666666664E-2</v>
      </c>
      <c r="M4971" s="14">
        <v>396</v>
      </c>
      <c r="N4971" s="14">
        <v>2241</v>
      </c>
      <c r="O4971" s="14">
        <v>0</v>
      </c>
      <c r="P4971" s="14">
        <v>2637</v>
      </c>
      <c r="Q4971">
        <v>12059</v>
      </c>
      <c r="R4971">
        <v>1046</v>
      </c>
      <c r="S4971">
        <v>0</v>
      </c>
    </row>
    <row r="4972" spans="11:19" x14ac:dyDescent="0.3">
      <c r="K4972" s="16">
        <f t="shared" si="77"/>
        <v>44223</v>
      </c>
      <c r="L4972" s="17">
        <v>8.3333333333333329E-2</v>
      </c>
      <c r="M4972" s="14">
        <v>396</v>
      </c>
      <c r="N4972" s="14">
        <v>2003</v>
      </c>
      <c r="O4972" s="14">
        <v>0</v>
      </c>
      <c r="P4972" s="14">
        <v>2399</v>
      </c>
      <c r="Q4972">
        <v>11805</v>
      </c>
      <c r="R4972">
        <v>1031</v>
      </c>
      <c r="S4972">
        <v>0</v>
      </c>
    </row>
    <row r="4973" spans="11:19" x14ac:dyDescent="0.3">
      <c r="K4973" s="16">
        <f t="shared" si="77"/>
        <v>44223</v>
      </c>
      <c r="L4973" s="17">
        <v>0.125</v>
      </c>
      <c r="M4973" s="14">
        <v>396</v>
      </c>
      <c r="N4973" s="14">
        <v>0</v>
      </c>
      <c r="O4973" s="14">
        <v>0</v>
      </c>
      <c r="P4973" s="14">
        <v>396</v>
      </c>
      <c r="Q4973">
        <v>11369</v>
      </c>
      <c r="R4973">
        <v>1049</v>
      </c>
      <c r="S4973">
        <v>0</v>
      </c>
    </row>
    <row r="4974" spans="11:19" x14ac:dyDescent="0.3">
      <c r="K4974" s="16">
        <f t="shared" si="77"/>
        <v>44223</v>
      </c>
      <c r="L4974" s="17">
        <v>0.16666666666666666</v>
      </c>
      <c r="M4974" s="14">
        <v>396</v>
      </c>
      <c r="N4974" s="14">
        <v>0</v>
      </c>
      <c r="O4974" s="14">
        <v>0</v>
      </c>
      <c r="P4974" s="14">
        <v>396</v>
      </c>
      <c r="Q4974">
        <v>11285</v>
      </c>
      <c r="R4974">
        <v>1099</v>
      </c>
      <c r="S4974">
        <v>0</v>
      </c>
    </row>
    <row r="4975" spans="11:19" x14ac:dyDescent="0.3">
      <c r="K4975" s="16">
        <f t="shared" si="77"/>
        <v>44223</v>
      </c>
      <c r="L4975" s="17">
        <v>0.20833333333333334</v>
      </c>
      <c r="M4975" s="14">
        <v>396</v>
      </c>
      <c r="N4975" s="14">
        <v>1766</v>
      </c>
      <c r="O4975" s="14">
        <v>0</v>
      </c>
      <c r="P4975" s="14">
        <v>2162</v>
      </c>
      <c r="Q4975">
        <v>11795</v>
      </c>
      <c r="R4975">
        <v>1261</v>
      </c>
      <c r="S4975">
        <v>0</v>
      </c>
    </row>
    <row r="4976" spans="11:19" x14ac:dyDescent="0.3">
      <c r="K4976" s="16">
        <f t="shared" si="77"/>
        <v>44223</v>
      </c>
      <c r="L4976" s="17">
        <v>0.25</v>
      </c>
      <c r="M4976" s="14">
        <v>396</v>
      </c>
      <c r="N4976" s="14">
        <v>108</v>
      </c>
      <c r="O4976" s="14">
        <v>0</v>
      </c>
      <c r="P4976" s="14">
        <v>504</v>
      </c>
      <c r="Q4976">
        <v>12995</v>
      </c>
      <c r="R4976">
        <v>1215</v>
      </c>
      <c r="S4976">
        <v>0</v>
      </c>
    </row>
    <row r="4977" spans="11:19" x14ac:dyDescent="0.3">
      <c r="K4977" s="16">
        <f t="shared" si="77"/>
        <v>44223</v>
      </c>
      <c r="L4977" s="17">
        <v>0.29166666666666669</v>
      </c>
      <c r="M4977" s="14">
        <v>396</v>
      </c>
      <c r="N4977" s="14">
        <v>2458</v>
      </c>
      <c r="O4977" s="14">
        <v>0</v>
      </c>
      <c r="P4977" s="14">
        <v>2854</v>
      </c>
      <c r="Q4977">
        <v>13954</v>
      </c>
      <c r="R4977">
        <v>1288</v>
      </c>
      <c r="S4977">
        <v>0</v>
      </c>
    </row>
    <row r="4978" spans="11:19" x14ac:dyDescent="0.3">
      <c r="K4978" s="16">
        <f t="shared" si="77"/>
        <v>44223</v>
      </c>
      <c r="L4978" s="17">
        <v>0.33333333333333331</v>
      </c>
      <c r="M4978" s="14">
        <v>396</v>
      </c>
      <c r="N4978" s="14">
        <v>1288</v>
      </c>
      <c r="O4978" s="14">
        <v>0</v>
      </c>
      <c r="P4978" s="14">
        <v>1684</v>
      </c>
      <c r="Q4978">
        <v>14182</v>
      </c>
      <c r="R4978">
        <v>1165</v>
      </c>
      <c r="S4978">
        <v>45</v>
      </c>
    </row>
    <row r="4979" spans="11:19" x14ac:dyDescent="0.3">
      <c r="K4979" s="16">
        <f t="shared" si="77"/>
        <v>44223</v>
      </c>
      <c r="L4979" s="17">
        <v>0.375</v>
      </c>
      <c r="M4979" s="14">
        <v>396</v>
      </c>
      <c r="N4979" s="14">
        <v>2458</v>
      </c>
      <c r="O4979" s="14">
        <v>0</v>
      </c>
      <c r="P4979" s="14">
        <v>2854</v>
      </c>
      <c r="Q4979">
        <v>14162</v>
      </c>
      <c r="R4979">
        <v>1284</v>
      </c>
      <c r="S4979">
        <v>207</v>
      </c>
    </row>
    <row r="4980" spans="11:19" x14ac:dyDescent="0.3">
      <c r="K4980" s="16">
        <f t="shared" si="77"/>
        <v>44223</v>
      </c>
      <c r="L4980" s="17">
        <v>0.41666666666666669</v>
      </c>
      <c r="M4980" s="14">
        <v>396</v>
      </c>
      <c r="N4980" s="14">
        <v>861</v>
      </c>
      <c r="O4980" s="14">
        <v>0</v>
      </c>
      <c r="P4980" s="14">
        <v>1257</v>
      </c>
      <c r="Q4980">
        <v>14080</v>
      </c>
      <c r="R4980">
        <v>1034</v>
      </c>
      <c r="S4980">
        <v>507</v>
      </c>
    </row>
    <row r="4981" spans="11:19" x14ac:dyDescent="0.3">
      <c r="K4981" s="16">
        <f t="shared" si="77"/>
        <v>44223</v>
      </c>
      <c r="L4981" s="17">
        <v>0.45833333333333331</v>
      </c>
      <c r="M4981" s="14">
        <v>396</v>
      </c>
      <c r="N4981" s="14">
        <v>2458</v>
      </c>
      <c r="O4981" s="14">
        <v>0</v>
      </c>
      <c r="P4981" s="14">
        <v>2854</v>
      </c>
      <c r="Q4981">
        <v>14060</v>
      </c>
      <c r="R4981">
        <v>1102</v>
      </c>
      <c r="S4981">
        <v>567</v>
      </c>
    </row>
    <row r="4982" spans="11:19" x14ac:dyDescent="0.3">
      <c r="K4982" s="16">
        <f t="shared" si="77"/>
        <v>44223</v>
      </c>
      <c r="L4982" s="17">
        <v>0.5</v>
      </c>
      <c r="M4982" s="14">
        <v>396</v>
      </c>
      <c r="N4982" s="14">
        <v>2458</v>
      </c>
      <c r="O4982" s="14">
        <v>0</v>
      </c>
      <c r="P4982" s="14">
        <v>2854</v>
      </c>
      <c r="Q4982">
        <v>13943</v>
      </c>
      <c r="R4982">
        <v>1212</v>
      </c>
      <c r="S4982">
        <v>666</v>
      </c>
    </row>
    <row r="4983" spans="11:19" x14ac:dyDescent="0.3">
      <c r="K4983" s="16">
        <f t="shared" si="77"/>
        <v>44223</v>
      </c>
      <c r="L4983" s="17">
        <v>0.54166666666666663</v>
      </c>
      <c r="M4983" s="14">
        <v>396</v>
      </c>
      <c r="N4983" s="14">
        <v>2458</v>
      </c>
      <c r="O4983" s="14">
        <v>0</v>
      </c>
      <c r="P4983" s="14">
        <v>2854</v>
      </c>
      <c r="Q4983">
        <v>13571</v>
      </c>
      <c r="R4983">
        <v>1509</v>
      </c>
      <c r="S4983">
        <v>644</v>
      </c>
    </row>
    <row r="4984" spans="11:19" x14ac:dyDescent="0.3">
      <c r="K4984" s="16">
        <f t="shared" si="77"/>
        <v>44223</v>
      </c>
      <c r="L4984" s="17">
        <v>0.58333333333333337</v>
      </c>
      <c r="M4984" s="14">
        <v>396</v>
      </c>
      <c r="N4984" s="14">
        <v>0</v>
      </c>
      <c r="O4984" s="14">
        <v>0</v>
      </c>
      <c r="P4984" s="14">
        <v>396</v>
      </c>
      <c r="Q4984">
        <v>13251</v>
      </c>
      <c r="R4984">
        <v>1696</v>
      </c>
      <c r="S4984">
        <v>589</v>
      </c>
    </row>
    <row r="4985" spans="11:19" x14ac:dyDescent="0.3">
      <c r="K4985" s="16">
        <f t="shared" si="77"/>
        <v>44223</v>
      </c>
      <c r="L4985" s="17">
        <v>0.625</v>
      </c>
      <c r="M4985" s="14">
        <v>396</v>
      </c>
      <c r="N4985" s="14">
        <v>0</v>
      </c>
      <c r="O4985" s="14">
        <v>0</v>
      </c>
      <c r="P4985" s="14">
        <v>396</v>
      </c>
      <c r="Q4985">
        <v>13014</v>
      </c>
      <c r="R4985">
        <v>1751</v>
      </c>
      <c r="S4985">
        <v>422</v>
      </c>
    </row>
    <row r="4986" spans="11:19" x14ac:dyDescent="0.3">
      <c r="K4986" s="16">
        <f t="shared" si="77"/>
        <v>44223</v>
      </c>
      <c r="L4986" s="17">
        <v>0.66666666666666663</v>
      </c>
      <c r="M4986" s="14">
        <v>396</v>
      </c>
      <c r="N4986" s="14">
        <v>2013</v>
      </c>
      <c r="O4986" s="14">
        <v>0</v>
      </c>
      <c r="P4986" s="14">
        <v>2409</v>
      </c>
      <c r="Q4986">
        <v>12951</v>
      </c>
      <c r="R4986">
        <v>1991</v>
      </c>
      <c r="S4986">
        <v>162</v>
      </c>
    </row>
    <row r="4987" spans="11:19" x14ac:dyDescent="0.3">
      <c r="K4987" s="16">
        <f t="shared" si="77"/>
        <v>44223</v>
      </c>
      <c r="L4987" s="17">
        <v>0.70833333333333337</v>
      </c>
      <c r="M4987" s="14">
        <v>396</v>
      </c>
      <c r="N4987" s="14">
        <v>0</v>
      </c>
      <c r="O4987" s="14">
        <v>0</v>
      </c>
      <c r="P4987" s="14">
        <v>396</v>
      </c>
      <c r="Q4987">
        <v>13282</v>
      </c>
      <c r="R4987">
        <v>2370</v>
      </c>
      <c r="S4987">
        <v>34</v>
      </c>
    </row>
    <row r="4988" spans="11:19" x14ac:dyDescent="0.3">
      <c r="K4988" s="16">
        <f t="shared" si="77"/>
        <v>44223</v>
      </c>
      <c r="L4988" s="17">
        <v>0.75</v>
      </c>
      <c r="M4988" s="14">
        <v>396</v>
      </c>
      <c r="N4988" s="14">
        <v>0</v>
      </c>
      <c r="O4988" s="14">
        <v>0</v>
      </c>
      <c r="P4988" s="14">
        <v>396</v>
      </c>
      <c r="Q4988">
        <v>14047</v>
      </c>
      <c r="R4988">
        <v>2682</v>
      </c>
      <c r="S4988">
        <v>0</v>
      </c>
    </row>
    <row r="4989" spans="11:19" x14ac:dyDescent="0.3">
      <c r="K4989" s="16">
        <f t="shared" si="77"/>
        <v>44223</v>
      </c>
      <c r="L4989" s="17">
        <v>0.79166666666666663</v>
      </c>
      <c r="M4989" s="14">
        <v>396</v>
      </c>
      <c r="N4989" s="14">
        <v>0</v>
      </c>
      <c r="O4989" s="14">
        <v>0</v>
      </c>
      <c r="P4989" s="14">
        <v>396</v>
      </c>
      <c r="Q4989">
        <v>13780</v>
      </c>
      <c r="R4989">
        <v>2788</v>
      </c>
      <c r="S4989">
        <v>0</v>
      </c>
    </row>
    <row r="4990" spans="11:19" x14ac:dyDescent="0.3">
      <c r="K4990" s="16">
        <f t="shared" si="77"/>
        <v>44223</v>
      </c>
      <c r="L4990" s="17">
        <v>0.83333333333333337</v>
      </c>
      <c r="M4990" s="14">
        <v>396</v>
      </c>
      <c r="N4990" s="14">
        <v>0</v>
      </c>
      <c r="O4990" s="14">
        <v>0</v>
      </c>
      <c r="P4990" s="14">
        <v>396</v>
      </c>
      <c r="Q4990">
        <v>12887</v>
      </c>
      <c r="R4990">
        <v>2799</v>
      </c>
      <c r="S4990">
        <v>0</v>
      </c>
    </row>
    <row r="4991" spans="11:19" x14ac:dyDescent="0.3">
      <c r="K4991" s="16">
        <f t="shared" si="77"/>
        <v>44223</v>
      </c>
      <c r="L4991" s="17">
        <v>0.875</v>
      </c>
      <c r="M4991" s="14">
        <v>396</v>
      </c>
      <c r="N4991" s="14">
        <v>0</v>
      </c>
      <c r="O4991" s="14">
        <v>0</v>
      </c>
      <c r="P4991" s="14">
        <v>396</v>
      </c>
      <c r="Q4991">
        <v>12146</v>
      </c>
      <c r="R4991">
        <v>2906</v>
      </c>
      <c r="S4991">
        <v>0</v>
      </c>
    </row>
    <row r="4992" spans="11:19" x14ac:dyDescent="0.3">
      <c r="K4992" s="16">
        <f t="shared" si="77"/>
        <v>44223</v>
      </c>
      <c r="L4992" s="17">
        <v>0.91666666666666663</v>
      </c>
      <c r="M4992" s="14">
        <v>396</v>
      </c>
      <c r="N4992" s="14">
        <v>680</v>
      </c>
      <c r="O4992" s="14">
        <v>0</v>
      </c>
      <c r="P4992" s="14">
        <v>1076</v>
      </c>
      <c r="Q4992">
        <v>12274</v>
      </c>
      <c r="R4992">
        <v>2817</v>
      </c>
      <c r="S4992">
        <v>0</v>
      </c>
    </row>
    <row r="4993" spans="11:19" x14ac:dyDescent="0.3">
      <c r="K4993" s="16">
        <f t="shared" si="77"/>
        <v>44223</v>
      </c>
      <c r="L4993" s="17">
        <v>0.95833333333333337</v>
      </c>
      <c r="M4993" s="14">
        <v>396</v>
      </c>
      <c r="N4993" s="14">
        <v>689</v>
      </c>
      <c r="O4993" s="14">
        <v>0</v>
      </c>
      <c r="P4993" s="14">
        <v>1085</v>
      </c>
      <c r="Q4993">
        <v>12376</v>
      </c>
      <c r="R4993">
        <v>2908</v>
      </c>
      <c r="S4993">
        <v>0</v>
      </c>
    </row>
    <row r="4994" spans="11:19" x14ac:dyDescent="0.3">
      <c r="K4994" s="16">
        <f t="shared" si="77"/>
        <v>44224</v>
      </c>
      <c r="L4994" s="17">
        <v>0</v>
      </c>
      <c r="M4994" s="14">
        <v>396</v>
      </c>
      <c r="N4994" s="14">
        <v>0</v>
      </c>
      <c r="O4994" s="14">
        <v>0</v>
      </c>
      <c r="P4994" s="14">
        <v>396</v>
      </c>
      <c r="Q4994">
        <v>11832</v>
      </c>
      <c r="R4994">
        <v>3027</v>
      </c>
      <c r="S4994">
        <v>0</v>
      </c>
    </row>
    <row r="4995" spans="11:19" x14ac:dyDescent="0.3">
      <c r="K4995" s="16">
        <f t="shared" si="77"/>
        <v>44224</v>
      </c>
      <c r="L4995" s="17">
        <v>4.1666666666666664E-2</v>
      </c>
      <c r="M4995" s="14">
        <v>396</v>
      </c>
      <c r="N4995" s="14">
        <v>0</v>
      </c>
      <c r="O4995" s="14">
        <v>0</v>
      </c>
      <c r="P4995" s="14">
        <v>396</v>
      </c>
      <c r="Q4995">
        <v>11557</v>
      </c>
      <c r="R4995">
        <v>2736</v>
      </c>
      <c r="S4995">
        <v>0</v>
      </c>
    </row>
    <row r="4996" spans="11:19" x14ac:dyDescent="0.3">
      <c r="K4996" s="16">
        <f t="shared" si="77"/>
        <v>44224</v>
      </c>
      <c r="L4996" s="17">
        <v>8.3333333333333329E-2</v>
      </c>
      <c r="M4996" s="14">
        <v>396</v>
      </c>
      <c r="N4996" s="14">
        <v>0</v>
      </c>
      <c r="O4996" s="14">
        <v>0</v>
      </c>
      <c r="P4996" s="14">
        <v>396</v>
      </c>
      <c r="Q4996">
        <v>11262</v>
      </c>
      <c r="R4996">
        <v>3387</v>
      </c>
      <c r="S4996">
        <v>0</v>
      </c>
    </row>
    <row r="4997" spans="11:19" x14ac:dyDescent="0.3">
      <c r="K4997" s="16">
        <f t="shared" si="77"/>
        <v>44224</v>
      </c>
      <c r="L4997" s="17">
        <v>0.125</v>
      </c>
      <c r="M4997" s="14">
        <v>396</v>
      </c>
      <c r="N4997" s="14">
        <v>0</v>
      </c>
      <c r="O4997" s="14">
        <v>0</v>
      </c>
      <c r="P4997" s="14">
        <v>396</v>
      </c>
      <c r="Q4997">
        <v>10791</v>
      </c>
      <c r="R4997">
        <v>3419</v>
      </c>
      <c r="S4997">
        <v>0</v>
      </c>
    </row>
    <row r="4998" spans="11:19" x14ac:dyDescent="0.3">
      <c r="K4998" s="16">
        <f t="shared" si="77"/>
        <v>44224</v>
      </c>
      <c r="L4998" s="17">
        <v>0.16666666666666666</v>
      </c>
      <c r="M4998" s="14">
        <v>396</v>
      </c>
      <c r="N4998" s="14">
        <v>0</v>
      </c>
      <c r="O4998" s="14">
        <v>0</v>
      </c>
      <c r="P4998" s="14">
        <v>396</v>
      </c>
      <c r="Q4998">
        <v>10676</v>
      </c>
      <c r="R4998">
        <v>3455</v>
      </c>
      <c r="S4998">
        <v>0</v>
      </c>
    </row>
    <row r="4999" spans="11:19" x14ac:dyDescent="0.3">
      <c r="K4999" s="16">
        <f t="shared" si="77"/>
        <v>44224</v>
      </c>
      <c r="L4999" s="17">
        <v>0.20833333333333334</v>
      </c>
      <c r="M4999" s="14">
        <v>396</v>
      </c>
      <c r="N4999" s="14">
        <v>0</v>
      </c>
      <c r="O4999" s="14">
        <v>0</v>
      </c>
      <c r="P4999" s="14">
        <v>396</v>
      </c>
      <c r="Q4999">
        <v>11156</v>
      </c>
      <c r="R4999">
        <v>3419</v>
      </c>
      <c r="S4999">
        <v>0</v>
      </c>
    </row>
    <row r="5000" spans="11:19" x14ac:dyDescent="0.3">
      <c r="K5000" s="16">
        <f t="shared" si="77"/>
        <v>44224</v>
      </c>
      <c r="L5000" s="17">
        <v>0.25</v>
      </c>
      <c r="M5000" s="14">
        <v>396</v>
      </c>
      <c r="N5000" s="14">
        <v>0</v>
      </c>
      <c r="O5000" s="14">
        <v>0</v>
      </c>
      <c r="P5000" s="14">
        <v>396</v>
      </c>
      <c r="Q5000">
        <v>12338</v>
      </c>
      <c r="R5000">
        <v>3230</v>
      </c>
      <c r="S5000">
        <v>0</v>
      </c>
    </row>
    <row r="5001" spans="11:19" x14ac:dyDescent="0.3">
      <c r="K5001" s="16">
        <f t="shared" si="77"/>
        <v>44224</v>
      </c>
      <c r="L5001" s="17">
        <v>0.29166666666666669</v>
      </c>
      <c r="M5001" s="14">
        <v>396</v>
      </c>
      <c r="N5001" s="14">
        <v>0</v>
      </c>
      <c r="O5001" s="14">
        <v>0</v>
      </c>
      <c r="P5001" s="14">
        <v>396</v>
      </c>
      <c r="Q5001">
        <v>13304</v>
      </c>
      <c r="R5001">
        <v>3220</v>
      </c>
      <c r="S5001">
        <v>0</v>
      </c>
    </row>
    <row r="5002" spans="11:19" x14ac:dyDescent="0.3">
      <c r="K5002" s="16">
        <f t="shared" si="77"/>
        <v>44224</v>
      </c>
      <c r="L5002" s="17">
        <v>0.33333333333333331</v>
      </c>
      <c r="M5002" s="14">
        <v>396</v>
      </c>
      <c r="N5002" s="14">
        <v>1277</v>
      </c>
      <c r="O5002" s="14">
        <v>0</v>
      </c>
      <c r="P5002" s="14">
        <v>1673</v>
      </c>
      <c r="Q5002">
        <v>13585</v>
      </c>
      <c r="R5002">
        <v>2952</v>
      </c>
      <c r="S5002">
        <v>32</v>
      </c>
    </row>
    <row r="5003" spans="11:19" x14ac:dyDescent="0.3">
      <c r="K5003" s="16">
        <f t="shared" si="77"/>
        <v>44224</v>
      </c>
      <c r="L5003" s="17">
        <v>0.375</v>
      </c>
      <c r="M5003" s="14">
        <v>396</v>
      </c>
      <c r="N5003" s="14">
        <v>0</v>
      </c>
      <c r="O5003" s="14">
        <v>0</v>
      </c>
      <c r="P5003" s="14">
        <v>396</v>
      </c>
      <c r="Q5003">
        <v>13679</v>
      </c>
      <c r="R5003">
        <v>2925</v>
      </c>
      <c r="S5003">
        <v>204</v>
      </c>
    </row>
    <row r="5004" spans="11:19" x14ac:dyDescent="0.3">
      <c r="K5004" s="16">
        <f t="shared" si="77"/>
        <v>44224</v>
      </c>
      <c r="L5004" s="17">
        <v>0.41666666666666669</v>
      </c>
      <c r="M5004" s="14">
        <v>396</v>
      </c>
      <c r="N5004" s="14">
        <v>0</v>
      </c>
      <c r="O5004" s="14">
        <v>0</v>
      </c>
      <c r="P5004" s="14">
        <v>396</v>
      </c>
      <c r="Q5004">
        <v>13727</v>
      </c>
      <c r="R5004">
        <v>2912</v>
      </c>
      <c r="S5004">
        <v>465</v>
      </c>
    </row>
    <row r="5005" spans="11:19" x14ac:dyDescent="0.3">
      <c r="K5005" s="16">
        <f t="shared" si="77"/>
        <v>44224</v>
      </c>
      <c r="L5005" s="17">
        <v>0.45833333333333331</v>
      </c>
      <c r="M5005" s="14">
        <v>396</v>
      </c>
      <c r="N5005" s="14">
        <v>1277</v>
      </c>
      <c r="O5005" s="14">
        <v>0</v>
      </c>
      <c r="P5005" s="14">
        <v>1673</v>
      </c>
      <c r="Q5005">
        <v>13837</v>
      </c>
      <c r="R5005">
        <v>3054</v>
      </c>
      <c r="S5005">
        <v>568</v>
      </c>
    </row>
    <row r="5006" spans="11:19" x14ac:dyDescent="0.3">
      <c r="K5006" s="16">
        <f t="shared" si="77"/>
        <v>44224</v>
      </c>
      <c r="L5006" s="17">
        <v>0.5</v>
      </c>
      <c r="M5006" s="14">
        <v>396</v>
      </c>
      <c r="N5006" s="14">
        <v>1201</v>
      </c>
      <c r="O5006" s="14">
        <v>0</v>
      </c>
      <c r="P5006" s="14">
        <v>1597</v>
      </c>
      <c r="Q5006">
        <v>13819</v>
      </c>
      <c r="R5006">
        <v>3173</v>
      </c>
      <c r="S5006">
        <v>663</v>
      </c>
    </row>
    <row r="5007" spans="11:19" x14ac:dyDescent="0.3">
      <c r="K5007" s="16">
        <f t="shared" si="77"/>
        <v>44224</v>
      </c>
      <c r="L5007" s="17">
        <v>0.54166666666666663</v>
      </c>
      <c r="M5007" s="14">
        <v>396</v>
      </c>
      <c r="N5007" s="14">
        <v>645</v>
      </c>
      <c r="O5007" s="14">
        <v>0</v>
      </c>
      <c r="P5007" s="14">
        <v>1041</v>
      </c>
      <c r="Q5007">
        <v>13530</v>
      </c>
      <c r="R5007">
        <v>3473</v>
      </c>
      <c r="S5007">
        <v>631</v>
      </c>
    </row>
    <row r="5008" spans="11:19" x14ac:dyDescent="0.3">
      <c r="K5008" s="16">
        <f t="shared" si="77"/>
        <v>44224</v>
      </c>
      <c r="L5008" s="17">
        <v>0.58333333333333337</v>
      </c>
      <c r="M5008" s="14">
        <v>396</v>
      </c>
      <c r="N5008" s="14">
        <v>0</v>
      </c>
      <c r="O5008" s="14">
        <v>0</v>
      </c>
      <c r="P5008" s="14">
        <v>396</v>
      </c>
      <c r="Q5008">
        <v>13249</v>
      </c>
      <c r="R5008">
        <v>3476</v>
      </c>
      <c r="S5008">
        <v>594</v>
      </c>
    </row>
    <row r="5009" spans="11:19" x14ac:dyDescent="0.3">
      <c r="K5009" s="16">
        <f t="shared" si="77"/>
        <v>44224</v>
      </c>
      <c r="L5009" s="17">
        <v>0.625</v>
      </c>
      <c r="M5009" s="14">
        <v>396</v>
      </c>
      <c r="N5009" s="14">
        <v>0</v>
      </c>
      <c r="O5009" s="14">
        <v>0</v>
      </c>
      <c r="P5009" s="14">
        <v>396</v>
      </c>
      <c r="Q5009">
        <v>12965</v>
      </c>
      <c r="R5009">
        <v>3637</v>
      </c>
      <c r="S5009">
        <v>551</v>
      </c>
    </row>
    <row r="5010" spans="11:19" x14ac:dyDescent="0.3">
      <c r="K5010" s="16">
        <f t="shared" si="77"/>
        <v>44224</v>
      </c>
      <c r="L5010" s="17">
        <v>0.66666666666666663</v>
      </c>
      <c r="M5010" s="14">
        <v>396</v>
      </c>
      <c r="N5010" s="14">
        <v>0</v>
      </c>
      <c r="O5010" s="14">
        <v>0</v>
      </c>
      <c r="P5010" s="14">
        <v>396</v>
      </c>
      <c r="Q5010">
        <v>12849</v>
      </c>
      <c r="R5010">
        <v>3802</v>
      </c>
      <c r="S5010">
        <v>247</v>
      </c>
    </row>
    <row r="5011" spans="11:19" x14ac:dyDescent="0.3">
      <c r="K5011" s="16">
        <f t="shared" si="77"/>
        <v>44224</v>
      </c>
      <c r="L5011" s="17">
        <v>0.70833333333333337</v>
      </c>
      <c r="M5011" s="14">
        <v>396</v>
      </c>
      <c r="N5011" s="14">
        <v>233</v>
      </c>
      <c r="O5011" s="14">
        <v>0</v>
      </c>
      <c r="P5011" s="14">
        <v>629</v>
      </c>
      <c r="Q5011">
        <v>13185</v>
      </c>
      <c r="R5011">
        <v>4133</v>
      </c>
      <c r="S5011">
        <v>34</v>
      </c>
    </row>
    <row r="5012" spans="11:19" x14ac:dyDescent="0.3">
      <c r="K5012" s="16">
        <f t="shared" si="77"/>
        <v>44224</v>
      </c>
      <c r="L5012" s="17">
        <v>0.75</v>
      </c>
      <c r="M5012" s="14">
        <v>396</v>
      </c>
      <c r="N5012" s="14">
        <v>0</v>
      </c>
      <c r="O5012" s="14">
        <v>0</v>
      </c>
      <c r="P5012" s="14">
        <v>396</v>
      </c>
      <c r="Q5012">
        <v>14002</v>
      </c>
      <c r="R5012">
        <v>4275</v>
      </c>
      <c r="S5012">
        <v>0</v>
      </c>
    </row>
    <row r="5013" spans="11:19" x14ac:dyDescent="0.3">
      <c r="K5013" s="16">
        <f t="shared" si="77"/>
        <v>44224</v>
      </c>
      <c r="L5013" s="17">
        <v>0.79166666666666663</v>
      </c>
      <c r="M5013" s="14">
        <v>396</v>
      </c>
      <c r="N5013" s="14">
        <v>0</v>
      </c>
      <c r="O5013" s="14">
        <v>0</v>
      </c>
      <c r="P5013" s="14">
        <v>396</v>
      </c>
      <c r="Q5013">
        <v>13802</v>
      </c>
      <c r="R5013">
        <v>4256</v>
      </c>
      <c r="S5013">
        <v>0</v>
      </c>
    </row>
    <row r="5014" spans="11:19" x14ac:dyDescent="0.3">
      <c r="K5014" s="16">
        <f t="shared" si="77"/>
        <v>44224</v>
      </c>
      <c r="L5014" s="17">
        <v>0.83333333333333337</v>
      </c>
      <c r="M5014" s="14">
        <v>396</v>
      </c>
      <c r="N5014" s="14">
        <v>0</v>
      </c>
      <c r="O5014" s="14">
        <v>0</v>
      </c>
      <c r="P5014" s="14">
        <v>396</v>
      </c>
      <c r="Q5014">
        <v>13014</v>
      </c>
      <c r="R5014">
        <v>4318</v>
      </c>
      <c r="S5014">
        <v>0</v>
      </c>
    </row>
    <row r="5015" spans="11:19" x14ac:dyDescent="0.3">
      <c r="K5015" s="16">
        <f t="shared" si="77"/>
        <v>44224</v>
      </c>
      <c r="L5015" s="17">
        <v>0.875</v>
      </c>
      <c r="M5015" s="14">
        <v>396</v>
      </c>
      <c r="N5015" s="14">
        <v>0</v>
      </c>
      <c r="O5015" s="14">
        <v>0</v>
      </c>
      <c r="P5015" s="14">
        <v>396</v>
      </c>
      <c r="Q5015">
        <v>12316</v>
      </c>
      <c r="R5015">
        <v>4188</v>
      </c>
      <c r="S5015">
        <v>0</v>
      </c>
    </row>
    <row r="5016" spans="11:19" x14ac:dyDescent="0.3">
      <c r="K5016" s="16">
        <f t="shared" si="77"/>
        <v>44224</v>
      </c>
      <c r="L5016" s="17">
        <v>0.91666666666666663</v>
      </c>
      <c r="M5016" s="14">
        <v>396</v>
      </c>
      <c r="N5016" s="14">
        <v>0</v>
      </c>
      <c r="O5016" s="14">
        <v>0</v>
      </c>
      <c r="P5016" s="14">
        <v>396</v>
      </c>
      <c r="Q5016">
        <v>12481</v>
      </c>
      <c r="R5016">
        <v>3835</v>
      </c>
      <c r="S5016">
        <v>0</v>
      </c>
    </row>
    <row r="5017" spans="11:19" x14ac:dyDescent="0.3">
      <c r="K5017" s="16">
        <f t="shared" si="77"/>
        <v>44224</v>
      </c>
      <c r="L5017" s="17">
        <v>0.95833333333333337</v>
      </c>
      <c r="M5017" s="14">
        <v>396</v>
      </c>
      <c r="N5017" s="14">
        <v>0</v>
      </c>
      <c r="O5017" s="14">
        <v>0</v>
      </c>
      <c r="P5017" s="14">
        <v>396</v>
      </c>
      <c r="Q5017">
        <v>12612</v>
      </c>
      <c r="R5017">
        <v>3886</v>
      </c>
      <c r="S5017">
        <v>0</v>
      </c>
    </row>
    <row r="5018" spans="11:19" x14ac:dyDescent="0.3">
      <c r="K5018" s="16">
        <f t="shared" si="77"/>
        <v>44225</v>
      </c>
      <c r="L5018" s="17">
        <v>0</v>
      </c>
      <c r="M5018" s="14">
        <v>396</v>
      </c>
      <c r="N5018" s="14">
        <v>0</v>
      </c>
      <c r="O5018" s="14">
        <v>0</v>
      </c>
      <c r="P5018" s="14">
        <v>396</v>
      </c>
      <c r="Q5018">
        <v>12194</v>
      </c>
      <c r="R5018">
        <v>3685</v>
      </c>
      <c r="S5018">
        <v>0</v>
      </c>
    </row>
    <row r="5019" spans="11:19" x14ac:dyDescent="0.3">
      <c r="K5019" s="16">
        <f t="shared" ref="K5019:K5082" si="78">K4995+1</f>
        <v>44225</v>
      </c>
      <c r="L5019" s="17">
        <v>4.1666666666666664E-2</v>
      </c>
      <c r="M5019" s="14">
        <v>396</v>
      </c>
      <c r="N5019" s="14">
        <v>0</v>
      </c>
      <c r="O5019" s="14">
        <v>0</v>
      </c>
      <c r="P5019" s="14">
        <v>396</v>
      </c>
      <c r="Q5019">
        <v>11930</v>
      </c>
      <c r="R5019">
        <v>3551</v>
      </c>
      <c r="S5019">
        <v>0</v>
      </c>
    </row>
    <row r="5020" spans="11:19" x14ac:dyDescent="0.3">
      <c r="K5020" s="16">
        <f t="shared" si="78"/>
        <v>44225</v>
      </c>
      <c r="L5020" s="17">
        <v>8.3333333333333329E-2</v>
      </c>
      <c r="M5020" s="14">
        <v>396</v>
      </c>
      <c r="N5020" s="14">
        <v>0</v>
      </c>
      <c r="O5020" s="14">
        <v>0</v>
      </c>
      <c r="P5020" s="14">
        <v>396</v>
      </c>
      <c r="Q5020">
        <v>11671</v>
      </c>
      <c r="R5020">
        <v>3286</v>
      </c>
      <c r="S5020">
        <v>0</v>
      </c>
    </row>
    <row r="5021" spans="11:19" x14ac:dyDescent="0.3">
      <c r="K5021" s="16">
        <f t="shared" si="78"/>
        <v>44225</v>
      </c>
      <c r="L5021" s="17">
        <v>0.125</v>
      </c>
      <c r="M5021" s="14">
        <v>396</v>
      </c>
      <c r="N5021" s="14">
        <v>0</v>
      </c>
      <c r="O5021" s="14">
        <v>0</v>
      </c>
      <c r="P5021" s="14">
        <v>396</v>
      </c>
      <c r="Q5021">
        <v>11259</v>
      </c>
      <c r="R5021">
        <v>3002</v>
      </c>
      <c r="S5021">
        <v>0</v>
      </c>
    </row>
    <row r="5022" spans="11:19" x14ac:dyDescent="0.3">
      <c r="K5022" s="16">
        <f t="shared" si="78"/>
        <v>44225</v>
      </c>
      <c r="L5022" s="17">
        <v>0.16666666666666666</v>
      </c>
      <c r="M5022" s="14">
        <v>396</v>
      </c>
      <c r="N5022" s="14">
        <v>0</v>
      </c>
      <c r="O5022" s="14">
        <v>0</v>
      </c>
      <c r="P5022" s="14">
        <v>396</v>
      </c>
      <c r="Q5022">
        <v>11200</v>
      </c>
      <c r="R5022">
        <v>2578</v>
      </c>
      <c r="S5022">
        <v>0</v>
      </c>
    </row>
    <row r="5023" spans="11:19" x14ac:dyDescent="0.3">
      <c r="K5023" s="16">
        <f t="shared" si="78"/>
        <v>44225</v>
      </c>
      <c r="L5023" s="17">
        <v>0.20833333333333334</v>
      </c>
      <c r="M5023" s="14">
        <v>396</v>
      </c>
      <c r="N5023" s="14">
        <v>626</v>
      </c>
      <c r="O5023" s="14">
        <v>0</v>
      </c>
      <c r="P5023" s="14">
        <v>1022</v>
      </c>
      <c r="Q5023">
        <v>11747</v>
      </c>
      <c r="R5023">
        <v>2353</v>
      </c>
      <c r="S5023">
        <v>0</v>
      </c>
    </row>
    <row r="5024" spans="11:19" x14ac:dyDescent="0.3">
      <c r="K5024" s="16">
        <f t="shared" si="78"/>
        <v>44225</v>
      </c>
      <c r="L5024" s="17">
        <v>0.25</v>
      </c>
      <c r="M5024" s="14">
        <v>396</v>
      </c>
      <c r="N5024" s="14">
        <v>1516</v>
      </c>
      <c r="O5024" s="14">
        <v>0</v>
      </c>
      <c r="P5024" s="14">
        <v>1912</v>
      </c>
      <c r="Q5024">
        <v>12967</v>
      </c>
      <c r="R5024">
        <v>1955</v>
      </c>
      <c r="S5024">
        <v>0</v>
      </c>
    </row>
    <row r="5025" spans="11:19" x14ac:dyDescent="0.3">
      <c r="K5025" s="16">
        <f t="shared" si="78"/>
        <v>44225</v>
      </c>
      <c r="L5025" s="17">
        <v>0.29166666666666669</v>
      </c>
      <c r="M5025" s="14">
        <v>396</v>
      </c>
      <c r="N5025" s="14">
        <v>1516</v>
      </c>
      <c r="O5025" s="14">
        <v>0</v>
      </c>
      <c r="P5025" s="14">
        <v>1912</v>
      </c>
      <c r="Q5025">
        <v>14028</v>
      </c>
      <c r="R5025">
        <v>1773</v>
      </c>
      <c r="S5025">
        <v>0</v>
      </c>
    </row>
    <row r="5026" spans="11:19" x14ac:dyDescent="0.3">
      <c r="K5026" s="16">
        <f t="shared" si="78"/>
        <v>44225</v>
      </c>
      <c r="L5026" s="17">
        <v>0.33333333333333331</v>
      </c>
      <c r="M5026" s="14">
        <v>396</v>
      </c>
      <c r="N5026" s="14">
        <v>1516</v>
      </c>
      <c r="O5026" s="14">
        <v>0</v>
      </c>
      <c r="P5026" s="14">
        <v>1912</v>
      </c>
      <c r="Q5026">
        <v>14304</v>
      </c>
      <c r="R5026">
        <v>1514</v>
      </c>
      <c r="S5026">
        <v>42</v>
      </c>
    </row>
    <row r="5027" spans="11:19" x14ac:dyDescent="0.3">
      <c r="K5027" s="16">
        <f t="shared" si="78"/>
        <v>44225</v>
      </c>
      <c r="L5027" s="17">
        <v>0.375</v>
      </c>
      <c r="M5027" s="14">
        <v>396</v>
      </c>
      <c r="N5027" s="14">
        <v>1516</v>
      </c>
      <c r="O5027" s="14">
        <v>0</v>
      </c>
      <c r="P5027" s="14">
        <v>1912</v>
      </c>
      <c r="Q5027">
        <v>14401</v>
      </c>
      <c r="R5027">
        <v>1621</v>
      </c>
      <c r="S5027">
        <v>279</v>
      </c>
    </row>
    <row r="5028" spans="11:19" x14ac:dyDescent="0.3">
      <c r="K5028" s="16">
        <f t="shared" si="78"/>
        <v>44225</v>
      </c>
      <c r="L5028" s="17">
        <v>0.41666666666666669</v>
      </c>
      <c r="M5028" s="14">
        <v>396</v>
      </c>
      <c r="N5028" s="14">
        <v>167</v>
      </c>
      <c r="O5028" s="14">
        <v>0</v>
      </c>
      <c r="P5028" s="14">
        <v>563</v>
      </c>
      <c r="Q5028">
        <v>14407</v>
      </c>
      <c r="R5028">
        <v>1922</v>
      </c>
      <c r="S5028">
        <v>640</v>
      </c>
    </row>
    <row r="5029" spans="11:19" x14ac:dyDescent="0.3">
      <c r="K5029" s="16">
        <f t="shared" si="78"/>
        <v>44225</v>
      </c>
      <c r="L5029" s="17">
        <v>0.45833333333333331</v>
      </c>
      <c r="M5029" s="14">
        <v>396</v>
      </c>
      <c r="N5029" s="14">
        <v>0</v>
      </c>
      <c r="O5029" s="14">
        <v>0</v>
      </c>
      <c r="P5029" s="14">
        <v>396</v>
      </c>
      <c r="Q5029">
        <v>14472</v>
      </c>
      <c r="R5029">
        <v>2361</v>
      </c>
      <c r="S5029">
        <v>840</v>
      </c>
    </row>
    <row r="5030" spans="11:19" x14ac:dyDescent="0.3">
      <c r="K5030" s="16">
        <f t="shared" si="78"/>
        <v>44225</v>
      </c>
      <c r="L5030" s="17">
        <v>0.5</v>
      </c>
      <c r="M5030" s="14">
        <v>396</v>
      </c>
      <c r="N5030" s="14">
        <v>0</v>
      </c>
      <c r="O5030" s="14">
        <v>0</v>
      </c>
      <c r="P5030" s="14">
        <v>396</v>
      </c>
      <c r="Q5030">
        <v>14433</v>
      </c>
      <c r="R5030">
        <v>2801</v>
      </c>
      <c r="S5030">
        <v>931</v>
      </c>
    </row>
    <row r="5031" spans="11:19" x14ac:dyDescent="0.3">
      <c r="K5031" s="16">
        <f t="shared" si="78"/>
        <v>44225</v>
      </c>
      <c r="L5031" s="17">
        <v>0.54166666666666663</v>
      </c>
      <c r="M5031" s="14">
        <v>396</v>
      </c>
      <c r="N5031" s="14">
        <v>0</v>
      </c>
      <c r="O5031" s="14">
        <v>0</v>
      </c>
      <c r="P5031" s="14">
        <v>396</v>
      </c>
      <c r="Q5031">
        <v>14056</v>
      </c>
      <c r="R5031">
        <v>3272</v>
      </c>
      <c r="S5031">
        <v>915</v>
      </c>
    </row>
    <row r="5032" spans="11:19" x14ac:dyDescent="0.3">
      <c r="K5032" s="16">
        <f t="shared" si="78"/>
        <v>44225</v>
      </c>
      <c r="L5032" s="17">
        <v>0.58333333333333337</v>
      </c>
      <c r="M5032" s="14">
        <v>396</v>
      </c>
      <c r="N5032" s="14">
        <v>0</v>
      </c>
      <c r="O5032" s="14">
        <v>0</v>
      </c>
      <c r="P5032" s="14">
        <v>396</v>
      </c>
      <c r="Q5032">
        <v>13703</v>
      </c>
      <c r="R5032">
        <v>3708</v>
      </c>
      <c r="S5032">
        <v>802</v>
      </c>
    </row>
    <row r="5033" spans="11:19" x14ac:dyDescent="0.3">
      <c r="K5033" s="16">
        <f t="shared" si="78"/>
        <v>44225</v>
      </c>
      <c r="L5033" s="17">
        <v>0.625</v>
      </c>
      <c r="M5033" s="14">
        <v>396</v>
      </c>
      <c r="N5033" s="14">
        <v>0</v>
      </c>
      <c r="O5033" s="14">
        <v>0</v>
      </c>
      <c r="P5033" s="14">
        <v>396</v>
      </c>
      <c r="Q5033">
        <v>13324</v>
      </c>
      <c r="R5033">
        <v>4051</v>
      </c>
      <c r="S5033">
        <v>531</v>
      </c>
    </row>
    <row r="5034" spans="11:19" x14ac:dyDescent="0.3">
      <c r="K5034" s="16">
        <f t="shared" si="78"/>
        <v>44225</v>
      </c>
      <c r="L5034" s="17">
        <v>0.66666666666666663</v>
      </c>
      <c r="M5034" s="14">
        <v>396</v>
      </c>
      <c r="N5034" s="14">
        <v>0</v>
      </c>
      <c r="O5034" s="14">
        <v>0</v>
      </c>
      <c r="P5034" s="14">
        <v>396</v>
      </c>
      <c r="Q5034">
        <v>13152</v>
      </c>
      <c r="R5034">
        <v>4166</v>
      </c>
      <c r="S5034">
        <v>232</v>
      </c>
    </row>
    <row r="5035" spans="11:19" x14ac:dyDescent="0.3">
      <c r="K5035" s="16">
        <f t="shared" si="78"/>
        <v>44225</v>
      </c>
      <c r="L5035" s="17">
        <v>0.70833333333333337</v>
      </c>
      <c r="M5035" s="14">
        <v>396</v>
      </c>
      <c r="N5035" s="14">
        <v>0</v>
      </c>
      <c r="O5035" s="14">
        <v>0</v>
      </c>
      <c r="P5035" s="14">
        <v>396</v>
      </c>
      <c r="Q5035">
        <v>13400</v>
      </c>
      <c r="R5035">
        <v>4634</v>
      </c>
      <c r="S5035">
        <v>36</v>
      </c>
    </row>
    <row r="5036" spans="11:19" x14ac:dyDescent="0.3">
      <c r="K5036" s="16">
        <f t="shared" si="78"/>
        <v>44225</v>
      </c>
      <c r="L5036" s="17">
        <v>0.75</v>
      </c>
      <c r="M5036" s="14">
        <v>396</v>
      </c>
      <c r="N5036" s="14">
        <v>259</v>
      </c>
      <c r="O5036" s="14">
        <v>0</v>
      </c>
      <c r="P5036" s="14">
        <v>655</v>
      </c>
      <c r="Q5036">
        <v>13934</v>
      </c>
      <c r="R5036">
        <v>4892</v>
      </c>
      <c r="S5036">
        <v>0</v>
      </c>
    </row>
    <row r="5037" spans="11:19" x14ac:dyDescent="0.3">
      <c r="K5037" s="16">
        <f t="shared" si="78"/>
        <v>44225</v>
      </c>
      <c r="L5037" s="17">
        <v>0.79166666666666663</v>
      </c>
      <c r="M5037" s="14">
        <v>396</v>
      </c>
      <c r="N5037" s="14">
        <v>121</v>
      </c>
      <c r="O5037" s="14">
        <v>0</v>
      </c>
      <c r="P5037" s="14">
        <v>517</v>
      </c>
      <c r="Q5037">
        <v>13841</v>
      </c>
      <c r="R5037">
        <v>4939</v>
      </c>
      <c r="S5037">
        <v>0</v>
      </c>
    </row>
    <row r="5038" spans="11:19" x14ac:dyDescent="0.3">
      <c r="K5038" s="16">
        <f t="shared" si="78"/>
        <v>44225</v>
      </c>
      <c r="L5038" s="17">
        <v>0.83333333333333337</v>
      </c>
      <c r="M5038" s="14">
        <v>396</v>
      </c>
      <c r="N5038" s="14">
        <v>0</v>
      </c>
      <c r="O5038" s="14">
        <v>0</v>
      </c>
      <c r="P5038" s="14">
        <v>396</v>
      </c>
      <c r="Q5038">
        <v>12991</v>
      </c>
      <c r="R5038">
        <v>4747</v>
      </c>
      <c r="S5038">
        <v>0</v>
      </c>
    </row>
    <row r="5039" spans="11:19" x14ac:dyDescent="0.3">
      <c r="K5039" s="16">
        <f t="shared" si="78"/>
        <v>44225</v>
      </c>
      <c r="L5039" s="17">
        <v>0.875</v>
      </c>
      <c r="M5039" s="14">
        <v>396</v>
      </c>
      <c r="N5039" s="14">
        <v>0</v>
      </c>
      <c r="O5039" s="14">
        <v>0</v>
      </c>
      <c r="P5039" s="14">
        <v>396</v>
      </c>
      <c r="Q5039">
        <v>12268</v>
      </c>
      <c r="R5039">
        <v>4583</v>
      </c>
      <c r="S5039">
        <v>0</v>
      </c>
    </row>
    <row r="5040" spans="11:19" x14ac:dyDescent="0.3">
      <c r="K5040" s="16">
        <f t="shared" si="78"/>
        <v>44225</v>
      </c>
      <c r="L5040" s="17">
        <v>0.91666666666666663</v>
      </c>
      <c r="M5040" s="14">
        <v>396</v>
      </c>
      <c r="N5040" s="14">
        <v>0</v>
      </c>
      <c r="O5040" s="14">
        <v>0</v>
      </c>
      <c r="P5040" s="14">
        <v>396</v>
      </c>
      <c r="Q5040">
        <v>12472</v>
      </c>
      <c r="R5040">
        <v>4406</v>
      </c>
      <c r="S5040">
        <v>0</v>
      </c>
    </row>
    <row r="5041" spans="11:19" x14ac:dyDescent="0.3">
      <c r="K5041" s="16">
        <f t="shared" si="78"/>
        <v>44225</v>
      </c>
      <c r="L5041" s="17">
        <v>0.95833333333333337</v>
      </c>
      <c r="M5041" s="14">
        <v>396</v>
      </c>
      <c r="N5041" s="14">
        <v>0</v>
      </c>
      <c r="O5041" s="14">
        <v>0</v>
      </c>
      <c r="P5041" s="14">
        <v>396</v>
      </c>
      <c r="Q5041">
        <v>12587</v>
      </c>
      <c r="R5041">
        <v>4425</v>
      </c>
      <c r="S5041">
        <v>0</v>
      </c>
    </row>
    <row r="5042" spans="11:19" x14ac:dyDescent="0.3">
      <c r="K5042" s="16">
        <f t="shared" si="78"/>
        <v>44226</v>
      </c>
      <c r="L5042" s="17">
        <v>0</v>
      </c>
      <c r="M5042" s="14">
        <v>396</v>
      </c>
      <c r="N5042" s="14">
        <v>0</v>
      </c>
      <c r="O5042" s="14">
        <v>0</v>
      </c>
      <c r="P5042" s="14">
        <v>396</v>
      </c>
      <c r="Q5042">
        <v>12006</v>
      </c>
      <c r="R5042">
        <v>4104</v>
      </c>
      <c r="S5042">
        <v>0</v>
      </c>
    </row>
    <row r="5043" spans="11:19" x14ac:dyDescent="0.3">
      <c r="K5043" s="16">
        <f t="shared" si="78"/>
        <v>44226</v>
      </c>
      <c r="L5043" s="17">
        <v>4.1666666666666664E-2</v>
      </c>
      <c r="M5043" s="14">
        <v>396</v>
      </c>
      <c r="N5043" s="14">
        <v>0</v>
      </c>
      <c r="O5043" s="14">
        <v>0</v>
      </c>
      <c r="P5043" s="14">
        <v>396</v>
      </c>
      <c r="Q5043">
        <v>11611</v>
      </c>
      <c r="R5043">
        <v>4170</v>
      </c>
      <c r="S5043">
        <v>0</v>
      </c>
    </row>
    <row r="5044" spans="11:19" x14ac:dyDescent="0.3">
      <c r="K5044" s="16">
        <f t="shared" si="78"/>
        <v>44226</v>
      </c>
      <c r="L5044" s="17">
        <v>8.3333333333333329E-2</v>
      </c>
      <c r="M5044" s="14">
        <v>396</v>
      </c>
      <c r="N5044" s="14">
        <v>0</v>
      </c>
      <c r="O5044" s="14">
        <v>0</v>
      </c>
      <c r="P5044" s="14">
        <v>396</v>
      </c>
      <c r="Q5044">
        <v>11260</v>
      </c>
      <c r="R5044">
        <v>4144</v>
      </c>
      <c r="S5044">
        <v>0</v>
      </c>
    </row>
    <row r="5045" spans="11:19" x14ac:dyDescent="0.3">
      <c r="K5045" s="16">
        <f t="shared" si="78"/>
        <v>44226</v>
      </c>
      <c r="L5045" s="17">
        <v>0.125</v>
      </c>
      <c r="M5045" s="14">
        <v>396</v>
      </c>
      <c r="N5045" s="14">
        <v>0</v>
      </c>
      <c r="O5045" s="14">
        <v>0</v>
      </c>
      <c r="P5045" s="14">
        <v>396</v>
      </c>
      <c r="Q5045">
        <v>10747</v>
      </c>
      <c r="R5045">
        <v>4065</v>
      </c>
      <c r="S5045">
        <v>0</v>
      </c>
    </row>
    <row r="5046" spans="11:19" x14ac:dyDescent="0.3">
      <c r="K5046" s="16">
        <f t="shared" si="78"/>
        <v>44226</v>
      </c>
      <c r="L5046" s="17">
        <v>0.16666666666666666</v>
      </c>
      <c r="M5046" s="14">
        <v>396</v>
      </c>
      <c r="N5046" s="14">
        <v>0</v>
      </c>
      <c r="O5046" s="14">
        <v>0</v>
      </c>
      <c r="P5046" s="14">
        <v>396</v>
      </c>
      <c r="Q5046">
        <v>10534</v>
      </c>
      <c r="R5046">
        <v>3701</v>
      </c>
      <c r="S5046">
        <v>0</v>
      </c>
    </row>
    <row r="5047" spans="11:19" x14ac:dyDescent="0.3">
      <c r="K5047" s="16">
        <f t="shared" si="78"/>
        <v>44226</v>
      </c>
      <c r="L5047" s="17">
        <v>0.20833333333333334</v>
      </c>
      <c r="M5047" s="14">
        <v>396</v>
      </c>
      <c r="N5047" s="14">
        <v>0</v>
      </c>
      <c r="O5047" s="14">
        <v>0</v>
      </c>
      <c r="P5047" s="14">
        <v>396</v>
      </c>
      <c r="Q5047">
        <v>10682</v>
      </c>
      <c r="R5047">
        <v>3702</v>
      </c>
      <c r="S5047">
        <v>0</v>
      </c>
    </row>
    <row r="5048" spans="11:19" x14ac:dyDescent="0.3">
      <c r="K5048" s="16">
        <f t="shared" si="78"/>
        <v>44226</v>
      </c>
      <c r="L5048" s="17">
        <v>0.25</v>
      </c>
      <c r="M5048" s="14">
        <v>396</v>
      </c>
      <c r="N5048" s="14">
        <v>0</v>
      </c>
      <c r="O5048" s="14">
        <v>0</v>
      </c>
      <c r="P5048" s="14">
        <v>396</v>
      </c>
      <c r="Q5048">
        <v>11047</v>
      </c>
      <c r="R5048">
        <v>3583</v>
      </c>
      <c r="S5048">
        <v>0</v>
      </c>
    </row>
    <row r="5049" spans="11:19" x14ac:dyDescent="0.3">
      <c r="K5049" s="16">
        <f t="shared" si="78"/>
        <v>44226</v>
      </c>
      <c r="L5049" s="17">
        <v>0.29166666666666669</v>
      </c>
      <c r="M5049" s="14">
        <v>396</v>
      </c>
      <c r="N5049" s="14">
        <v>0</v>
      </c>
      <c r="O5049" s="14">
        <v>0</v>
      </c>
      <c r="P5049" s="14">
        <v>396</v>
      </c>
      <c r="Q5049">
        <v>11446</v>
      </c>
      <c r="R5049">
        <v>3390</v>
      </c>
      <c r="S5049">
        <v>0</v>
      </c>
    </row>
    <row r="5050" spans="11:19" x14ac:dyDescent="0.3">
      <c r="K5050" s="16">
        <f t="shared" si="78"/>
        <v>44226</v>
      </c>
      <c r="L5050" s="17">
        <v>0.33333333333333331</v>
      </c>
      <c r="M5050" s="14">
        <v>396</v>
      </c>
      <c r="N5050" s="14">
        <v>0</v>
      </c>
      <c r="O5050" s="14">
        <v>0</v>
      </c>
      <c r="P5050" s="14">
        <v>396</v>
      </c>
      <c r="Q5050">
        <v>11946</v>
      </c>
      <c r="R5050">
        <v>3219</v>
      </c>
      <c r="S5050">
        <v>39</v>
      </c>
    </row>
    <row r="5051" spans="11:19" x14ac:dyDescent="0.3">
      <c r="K5051" s="16">
        <f t="shared" si="78"/>
        <v>44226</v>
      </c>
      <c r="L5051" s="17">
        <v>0.375</v>
      </c>
      <c r="M5051" s="14">
        <v>396</v>
      </c>
      <c r="N5051" s="14">
        <v>0</v>
      </c>
      <c r="O5051" s="14">
        <v>0</v>
      </c>
      <c r="P5051" s="14">
        <v>396</v>
      </c>
      <c r="Q5051">
        <v>12421</v>
      </c>
      <c r="R5051">
        <v>2883</v>
      </c>
      <c r="S5051">
        <v>281</v>
      </c>
    </row>
    <row r="5052" spans="11:19" x14ac:dyDescent="0.3">
      <c r="K5052" s="16">
        <f t="shared" si="78"/>
        <v>44226</v>
      </c>
      <c r="L5052" s="17">
        <v>0.41666666666666669</v>
      </c>
      <c r="M5052" s="14">
        <v>396</v>
      </c>
      <c r="N5052" s="14">
        <v>0</v>
      </c>
      <c r="O5052" s="14">
        <v>0</v>
      </c>
      <c r="P5052" s="14">
        <v>396</v>
      </c>
      <c r="Q5052">
        <v>12561</v>
      </c>
      <c r="R5052">
        <v>2725</v>
      </c>
      <c r="S5052">
        <v>643</v>
      </c>
    </row>
    <row r="5053" spans="11:19" x14ac:dyDescent="0.3">
      <c r="K5053" s="16">
        <f t="shared" si="78"/>
        <v>44226</v>
      </c>
      <c r="L5053" s="17">
        <v>0.45833333333333331</v>
      </c>
      <c r="M5053" s="14">
        <v>396</v>
      </c>
      <c r="N5053" s="14">
        <v>0</v>
      </c>
      <c r="O5053" s="14">
        <v>0</v>
      </c>
      <c r="P5053" s="14">
        <v>396</v>
      </c>
      <c r="Q5053">
        <v>12694</v>
      </c>
      <c r="R5053">
        <v>2619</v>
      </c>
      <c r="S5053">
        <v>882</v>
      </c>
    </row>
    <row r="5054" spans="11:19" x14ac:dyDescent="0.3">
      <c r="K5054" s="16">
        <f t="shared" si="78"/>
        <v>44226</v>
      </c>
      <c r="L5054" s="17">
        <v>0.5</v>
      </c>
      <c r="M5054" s="14">
        <v>396</v>
      </c>
      <c r="N5054" s="14">
        <v>395</v>
      </c>
      <c r="O5054" s="14">
        <v>0</v>
      </c>
      <c r="P5054" s="14">
        <v>791</v>
      </c>
      <c r="Q5054">
        <v>12909</v>
      </c>
      <c r="R5054">
        <v>2716</v>
      </c>
      <c r="S5054">
        <v>1010</v>
      </c>
    </row>
    <row r="5055" spans="11:19" x14ac:dyDescent="0.3">
      <c r="K5055" s="16">
        <f t="shared" si="78"/>
        <v>44226</v>
      </c>
      <c r="L5055" s="17">
        <v>0.54166666666666663</v>
      </c>
      <c r="M5055" s="14">
        <v>396</v>
      </c>
      <c r="N5055" s="14">
        <v>38</v>
      </c>
      <c r="O5055" s="14">
        <v>0</v>
      </c>
      <c r="P5055" s="14">
        <v>434</v>
      </c>
      <c r="Q5055">
        <v>12419</v>
      </c>
      <c r="R5055">
        <v>2659</v>
      </c>
      <c r="S5055">
        <v>936</v>
      </c>
    </row>
    <row r="5056" spans="11:19" x14ac:dyDescent="0.3">
      <c r="K5056" s="16">
        <f t="shared" si="78"/>
        <v>44226</v>
      </c>
      <c r="L5056" s="17">
        <v>0.58333333333333337</v>
      </c>
      <c r="M5056" s="14">
        <v>396</v>
      </c>
      <c r="N5056" s="14">
        <v>0</v>
      </c>
      <c r="O5056" s="14">
        <v>0</v>
      </c>
      <c r="P5056" s="14">
        <v>396</v>
      </c>
      <c r="Q5056">
        <v>11969</v>
      </c>
      <c r="R5056">
        <v>2756</v>
      </c>
      <c r="S5056">
        <v>860</v>
      </c>
    </row>
    <row r="5057" spans="11:19" x14ac:dyDescent="0.3">
      <c r="K5057" s="16">
        <f t="shared" si="78"/>
        <v>44226</v>
      </c>
      <c r="L5057" s="17">
        <v>0.625</v>
      </c>
      <c r="M5057" s="14">
        <v>396</v>
      </c>
      <c r="N5057" s="14">
        <v>0</v>
      </c>
      <c r="O5057" s="14">
        <v>0</v>
      </c>
      <c r="P5057" s="14">
        <v>396</v>
      </c>
      <c r="Q5057">
        <v>11623</v>
      </c>
      <c r="R5057">
        <v>2679</v>
      </c>
      <c r="S5057">
        <v>607</v>
      </c>
    </row>
    <row r="5058" spans="11:19" x14ac:dyDescent="0.3">
      <c r="K5058" s="16">
        <f t="shared" si="78"/>
        <v>44226</v>
      </c>
      <c r="L5058" s="17">
        <v>0.66666666666666663</v>
      </c>
      <c r="M5058" s="14">
        <v>396</v>
      </c>
      <c r="N5058" s="14">
        <v>0</v>
      </c>
      <c r="O5058" s="14">
        <v>0</v>
      </c>
      <c r="P5058" s="14">
        <v>396</v>
      </c>
      <c r="Q5058">
        <v>11525</v>
      </c>
      <c r="R5058">
        <v>2984</v>
      </c>
      <c r="S5058">
        <v>266</v>
      </c>
    </row>
    <row r="5059" spans="11:19" x14ac:dyDescent="0.3">
      <c r="K5059" s="16">
        <f t="shared" si="78"/>
        <v>44226</v>
      </c>
      <c r="L5059" s="17">
        <v>0.70833333333333337</v>
      </c>
      <c r="M5059" s="14">
        <v>396</v>
      </c>
      <c r="N5059" s="14">
        <v>0</v>
      </c>
      <c r="O5059" s="14">
        <v>0</v>
      </c>
      <c r="P5059" s="14">
        <v>396</v>
      </c>
      <c r="Q5059">
        <v>11922</v>
      </c>
      <c r="R5059">
        <v>3172</v>
      </c>
      <c r="S5059">
        <v>49</v>
      </c>
    </row>
    <row r="5060" spans="11:19" x14ac:dyDescent="0.3">
      <c r="K5060" s="16">
        <f t="shared" si="78"/>
        <v>44226</v>
      </c>
      <c r="L5060" s="17">
        <v>0.75</v>
      </c>
      <c r="M5060" s="14">
        <v>396</v>
      </c>
      <c r="N5060" s="14">
        <v>0</v>
      </c>
      <c r="O5060" s="14">
        <v>0</v>
      </c>
      <c r="P5060" s="14">
        <v>396</v>
      </c>
      <c r="Q5060">
        <v>12762</v>
      </c>
      <c r="R5060">
        <v>3180</v>
      </c>
      <c r="S5060">
        <v>0</v>
      </c>
    </row>
    <row r="5061" spans="11:19" x14ac:dyDescent="0.3">
      <c r="K5061" s="16">
        <f t="shared" si="78"/>
        <v>44226</v>
      </c>
      <c r="L5061" s="17">
        <v>0.79166666666666663</v>
      </c>
      <c r="M5061" s="14">
        <v>396</v>
      </c>
      <c r="N5061" s="14">
        <v>0</v>
      </c>
      <c r="O5061" s="14">
        <v>0</v>
      </c>
      <c r="P5061" s="14">
        <v>396</v>
      </c>
      <c r="Q5061">
        <v>12840</v>
      </c>
      <c r="R5061">
        <v>3220</v>
      </c>
      <c r="S5061">
        <v>0</v>
      </c>
    </row>
    <row r="5062" spans="11:19" x14ac:dyDescent="0.3">
      <c r="K5062" s="16">
        <f t="shared" si="78"/>
        <v>44226</v>
      </c>
      <c r="L5062" s="17">
        <v>0.83333333333333337</v>
      </c>
      <c r="M5062" s="14">
        <v>396</v>
      </c>
      <c r="N5062" s="14">
        <v>0</v>
      </c>
      <c r="O5062" s="14">
        <v>0</v>
      </c>
      <c r="P5062" s="14">
        <v>396</v>
      </c>
      <c r="Q5062">
        <v>12214</v>
      </c>
      <c r="R5062">
        <v>2962</v>
      </c>
      <c r="S5062">
        <v>0</v>
      </c>
    </row>
    <row r="5063" spans="11:19" x14ac:dyDescent="0.3">
      <c r="K5063" s="16">
        <f t="shared" si="78"/>
        <v>44226</v>
      </c>
      <c r="L5063" s="17">
        <v>0.875</v>
      </c>
      <c r="M5063" s="14">
        <v>396</v>
      </c>
      <c r="N5063" s="14">
        <v>0</v>
      </c>
      <c r="O5063" s="14">
        <v>0</v>
      </c>
      <c r="P5063" s="14">
        <v>396</v>
      </c>
      <c r="Q5063">
        <v>11627</v>
      </c>
      <c r="R5063">
        <v>2792</v>
      </c>
      <c r="S5063">
        <v>0</v>
      </c>
    </row>
    <row r="5064" spans="11:19" x14ac:dyDescent="0.3">
      <c r="K5064" s="16">
        <f t="shared" si="78"/>
        <v>44226</v>
      </c>
      <c r="L5064" s="17">
        <v>0.91666666666666663</v>
      </c>
      <c r="M5064" s="14">
        <v>396</v>
      </c>
      <c r="N5064" s="14">
        <v>0</v>
      </c>
      <c r="O5064" s="14">
        <v>0</v>
      </c>
      <c r="P5064" s="14">
        <v>396</v>
      </c>
      <c r="Q5064">
        <v>12026</v>
      </c>
      <c r="R5064">
        <v>2774</v>
      </c>
      <c r="S5064">
        <v>0</v>
      </c>
    </row>
    <row r="5065" spans="11:19" x14ac:dyDescent="0.3">
      <c r="K5065" s="16">
        <f t="shared" si="78"/>
        <v>44226</v>
      </c>
      <c r="L5065" s="17">
        <v>0.95833333333333337</v>
      </c>
      <c r="M5065" s="14">
        <v>396</v>
      </c>
      <c r="N5065" s="14">
        <v>0</v>
      </c>
      <c r="O5065" s="14">
        <v>0</v>
      </c>
      <c r="P5065" s="14">
        <v>396</v>
      </c>
      <c r="Q5065">
        <v>12362</v>
      </c>
      <c r="R5065">
        <v>2877</v>
      </c>
      <c r="S5065">
        <v>0</v>
      </c>
    </row>
    <row r="5066" spans="11:19" x14ac:dyDescent="0.3">
      <c r="K5066" s="16">
        <f t="shared" si="78"/>
        <v>44227</v>
      </c>
      <c r="L5066" s="17">
        <v>0</v>
      </c>
      <c r="M5066" s="14">
        <v>396</v>
      </c>
      <c r="N5066" s="14">
        <v>0</v>
      </c>
      <c r="O5066" s="14">
        <v>0</v>
      </c>
      <c r="P5066" s="14">
        <v>396</v>
      </c>
      <c r="Q5066">
        <v>12024</v>
      </c>
      <c r="R5066">
        <v>2996</v>
      </c>
      <c r="S5066">
        <v>0</v>
      </c>
    </row>
    <row r="5067" spans="11:19" x14ac:dyDescent="0.3">
      <c r="K5067" s="16">
        <f t="shared" si="78"/>
        <v>44227</v>
      </c>
      <c r="L5067" s="17">
        <v>4.1666666666666664E-2</v>
      </c>
      <c r="M5067" s="14">
        <v>396</v>
      </c>
      <c r="N5067" s="14">
        <v>0</v>
      </c>
      <c r="O5067" s="14">
        <v>0</v>
      </c>
      <c r="P5067" s="14">
        <v>396</v>
      </c>
      <c r="Q5067">
        <v>11725</v>
      </c>
      <c r="R5067">
        <v>3015</v>
      </c>
      <c r="S5067">
        <v>0</v>
      </c>
    </row>
    <row r="5068" spans="11:19" x14ac:dyDescent="0.3">
      <c r="K5068" s="16">
        <f t="shared" si="78"/>
        <v>44227</v>
      </c>
      <c r="L5068" s="17">
        <v>8.3333333333333329E-2</v>
      </c>
      <c r="M5068" s="14">
        <v>396</v>
      </c>
      <c r="N5068" s="14">
        <v>0</v>
      </c>
      <c r="O5068" s="14">
        <v>0</v>
      </c>
      <c r="P5068" s="14">
        <v>396</v>
      </c>
      <c r="Q5068">
        <v>11409</v>
      </c>
      <c r="R5068">
        <v>2921</v>
      </c>
      <c r="S5068">
        <v>0</v>
      </c>
    </row>
    <row r="5069" spans="11:19" x14ac:dyDescent="0.3">
      <c r="K5069" s="16">
        <f t="shared" si="78"/>
        <v>44227</v>
      </c>
      <c r="L5069" s="17">
        <v>0.125</v>
      </c>
      <c r="M5069" s="14">
        <v>396</v>
      </c>
      <c r="N5069" s="14">
        <v>0</v>
      </c>
      <c r="O5069" s="14">
        <v>0</v>
      </c>
      <c r="P5069" s="14">
        <v>396</v>
      </c>
      <c r="Q5069">
        <v>10859</v>
      </c>
      <c r="R5069">
        <v>2942</v>
      </c>
      <c r="S5069">
        <v>0</v>
      </c>
    </row>
    <row r="5070" spans="11:19" x14ac:dyDescent="0.3">
      <c r="K5070" s="16">
        <f t="shared" si="78"/>
        <v>44227</v>
      </c>
      <c r="L5070" s="17">
        <v>0.16666666666666666</v>
      </c>
      <c r="M5070" s="14">
        <v>396</v>
      </c>
      <c r="N5070" s="14">
        <v>0</v>
      </c>
      <c r="O5070" s="14">
        <v>0</v>
      </c>
      <c r="P5070" s="14">
        <v>396</v>
      </c>
      <c r="Q5070">
        <v>10567</v>
      </c>
      <c r="R5070">
        <v>2709</v>
      </c>
      <c r="S5070">
        <v>0</v>
      </c>
    </row>
    <row r="5071" spans="11:19" x14ac:dyDescent="0.3">
      <c r="K5071" s="16">
        <f t="shared" si="78"/>
        <v>44227</v>
      </c>
      <c r="L5071" s="17">
        <v>0.20833333333333334</v>
      </c>
      <c r="M5071" s="14">
        <v>396</v>
      </c>
      <c r="N5071" s="14">
        <v>0</v>
      </c>
      <c r="O5071" s="14">
        <v>0</v>
      </c>
      <c r="P5071" s="14">
        <v>396</v>
      </c>
      <c r="Q5071">
        <v>10582</v>
      </c>
      <c r="R5071">
        <v>2757</v>
      </c>
      <c r="S5071">
        <v>0</v>
      </c>
    </row>
    <row r="5072" spans="11:19" x14ac:dyDescent="0.3">
      <c r="K5072" s="16">
        <f t="shared" si="78"/>
        <v>44227</v>
      </c>
      <c r="L5072" s="17">
        <v>0.25</v>
      </c>
      <c r="M5072" s="14">
        <v>396</v>
      </c>
      <c r="N5072" s="14">
        <v>0</v>
      </c>
      <c r="O5072" s="14">
        <v>0</v>
      </c>
      <c r="P5072" s="14">
        <v>396</v>
      </c>
      <c r="Q5072">
        <v>10740</v>
      </c>
      <c r="R5072">
        <v>2632</v>
      </c>
      <c r="S5072">
        <v>0</v>
      </c>
    </row>
    <row r="5073" spans="11:19" x14ac:dyDescent="0.3">
      <c r="K5073" s="16">
        <f t="shared" si="78"/>
        <v>44227</v>
      </c>
      <c r="L5073" s="17">
        <v>0.29166666666666669</v>
      </c>
      <c r="M5073" s="14">
        <v>396</v>
      </c>
      <c r="N5073" s="14">
        <v>0</v>
      </c>
      <c r="O5073" s="14">
        <v>0</v>
      </c>
      <c r="P5073" s="14">
        <v>396</v>
      </c>
      <c r="Q5073">
        <v>10912</v>
      </c>
      <c r="R5073">
        <v>2350</v>
      </c>
      <c r="S5073">
        <v>0</v>
      </c>
    </row>
    <row r="5074" spans="11:19" x14ac:dyDescent="0.3">
      <c r="K5074" s="16">
        <f t="shared" si="78"/>
        <v>44227</v>
      </c>
      <c r="L5074" s="17">
        <v>0.33333333333333331</v>
      </c>
      <c r="M5074" s="14">
        <v>396</v>
      </c>
      <c r="N5074" s="14">
        <v>0</v>
      </c>
      <c r="O5074" s="14">
        <v>0</v>
      </c>
      <c r="P5074" s="14">
        <v>396</v>
      </c>
      <c r="Q5074">
        <v>11302</v>
      </c>
      <c r="R5074">
        <v>2300</v>
      </c>
      <c r="S5074">
        <v>40</v>
      </c>
    </row>
    <row r="5075" spans="11:19" x14ac:dyDescent="0.3">
      <c r="K5075" s="16">
        <f t="shared" si="78"/>
        <v>44227</v>
      </c>
      <c r="L5075" s="17">
        <v>0.375</v>
      </c>
      <c r="M5075" s="14">
        <v>396</v>
      </c>
      <c r="N5075" s="14">
        <v>0</v>
      </c>
      <c r="O5075" s="14">
        <v>0</v>
      </c>
      <c r="P5075" s="14">
        <v>396</v>
      </c>
      <c r="Q5075">
        <v>11866</v>
      </c>
      <c r="R5075">
        <v>2464</v>
      </c>
      <c r="S5075">
        <v>326</v>
      </c>
    </row>
    <row r="5076" spans="11:19" x14ac:dyDescent="0.3">
      <c r="K5076" s="16">
        <f t="shared" si="78"/>
        <v>44227</v>
      </c>
      <c r="L5076" s="17">
        <v>0.41666666666666669</v>
      </c>
      <c r="M5076" s="14">
        <v>396</v>
      </c>
      <c r="N5076" s="14">
        <v>0</v>
      </c>
      <c r="O5076" s="14">
        <v>0</v>
      </c>
      <c r="P5076" s="14">
        <v>396</v>
      </c>
      <c r="Q5076">
        <v>12256</v>
      </c>
      <c r="R5076">
        <v>2456</v>
      </c>
      <c r="S5076">
        <v>741</v>
      </c>
    </row>
    <row r="5077" spans="11:19" x14ac:dyDescent="0.3">
      <c r="K5077" s="16">
        <f t="shared" si="78"/>
        <v>44227</v>
      </c>
      <c r="L5077" s="17">
        <v>0.45833333333333331</v>
      </c>
      <c r="M5077" s="14">
        <v>396</v>
      </c>
      <c r="N5077" s="14">
        <v>0</v>
      </c>
      <c r="O5077" s="14">
        <v>0</v>
      </c>
      <c r="P5077" s="14">
        <v>396</v>
      </c>
      <c r="Q5077">
        <v>12514</v>
      </c>
      <c r="R5077">
        <v>2413</v>
      </c>
      <c r="S5077">
        <v>984</v>
      </c>
    </row>
    <row r="5078" spans="11:19" x14ac:dyDescent="0.3">
      <c r="K5078" s="16">
        <f t="shared" si="78"/>
        <v>44227</v>
      </c>
      <c r="L5078" s="17">
        <v>0.5</v>
      </c>
      <c r="M5078" s="14">
        <v>396</v>
      </c>
      <c r="N5078" s="14">
        <v>0</v>
      </c>
      <c r="O5078" s="14">
        <v>0</v>
      </c>
      <c r="P5078" s="14">
        <v>396</v>
      </c>
      <c r="Q5078">
        <v>12795</v>
      </c>
      <c r="R5078">
        <v>2389</v>
      </c>
      <c r="S5078">
        <v>1116</v>
      </c>
    </row>
    <row r="5079" spans="11:19" x14ac:dyDescent="0.3">
      <c r="K5079" s="16">
        <f t="shared" si="78"/>
        <v>44227</v>
      </c>
      <c r="L5079" s="17">
        <v>0.54166666666666663</v>
      </c>
      <c r="M5079" s="14">
        <v>396</v>
      </c>
      <c r="N5079" s="14">
        <v>0</v>
      </c>
      <c r="O5079" s="14">
        <v>0</v>
      </c>
      <c r="P5079" s="14">
        <v>396</v>
      </c>
      <c r="Q5079">
        <v>12170</v>
      </c>
      <c r="R5079">
        <v>2227</v>
      </c>
      <c r="S5079">
        <v>1123</v>
      </c>
    </row>
    <row r="5080" spans="11:19" x14ac:dyDescent="0.3">
      <c r="K5080" s="16">
        <f t="shared" si="78"/>
        <v>44227</v>
      </c>
      <c r="L5080" s="17">
        <v>0.58333333333333337</v>
      </c>
      <c r="M5080" s="14">
        <v>396</v>
      </c>
      <c r="N5080" s="14">
        <v>0</v>
      </c>
      <c r="O5080" s="14">
        <v>0</v>
      </c>
      <c r="P5080" s="14">
        <v>396</v>
      </c>
      <c r="Q5080">
        <v>11619</v>
      </c>
      <c r="R5080">
        <v>2147</v>
      </c>
      <c r="S5080">
        <v>1028</v>
      </c>
    </row>
    <row r="5081" spans="11:19" x14ac:dyDescent="0.3">
      <c r="K5081" s="16">
        <f t="shared" si="78"/>
        <v>44227</v>
      </c>
      <c r="L5081" s="17">
        <v>0.625</v>
      </c>
      <c r="M5081" s="14">
        <v>396</v>
      </c>
      <c r="N5081" s="14">
        <v>0</v>
      </c>
      <c r="O5081" s="14">
        <v>0</v>
      </c>
      <c r="P5081" s="14">
        <v>396</v>
      </c>
      <c r="Q5081">
        <v>11342</v>
      </c>
      <c r="R5081">
        <v>2215</v>
      </c>
      <c r="S5081">
        <v>758</v>
      </c>
    </row>
    <row r="5082" spans="11:19" x14ac:dyDescent="0.3">
      <c r="K5082" s="16">
        <f t="shared" si="78"/>
        <v>44227</v>
      </c>
      <c r="L5082" s="17">
        <v>0.66666666666666663</v>
      </c>
      <c r="M5082" s="14">
        <v>396</v>
      </c>
      <c r="N5082" s="14">
        <v>0</v>
      </c>
      <c r="O5082" s="14">
        <v>0</v>
      </c>
      <c r="P5082" s="14">
        <v>396</v>
      </c>
      <c r="Q5082">
        <v>11342</v>
      </c>
      <c r="R5082">
        <v>2321</v>
      </c>
      <c r="S5082">
        <v>327</v>
      </c>
    </row>
    <row r="5083" spans="11:19" x14ac:dyDescent="0.3">
      <c r="K5083" s="16">
        <f t="shared" ref="K5083:K5146" si="79">K5059+1</f>
        <v>44227</v>
      </c>
      <c r="L5083" s="17">
        <v>0.70833333333333337</v>
      </c>
      <c r="M5083" s="14">
        <v>396</v>
      </c>
      <c r="N5083" s="14">
        <v>0</v>
      </c>
      <c r="O5083" s="14">
        <v>0</v>
      </c>
      <c r="P5083" s="14">
        <v>396</v>
      </c>
      <c r="Q5083">
        <v>11854</v>
      </c>
      <c r="R5083">
        <v>2180</v>
      </c>
      <c r="S5083">
        <v>39</v>
      </c>
    </row>
    <row r="5084" spans="11:19" x14ac:dyDescent="0.3">
      <c r="K5084" s="16">
        <f t="shared" si="79"/>
        <v>44227</v>
      </c>
      <c r="L5084" s="17">
        <v>0.75</v>
      </c>
      <c r="M5084" s="14">
        <v>396</v>
      </c>
      <c r="N5084" s="14">
        <v>0</v>
      </c>
      <c r="O5084" s="14">
        <v>0</v>
      </c>
      <c r="P5084" s="14">
        <v>396</v>
      </c>
      <c r="Q5084">
        <v>12872</v>
      </c>
      <c r="R5084">
        <v>1941</v>
      </c>
      <c r="S5084">
        <v>0</v>
      </c>
    </row>
    <row r="5085" spans="11:19" x14ac:dyDescent="0.3">
      <c r="K5085" s="16">
        <f t="shared" si="79"/>
        <v>44227</v>
      </c>
      <c r="L5085" s="17">
        <v>0.79166666666666663</v>
      </c>
      <c r="M5085" s="14">
        <v>396</v>
      </c>
      <c r="N5085" s="14">
        <v>0</v>
      </c>
      <c r="O5085" s="14">
        <v>0</v>
      </c>
      <c r="P5085" s="14">
        <v>396</v>
      </c>
      <c r="Q5085">
        <v>13156</v>
      </c>
      <c r="R5085">
        <v>1744</v>
      </c>
      <c r="S5085">
        <v>0</v>
      </c>
    </row>
    <row r="5086" spans="11:19" x14ac:dyDescent="0.3">
      <c r="K5086" s="16">
        <f t="shared" si="79"/>
        <v>44227</v>
      </c>
      <c r="L5086" s="17">
        <v>0.83333333333333337</v>
      </c>
      <c r="M5086" s="14">
        <v>396</v>
      </c>
      <c r="N5086" s="14">
        <v>0</v>
      </c>
      <c r="O5086" s="14">
        <v>0</v>
      </c>
      <c r="P5086" s="14">
        <v>396</v>
      </c>
      <c r="Q5086">
        <v>12615</v>
      </c>
      <c r="R5086">
        <v>1667</v>
      </c>
      <c r="S5086">
        <v>0</v>
      </c>
    </row>
    <row r="5087" spans="11:19" x14ac:dyDescent="0.3">
      <c r="K5087" s="16">
        <f t="shared" si="79"/>
        <v>44227</v>
      </c>
      <c r="L5087" s="17">
        <v>0.875</v>
      </c>
      <c r="M5087" s="14">
        <v>396</v>
      </c>
      <c r="N5087" s="14">
        <v>0</v>
      </c>
      <c r="O5087" s="14">
        <v>0</v>
      </c>
      <c r="P5087" s="14">
        <v>396</v>
      </c>
      <c r="Q5087">
        <v>11952</v>
      </c>
      <c r="R5087">
        <v>1553</v>
      </c>
      <c r="S5087">
        <v>0</v>
      </c>
    </row>
    <row r="5088" spans="11:19" x14ac:dyDescent="0.3">
      <c r="K5088" s="16">
        <f t="shared" si="79"/>
        <v>44227</v>
      </c>
      <c r="L5088" s="17">
        <v>0.91666666666666663</v>
      </c>
      <c r="M5088" s="14">
        <v>396</v>
      </c>
      <c r="N5088" s="14">
        <v>0</v>
      </c>
      <c r="O5088" s="14">
        <v>0</v>
      </c>
      <c r="P5088" s="14">
        <v>396</v>
      </c>
      <c r="Q5088">
        <v>12203</v>
      </c>
      <c r="R5088">
        <v>1363</v>
      </c>
      <c r="S5088">
        <v>0</v>
      </c>
    </row>
    <row r="5089" spans="11:19" x14ac:dyDescent="0.3">
      <c r="K5089" s="16">
        <f t="shared" si="79"/>
        <v>44227</v>
      </c>
      <c r="L5089" s="17">
        <v>0.95833333333333337</v>
      </c>
      <c r="M5089" s="14">
        <v>396</v>
      </c>
      <c r="N5089" s="14">
        <v>0</v>
      </c>
      <c r="O5089" s="14">
        <v>0</v>
      </c>
      <c r="P5089" s="14">
        <v>396</v>
      </c>
      <c r="Q5089">
        <v>12429</v>
      </c>
      <c r="R5089">
        <v>1371</v>
      </c>
      <c r="S5089">
        <v>0</v>
      </c>
    </row>
    <row r="5090" spans="11:19" x14ac:dyDescent="0.3">
      <c r="K5090" s="16">
        <f t="shared" si="79"/>
        <v>44228</v>
      </c>
      <c r="L5090" s="17">
        <v>0</v>
      </c>
      <c r="M5090" s="14">
        <v>396</v>
      </c>
      <c r="N5090" s="14">
        <v>2086</v>
      </c>
      <c r="O5090" s="14">
        <v>0</v>
      </c>
      <c r="P5090" s="14">
        <v>2482</v>
      </c>
      <c r="Q5090">
        <v>12139</v>
      </c>
      <c r="R5090">
        <v>1281</v>
      </c>
      <c r="S5090">
        <v>0</v>
      </c>
    </row>
    <row r="5091" spans="11:19" x14ac:dyDescent="0.3">
      <c r="K5091" s="16">
        <f t="shared" si="79"/>
        <v>44228</v>
      </c>
      <c r="L5091" s="17">
        <v>4.1666666666666664E-2</v>
      </c>
      <c r="M5091" s="14">
        <v>396</v>
      </c>
      <c r="N5091" s="14">
        <v>0</v>
      </c>
      <c r="O5091" s="14">
        <v>0</v>
      </c>
      <c r="P5091" s="14">
        <v>396</v>
      </c>
      <c r="Q5091">
        <v>11949</v>
      </c>
      <c r="R5091">
        <v>1088</v>
      </c>
      <c r="S5091">
        <v>0</v>
      </c>
    </row>
    <row r="5092" spans="11:19" x14ac:dyDescent="0.3">
      <c r="K5092" s="16">
        <f t="shared" si="79"/>
        <v>44228</v>
      </c>
      <c r="L5092" s="17">
        <v>8.3333333333333329E-2</v>
      </c>
      <c r="M5092" s="14">
        <v>396</v>
      </c>
      <c r="N5092" s="14">
        <v>1992</v>
      </c>
      <c r="O5092" s="14">
        <v>0</v>
      </c>
      <c r="P5092" s="14">
        <v>2388</v>
      </c>
      <c r="Q5092">
        <v>11735</v>
      </c>
      <c r="R5092">
        <v>975</v>
      </c>
      <c r="S5092">
        <v>0</v>
      </c>
    </row>
    <row r="5093" spans="11:19" x14ac:dyDescent="0.3">
      <c r="K5093" s="16">
        <f t="shared" si="79"/>
        <v>44228</v>
      </c>
      <c r="L5093" s="17">
        <v>0.125</v>
      </c>
      <c r="M5093" s="14">
        <v>396</v>
      </c>
      <c r="N5093" s="14">
        <v>0</v>
      </c>
      <c r="O5093" s="14">
        <v>0</v>
      </c>
      <c r="P5093" s="14">
        <v>396</v>
      </c>
      <c r="Q5093">
        <v>11309</v>
      </c>
      <c r="R5093">
        <v>984</v>
      </c>
      <c r="S5093">
        <v>0</v>
      </c>
    </row>
    <row r="5094" spans="11:19" x14ac:dyDescent="0.3">
      <c r="K5094" s="16">
        <f t="shared" si="79"/>
        <v>44228</v>
      </c>
      <c r="L5094" s="17">
        <v>0.16666666666666666</v>
      </c>
      <c r="M5094" s="14">
        <v>396</v>
      </c>
      <c r="N5094" s="14">
        <v>0</v>
      </c>
      <c r="O5094" s="14">
        <v>0</v>
      </c>
      <c r="P5094" s="14">
        <v>396</v>
      </c>
      <c r="Q5094">
        <v>11249</v>
      </c>
      <c r="R5094">
        <v>996</v>
      </c>
      <c r="S5094">
        <v>0</v>
      </c>
    </row>
    <row r="5095" spans="11:19" x14ac:dyDescent="0.3">
      <c r="K5095" s="16">
        <f t="shared" si="79"/>
        <v>44228</v>
      </c>
      <c r="L5095" s="17">
        <v>0.20833333333333334</v>
      </c>
      <c r="M5095" s="14">
        <v>396</v>
      </c>
      <c r="N5095" s="14">
        <v>2191</v>
      </c>
      <c r="O5095" s="14">
        <v>0</v>
      </c>
      <c r="P5095" s="14">
        <v>2587</v>
      </c>
      <c r="Q5095">
        <v>11842</v>
      </c>
      <c r="R5095">
        <v>887</v>
      </c>
      <c r="S5095">
        <v>0</v>
      </c>
    </row>
    <row r="5096" spans="11:19" x14ac:dyDescent="0.3">
      <c r="K5096" s="16">
        <f t="shared" si="79"/>
        <v>44228</v>
      </c>
      <c r="L5096" s="17">
        <v>0.25</v>
      </c>
      <c r="M5096" s="14">
        <v>396</v>
      </c>
      <c r="N5096" s="14">
        <v>3206</v>
      </c>
      <c r="O5096" s="14">
        <v>0</v>
      </c>
      <c r="P5096" s="14">
        <v>3602</v>
      </c>
      <c r="Q5096">
        <v>13074</v>
      </c>
      <c r="R5096">
        <v>843</v>
      </c>
      <c r="S5096">
        <v>0</v>
      </c>
    </row>
    <row r="5097" spans="11:19" x14ac:dyDescent="0.3">
      <c r="K5097" s="16">
        <f t="shared" si="79"/>
        <v>44228</v>
      </c>
      <c r="L5097" s="17">
        <v>0.29166666666666669</v>
      </c>
      <c r="M5097" s="14">
        <v>396</v>
      </c>
      <c r="N5097" s="14">
        <v>3206</v>
      </c>
      <c r="O5097" s="14">
        <v>0</v>
      </c>
      <c r="P5097" s="14">
        <v>3602</v>
      </c>
      <c r="Q5097">
        <v>14067</v>
      </c>
      <c r="R5097">
        <v>802</v>
      </c>
      <c r="S5097">
        <v>0</v>
      </c>
    </row>
    <row r="5098" spans="11:19" x14ac:dyDescent="0.3">
      <c r="K5098" s="16">
        <f t="shared" si="79"/>
        <v>44228</v>
      </c>
      <c r="L5098" s="17">
        <v>0.33333333333333331</v>
      </c>
      <c r="M5098" s="14">
        <v>396</v>
      </c>
      <c r="N5098" s="14">
        <v>1833</v>
      </c>
      <c r="O5098" s="14">
        <v>0</v>
      </c>
      <c r="P5098" s="14">
        <v>2229</v>
      </c>
      <c r="Q5098">
        <v>14279</v>
      </c>
      <c r="R5098">
        <v>716</v>
      </c>
      <c r="S5098">
        <v>50</v>
      </c>
    </row>
    <row r="5099" spans="11:19" x14ac:dyDescent="0.3">
      <c r="K5099" s="16">
        <f t="shared" si="79"/>
        <v>44228</v>
      </c>
      <c r="L5099" s="17">
        <v>0.375</v>
      </c>
      <c r="M5099" s="14">
        <v>396</v>
      </c>
      <c r="N5099" s="14">
        <v>3206</v>
      </c>
      <c r="O5099" s="14">
        <v>0</v>
      </c>
      <c r="P5099" s="14">
        <v>3602</v>
      </c>
      <c r="Q5099">
        <v>14335</v>
      </c>
      <c r="R5099">
        <v>743</v>
      </c>
      <c r="S5099">
        <v>347</v>
      </c>
    </row>
    <row r="5100" spans="11:19" x14ac:dyDescent="0.3">
      <c r="K5100" s="16">
        <f t="shared" si="79"/>
        <v>44228</v>
      </c>
      <c r="L5100" s="17">
        <v>0.41666666666666669</v>
      </c>
      <c r="M5100" s="14">
        <v>396</v>
      </c>
      <c r="N5100" s="14">
        <v>1030</v>
      </c>
      <c r="O5100" s="14">
        <v>0</v>
      </c>
      <c r="P5100" s="14">
        <v>1426</v>
      </c>
      <c r="Q5100">
        <v>14309</v>
      </c>
      <c r="R5100">
        <v>861</v>
      </c>
      <c r="S5100">
        <v>743</v>
      </c>
    </row>
    <row r="5101" spans="11:19" x14ac:dyDescent="0.3">
      <c r="K5101" s="16">
        <f t="shared" si="79"/>
        <v>44228</v>
      </c>
      <c r="L5101" s="17">
        <v>0.45833333333333331</v>
      </c>
      <c r="M5101" s="14">
        <v>396</v>
      </c>
      <c r="N5101" s="14">
        <v>3206</v>
      </c>
      <c r="O5101" s="14">
        <v>0</v>
      </c>
      <c r="P5101" s="14">
        <v>3602</v>
      </c>
      <c r="Q5101">
        <v>14367</v>
      </c>
      <c r="R5101">
        <v>910</v>
      </c>
      <c r="S5101">
        <v>1033</v>
      </c>
    </row>
    <row r="5102" spans="11:19" x14ac:dyDescent="0.3">
      <c r="K5102" s="16">
        <f t="shared" si="79"/>
        <v>44228</v>
      </c>
      <c r="L5102" s="17">
        <v>0.5</v>
      </c>
      <c r="M5102" s="14">
        <v>396</v>
      </c>
      <c r="N5102" s="14">
        <v>460</v>
      </c>
      <c r="O5102" s="14">
        <v>0</v>
      </c>
      <c r="P5102" s="14">
        <v>856</v>
      </c>
      <c r="Q5102">
        <v>14303</v>
      </c>
      <c r="R5102">
        <v>975</v>
      </c>
      <c r="S5102">
        <v>1192</v>
      </c>
    </row>
    <row r="5103" spans="11:19" x14ac:dyDescent="0.3">
      <c r="K5103" s="16">
        <f t="shared" si="79"/>
        <v>44228</v>
      </c>
      <c r="L5103" s="17">
        <v>0.54166666666666663</v>
      </c>
      <c r="M5103" s="14">
        <v>396</v>
      </c>
      <c r="N5103" s="14">
        <v>255</v>
      </c>
      <c r="O5103" s="14">
        <v>0</v>
      </c>
      <c r="P5103" s="14">
        <v>651</v>
      </c>
      <c r="Q5103">
        <v>13983</v>
      </c>
      <c r="R5103">
        <v>821</v>
      </c>
      <c r="S5103">
        <v>1231</v>
      </c>
    </row>
    <row r="5104" spans="11:19" x14ac:dyDescent="0.3">
      <c r="K5104" s="16">
        <f t="shared" si="79"/>
        <v>44228</v>
      </c>
      <c r="L5104" s="17">
        <v>0.58333333333333337</v>
      </c>
      <c r="M5104" s="14">
        <v>396</v>
      </c>
      <c r="N5104" s="14">
        <v>3075</v>
      </c>
      <c r="O5104" s="14">
        <v>0</v>
      </c>
      <c r="P5104" s="14">
        <v>3471</v>
      </c>
      <c r="Q5104">
        <v>13657</v>
      </c>
      <c r="R5104">
        <v>738</v>
      </c>
      <c r="S5104">
        <v>1064</v>
      </c>
    </row>
    <row r="5105" spans="11:19" x14ac:dyDescent="0.3">
      <c r="K5105" s="16">
        <f t="shared" si="79"/>
        <v>44228</v>
      </c>
      <c r="L5105" s="17">
        <v>0.625</v>
      </c>
      <c r="M5105" s="14">
        <v>396</v>
      </c>
      <c r="N5105" s="14">
        <v>3009</v>
      </c>
      <c r="O5105" s="14">
        <v>0</v>
      </c>
      <c r="P5105" s="14">
        <v>3405</v>
      </c>
      <c r="Q5105">
        <v>13337</v>
      </c>
      <c r="R5105">
        <v>796</v>
      </c>
      <c r="S5105">
        <v>751</v>
      </c>
    </row>
    <row r="5106" spans="11:19" x14ac:dyDescent="0.3">
      <c r="K5106" s="16">
        <f t="shared" si="79"/>
        <v>44228</v>
      </c>
      <c r="L5106" s="17">
        <v>0.66666666666666663</v>
      </c>
      <c r="M5106" s="14">
        <v>396</v>
      </c>
      <c r="N5106" s="14">
        <v>461</v>
      </c>
      <c r="O5106" s="14">
        <v>0</v>
      </c>
      <c r="P5106" s="14">
        <v>857</v>
      </c>
      <c r="Q5106">
        <v>13289</v>
      </c>
      <c r="R5106">
        <v>847</v>
      </c>
      <c r="S5106">
        <v>302</v>
      </c>
    </row>
    <row r="5107" spans="11:19" x14ac:dyDescent="0.3">
      <c r="K5107" s="16">
        <f t="shared" si="79"/>
        <v>44228</v>
      </c>
      <c r="L5107" s="17">
        <v>0.70833333333333337</v>
      </c>
      <c r="M5107" s="14">
        <v>396</v>
      </c>
      <c r="N5107" s="14">
        <v>1064</v>
      </c>
      <c r="O5107" s="14">
        <v>0</v>
      </c>
      <c r="P5107" s="14">
        <v>1460</v>
      </c>
      <c r="Q5107">
        <v>13647</v>
      </c>
      <c r="R5107">
        <v>855</v>
      </c>
      <c r="S5107">
        <v>49</v>
      </c>
    </row>
    <row r="5108" spans="11:19" x14ac:dyDescent="0.3">
      <c r="K5108" s="16">
        <f t="shared" si="79"/>
        <v>44228</v>
      </c>
      <c r="L5108" s="17">
        <v>0.75</v>
      </c>
      <c r="M5108" s="14">
        <v>396</v>
      </c>
      <c r="N5108" s="14">
        <v>3206</v>
      </c>
      <c r="O5108" s="14">
        <v>0</v>
      </c>
      <c r="P5108" s="14">
        <v>3602</v>
      </c>
      <c r="Q5108">
        <v>14495</v>
      </c>
      <c r="R5108">
        <v>767</v>
      </c>
      <c r="S5108">
        <v>0</v>
      </c>
    </row>
    <row r="5109" spans="11:19" x14ac:dyDescent="0.3">
      <c r="K5109" s="16">
        <f t="shared" si="79"/>
        <v>44228</v>
      </c>
      <c r="L5109" s="17">
        <v>0.79166666666666663</v>
      </c>
      <c r="M5109" s="14">
        <v>396</v>
      </c>
      <c r="N5109" s="14">
        <v>3206</v>
      </c>
      <c r="O5109" s="14">
        <v>0</v>
      </c>
      <c r="P5109" s="14">
        <v>3602</v>
      </c>
      <c r="Q5109">
        <v>14364</v>
      </c>
      <c r="R5109">
        <v>797</v>
      </c>
      <c r="S5109">
        <v>0</v>
      </c>
    </row>
    <row r="5110" spans="11:19" x14ac:dyDescent="0.3">
      <c r="K5110" s="16">
        <f t="shared" si="79"/>
        <v>44228</v>
      </c>
      <c r="L5110" s="17">
        <v>0.83333333333333337</v>
      </c>
      <c r="M5110" s="14">
        <v>396</v>
      </c>
      <c r="N5110" s="14">
        <v>3206</v>
      </c>
      <c r="O5110" s="14">
        <v>0</v>
      </c>
      <c r="P5110" s="14">
        <v>3602</v>
      </c>
      <c r="Q5110">
        <v>13410</v>
      </c>
      <c r="R5110">
        <v>752</v>
      </c>
      <c r="S5110">
        <v>0</v>
      </c>
    </row>
    <row r="5111" spans="11:19" x14ac:dyDescent="0.3">
      <c r="K5111" s="16">
        <f t="shared" si="79"/>
        <v>44228</v>
      </c>
      <c r="L5111" s="17">
        <v>0.875</v>
      </c>
      <c r="M5111" s="14">
        <v>396</v>
      </c>
      <c r="N5111" s="14">
        <v>83</v>
      </c>
      <c r="O5111" s="14">
        <v>0</v>
      </c>
      <c r="P5111" s="14">
        <v>479</v>
      </c>
      <c r="Q5111">
        <v>12610</v>
      </c>
      <c r="R5111">
        <v>854</v>
      </c>
      <c r="S5111">
        <v>0</v>
      </c>
    </row>
    <row r="5112" spans="11:19" x14ac:dyDescent="0.3">
      <c r="K5112" s="16">
        <f t="shared" si="79"/>
        <v>44228</v>
      </c>
      <c r="L5112" s="17">
        <v>0.91666666666666663</v>
      </c>
      <c r="M5112" s="14">
        <v>396</v>
      </c>
      <c r="N5112" s="14">
        <v>3122</v>
      </c>
      <c r="O5112" s="14">
        <v>0</v>
      </c>
      <c r="P5112" s="14">
        <v>3518</v>
      </c>
      <c r="Q5112">
        <v>12777</v>
      </c>
      <c r="R5112">
        <v>881</v>
      </c>
      <c r="S5112">
        <v>0</v>
      </c>
    </row>
    <row r="5113" spans="11:19" x14ac:dyDescent="0.3">
      <c r="K5113" s="16">
        <f t="shared" si="79"/>
        <v>44228</v>
      </c>
      <c r="L5113" s="17">
        <v>0.95833333333333337</v>
      </c>
      <c r="M5113" s="14">
        <v>396</v>
      </c>
      <c r="N5113" s="14">
        <v>3206</v>
      </c>
      <c r="O5113" s="14">
        <v>0</v>
      </c>
      <c r="P5113" s="14">
        <v>3602</v>
      </c>
      <c r="Q5113">
        <v>12876</v>
      </c>
      <c r="R5113">
        <v>793</v>
      </c>
      <c r="S5113">
        <v>0</v>
      </c>
    </row>
    <row r="5114" spans="11:19" x14ac:dyDescent="0.3">
      <c r="K5114" s="16">
        <f t="shared" si="79"/>
        <v>44229</v>
      </c>
      <c r="L5114" s="17">
        <v>0</v>
      </c>
      <c r="M5114" s="14">
        <v>396</v>
      </c>
      <c r="N5114" s="14">
        <v>0</v>
      </c>
      <c r="O5114" s="14">
        <v>0</v>
      </c>
      <c r="P5114" s="14">
        <v>396</v>
      </c>
      <c r="Q5114">
        <v>12453</v>
      </c>
      <c r="R5114">
        <v>822</v>
      </c>
      <c r="S5114">
        <v>0</v>
      </c>
    </row>
    <row r="5115" spans="11:19" x14ac:dyDescent="0.3">
      <c r="K5115" s="16">
        <f t="shared" si="79"/>
        <v>44229</v>
      </c>
      <c r="L5115" s="17">
        <v>4.1666666666666664E-2</v>
      </c>
      <c r="M5115" s="14">
        <v>396</v>
      </c>
      <c r="N5115" s="14">
        <v>0</v>
      </c>
      <c r="O5115" s="14">
        <v>0</v>
      </c>
      <c r="P5115" s="14">
        <v>396</v>
      </c>
      <c r="Q5115">
        <v>12170</v>
      </c>
      <c r="R5115">
        <v>801</v>
      </c>
      <c r="S5115">
        <v>0</v>
      </c>
    </row>
    <row r="5116" spans="11:19" x14ac:dyDescent="0.3">
      <c r="K5116" s="16">
        <f t="shared" si="79"/>
        <v>44229</v>
      </c>
      <c r="L5116" s="17">
        <v>8.3333333333333329E-2</v>
      </c>
      <c r="M5116" s="14">
        <v>396</v>
      </c>
      <c r="N5116" s="14">
        <v>0</v>
      </c>
      <c r="O5116" s="14">
        <v>0</v>
      </c>
      <c r="P5116" s="14">
        <v>396</v>
      </c>
      <c r="Q5116">
        <v>11917</v>
      </c>
      <c r="R5116">
        <v>692</v>
      </c>
      <c r="S5116">
        <v>0</v>
      </c>
    </row>
    <row r="5117" spans="11:19" x14ac:dyDescent="0.3">
      <c r="K5117" s="16">
        <f t="shared" si="79"/>
        <v>44229</v>
      </c>
      <c r="L5117" s="17">
        <v>0.125</v>
      </c>
      <c r="M5117" s="14">
        <v>396</v>
      </c>
      <c r="N5117" s="14">
        <v>0</v>
      </c>
      <c r="O5117" s="14">
        <v>0</v>
      </c>
      <c r="P5117" s="14">
        <v>396</v>
      </c>
      <c r="Q5117">
        <v>11493</v>
      </c>
      <c r="R5117">
        <v>595</v>
      </c>
      <c r="S5117">
        <v>0</v>
      </c>
    </row>
    <row r="5118" spans="11:19" x14ac:dyDescent="0.3">
      <c r="K5118" s="16">
        <f t="shared" si="79"/>
        <v>44229</v>
      </c>
      <c r="L5118" s="17">
        <v>0.16666666666666666</v>
      </c>
      <c r="M5118" s="14">
        <v>396</v>
      </c>
      <c r="N5118" s="14">
        <v>0</v>
      </c>
      <c r="O5118" s="14">
        <v>0</v>
      </c>
      <c r="P5118" s="14">
        <v>396</v>
      </c>
      <c r="Q5118">
        <v>11412</v>
      </c>
      <c r="R5118">
        <v>593</v>
      </c>
      <c r="S5118">
        <v>0</v>
      </c>
    </row>
    <row r="5119" spans="11:19" x14ac:dyDescent="0.3">
      <c r="K5119" s="16">
        <f t="shared" si="79"/>
        <v>44229</v>
      </c>
      <c r="L5119" s="17">
        <v>0.20833333333333334</v>
      </c>
      <c r="M5119" s="14">
        <v>396</v>
      </c>
      <c r="N5119" s="14">
        <v>2597</v>
      </c>
      <c r="O5119" s="14">
        <v>0</v>
      </c>
      <c r="P5119" s="14">
        <v>2993</v>
      </c>
      <c r="Q5119">
        <v>11951</v>
      </c>
      <c r="R5119">
        <v>587</v>
      </c>
      <c r="S5119">
        <v>0</v>
      </c>
    </row>
    <row r="5120" spans="11:19" x14ac:dyDescent="0.3">
      <c r="K5120" s="16">
        <f t="shared" si="79"/>
        <v>44229</v>
      </c>
      <c r="L5120" s="17">
        <v>0.25</v>
      </c>
      <c r="M5120" s="14">
        <v>396</v>
      </c>
      <c r="N5120" s="14">
        <v>918</v>
      </c>
      <c r="O5120" s="14">
        <v>0</v>
      </c>
      <c r="P5120" s="14">
        <v>1314</v>
      </c>
      <c r="Q5120">
        <v>13156</v>
      </c>
      <c r="R5120">
        <v>567</v>
      </c>
      <c r="S5120">
        <v>0</v>
      </c>
    </row>
    <row r="5121" spans="11:19" x14ac:dyDescent="0.3">
      <c r="K5121" s="16">
        <f t="shared" si="79"/>
        <v>44229</v>
      </c>
      <c r="L5121" s="17">
        <v>0.29166666666666669</v>
      </c>
      <c r="M5121" s="14">
        <v>396</v>
      </c>
      <c r="N5121" s="14">
        <v>1878</v>
      </c>
      <c r="O5121" s="14">
        <v>0</v>
      </c>
      <c r="P5121" s="14">
        <v>2274</v>
      </c>
      <c r="Q5121">
        <v>14152</v>
      </c>
      <c r="R5121">
        <v>594</v>
      </c>
      <c r="S5121">
        <v>0</v>
      </c>
    </row>
    <row r="5122" spans="11:19" x14ac:dyDescent="0.3">
      <c r="K5122" s="16">
        <f t="shared" si="79"/>
        <v>44229</v>
      </c>
      <c r="L5122" s="17">
        <v>0.33333333333333331</v>
      </c>
      <c r="M5122" s="14">
        <v>396</v>
      </c>
      <c r="N5122" s="14">
        <v>1955</v>
      </c>
      <c r="O5122" s="14">
        <v>0</v>
      </c>
      <c r="P5122" s="14">
        <v>2351</v>
      </c>
      <c r="Q5122">
        <v>14346</v>
      </c>
      <c r="R5122">
        <v>652</v>
      </c>
      <c r="S5122">
        <v>56</v>
      </c>
    </row>
    <row r="5123" spans="11:19" x14ac:dyDescent="0.3">
      <c r="K5123" s="16">
        <f t="shared" si="79"/>
        <v>44229</v>
      </c>
      <c r="L5123" s="17">
        <v>0.375</v>
      </c>
      <c r="M5123" s="14">
        <v>396</v>
      </c>
      <c r="N5123" s="14">
        <v>1527</v>
      </c>
      <c r="O5123" s="14">
        <v>0</v>
      </c>
      <c r="P5123" s="14">
        <v>1923</v>
      </c>
      <c r="Q5123">
        <v>14350</v>
      </c>
      <c r="R5123">
        <v>751</v>
      </c>
      <c r="S5123">
        <v>393</v>
      </c>
    </row>
    <row r="5124" spans="11:19" x14ac:dyDescent="0.3">
      <c r="K5124" s="16">
        <f t="shared" si="79"/>
        <v>44229</v>
      </c>
      <c r="L5124" s="17">
        <v>0.41666666666666669</v>
      </c>
      <c r="M5124" s="14">
        <v>396</v>
      </c>
      <c r="N5124" s="14">
        <v>3373</v>
      </c>
      <c r="O5124" s="14">
        <v>0</v>
      </c>
      <c r="P5124" s="14">
        <v>3769</v>
      </c>
      <c r="Q5124">
        <v>14257</v>
      </c>
      <c r="R5124">
        <v>719</v>
      </c>
      <c r="S5124">
        <v>835</v>
      </c>
    </row>
    <row r="5125" spans="11:19" x14ac:dyDescent="0.3">
      <c r="K5125" s="16">
        <f t="shared" si="79"/>
        <v>44229</v>
      </c>
      <c r="L5125" s="17">
        <v>0.45833333333333331</v>
      </c>
      <c r="M5125" s="14">
        <v>396</v>
      </c>
      <c r="N5125" s="14">
        <v>1510</v>
      </c>
      <c r="O5125" s="14">
        <v>0</v>
      </c>
      <c r="P5125" s="14">
        <v>1906</v>
      </c>
      <c r="Q5125">
        <v>14275</v>
      </c>
      <c r="R5125">
        <v>684</v>
      </c>
      <c r="S5125">
        <v>1127</v>
      </c>
    </row>
    <row r="5126" spans="11:19" x14ac:dyDescent="0.3">
      <c r="K5126" s="16">
        <f t="shared" si="79"/>
        <v>44229</v>
      </c>
      <c r="L5126" s="17">
        <v>0.5</v>
      </c>
      <c r="M5126" s="14">
        <v>396</v>
      </c>
      <c r="N5126" s="14">
        <v>558</v>
      </c>
      <c r="O5126" s="14">
        <v>0</v>
      </c>
      <c r="P5126" s="14">
        <v>954</v>
      </c>
      <c r="Q5126">
        <v>14178</v>
      </c>
      <c r="R5126">
        <v>652</v>
      </c>
      <c r="S5126">
        <v>1290</v>
      </c>
    </row>
    <row r="5127" spans="11:19" x14ac:dyDescent="0.3">
      <c r="K5127" s="16">
        <f t="shared" si="79"/>
        <v>44229</v>
      </c>
      <c r="L5127" s="17">
        <v>0.54166666666666663</v>
      </c>
      <c r="M5127" s="14">
        <v>396</v>
      </c>
      <c r="N5127" s="14">
        <v>3125</v>
      </c>
      <c r="O5127" s="14">
        <v>0</v>
      </c>
      <c r="P5127" s="14">
        <v>3521</v>
      </c>
      <c r="Q5127">
        <v>13856</v>
      </c>
      <c r="R5127">
        <v>650</v>
      </c>
      <c r="S5127">
        <v>1301</v>
      </c>
    </row>
    <row r="5128" spans="11:19" x14ac:dyDescent="0.3">
      <c r="K5128" s="16">
        <f t="shared" si="79"/>
        <v>44229</v>
      </c>
      <c r="L5128" s="17">
        <v>0.58333333333333337</v>
      </c>
      <c r="M5128" s="14">
        <v>396</v>
      </c>
      <c r="N5128" s="14">
        <v>114</v>
      </c>
      <c r="O5128" s="14">
        <v>0</v>
      </c>
      <c r="P5128" s="14">
        <v>510</v>
      </c>
      <c r="Q5128">
        <v>13522</v>
      </c>
      <c r="R5128">
        <v>580</v>
      </c>
      <c r="S5128">
        <v>1148</v>
      </c>
    </row>
    <row r="5129" spans="11:19" x14ac:dyDescent="0.3">
      <c r="K5129" s="16">
        <f t="shared" si="79"/>
        <v>44229</v>
      </c>
      <c r="L5129" s="17">
        <v>0.625</v>
      </c>
      <c r="M5129" s="14">
        <v>396</v>
      </c>
      <c r="N5129" s="14">
        <v>183</v>
      </c>
      <c r="O5129" s="14">
        <v>0</v>
      </c>
      <c r="P5129" s="14">
        <v>579</v>
      </c>
      <c r="Q5129">
        <v>13200</v>
      </c>
      <c r="R5129">
        <v>497</v>
      </c>
      <c r="S5129">
        <v>838</v>
      </c>
    </row>
    <row r="5130" spans="11:19" x14ac:dyDescent="0.3">
      <c r="K5130" s="16">
        <f t="shared" si="79"/>
        <v>44229</v>
      </c>
      <c r="L5130" s="17">
        <v>0.66666666666666663</v>
      </c>
      <c r="M5130" s="14">
        <v>396</v>
      </c>
      <c r="N5130" s="14">
        <v>3373</v>
      </c>
      <c r="O5130" s="14">
        <v>0</v>
      </c>
      <c r="P5130" s="14">
        <v>3769</v>
      </c>
      <c r="Q5130">
        <v>13128</v>
      </c>
      <c r="R5130">
        <v>511</v>
      </c>
      <c r="S5130">
        <v>379</v>
      </c>
    </row>
    <row r="5131" spans="11:19" x14ac:dyDescent="0.3">
      <c r="K5131" s="16">
        <f t="shared" si="79"/>
        <v>44229</v>
      </c>
      <c r="L5131" s="17">
        <v>0.70833333333333337</v>
      </c>
      <c r="M5131" s="14">
        <v>396</v>
      </c>
      <c r="N5131" s="14">
        <v>1122</v>
      </c>
      <c r="O5131" s="14">
        <v>0</v>
      </c>
      <c r="P5131" s="14">
        <v>1518</v>
      </c>
      <c r="Q5131">
        <v>13402</v>
      </c>
      <c r="R5131">
        <v>528</v>
      </c>
      <c r="S5131">
        <v>71</v>
      </c>
    </row>
    <row r="5132" spans="11:19" x14ac:dyDescent="0.3">
      <c r="K5132" s="16">
        <f t="shared" si="79"/>
        <v>44229</v>
      </c>
      <c r="L5132" s="17">
        <v>0.75</v>
      </c>
      <c r="M5132" s="14">
        <v>396</v>
      </c>
      <c r="N5132" s="14">
        <v>3373</v>
      </c>
      <c r="O5132" s="14">
        <v>0</v>
      </c>
      <c r="P5132" s="14">
        <v>3769</v>
      </c>
      <c r="Q5132">
        <v>14264</v>
      </c>
      <c r="R5132">
        <v>598</v>
      </c>
      <c r="S5132">
        <v>0</v>
      </c>
    </row>
    <row r="5133" spans="11:19" x14ac:dyDescent="0.3">
      <c r="K5133" s="16">
        <f t="shared" si="79"/>
        <v>44229</v>
      </c>
      <c r="L5133" s="17">
        <v>0.79166666666666663</v>
      </c>
      <c r="M5133" s="14">
        <v>396</v>
      </c>
      <c r="N5133" s="14">
        <v>1745</v>
      </c>
      <c r="O5133" s="14">
        <v>0</v>
      </c>
      <c r="P5133" s="14">
        <v>2141</v>
      </c>
      <c r="Q5133">
        <v>14044</v>
      </c>
      <c r="R5133">
        <v>621</v>
      </c>
      <c r="S5133">
        <v>0</v>
      </c>
    </row>
    <row r="5134" spans="11:19" x14ac:dyDescent="0.3">
      <c r="K5134" s="16">
        <f t="shared" si="79"/>
        <v>44229</v>
      </c>
      <c r="L5134" s="17">
        <v>0.83333333333333337</v>
      </c>
      <c r="M5134" s="14">
        <v>396</v>
      </c>
      <c r="N5134" s="14">
        <v>929</v>
      </c>
      <c r="O5134" s="14">
        <v>0</v>
      </c>
      <c r="P5134" s="14">
        <v>1325</v>
      </c>
      <c r="Q5134">
        <v>13192</v>
      </c>
      <c r="R5134">
        <v>588</v>
      </c>
      <c r="S5134">
        <v>0</v>
      </c>
    </row>
    <row r="5135" spans="11:19" x14ac:dyDescent="0.3">
      <c r="K5135" s="16">
        <f t="shared" si="79"/>
        <v>44229</v>
      </c>
      <c r="L5135" s="17">
        <v>0.875</v>
      </c>
      <c r="M5135" s="14">
        <v>396</v>
      </c>
      <c r="N5135" s="14">
        <v>280</v>
      </c>
      <c r="O5135" s="14">
        <v>0</v>
      </c>
      <c r="P5135" s="14">
        <v>676</v>
      </c>
      <c r="Q5135">
        <v>12518</v>
      </c>
      <c r="R5135">
        <v>562</v>
      </c>
      <c r="S5135">
        <v>0</v>
      </c>
    </row>
    <row r="5136" spans="11:19" x14ac:dyDescent="0.3">
      <c r="K5136" s="16">
        <f t="shared" si="79"/>
        <v>44229</v>
      </c>
      <c r="L5136" s="17">
        <v>0.91666666666666663</v>
      </c>
      <c r="M5136" s="14">
        <v>396</v>
      </c>
      <c r="N5136" s="14">
        <v>3319</v>
      </c>
      <c r="O5136" s="14">
        <v>0</v>
      </c>
      <c r="P5136" s="14">
        <v>3715</v>
      </c>
      <c r="Q5136">
        <v>12680</v>
      </c>
      <c r="R5136">
        <v>585</v>
      </c>
      <c r="S5136">
        <v>0</v>
      </c>
    </row>
    <row r="5137" spans="11:19" x14ac:dyDescent="0.3">
      <c r="K5137" s="16">
        <f t="shared" si="79"/>
        <v>44229</v>
      </c>
      <c r="L5137" s="17">
        <v>0.95833333333333337</v>
      </c>
      <c r="M5137" s="14">
        <v>396</v>
      </c>
      <c r="N5137" s="14">
        <v>675</v>
      </c>
      <c r="O5137" s="14">
        <v>0</v>
      </c>
      <c r="P5137" s="14">
        <v>1071</v>
      </c>
      <c r="Q5137">
        <v>12808</v>
      </c>
      <c r="R5137">
        <v>457</v>
      </c>
      <c r="S5137">
        <v>0</v>
      </c>
    </row>
    <row r="5138" spans="11:19" x14ac:dyDescent="0.3">
      <c r="K5138" s="16">
        <f t="shared" si="79"/>
        <v>44230</v>
      </c>
      <c r="L5138" s="17">
        <v>0</v>
      </c>
      <c r="M5138" s="14">
        <v>396</v>
      </c>
      <c r="N5138" s="14">
        <v>245</v>
      </c>
      <c r="O5138" s="14">
        <v>0</v>
      </c>
      <c r="P5138" s="14">
        <v>641</v>
      </c>
      <c r="Q5138">
        <v>12309</v>
      </c>
      <c r="R5138">
        <v>391</v>
      </c>
      <c r="S5138">
        <v>0</v>
      </c>
    </row>
    <row r="5139" spans="11:19" x14ac:dyDescent="0.3">
      <c r="K5139" s="16">
        <f t="shared" si="79"/>
        <v>44230</v>
      </c>
      <c r="L5139" s="17">
        <v>4.1666666666666664E-2</v>
      </c>
      <c r="M5139" s="14">
        <v>396</v>
      </c>
      <c r="N5139" s="14">
        <v>0</v>
      </c>
      <c r="O5139" s="14">
        <v>0</v>
      </c>
      <c r="P5139" s="14">
        <v>396</v>
      </c>
      <c r="Q5139">
        <v>12032</v>
      </c>
      <c r="R5139">
        <v>411</v>
      </c>
      <c r="S5139">
        <v>0</v>
      </c>
    </row>
    <row r="5140" spans="11:19" x14ac:dyDescent="0.3">
      <c r="K5140" s="16">
        <f t="shared" si="79"/>
        <v>44230</v>
      </c>
      <c r="L5140" s="17">
        <v>8.3333333333333329E-2</v>
      </c>
      <c r="M5140" s="14">
        <v>396</v>
      </c>
      <c r="N5140" s="14">
        <v>0</v>
      </c>
      <c r="O5140" s="14">
        <v>0</v>
      </c>
      <c r="P5140" s="14">
        <v>396</v>
      </c>
      <c r="Q5140">
        <v>11784</v>
      </c>
      <c r="R5140">
        <v>546</v>
      </c>
      <c r="S5140">
        <v>0</v>
      </c>
    </row>
    <row r="5141" spans="11:19" x14ac:dyDescent="0.3">
      <c r="K5141" s="16">
        <f t="shared" si="79"/>
        <v>44230</v>
      </c>
      <c r="L5141" s="17">
        <v>0.125</v>
      </c>
      <c r="M5141" s="14">
        <v>396</v>
      </c>
      <c r="N5141" s="14">
        <v>0</v>
      </c>
      <c r="O5141" s="14">
        <v>0</v>
      </c>
      <c r="P5141" s="14">
        <v>396</v>
      </c>
      <c r="Q5141">
        <v>11371</v>
      </c>
      <c r="R5141">
        <v>551</v>
      </c>
      <c r="S5141">
        <v>0</v>
      </c>
    </row>
    <row r="5142" spans="11:19" x14ac:dyDescent="0.3">
      <c r="K5142" s="16">
        <f t="shared" si="79"/>
        <v>44230</v>
      </c>
      <c r="L5142" s="17">
        <v>0.16666666666666666</v>
      </c>
      <c r="M5142" s="14">
        <v>396</v>
      </c>
      <c r="N5142" s="14">
        <v>0</v>
      </c>
      <c r="O5142" s="14">
        <v>0</v>
      </c>
      <c r="P5142" s="14">
        <v>396</v>
      </c>
      <c r="Q5142">
        <v>11295</v>
      </c>
      <c r="R5142">
        <v>551</v>
      </c>
      <c r="S5142">
        <v>0</v>
      </c>
    </row>
    <row r="5143" spans="11:19" x14ac:dyDescent="0.3">
      <c r="K5143" s="16">
        <f t="shared" si="79"/>
        <v>44230</v>
      </c>
      <c r="L5143" s="17">
        <v>0.20833333333333334</v>
      </c>
      <c r="M5143" s="14">
        <v>396</v>
      </c>
      <c r="N5143" s="14">
        <v>0</v>
      </c>
      <c r="O5143" s="14">
        <v>0</v>
      </c>
      <c r="P5143" s="14">
        <v>396</v>
      </c>
      <c r="Q5143">
        <v>11842</v>
      </c>
      <c r="R5143">
        <v>605</v>
      </c>
      <c r="S5143">
        <v>0</v>
      </c>
    </row>
    <row r="5144" spans="11:19" x14ac:dyDescent="0.3">
      <c r="K5144" s="16">
        <f t="shared" si="79"/>
        <v>44230</v>
      </c>
      <c r="L5144" s="17">
        <v>0.25</v>
      </c>
      <c r="M5144" s="14">
        <v>396</v>
      </c>
      <c r="N5144" s="14">
        <v>666</v>
      </c>
      <c r="O5144" s="14">
        <v>0</v>
      </c>
      <c r="P5144" s="14">
        <v>1062</v>
      </c>
      <c r="Q5144">
        <v>13062</v>
      </c>
      <c r="R5144">
        <v>724</v>
      </c>
      <c r="S5144">
        <v>0</v>
      </c>
    </row>
    <row r="5145" spans="11:19" x14ac:dyDescent="0.3">
      <c r="K5145" s="16">
        <f t="shared" si="79"/>
        <v>44230</v>
      </c>
      <c r="L5145" s="17">
        <v>0.29166666666666669</v>
      </c>
      <c r="M5145" s="14">
        <v>396</v>
      </c>
      <c r="N5145" s="14">
        <v>1606</v>
      </c>
      <c r="O5145" s="14">
        <v>0</v>
      </c>
      <c r="P5145" s="14">
        <v>2002</v>
      </c>
      <c r="Q5145">
        <v>14094</v>
      </c>
      <c r="R5145">
        <v>807</v>
      </c>
      <c r="S5145">
        <v>0</v>
      </c>
    </row>
    <row r="5146" spans="11:19" x14ac:dyDescent="0.3">
      <c r="K5146" s="16">
        <f t="shared" si="79"/>
        <v>44230</v>
      </c>
      <c r="L5146" s="17">
        <v>0.33333333333333331</v>
      </c>
      <c r="M5146" s="14">
        <v>396</v>
      </c>
      <c r="N5146" s="14">
        <v>1826</v>
      </c>
      <c r="O5146" s="14">
        <v>0</v>
      </c>
      <c r="P5146" s="14">
        <v>2222</v>
      </c>
      <c r="Q5146">
        <v>14350</v>
      </c>
      <c r="R5146">
        <v>775</v>
      </c>
      <c r="S5146">
        <v>65</v>
      </c>
    </row>
    <row r="5147" spans="11:19" x14ac:dyDescent="0.3">
      <c r="K5147" s="16">
        <f t="shared" ref="K5147:K5210" si="80">K5123+1</f>
        <v>44230</v>
      </c>
      <c r="L5147" s="17">
        <v>0.375</v>
      </c>
      <c r="M5147" s="14">
        <v>396</v>
      </c>
      <c r="N5147" s="14">
        <v>3209</v>
      </c>
      <c r="O5147" s="14">
        <v>0</v>
      </c>
      <c r="P5147" s="14">
        <v>3605</v>
      </c>
      <c r="Q5147">
        <v>14429</v>
      </c>
      <c r="R5147">
        <v>709</v>
      </c>
      <c r="S5147">
        <v>448</v>
      </c>
    </row>
    <row r="5148" spans="11:19" x14ac:dyDescent="0.3">
      <c r="K5148" s="16">
        <f t="shared" si="80"/>
        <v>44230</v>
      </c>
      <c r="L5148" s="17">
        <v>0.41666666666666669</v>
      </c>
      <c r="M5148" s="14">
        <v>396</v>
      </c>
      <c r="N5148" s="14">
        <v>995</v>
      </c>
      <c r="O5148" s="14">
        <v>0</v>
      </c>
      <c r="P5148" s="14">
        <v>1391</v>
      </c>
      <c r="Q5148">
        <v>14361</v>
      </c>
      <c r="R5148">
        <v>738</v>
      </c>
      <c r="S5148">
        <v>950</v>
      </c>
    </row>
    <row r="5149" spans="11:19" x14ac:dyDescent="0.3">
      <c r="K5149" s="16">
        <f t="shared" si="80"/>
        <v>44230</v>
      </c>
      <c r="L5149" s="17">
        <v>0.45833333333333331</v>
      </c>
      <c r="M5149" s="14">
        <v>396</v>
      </c>
      <c r="N5149" s="14">
        <v>679</v>
      </c>
      <c r="O5149" s="14">
        <v>0</v>
      </c>
      <c r="P5149" s="14">
        <v>1075</v>
      </c>
      <c r="Q5149">
        <v>14384</v>
      </c>
      <c r="R5149">
        <v>709</v>
      </c>
      <c r="S5149">
        <v>1317</v>
      </c>
    </row>
    <row r="5150" spans="11:19" x14ac:dyDescent="0.3">
      <c r="K5150" s="16">
        <f t="shared" si="80"/>
        <v>44230</v>
      </c>
      <c r="L5150" s="17">
        <v>0.5</v>
      </c>
      <c r="M5150" s="14">
        <v>396</v>
      </c>
      <c r="N5150" s="14">
        <v>403</v>
      </c>
      <c r="O5150" s="14">
        <v>0</v>
      </c>
      <c r="P5150" s="14">
        <v>799</v>
      </c>
      <c r="Q5150">
        <v>14284</v>
      </c>
      <c r="R5150">
        <v>704</v>
      </c>
      <c r="S5150">
        <v>1498</v>
      </c>
    </row>
    <row r="5151" spans="11:19" x14ac:dyDescent="0.3">
      <c r="K5151" s="16">
        <f t="shared" si="80"/>
        <v>44230</v>
      </c>
      <c r="L5151" s="17">
        <v>0.54166666666666663</v>
      </c>
      <c r="M5151" s="14">
        <v>396</v>
      </c>
      <c r="N5151" s="14">
        <v>66</v>
      </c>
      <c r="O5151" s="14">
        <v>0</v>
      </c>
      <c r="P5151" s="14">
        <v>462</v>
      </c>
      <c r="Q5151">
        <v>13934</v>
      </c>
      <c r="R5151">
        <v>674</v>
      </c>
      <c r="S5151">
        <v>1515</v>
      </c>
    </row>
    <row r="5152" spans="11:19" x14ac:dyDescent="0.3">
      <c r="K5152" s="16">
        <f t="shared" si="80"/>
        <v>44230</v>
      </c>
      <c r="L5152" s="17">
        <v>0.58333333333333337</v>
      </c>
      <c r="M5152" s="14">
        <v>396</v>
      </c>
      <c r="N5152" s="14">
        <v>0</v>
      </c>
      <c r="O5152" s="14">
        <v>0</v>
      </c>
      <c r="P5152" s="14">
        <v>396</v>
      </c>
      <c r="Q5152">
        <v>13599</v>
      </c>
      <c r="R5152">
        <v>664</v>
      </c>
      <c r="S5152">
        <v>1301</v>
      </c>
    </row>
    <row r="5153" spans="11:19" x14ac:dyDescent="0.3">
      <c r="K5153" s="16">
        <f t="shared" si="80"/>
        <v>44230</v>
      </c>
      <c r="L5153" s="17">
        <v>0.625</v>
      </c>
      <c r="M5153" s="14">
        <v>396</v>
      </c>
      <c r="N5153" s="14">
        <v>103</v>
      </c>
      <c r="O5153" s="14">
        <v>0</v>
      </c>
      <c r="P5153" s="14">
        <v>499</v>
      </c>
      <c r="Q5153">
        <v>13332</v>
      </c>
      <c r="R5153">
        <v>619</v>
      </c>
      <c r="S5153">
        <v>927</v>
      </c>
    </row>
    <row r="5154" spans="11:19" x14ac:dyDescent="0.3">
      <c r="K5154" s="16">
        <f t="shared" si="80"/>
        <v>44230</v>
      </c>
      <c r="L5154" s="17">
        <v>0.66666666666666663</v>
      </c>
      <c r="M5154" s="14">
        <v>396</v>
      </c>
      <c r="N5154" s="14">
        <v>587</v>
      </c>
      <c r="O5154" s="14">
        <v>0</v>
      </c>
      <c r="P5154" s="14">
        <v>983</v>
      </c>
      <c r="Q5154">
        <v>13356</v>
      </c>
      <c r="R5154">
        <v>674</v>
      </c>
      <c r="S5154">
        <v>412</v>
      </c>
    </row>
    <row r="5155" spans="11:19" x14ac:dyDescent="0.3">
      <c r="K5155" s="16">
        <f t="shared" si="80"/>
        <v>44230</v>
      </c>
      <c r="L5155" s="17">
        <v>0.70833333333333337</v>
      </c>
      <c r="M5155" s="14">
        <v>396</v>
      </c>
      <c r="N5155" s="14">
        <v>1198</v>
      </c>
      <c r="O5155" s="14">
        <v>0</v>
      </c>
      <c r="P5155" s="14">
        <v>1594</v>
      </c>
      <c r="Q5155">
        <v>13720</v>
      </c>
      <c r="R5155">
        <v>793</v>
      </c>
      <c r="S5155">
        <v>47</v>
      </c>
    </row>
    <row r="5156" spans="11:19" x14ac:dyDescent="0.3">
      <c r="K5156" s="16">
        <f t="shared" si="80"/>
        <v>44230</v>
      </c>
      <c r="L5156" s="17">
        <v>0.75</v>
      </c>
      <c r="M5156" s="14">
        <v>396</v>
      </c>
      <c r="N5156" s="14">
        <v>2030</v>
      </c>
      <c r="O5156" s="14">
        <v>0</v>
      </c>
      <c r="P5156" s="14">
        <v>2426</v>
      </c>
      <c r="Q5156">
        <v>14625</v>
      </c>
      <c r="R5156">
        <v>913</v>
      </c>
      <c r="S5156">
        <v>1</v>
      </c>
    </row>
    <row r="5157" spans="11:19" x14ac:dyDescent="0.3">
      <c r="K5157" s="16">
        <f t="shared" si="80"/>
        <v>44230</v>
      </c>
      <c r="L5157" s="17">
        <v>0.79166666666666663</v>
      </c>
      <c r="M5157" s="14">
        <v>396</v>
      </c>
      <c r="N5157" s="14">
        <v>1573</v>
      </c>
      <c r="O5157" s="14">
        <v>0</v>
      </c>
      <c r="P5157" s="14">
        <v>1969</v>
      </c>
      <c r="Q5157">
        <v>14373</v>
      </c>
      <c r="R5157">
        <v>1121</v>
      </c>
      <c r="S5157">
        <v>0</v>
      </c>
    </row>
    <row r="5158" spans="11:19" x14ac:dyDescent="0.3">
      <c r="K5158" s="16">
        <f t="shared" si="80"/>
        <v>44230</v>
      </c>
      <c r="L5158" s="17">
        <v>0.83333333333333337</v>
      </c>
      <c r="M5158" s="14">
        <v>396</v>
      </c>
      <c r="N5158" s="14">
        <v>413</v>
      </c>
      <c r="O5158" s="14">
        <v>0</v>
      </c>
      <c r="P5158" s="14">
        <v>809</v>
      </c>
      <c r="Q5158">
        <v>13456</v>
      </c>
      <c r="R5158">
        <v>1367</v>
      </c>
      <c r="S5158">
        <v>0</v>
      </c>
    </row>
    <row r="5159" spans="11:19" x14ac:dyDescent="0.3">
      <c r="K5159" s="16">
        <f t="shared" si="80"/>
        <v>44230</v>
      </c>
      <c r="L5159" s="17">
        <v>0.875</v>
      </c>
      <c r="M5159" s="14">
        <v>396</v>
      </c>
      <c r="N5159" s="14">
        <v>0</v>
      </c>
      <c r="O5159" s="14">
        <v>0</v>
      </c>
      <c r="P5159" s="14">
        <v>396</v>
      </c>
      <c r="Q5159">
        <v>12718</v>
      </c>
      <c r="R5159">
        <v>1511</v>
      </c>
      <c r="S5159">
        <v>0</v>
      </c>
    </row>
    <row r="5160" spans="11:19" x14ac:dyDescent="0.3">
      <c r="K5160" s="16">
        <f t="shared" si="80"/>
        <v>44230</v>
      </c>
      <c r="L5160" s="17">
        <v>0.91666666666666663</v>
      </c>
      <c r="M5160" s="14">
        <v>396</v>
      </c>
      <c r="N5160" s="14">
        <v>0</v>
      </c>
      <c r="O5160" s="14">
        <v>0</v>
      </c>
      <c r="P5160" s="14">
        <v>396</v>
      </c>
      <c r="Q5160">
        <v>12851</v>
      </c>
      <c r="R5160">
        <v>1764</v>
      </c>
      <c r="S5160">
        <v>0</v>
      </c>
    </row>
    <row r="5161" spans="11:19" x14ac:dyDescent="0.3">
      <c r="K5161" s="16">
        <f t="shared" si="80"/>
        <v>44230</v>
      </c>
      <c r="L5161" s="17">
        <v>0.95833333333333337</v>
      </c>
      <c r="M5161" s="14">
        <v>396</v>
      </c>
      <c r="N5161" s="14">
        <v>0</v>
      </c>
      <c r="O5161" s="14">
        <v>0</v>
      </c>
      <c r="P5161" s="14">
        <v>396</v>
      </c>
      <c r="Q5161">
        <v>12955</v>
      </c>
      <c r="R5161">
        <v>1874</v>
      </c>
      <c r="S5161">
        <v>0</v>
      </c>
    </row>
    <row r="5162" spans="11:19" x14ac:dyDescent="0.3">
      <c r="K5162" s="16">
        <f t="shared" si="80"/>
        <v>44231</v>
      </c>
      <c r="L5162" s="17">
        <v>0</v>
      </c>
      <c r="M5162" s="14">
        <v>752</v>
      </c>
      <c r="N5162" s="14">
        <v>0</v>
      </c>
      <c r="O5162" s="14">
        <v>0</v>
      </c>
      <c r="P5162" s="14">
        <v>752</v>
      </c>
      <c r="Q5162">
        <v>12435</v>
      </c>
      <c r="R5162">
        <v>1950</v>
      </c>
      <c r="S5162">
        <v>0</v>
      </c>
    </row>
    <row r="5163" spans="11:19" x14ac:dyDescent="0.3">
      <c r="K5163" s="16">
        <f t="shared" si="80"/>
        <v>44231</v>
      </c>
      <c r="L5163" s="17">
        <v>4.1666666666666664E-2</v>
      </c>
      <c r="M5163" s="14">
        <v>752</v>
      </c>
      <c r="N5163" s="14">
        <v>0</v>
      </c>
      <c r="O5163" s="14">
        <v>0</v>
      </c>
      <c r="P5163" s="14">
        <v>752</v>
      </c>
      <c r="Q5163">
        <v>12135</v>
      </c>
      <c r="R5163">
        <v>2027</v>
      </c>
      <c r="S5163">
        <v>0</v>
      </c>
    </row>
    <row r="5164" spans="11:19" x14ac:dyDescent="0.3">
      <c r="K5164" s="16">
        <f t="shared" si="80"/>
        <v>44231</v>
      </c>
      <c r="L5164" s="17">
        <v>8.3333333333333329E-2</v>
      </c>
      <c r="M5164" s="14">
        <v>752</v>
      </c>
      <c r="N5164" s="14">
        <v>0</v>
      </c>
      <c r="O5164" s="14">
        <v>0</v>
      </c>
      <c r="P5164" s="14">
        <v>752</v>
      </c>
      <c r="Q5164">
        <v>11864</v>
      </c>
      <c r="R5164">
        <v>1413</v>
      </c>
      <c r="S5164">
        <v>0</v>
      </c>
    </row>
    <row r="5165" spans="11:19" x14ac:dyDescent="0.3">
      <c r="K5165" s="16">
        <f t="shared" si="80"/>
        <v>44231</v>
      </c>
      <c r="L5165" s="17">
        <v>0.125</v>
      </c>
      <c r="M5165" s="14">
        <v>752</v>
      </c>
      <c r="N5165" s="14">
        <v>723</v>
      </c>
      <c r="O5165" s="14">
        <v>0</v>
      </c>
      <c r="P5165" s="14">
        <v>1475</v>
      </c>
      <c r="Q5165">
        <v>11423</v>
      </c>
      <c r="R5165">
        <v>1580</v>
      </c>
      <c r="S5165">
        <v>0</v>
      </c>
    </row>
    <row r="5166" spans="11:19" x14ac:dyDescent="0.3">
      <c r="K5166" s="16">
        <f t="shared" si="80"/>
        <v>44231</v>
      </c>
      <c r="L5166" s="17">
        <v>0.16666666666666666</v>
      </c>
      <c r="M5166" s="14">
        <v>752</v>
      </c>
      <c r="N5166" s="14">
        <v>0</v>
      </c>
      <c r="O5166" s="14">
        <v>0</v>
      </c>
      <c r="P5166" s="14">
        <v>752</v>
      </c>
      <c r="Q5166">
        <v>11313</v>
      </c>
      <c r="R5166">
        <v>1794</v>
      </c>
      <c r="S5166">
        <v>0</v>
      </c>
    </row>
    <row r="5167" spans="11:19" x14ac:dyDescent="0.3">
      <c r="K5167" s="16">
        <f t="shared" si="80"/>
        <v>44231</v>
      </c>
      <c r="L5167" s="17">
        <v>0.20833333333333334</v>
      </c>
      <c r="M5167" s="14">
        <v>752</v>
      </c>
      <c r="N5167" s="14">
        <v>755</v>
      </c>
      <c r="O5167" s="14">
        <v>0</v>
      </c>
      <c r="P5167" s="14">
        <v>1507</v>
      </c>
      <c r="Q5167">
        <v>11825</v>
      </c>
      <c r="R5167">
        <v>1944</v>
      </c>
      <c r="S5167">
        <v>0</v>
      </c>
    </row>
    <row r="5168" spans="11:19" x14ac:dyDescent="0.3">
      <c r="K5168" s="16">
        <f t="shared" si="80"/>
        <v>44231</v>
      </c>
      <c r="L5168" s="17">
        <v>0.25</v>
      </c>
      <c r="M5168" s="14">
        <v>752</v>
      </c>
      <c r="N5168" s="14">
        <v>755</v>
      </c>
      <c r="O5168" s="14">
        <v>0</v>
      </c>
      <c r="P5168" s="14">
        <v>1507</v>
      </c>
      <c r="Q5168">
        <v>13006</v>
      </c>
      <c r="R5168">
        <v>2215</v>
      </c>
      <c r="S5168">
        <v>0</v>
      </c>
    </row>
    <row r="5169" spans="11:19" x14ac:dyDescent="0.3">
      <c r="K5169" s="16">
        <f t="shared" si="80"/>
        <v>44231</v>
      </c>
      <c r="L5169" s="17">
        <v>0.29166666666666669</v>
      </c>
      <c r="M5169" s="14">
        <v>752</v>
      </c>
      <c r="N5169" s="14">
        <v>0</v>
      </c>
      <c r="O5169" s="14">
        <v>0</v>
      </c>
      <c r="P5169" s="14">
        <v>752</v>
      </c>
      <c r="Q5169">
        <v>13986</v>
      </c>
      <c r="R5169">
        <v>2260</v>
      </c>
      <c r="S5169">
        <v>0</v>
      </c>
    </row>
    <row r="5170" spans="11:19" x14ac:dyDescent="0.3">
      <c r="K5170" s="16">
        <f t="shared" si="80"/>
        <v>44231</v>
      </c>
      <c r="L5170" s="17">
        <v>0.33333333333333331</v>
      </c>
      <c r="M5170" s="14">
        <v>752</v>
      </c>
      <c r="N5170" s="14">
        <v>0</v>
      </c>
      <c r="O5170" s="14">
        <v>0</v>
      </c>
      <c r="P5170" s="14">
        <v>752</v>
      </c>
      <c r="Q5170">
        <v>14210</v>
      </c>
      <c r="R5170">
        <v>2240</v>
      </c>
      <c r="S5170">
        <v>28</v>
      </c>
    </row>
    <row r="5171" spans="11:19" x14ac:dyDescent="0.3">
      <c r="K5171" s="16">
        <f t="shared" si="80"/>
        <v>44231</v>
      </c>
      <c r="L5171" s="17">
        <v>0.375</v>
      </c>
      <c r="M5171" s="14">
        <v>752</v>
      </c>
      <c r="N5171" s="14">
        <v>0</v>
      </c>
      <c r="O5171" s="14">
        <v>0</v>
      </c>
      <c r="P5171" s="14">
        <v>752</v>
      </c>
      <c r="Q5171">
        <v>14265</v>
      </c>
      <c r="R5171">
        <v>2104</v>
      </c>
      <c r="S5171">
        <v>224</v>
      </c>
    </row>
    <row r="5172" spans="11:19" x14ac:dyDescent="0.3">
      <c r="K5172" s="16">
        <f t="shared" si="80"/>
        <v>44231</v>
      </c>
      <c r="L5172" s="17">
        <v>0.41666666666666669</v>
      </c>
      <c r="M5172" s="14">
        <v>752</v>
      </c>
      <c r="N5172" s="14">
        <v>0</v>
      </c>
      <c r="O5172" s="14">
        <v>0</v>
      </c>
      <c r="P5172" s="14">
        <v>752</v>
      </c>
      <c r="Q5172">
        <v>14215</v>
      </c>
      <c r="R5172">
        <v>2061</v>
      </c>
      <c r="S5172">
        <v>537</v>
      </c>
    </row>
    <row r="5173" spans="11:19" x14ac:dyDescent="0.3">
      <c r="K5173" s="16">
        <f t="shared" si="80"/>
        <v>44231</v>
      </c>
      <c r="L5173" s="17">
        <v>0.45833333333333331</v>
      </c>
      <c r="M5173" s="14">
        <v>752</v>
      </c>
      <c r="N5173" s="14">
        <v>0</v>
      </c>
      <c r="O5173" s="14">
        <v>0</v>
      </c>
      <c r="P5173" s="14">
        <v>752</v>
      </c>
      <c r="Q5173">
        <v>14256</v>
      </c>
      <c r="R5173">
        <v>2269</v>
      </c>
      <c r="S5173">
        <v>678</v>
      </c>
    </row>
    <row r="5174" spans="11:19" x14ac:dyDescent="0.3">
      <c r="K5174" s="16">
        <f t="shared" si="80"/>
        <v>44231</v>
      </c>
      <c r="L5174" s="17">
        <v>0.5</v>
      </c>
      <c r="M5174" s="14">
        <v>752</v>
      </c>
      <c r="N5174" s="14">
        <v>755</v>
      </c>
      <c r="O5174" s="14">
        <v>0</v>
      </c>
      <c r="P5174" s="14">
        <v>1507</v>
      </c>
      <c r="Q5174">
        <v>14192</v>
      </c>
      <c r="R5174">
        <v>2405</v>
      </c>
      <c r="S5174">
        <v>812</v>
      </c>
    </row>
    <row r="5175" spans="11:19" x14ac:dyDescent="0.3">
      <c r="K5175" s="16">
        <f t="shared" si="80"/>
        <v>44231</v>
      </c>
      <c r="L5175" s="17">
        <v>0.54166666666666663</v>
      </c>
      <c r="M5175" s="14">
        <v>752</v>
      </c>
      <c r="N5175" s="14">
        <v>755</v>
      </c>
      <c r="O5175" s="14">
        <v>0</v>
      </c>
      <c r="P5175" s="14">
        <v>1507</v>
      </c>
      <c r="Q5175">
        <v>13904</v>
      </c>
      <c r="R5175">
        <v>2375</v>
      </c>
      <c r="S5175">
        <v>786</v>
      </c>
    </row>
    <row r="5176" spans="11:19" x14ac:dyDescent="0.3">
      <c r="K5176" s="16">
        <f t="shared" si="80"/>
        <v>44231</v>
      </c>
      <c r="L5176" s="17">
        <v>0.58333333333333337</v>
      </c>
      <c r="M5176" s="14">
        <v>752</v>
      </c>
      <c r="N5176" s="14">
        <v>0</v>
      </c>
      <c r="O5176" s="14">
        <v>0</v>
      </c>
      <c r="P5176" s="14">
        <v>752</v>
      </c>
      <c r="Q5176">
        <v>13609</v>
      </c>
      <c r="R5176">
        <v>2167</v>
      </c>
      <c r="S5176">
        <v>734</v>
      </c>
    </row>
    <row r="5177" spans="11:19" x14ac:dyDescent="0.3">
      <c r="K5177" s="16">
        <f t="shared" si="80"/>
        <v>44231</v>
      </c>
      <c r="L5177" s="17">
        <v>0.625</v>
      </c>
      <c r="M5177" s="14">
        <v>752</v>
      </c>
      <c r="N5177" s="14">
        <v>755</v>
      </c>
      <c r="O5177" s="14">
        <v>0</v>
      </c>
      <c r="P5177" s="14">
        <v>1507</v>
      </c>
      <c r="Q5177">
        <v>13325</v>
      </c>
      <c r="R5177">
        <v>2058</v>
      </c>
      <c r="S5177">
        <v>596</v>
      </c>
    </row>
    <row r="5178" spans="11:19" x14ac:dyDescent="0.3">
      <c r="K5178" s="16">
        <f t="shared" si="80"/>
        <v>44231</v>
      </c>
      <c r="L5178" s="17">
        <v>0.66666666666666663</v>
      </c>
      <c r="M5178" s="14">
        <v>752</v>
      </c>
      <c r="N5178" s="14">
        <v>0</v>
      </c>
      <c r="O5178" s="14">
        <v>0</v>
      </c>
      <c r="P5178" s="14">
        <v>752</v>
      </c>
      <c r="Q5178">
        <v>13279</v>
      </c>
      <c r="R5178">
        <v>1936</v>
      </c>
      <c r="S5178">
        <v>261</v>
      </c>
    </row>
    <row r="5179" spans="11:19" x14ac:dyDescent="0.3">
      <c r="K5179" s="16">
        <f t="shared" si="80"/>
        <v>44231</v>
      </c>
      <c r="L5179" s="17">
        <v>0.70833333333333337</v>
      </c>
      <c r="M5179" s="14">
        <v>752</v>
      </c>
      <c r="N5179" s="14">
        <v>755</v>
      </c>
      <c r="O5179" s="14">
        <v>0</v>
      </c>
      <c r="P5179" s="14">
        <v>1507</v>
      </c>
      <c r="Q5179">
        <v>13588</v>
      </c>
      <c r="R5179">
        <v>2005</v>
      </c>
      <c r="S5179">
        <v>47</v>
      </c>
    </row>
    <row r="5180" spans="11:19" x14ac:dyDescent="0.3">
      <c r="K5180" s="16">
        <f t="shared" si="80"/>
        <v>44231</v>
      </c>
      <c r="L5180" s="17">
        <v>0.75</v>
      </c>
      <c r="M5180" s="14">
        <v>752</v>
      </c>
      <c r="N5180" s="14">
        <v>334</v>
      </c>
      <c r="O5180" s="14">
        <v>0</v>
      </c>
      <c r="P5180" s="14">
        <v>1086</v>
      </c>
      <c r="Q5180">
        <v>14470</v>
      </c>
      <c r="R5180">
        <v>2090</v>
      </c>
      <c r="S5180">
        <v>0</v>
      </c>
    </row>
    <row r="5181" spans="11:19" x14ac:dyDescent="0.3">
      <c r="K5181" s="16">
        <f t="shared" si="80"/>
        <v>44231</v>
      </c>
      <c r="L5181" s="17">
        <v>0.79166666666666663</v>
      </c>
      <c r="M5181" s="14">
        <v>752</v>
      </c>
      <c r="N5181" s="14">
        <v>755</v>
      </c>
      <c r="O5181" s="14">
        <v>0</v>
      </c>
      <c r="P5181" s="14">
        <v>1507</v>
      </c>
      <c r="Q5181">
        <v>14239</v>
      </c>
      <c r="R5181">
        <v>2018</v>
      </c>
      <c r="S5181">
        <v>0</v>
      </c>
    </row>
    <row r="5182" spans="11:19" x14ac:dyDescent="0.3">
      <c r="K5182" s="16">
        <f t="shared" si="80"/>
        <v>44231</v>
      </c>
      <c r="L5182" s="17">
        <v>0.83333333333333337</v>
      </c>
      <c r="M5182" s="14">
        <v>752</v>
      </c>
      <c r="N5182" s="14">
        <v>755</v>
      </c>
      <c r="O5182" s="14">
        <v>0</v>
      </c>
      <c r="P5182" s="14">
        <v>1507</v>
      </c>
      <c r="Q5182">
        <v>13377</v>
      </c>
      <c r="R5182">
        <v>2119</v>
      </c>
      <c r="S5182">
        <v>0</v>
      </c>
    </row>
    <row r="5183" spans="11:19" x14ac:dyDescent="0.3">
      <c r="K5183" s="16">
        <f t="shared" si="80"/>
        <v>44231</v>
      </c>
      <c r="L5183" s="17">
        <v>0.875</v>
      </c>
      <c r="M5183" s="14">
        <v>752</v>
      </c>
      <c r="N5183" s="14">
        <v>755</v>
      </c>
      <c r="O5183" s="14">
        <v>0</v>
      </c>
      <c r="P5183" s="14">
        <v>1507</v>
      </c>
      <c r="Q5183">
        <v>12686</v>
      </c>
      <c r="R5183">
        <v>2036</v>
      </c>
      <c r="S5183">
        <v>0</v>
      </c>
    </row>
    <row r="5184" spans="11:19" x14ac:dyDescent="0.3">
      <c r="K5184" s="16">
        <f t="shared" si="80"/>
        <v>44231</v>
      </c>
      <c r="L5184" s="17">
        <v>0.91666666666666663</v>
      </c>
      <c r="M5184" s="14">
        <v>752</v>
      </c>
      <c r="N5184" s="14">
        <v>755</v>
      </c>
      <c r="O5184" s="14">
        <v>0</v>
      </c>
      <c r="P5184" s="14">
        <v>1507</v>
      </c>
      <c r="Q5184">
        <v>12849</v>
      </c>
      <c r="R5184">
        <v>2022</v>
      </c>
      <c r="S5184">
        <v>0</v>
      </c>
    </row>
    <row r="5185" spans="11:19" x14ac:dyDescent="0.3">
      <c r="K5185" s="16">
        <f t="shared" si="80"/>
        <v>44231</v>
      </c>
      <c r="L5185" s="17">
        <v>0.95833333333333337</v>
      </c>
      <c r="M5185" s="14">
        <v>752</v>
      </c>
      <c r="N5185" s="14">
        <v>755</v>
      </c>
      <c r="O5185" s="14">
        <v>0</v>
      </c>
      <c r="P5185" s="14">
        <v>1507</v>
      </c>
      <c r="Q5185">
        <v>12980</v>
      </c>
      <c r="R5185">
        <v>1885</v>
      </c>
      <c r="S5185">
        <v>0</v>
      </c>
    </row>
    <row r="5186" spans="11:19" x14ac:dyDescent="0.3">
      <c r="K5186" s="16">
        <f t="shared" si="80"/>
        <v>44232</v>
      </c>
      <c r="L5186" s="17">
        <v>0</v>
      </c>
      <c r="M5186" s="14">
        <v>752</v>
      </c>
      <c r="N5186" s="14">
        <v>0</v>
      </c>
      <c r="O5186" s="14">
        <v>0</v>
      </c>
      <c r="P5186" s="14">
        <v>752</v>
      </c>
      <c r="Q5186">
        <v>12548</v>
      </c>
      <c r="R5186">
        <v>1693</v>
      </c>
      <c r="S5186">
        <v>0</v>
      </c>
    </row>
    <row r="5187" spans="11:19" x14ac:dyDescent="0.3">
      <c r="K5187" s="16">
        <f t="shared" si="80"/>
        <v>44232</v>
      </c>
      <c r="L5187" s="17">
        <v>4.1666666666666664E-2</v>
      </c>
      <c r="M5187" s="14">
        <v>752</v>
      </c>
      <c r="N5187" s="14">
        <v>445</v>
      </c>
      <c r="O5187" s="14">
        <v>0</v>
      </c>
      <c r="P5187" s="14">
        <v>1197</v>
      </c>
      <c r="Q5187">
        <v>12296</v>
      </c>
      <c r="R5187">
        <v>1800</v>
      </c>
      <c r="S5187">
        <v>0</v>
      </c>
    </row>
    <row r="5188" spans="11:19" x14ac:dyDescent="0.3">
      <c r="K5188" s="16">
        <f t="shared" si="80"/>
        <v>44232</v>
      </c>
      <c r="L5188" s="17">
        <v>8.3333333333333329E-2</v>
      </c>
      <c r="M5188" s="14">
        <v>752</v>
      </c>
      <c r="N5188" s="14">
        <v>445</v>
      </c>
      <c r="O5188" s="14">
        <v>0</v>
      </c>
      <c r="P5188" s="14">
        <v>1197</v>
      </c>
      <c r="Q5188">
        <v>12071</v>
      </c>
      <c r="R5188">
        <v>1742</v>
      </c>
      <c r="S5188">
        <v>0</v>
      </c>
    </row>
    <row r="5189" spans="11:19" x14ac:dyDescent="0.3">
      <c r="K5189" s="16">
        <f t="shared" si="80"/>
        <v>44232</v>
      </c>
      <c r="L5189" s="17">
        <v>0.125</v>
      </c>
      <c r="M5189" s="14">
        <v>752</v>
      </c>
      <c r="N5189" s="14">
        <v>0</v>
      </c>
      <c r="O5189" s="14">
        <v>0</v>
      </c>
      <c r="P5189" s="14">
        <v>752</v>
      </c>
      <c r="Q5189">
        <v>11658</v>
      </c>
      <c r="R5189">
        <v>1742</v>
      </c>
      <c r="S5189">
        <v>0</v>
      </c>
    </row>
    <row r="5190" spans="11:19" x14ac:dyDescent="0.3">
      <c r="K5190" s="16">
        <f t="shared" si="80"/>
        <v>44232</v>
      </c>
      <c r="L5190" s="17">
        <v>0.16666666666666666</v>
      </c>
      <c r="M5190" s="14">
        <v>752</v>
      </c>
      <c r="N5190" s="14">
        <v>0</v>
      </c>
      <c r="O5190" s="14">
        <v>0</v>
      </c>
      <c r="P5190" s="14">
        <v>752</v>
      </c>
      <c r="Q5190">
        <v>11598</v>
      </c>
      <c r="R5190">
        <v>1788</v>
      </c>
      <c r="S5190">
        <v>0</v>
      </c>
    </row>
    <row r="5191" spans="11:19" x14ac:dyDescent="0.3">
      <c r="K5191" s="16">
        <f t="shared" si="80"/>
        <v>44232</v>
      </c>
      <c r="L5191" s="17">
        <v>0.20833333333333334</v>
      </c>
      <c r="M5191" s="14">
        <v>752</v>
      </c>
      <c r="N5191" s="14">
        <v>0</v>
      </c>
      <c r="O5191" s="14">
        <v>0</v>
      </c>
      <c r="P5191" s="14">
        <v>752</v>
      </c>
      <c r="Q5191">
        <v>12137</v>
      </c>
      <c r="R5191">
        <v>1872</v>
      </c>
      <c r="S5191">
        <v>0</v>
      </c>
    </row>
    <row r="5192" spans="11:19" x14ac:dyDescent="0.3">
      <c r="K5192" s="16">
        <f t="shared" si="80"/>
        <v>44232</v>
      </c>
      <c r="L5192" s="17">
        <v>0.25</v>
      </c>
      <c r="M5192" s="14">
        <v>752</v>
      </c>
      <c r="N5192" s="14">
        <v>0</v>
      </c>
      <c r="O5192" s="14">
        <v>0</v>
      </c>
      <c r="P5192" s="14">
        <v>752</v>
      </c>
      <c r="Q5192">
        <v>13310</v>
      </c>
      <c r="R5192">
        <v>2100</v>
      </c>
      <c r="S5192">
        <v>0</v>
      </c>
    </row>
    <row r="5193" spans="11:19" x14ac:dyDescent="0.3">
      <c r="K5193" s="16">
        <f t="shared" si="80"/>
        <v>44232</v>
      </c>
      <c r="L5193" s="17">
        <v>0.29166666666666669</v>
      </c>
      <c r="M5193" s="14">
        <v>752</v>
      </c>
      <c r="N5193" s="14">
        <v>175</v>
      </c>
      <c r="O5193" s="14">
        <v>0</v>
      </c>
      <c r="P5193" s="14">
        <v>927</v>
      </c>
      <c r="Q5193">
        <v>14330</v>
      </c>
      <c r="R5193">
        <v>2106</v>
      </c>
      <c r="S5193">
        <v>0</v>
      </c>
    </row>
    <row r="5194" spans="11:19" x14ac:dyDescent="0.3">
      <c r="K5194" s="16">
        <f t="shared" si="80"/>
        <v>44232</v>
      </c>
      <c r="L5194" s="17">
        <v>0.33333333333333331</v>
      </c>
      <c r="M5194" s="14">
        <v>752</v>
      </c>
      <c r="N5194" s="14">
        <v>245</v>
      </c>
      <c r="O5194" s="14">
        <v>0</v>
      </c>
      <c r="P5194" s="14">
        <v>997</v>
      </c>
      <c r="Q5194">
        <v>14547</v>
      </c>
      <c r="R5194">
        <v>2209</v>
      </c>
      <c r="S5194">
        <v>41</v>
      </c>
    </row>
    <row r="5195" spans="11:19" x14ac:dyDescent="0.3">
      <c r="K5195" s="16">
        <f t="shared" si="80"/>
        <v>44232</v>
      </c>
      <c r="L5195" s="17">
        <v>0.375</v>
      </c>
      <c r="M5195" s="14">
        <v>752</v>
      </c>
      <c r="N5195" s="14">
        <v>0</v>
      </c>
      <c r="O5195" s="14">
        <v>0</v>
      </c>
      <c r="P5195" s="14">
        <v>752</v>
      </c>
      <c r="Q5195">
        <v>14582</v>
      </c>
      <c r="R5195">
        <v>2517</v>
      </c>
      <c r="S5195">
        <v>312</v>
      </c>
    </row>
    <row r="5196" spans="11:19" x14ac:dyDescent="0.3">
      <c r="K5196" s="16">
        <f t="shared" si="80"/>
        <v>44232</v>
      </c>
      <c r="L5196" s="17">
        <v>0.41666666666666669</v>
      </c>
      <c r="M5196" s="14">
        <v>752</v>
      </c>
      <c r="N5196" s="14">
        <v>445</v>
      </c>
      <c r="O5196" s="14">
        <v>0</v>
      </c>
      <c r="P5196" s="14">
        <v>1197</v>
      </c>
      <c r="Q5196">
        <v>14517</v>
      </c>
      <c r="R5196">
        <v>2651</v>
      </c>
      <c r="S5196">
        <v>766</v>
      </c>
    </row>
    <row r="5197" spans="11:19" x14ac:dyDescent="0.3">
      <c r="K5197" s="16">
        <f t="shared" si="80"/>
        <v>44232</v>
      </c>
      <c r="L5197" s="17">
        <v>0.45833333333333331</v>
      </c>
      <c r="M5197" s="14">
        <v>752</v>
      </c>
      <c r="N5197" s="14">
        <v>0</v>
      </c>
      <c r="O5197" s="14">
        <v>0</v>
      </c>
      <c r="P5197" s="14">
        <v>752</v>
      </c>
      <c r="Q5197">
        <v>14529</v>
      </c>
      <c r="R5197">
        <v>2733</v>
      </c>
      <c r="S5197">
        <v>1089</v>
      </c>
    </row>
    <row r="5198" spans="11:19" x14ac:dyDescent="0.3">
      <c r="K5198" s="16">
        <f t="shared" si="80"/>
        <v>44232</v>
      </c>
      <c r="L5198" s="17">
        <v>0.5</v>
      </c>
      <c r="M5198" s="14">
        <v>752</v>
      </c>
      <c r="N5198" s="14">
        <v>0</v>
      </c>
      <c r="O5198" s="14">
        <v>0</v>
      </c>
      <c r="P5198" s="14">
        <v>752</v>
      </c>
      <c r="Q5198">
        <v>14456</v>
      </c>
      <c r="R5198">
        <v>2958</v>
      </c>
      <c r="S5198">
        <v>1244</v>
      </c>
    </row>
    <row r="5199" spans="11:19" x14ac:dyDescent="0.3">
      <c r="K5199" s="16">
        <f t="shared" si="80"/>
        <v>44232</v>
      </c>
      <c r="L5199" s="17">
        <v>0.54166666666666663</v>
      </c>
      <c r="M5199" s="14">
        <v>752</v>
      </c>
      <c r="N5199" s="14">
        <v>0</v>
      </c>
      <c r="O5199" s="14">
        <v>0</v>
      </c>
      <c r="P5199" s="14">
        <v>752</v>
      </c>
      <c r="Q5199">
        <v>14083</v>
      </c>
      <c r="R5199">
        <v>3000</v>
      </c>
      <c r="S5199">
        <v>1247</v>
      </c>
    </row>
    <row r="5200" spans="11:19" x14ac:dyDescent="0.3">
      <c r="K5200" s="16">
        <f t="shared" si="80"/>
        <v>44232</v>
      </c>
      <c r="L5200" s="17">
        <v>0.58333333333333337</v>
      </c>
      <c r="M5200" s="14">
        <v>752</v>
      </c>
      <c r="N5200" s="14">
        <v>0</v>
      </c>
      <c r="O5200" s="14">
        <v>0</v>
      </c>
      <c r="P5200" s="14">
        <v>752</v>
      </c>
      <c r="Q5200">
        <v>13725</v>
      </c>
      <c r="R5200">
        <v>3055</v>
      </c>
      <c r="S5200">
        <v>1150</v>
      </c>
    </row>
    <row r="5201" spans="11:19" x14ac:dyDescent="0.3">
      <c r="K5201" s="16">
        <f t="shared" si="80"/>
        <v>44232</v>
      </c>
      <c r="L5201" s="17">
        <v>0.625</v>
      </c>
      <c r="M5201" s="14">
        <v>752</v>
      </c>
      <c r="N5201" s="14">
        <v>0</v>
      </c>
      <c r="O5201" s="14">
        <v>0</v>
      </c>
      <c r="P5201" s="14">
        <v>752</v>
      </c>
      <c r="Q5201">
        <v>13386</v>
      </c>
      <c r="R5201">
        <v>2643</v>
      </c>
      <c r="S5201">
        <v>865</v>
      </c>
    </row>
    <row r="5202" spans="11:19" x14ac:dyDescent="0.3">
      <c r="K5202" s="16">
        <f t="shared" si="80"/>
        <v>44232</v>
      </c>
      <c r="L5202" s="17">
        <v>0.66666666666666663</v>
      </c>
      <c r="M5202" s="14">
        <v>752</v>
      </c>
      <c r="N5202" s="14">
        <v>445</v>
      </c>
      <c r="O5202" s="14">
        <v>0</v>
      </c>
      <c r="P5202" s="14">
        <v>1197</v>
      </c>
      <c r="Q5202">
        <v>13274</v>
      </c>
      <c r="R5202">
        <v>2576</v>
      </c>
      <c r="S5202">
        <v>418</v>
      </c>
    </row>
    <row r="5203" spans="11:19" x14ac:dyDescent="0.3">
      <c r="K5203" s="16">
        <f t="shared" si="80"/>
        <v>44232</v>
      </c>
      <c r="L5203" s="17">
        <v>0.70833333333333337</v>
      </c>
      <c r="M5203" s="14">
        <v>752</v>
      </c>
      <c r="N5203" s="14">
        <v>0</v>
      </c>
      <c r="O5203" s="14">
        <v>0</v>
      </c>
      <c r="P5203" s="14">
        <v>752</v>
      </c>
      <c r="Q5203">
        <v>13559</v>
      </c>
      <c r="R5203">
        <v>2700</v>
      </c>
      <c r="S5203">
        <v>73</v>
      </c>
    </row>
    <row r="5204" spans="11:19" x14ac:dyDescent="0.3">
      <c r="K5204" s="16">
        <f t="shared" si="80"/>
        <v>44232</v>
      </c>
      <c r="L5204" s="17">
        <v>0.75</v>
      </c>
      <c r="M5204" s="14">
        <v>752</v>
      </c>
      <c r="N5204" s="14">
        <v>445</v>
      </c>
      <c r="O5204" s="14">
        <v>0</v>
      </c>
      <c r="P5204" s="14">
        <v>1197</v>
      </c>
      <c r="Q5204">
        <v>14397</v>
      </c>
      <c r="R5204">
        <v>2843</v>
      </c>
      <c r="S5204">
        <v>0</v>
      </c>
    </row>
    <row r="5205" spans="11:19" x14ac:dyDescent="0.3">
      <c r="K5205" s="16">
        <f t="shared" si="80"/>
        <v>44232</v>
      </c>
      <c r="L5205" s="17">
        <v>0.79166666666666663</v>
      </c>
      <c r="M5205" s="14">
        <v>752</v>
      </c>
      <c r="N5205" s="14">
        <v>0</v>
      </c>
      <c r="O5205" s="14">
        <v>0</v>
      </c>
      <c r="P5205" s="14">
        <v>752</v>
      </c>
      <c r="Q5205">
        <v>14251</v>
      </c>
      <c r="R5205">
        <v>3125</v>
      </c>
      <c r="S5205">
        <v>0</v>
      </c>
    </row>
    <row r="5206" spans="11:19" x14ac:dyDescent="0.3">
      <c r="K5206" s="16">
        <f t="shared" si="80"/>
        <v>44232</v>
      </c>
      <c r="L5206" s="17">
        <v>0.83333333333333337</v>
      </c>
      <c r="M5206" s="14">
        <v>752</v>
      </c>
      <c r="N5206" s="14">
        <v>0</v>
      </c>
      <c r="O5206" s="14">
        <v>0</v>
      </c>
      <c r="P5206" s="14">
        <v>752</v>
      </c>
      <c r="Q5206">
        <v>13515</v>
      </c>
      <c r="R5206">
        <v>3094</v>
      </c>
      <c r="S5206">
        <v>0</v>
      </c>
    </row>
    <row r="5207" spans="11:19" x14ac:dyDescent="0.3">
      <c r="K5207" s="16">
        <f t="shared" si="80"/>
        <v>44232</v>
      </c>
      <c r="L5207" s="17">
        <v>0.875</v>
      </c>
      <c r="M5207" s="14">
        <v>752</v>
      </c>
      <c r="N5207" s="14">
        <v>0</v>
      </c>
      <c r="O5207" s="14">
        <v>0</v>
      </c>
      <c r="P5207" s="14">
        <v>752</v>
      </c>
      <c r="Q5207">
        <v>12904</v>
      </c>
      <c r="R5207">
        <v>3106</v>
      </c>
      <c r="S5207">
        <v>0</v>
      </c>
    </row>
    <row r="5208" spans="11:19" x14ac:dyDescent="0.3">
      <c r="K5208" s="16">
        <f t="shared" si="80"/>
        <v>44232</v>
      </c>
      <c r="L5208" s="17">
        <v>0.91666666666666663</v>
      </c>
      <c r="M5208" s="14">
        <v>752</v>
      </c>
      <c r="N5208" s="14">
        <v>0</v>
      </c>
      <c r="O5208" s="14">
        <v>0</v>
      </c>
      <c r="P5208" s="14">
        <v>752</v>
      </c>
      <c r="Q5208">
        <v>13137</v>
      </c>
      <c r="R5208">
        <v>3289</v>
      </c>
      <c r="S5208">
        <v>0</v>
      </c>
    </row>
    <row r="5209" spans="11:19" x14ac:dyDescent="0.3">
      <c r="K5209" s="16">
        <f t="shared" si="80"/>
        <v>44232</v>
      </c>
      <c r="L5209" s="17">
        <v>0.95833333333333337</v>
      </c>
      <c r="M5209" s="14">
        <v>752</v>
      </c>
      <c r="N5209" s="14">
        <v>0</v>
      </c>
      <c r="O5209" s="14">
        <v>0</v>
      </c>
      <c r="P5209" s="14">
        <v>752</v>
      </c>
      <c r="Q5209">
        <v>13255</v>
      </c>
      <c r="R5209">
        <v>3239</v>
      </c>
      <c r="S5209">
        <v>0</v>
      </c>
    </row>
    <row r="5210" spans="11:19" x14ac:dyDescent="0.3">
      <c r="K5210" s="16">
        <f t="shared" si="80"/>
        <v>44233</v>
      </c>
      <c r="L5210" s="17">
        <v>0</v>
      </c>
      <c r="M5210" s="14">
        <v>752</v>
      </c>
      <c r="N5210" s="14">
        <v>0</v>
      </c>
      <c r="O5210" s="14">
        <v>0</v>
      </c>
      <c r="P5210" s="14">
        <v>752</v>
      </c>
      <c r="Q5210">
        <v>12719</v>
      </c>
      <c r="R5210">
        <v>3073</v>
      </c>
      <c r="S5210">
        <v>0</v>
      </c>
    </row>
    <row r="5211" spans="11:19" x14ac:dyDescent="0.3">
      <c r="K5211" s="16">
        <f t="shared" ref="K5211:K5274" si="81">K5187+1</f>
        <v>44233</v>
      </c>
      <c r="L5211" s="17">
        <v>4.1666666666666664E-2</v>
      </c>
      <c r="M5211" s="14">
        <v>752</v>
      </c>
      <c r="N5211" s="14">
        <v>0</v>
      </c>
      <c r="O5211" s="14">
        <v>0</v>
      </c>
      <c r="P5211" s="14">
        <v>752</v>
      </c>
      <c r="Q5211">
        <v>12385</v>
      </c>
      <c r="R5211">
        <v>3248</v>
      </c>
      <c r="S5211">
        <v>0</v>
      </c>
    </row>
    <row r="5212" spans="11:19" x14ac:dyDescent="0.3">
      <c r="K5212" s="16">
        <f t="shared" si="81"/>
        <v>44233</v>
      </c>
      <c r="L5212" s="17">
        <v>8.3333333333333329E-2</v>
      </c>
      <c r="M5212" s="14">
        <v>752</v>
      </c>
      <c r="N5212" s="14">
        <v>0</v>
      </c>
      <c r="O5212" s="14">
        <v>-67</v>
      </c>
      <c r="P5212" s="14">
        <v>685</v>
      </c>
      <c r="Q5212">
        <v>12086</v>
      </c>
      <c r="R5212">
        <v>3047</v>
      </c>
      <c r="S5212">
        <v>0</v>
      </c>
    </row>
    <row r="5213" spans="11:19" x14ac:dyDescent="0.3">
      <c r="K5213" s="16">
        <f t="shared" si="81"/>
        <v>44233</v>
      </c>
      <c r="L5213" s="17">
        <v>0.125</v>
      </c>
      <c r="M5213" s="14">
        <v>752</v>
      </c>
      <c r="N5213" s="14">
        <v>0</v>
      </c>
      <c r="O5213" s="14">
        <v>0</v>
      </c>
      <c r="P5213" s="14">
        <v>752</v>
      </c>
      <c r="Q5213">
        <v>11586</v>
      </c>
      <c r="R5213">
        <v>3018</v>
      </c>
      <c r="S5213">
        <v>0</v>
      </c>
    </row>
    <row r="5214" spans="11:19" x14ac:dyDescent="0.3">
      <c r="K5214" s="16">
        <f t="shared" si="81"/>
        <v>44233</v>
      </c>
      <c r="L5214" s="17">
        <v>0.16666666666666666</v>
      </c>
      <c r="M5214" s="14">
        <v>752</v>
      </c>
      <c r="N5214" s="14">
        <v>0</v>
      </c>
      <c r="O5214" s="14">
        <v>0</v>
      </c>
      <c r="P5214" s="14">
        <v>752</v>
      </c>
      <c r="Q5214">
        <v>11376</v>
      </c>
      <c r="R5214">
        <v>3007</v>
      </c>
      <c r="S5214">
        <v>0</v>
      </c>
    </row>
    <row r="5215" spans="11:19" x14ac:dyDescent="0.3">
      <c r="K5215" s="16">
        <f t="shared" si="81"/>
        <v>44233</v>
      </c>
      <c r="L5215" s="17">
        <v>0.20833333333333334</v>
      </c>
      <c r="M5215" s="14">
        <v>752</v>
      </c>
      <c r="N5215" s="14">
        <v>0</v>
      </c>
      <c r="O5215" s="14">
        <v>0</v>
      </c>
      <c r="P5215" s="14">
        <v>752</v>
      </c>
      <c r="Q5215">
        <v>11550</v>
      </c>
      <c r="R5215">
        <v>2785</v>
      </c>
      <c r="S5215">
        <v>0</v>
      </c>
    </row>
    <row r="5216" spans="11:19" x14ac:dyDescent="0.3">
      <c r="K5216" s="16">
        <f t="shared" si="81"/>
        <v>44233</v>
      </c>
      <c r="L5216" s="17">
        <v>0.25</v>
      </c>
      <c r="M5216" s="14">
        <v>752</v>
      </c>
      <c r="N5216" s="14">
        <v>0</v>
      </c>
      <c r="O5216" s="14">
        <v>0</v>
      </c>
      <c r="P5216" s="14">
        <v>752</v>
      </c>
      <c r="Q5216">
        <v>11890</v>
      </c>
      <c r="R5216">
        <v>2626</v>
      </c>
      <c r="S5216">
        <v>0</v>
      </c>
    </row>
    <row r="5217" spans="11:19" x14ac:dyDescent="0.3">
      <c r="K5217" s="16">
        <f t="shared" si="81"/>
        <v>44233</v>
      </c>
      <c r="L5217" s="17">
        <v>0.29166666666666669</v>
      </c>
      <c r="M5217" s="14">
        <v>752</v>
      </c>
      <c r="N5217" s="14">
        <v>0</v>
      </c>
      <c r="O5217" s="14">
        <v>0</v>
      </c>
      <c r="P5217" s="14">
        <v>752</v>
      </c>
      <c r="Q5217">
        <v>12262</v>
      </c>
      <c r="R5217">
        <v>2390</v>
      </c>
      <c r="S5217">
        <v>0</v>
      </c>
    </row>
    <row r="5218" spans="11:19" x14ac:dyDescent="0.3">
      <c r="K5218" s="16">
        <f t="shared" si="81"/>
        <v>44233</v>
      </c>
      <c r="L5218" s="17">
        <v>0.33333333333333331</v>
      </c>
      <c r="M5218" s="14">
        <v>752</v>
      </c>
      <c r="N5218" s="14">
        <v>0</v>
      </c>
      <c r="O5218" s="14">
        <v>0</v>
      </c>
      <c r="P5218" s="14">
        <v>752</v>
      </c>
      <c r="Q5218">
        <v>12738</v>
      </c>
      <c r="R5218">
        <v>2187</v>
      </c>
      <c r="S5218">
        <v>46</v>
      </c>
    </row>
    <row r="5219" spans="11:19" x14ac:dyDescent="0.3">
      <c r="K5219" s="16">
        <f t="shared" si="81"/>
        <v>44233</v>
      </c>
      <c r="L5219" s="17">
        <v>0.375</v>
      </c>
      <c r="M5219" s="14">
        <v>752</v>
      </c>
      <c r="N5219" s="14">
        <v>0</v>
      </c>
      <c r="O5219" s="14">
        <v>0</v>
      </c>
      <c r="P5219" s="14">
        <v>752</v>
      </c>
      <c r="Q5219">
        <v>13166</v>
      </c>
      <c r="R5219">
        <v>1760</v>
      </c>
      <c r="S5219">
        <v>434</v>
      </c>
    </row>
    <row r="5220" spans="11:19" x14ac:dyDescent="0.3">
      <c r="K5220" s="16">
        <f t="shared" si="81"/>
        <v>44233</v>
      </c>
      <c r="L5220" s="17">
        <v>0.41666666666666669</v>
      </c>
      <c r="M5220" s="14">
        <v>752</v>
      </c>
      <c r="N5220" s="14">
        <v>0</v>
      </c>
      <c r="O5220" s="14">
        <v>0</v>
      </c>
      <c r="P5220" s="14">
        <v>752</v>
      </c>
      <c r="Q5220">
        <v>13166</v>
      </c>
      <c r="R5220">
        <v>1607</v>
      </c>
      <c r="S5220">
        <v>999</v>
      </c>
    </row>
    <row r="5221" spans="11:19" x14ac:dyDescent="0.3">
      <c r="K5221" s="16">
        <f t="shared" si="81"/>
        <v>44233</v>
      </c>
      <c r="L5221" s="17">
        <v>0.45833333333333331</v>
      </c>
      <c r="M5221" s="14">
        <v>752</v>
      </c>
      <c r="N5221" s="14">
        <v>0</v>
      </c>
      <c r="O5221" s="14">
        <v>0</v>
      </c>
      <c r="P5221" s="14">
        <v>752</v>
      </c>
      <c r="Q5221">
        <v>13179</v>
      </c>
      <c r="R5221">
        <v>1581</v>
      </c>
      <c r="S5221">
        <v>1457</v>
      </c>
    </row>
    <row r="5222" spans="11:19" x14ac:dyDescent="0.3">
      <c r="K5222" s="16">
        <f t="shared" si="81"/>
        <v>44233</v>
      </c>
      <c r="L5222" s="17">
        <v>0.5</v>
      </c>
      <c r="M5222" s="14">
        <v>752</v>
      </c>
      <c r="N5222" s="14">
        <v>0</v>
      </c>
      <c r="O5222" s="14">
        <v>0</v>
      </c>
      <c r="P5222" s="14">
        <v>752</v>
      </c>
      <c r="Q5222">
        <v>13336</v>
      </c>
      <c r="R5222">
        <v>1908</v>
      </c>
      <c r="S5222">
        <v>1649</v>
      </c>
    </row>
    <row r="5223" spans="11:19" x14ac:dyDescent="0.3">
      <c r="K5223" s="16">
        <f t="shared" si="81"/>
        <v>44233</v>
      </c>
      <c r="L5223" s="17">
        <v>0.54166666666666663</v>
      </c>
      <c r="M5223" s="14">
        <v>752</v>
      </c>
      <c r="N5223" s="14">
        <v>0</v>
      </c>
      <c r="O5223" s="14">
        <v>0</v>
      </c>
      <c r="P5223" s="14">
        <v>752</v>
      </c>
      <c r="Q5223">
        <v>12830</v>
      </c>
      <c r="R5223">
        <v>1989</v>
      </c>
      <c r="S5223">
        <v>1611</v>
      </c>
    </row>
    <row r="5224" spans="11:19" x14ac:dyDescent="0.3">
      <c r="K5224" s="16">
        <f t="shared" si="81"/>
        <v>44233</v>
      </c>
      <c r="L5224" s="17">
        <v>0.58333333333333337</v>
      </c>
      <c r="M5224" s="14">
        <v>752</v>
      </c>
      <c r="N5224" s="14">
        <v>0</v>
      </c>
      <c r="O5224" s="14">
        <v>0</v>
      </c>
      <c r="P5224" s="14">
        <v>752</v>
      </c>
      <c r="Q5224">
        <v>12398</v>
      </c>
      <c r="R5224">
        <v>2112</v>
      </c>
      <c r="S5224">
        <v>1422</v>
      </c>
    </row>
    <row r="5225" spans="11:19" x14ac:dyDescent="0.3">
      <c r="K5225" s="16">
        <f t="shared" si="81"/>
        <v>44233</v>
      </c>
      <c r="L5225" s="17">
        <v>0.625</v>
      </c>
      <c r="M5225" s="14">
        <v>752</v>
      </c>
      <c r="N5225" s="14">
        <v>0</v>
      </c>
      <c r="O5225" s="14">
        <v>-91</v>
      </c>
      <c r="P5225" s="14">
        <v>661</v>
      </c>
      <c r="Q5225">
        <v>12110</v>
      </c>
      <c r="R5225">
        <v>2011</v>
      </c>
      <c r="S5225">
        <v>1048</v>
      </c>
    </row>
    <row r="5226" spans="11:19" x14ac:dyDescent="0.3">
      <c r="K5226" s="16">
        <f t="shared" si="81"/>
        <v>44233</v>
      </c>
      <c r="L5226" s="17">
        <v>0.66666666666666663</v>
      </c>
      <c r="M5226" s="14">
        <v>752</v>
      </c>
      <c r="N5226" s="14">
        <v>0</v>
      </c>
      <c r="O5226" s="14">
        <v>0</v>
      </c>
      <c r="P5226" s="14">
        <v>752</v>
      </c>
      <c r="Q5226">
        <v>12082</v>
      </c>
      <c r="R5226">
        <v>2037</v>
      </c>
      <c r="S5226">
        <v>478</v>
      </c>
    </row>
    <row r="5227" spans="11:19" x14ac:dyDescent="0.3">
      <c r="K5227" s="16">
        <f t="shared" si="81"/>
        <v>44233</v>
      </c>
      <c r="L5227" s="17">
        <v>0.70833333333333337</v>
      </c>
      <c r="M5227" s="14">
        <v>752</v>
      </c>
      <c r="N5227" s="14">
        <v>0</v>
      </c>
      <c r="O5227" s="14">
        <v>0</v>
      </c>
      <c r="P5227" s="14">
        <v>752</v>
      </c>
      <c r="Q5227">
        <v>12487</v>
      </c>
      <c r="R5227">
        <v>1998</v>
      </c>
      <c r="S5227">
        <v>73</v>
      </c>
    </row>
    <row r="5228" spans="11:19" x14ac:dyDescent="0.3">
      <c r="K5228" s="16">
        <f t="shared" si="81"/>
        <v>44233</v>
      </c>
      <c r="L5228" s="17">
        <v>0.75</v>
      </c>
      <c r="M5228" s="14">
        <v>752</v>
      </c>
      <c r="N5228" s="14">
        <v>0</v>
      </c>
      <c r="O5228" s="14">
        <v>0</v>
      </c>
      <c r="P5228" s="14">
        <v>752</v>
      </c>
      <c r="Q5228">
        <v>13489</v>
      </c>
      <c r="R5228">
        <v>1817</v>
      </c>
      <c r="S5228">
        <v>0</v>
      </c>
    </row>
    <row r="5229" spans="11:19" x14ac:dyDescent="0.3">
      <c r="K5229" s="16">
        <f t="shared" si="81"/>
        <v>44233</v>
      </c>
      <c r="L5229" s="17">
        <v>0.79166666666666663</v>
      </c>
      <c r="M5229" s="14">
        <v>752</v>
      </c>
      <c r="N5229" s="14">
        <v>0</v>
      </c>
      <c r="O5229" s="14">
        <v>0</v>
      </c>
      <c r="P5229" s="14">
        <v>752</v>
      </c>
      <c r="Q5229">
        <v>13534</v>
      </c>
      <c r="R5229">
        <v>1618</v>
      </c>
      <c r="S5229">
        <v>0</v>
      </c>
    </row>
    <row r="5230" spans="11:19" x14ac:dyDescent="0.3">
      <c r="K5230" s="16">
        <f t="shared" si="81"/>
        <v>44233</v>
      </c>
      <c r="L5230" s="17">
        <v>0.83333333333333337</v>
      </c>
      <c r="M5230" s="14">
        <v>752</v>
      </c>
      <c r="N5230" s="14">
        <v>0</v>
      </c>
      <c r="O5230" s="14">
        <v>0</v>
      </c>
      <c r="P5230" s="14">
        <v>752</v>
      </c>
      <c r="Q5230">
        <v>12967</v>
      </c>
      <c r="R5230">
        <v>1427</v>
      </c>
      <c r="S5230">
        <v>0</v>
      </c>
    </row>
    <row r="5231" spans="11:19" x14ac:dyDescent="0.3">
      <c r="K5231" s="16">
        <f t="shared" si="81"/>
        <v>44233</v>
      </c>
      <c r="L5231" s="17">
        <v>0.875</v>
      </c>
      <c r="M5231" s="14">
        <v>752</v>
      </c>
      <c r="N5231" s="14">
        <v>0</v>
      </c>
      <c r="O5231" s="14">
        <v>0</v>
      </c>
      <c r="P5231" s="14">
        <v>752</v>
      </c>
      <c r="Q5231">
        <v>12428</v>
      </c>
      <c r="R5231">
        <v>1244</v>
      </c>
      <c r="S5231">
        <v>0</v>
      </c>
    </row>
    <row r="5232" spans="11:19" x14ac:dyDescent="0.3">
      <c r="K5232" s="16">
        <f t="shared" si="81"/>
        <v>44233</v>
      </c>
      <c r="L5232" s="17">
        <v>0.91666666666666663</v>
      </c>
      <c r="M5232" s="14">
        <v>752</v>
      </c>
      <c r="N5232" s="14">
        <v>0</v>
      </c>
      <c r="O5232" s="14">
        <v>0</v>
      </c>
      <c r="P5232" s="14">
        <v>752</v>
      </c>
      <c r="Q5232">
        <v>12822</v>
      </c>
      <c r="R5232">
        <v>1093</v>
      </c>
      <c r="S5232">
        <v>0</v>
      </c>
    </row>
    <row r="5233" spans="11:19" x14ac:dyDescent="0.3">
      <c r="K5233" s="16">
        <f t="shared" si="81"/>
        <v>44233</v>
      </c>
      <c r="L5233" s="17">
        <v>0.95833333333333337</v>
      </c>
      <c r="M5233" s="14">
        <v>752</v>
      </c>
      <c r="N5233" s="14">
        <v>0</v>
      </c>
      <c r="O5233" s="14">
        <v>127</v>
      </c>
      <c r="P5233" s="14">
        <v>879</v>
      </c>
      <c r="Q5233">
        <v>13156</v>
      </c>
      <c r="R5233">
        <v>1011</v>
      </c>
      <c r="S5233">
        <v>0</v>
      </c>
    </row>
    <row r="5234" spans="11:19" x14ac:dyDescent="0.3">
      <c r="K5234" s="16">
        <f t="shared" si="81"/>
        <v>44234</v>
      </c>
      <c r="L5234" s="17">
        <v>0</v>
      </c>
      <c r="M5234" s="14">
        <v>752</v>
      </c>
      <c r="N5234" s="14">
        <v>0</v>
      </c>
      <c r="O5234" s="14">
        <v>-246</v>
      </c>
      <c r="P5234" s="14">
        <v>506</v>
      </c>
      <c r="Q5234">
        <v>12864</v>
      </c>
      <c r="R5234">
        <v>1096</v>
      </c>
      <c r="S5234">
        <v>0</v>
      </c>
    </row>
    <row r="5235" spans="11:19" x14ac:dyDescent="0.3">
      <c r="K5235" s="16">
        <f t="shared" si="81"/>
        <v>44234</v>
      </c>
      <c r="L5235" s="17">
        <v>4.1666666666666664E-2</v>
      </c>
      <c r="M5235" s="14">
        <v>752</v>
      </c>
      <c r="N5235" s="14">
        <v>0</v>
      </c>
      <c r="O5235" s="14">
        <v>0</v>
      </c>
      <c r="P5235" s="14">
        <v>752</v>
      </c>
      <c r="Q5235">
        <v>12619</v>
      </c>
      <c r="R5235">
        <v>1128</v>
      </c>
      <c r="S5235">
        <v>0</v>
      </c>
    </row>
    <row r="5236" spans="11:19" x14ac:dyDescent="0.3">
      <c r="K5236" s="16">
        <f t="shared" si="81"/>
        <v>44234</v>
      </c>
      <c r="L5236" s="17">
        <v>8.3333333333333329E-2</v>
      </c>
      <c r="M5236" s="14">
        <v>752</v>
      </c>
      <c r="N5236" s="14">
        <v>0</v>
      </c>
      <c r="O5236" s="14">
        <v>-414</v>
      </c>
      <c r="P5236" s="14">
        <v>338</v>
      </c>
      <c r="Q5236">
        <v>12336</v>
      </c>
      <c r="R5236">
        <v>1001</v>
      </c>
      <c r="S5236">
        <v>0</v>
      </c>
    </row>
    <row r="5237" spans="11:19" x14ac:dyDescent="0.3">
      <c r="K5237" s="16">
        <f t="shared" si="81"/>
        <v>44234</v>
      </c>
      <c r="L5237" s="17">
        <v>0.125</v>
      </c>
      <c r="M5237" s="14">
        <v>752</v>
      </c>
      <c r="N5237" s="14">
        <v>0</v>
      </c>
      <c r="O5237" s="14">
        <v>-1035</v>
      </c>
      <c r="P5237" s="14">
        <v>-283</v>
      </c>
      <c r="Q5237">
        <v>11814</v>
      </c>
      <c r="R5237">
        <v>840</v>
      </c>
      <c r="S5237">
        <v>0</v>
      </c>
    </row>
    <row r="5238" spans="11:19" x14ac:dyDescent="0.3">
      <c r="K5238" s="16">
        <f t="shared" si="81"/>
        <v>44234</v>
      </c>
      <c r="L5238" s="17">
        <v>0.16666666666666666</v>
      </c>
      <c r="M5238" s="14">
        <v>752</v>
      </c>
      <c r="N5238" s="14">
        <v>0</v>
      </c>
      <c r="O5238" s="14">
        <v>0</v>
      </c>
      <c r="P5238" s="14">
        <v>752</v>
      </c>
      <c r="Q5238">
        <v>11552</v>
      </c>
      <c r="R5238">
        <v>899</v>
      </c>
      <c r="S5238">
        <v>0</v>
      </c>
    </row>
    <row r="5239" spans="11:19" x14ac:dyDescent="0.3">
      <c r="K5239" s="16">
        <f t="shared" si="81"/>
        <v>44234</v>
      </c>
      <c r="L5239" s="17">
        <v>0.20833333333333334</v>
      </c>
      <c r="M5239" s="14">
        <v>752</v>
      </c>
      <c r="N5239" s="14">
        <v>0</v>
      </c>
      <c r="O5239" s="14">
        <v>0</v>
      </c>
      <c r="P5239" s="14">
        <v>752</v>
      </c>
      <c r="Q5239">
        <v>11609</v>
      </c>
      <c r="R5239">
        <v>990</v>
      </c>
      <c r="S5239">
        <v>0</v>
      </c>
    </row>
    <row r="5240" spans="11:19" x14ac:dyDescent="0.3">
      <c r="K5240" s="16">
        <f t="shared" si="81"/>
        <v>44234</v>
      </c>
      <c r="L5240" s="17">
        <v>0.25</v>
      </c>
      <c r="M5240" s="14">
        <v>752</v>
      </c>
      <c r="N5240" s="14">
        <v>0</v>
      </c>
      <c r="O5240" s="14">
        <v>0</v>
      </c>
      <c r="P5240" s="14">
        <v>752</v>
      </c>
      <c r="Q5240">
        <v>11786</v>
      </c>
      <c r="R5240">
        <v>823</v>
      </c>
      <c r="S5240">
        <v>0</v>
      </c>
    </row>
    <row r="5241" spans="11:19" x14ac:dyDescent="0.3">
      <c r="K5241" s="16">
        <f t="shared" si="81"/>
        <v>44234</v>
      </c>
      <c r="L5241" s="17">
        <v>0.29166666666666669</v>
      </c>
      <c r="M5241" s="14">
        <v>752</v>
      </c>
      <c r="N5241" s="14">
        <v>0</v>
      </c>
      <c r="O5241" s="14">
        <v>0</v>
      </c>
      <c r="P5241" s="14">
        <v>752</v>
      </c>
      <c r="Q5241">
        <v>11942</v>
      </c>
      <c r="R5241">
        <v>685</v>
      </c>
      <c r="S5241">
        <v>0</v>
      </c>
    </row>
    <row r="5242" spans="11:19" x14ac:dyDescent="0.3">
      <c r="K5242" s="16">
        <f t="shared" si="81"/>
        <v>44234</v>
      </c>
      <c r="L5242" s="17">
        <v>0.33333333333333331</v>
      </c>
      <c r="M5242" s="14">
        <v>752</v>
      </c>
      <c r="N5242" s="14">
        <v>0</v>
      </c>
      <c r="O5242" s="14">
        <v>0</v>
      </c>
      <c r="P5242" s="14">
        <v>752</v>
      </c>
      <c r="Q5242">
        <v>12306</v>
      </c>
      <c r="R5242">
        <v>644</v>
      </c>
      <c r="S5242">
        <v>58</v>
      </c>
    </row>
    <row r="5243" spans="11:19" x14ac:dyDescent="0.3">
      <c r="K5243" s="16">
        <f t="shared" si="81"/>
        <v>44234</v>
      </c>
      <c r="L5243" s="17">
        <v>0.375</v>
      </c>
      <c r="M5243" s="14">
        <v>752</v>
      </c>
      <c r="N5243" s="14">
        <v>0</v>
      </c>
      <c r="O5243" s="14">
        <v>0</v>
      </c>
      <c r="P5243" s="14">
        <v>752</v>
      </c>
      <c r="Q5243">
        <v>12805</v>
      </c>
      <c r="R5243">
        <v>558</v>
      </c>
      <c r="S5243">
        <v>422</v>
      </c>
    </row>
    <row r="5244" spans="11:19" x14ac:dyDescent="0.3">
      <c r="K5244" s="16">
        <f t="shared" si="81"/>
        <v>44234</v>
      </c>
      <c r="L5244" s="17">
        <v>0.41666666666666669</v>
      </c>
      <c r="M5244" s="14">
        <v>752</v>
      </c>
      <c r="N5244" s="14">
        <v>0</v>
      </c>
      <c r="O5244" s="14">
        <v>0</v>
      </c>
      <c r="P5244" s="14">
        <v>752</v>
      </c>
      <c r="Q5244">
        <v>13068</v>
      </c>
      <c r="R5244">
        <v>620</v>
      </c>
      <c r="S5244">
        <v>953</v>
      </c>
    </row>
    <row r="5245" spans="11:19" x14ac:dyDescent="0.3">
      <c r="K5245" s="16">
        <f t="shared" si="81"/>
        <v>44234</v>
      </c>
      <c r="L5245" s="17">
        <v>0.45833333333333331</v>
      </c>
      <c r="M5245" s="14">
        <v>752</v>
      </c>
      <c r="N5245" s="14">
        <v>0</v>
      </c>
      <c r="O5245" s="14">
        <v>0</v>
      </c>
      <c r="P5245" s="14">
        <v>752</v>
      </c>
      <c r="Q5245">
        <v>13213</v>
      </c>
      <c r="R5245">
        <v>647</v>
      </c>
      <c r="S5245">
        <v>1319</v>
      </c>
    </row>
    <row r="5246" spans="11:19" x14ac:dyDescent="0.3">
      <c r="K5246" s="16">
        <f t="shared" si="81"/>
        <v>44234</v>
      </c>
      <c r="L5246" s="17">
        <v>0.5</v>
      </c>
      <c r="M5246" s="14">
        <v>752</v>
      </c>
      <c r="N5246" s="14">
        <v>0</v>
      </c>
      <c r="O5246" s="14">
        <v>0</v>
      </c>
      <c r="P5246" s="14">
        <v>752</v>
      </c>
      <c r="Q5246">
        <v>13400</v>
      </c>
      <c r="R5246">
        <v>780</v>
      </c>
      <c r="S5246">
        <v>1533</v>
      </c>
    </row>
    <row r="5247" spans="11:19" x14ac:dyDescent="0.3">
      <c r="K5247" s="16">
        <f t="shared" si="81"/>
        <v>44234</v>
      </c>
      <c r="L5247" s="17">
        <v>0.54166666666666663</v>
      </c>
      <c r="M5247" s="14">
        <v>752</v>
      </c>
      <c r="N5247" s="14">
        <v>0</v>
      </c>
      <c r="O5247" s="14">
        <v>0</v>
      </c>
      <c r="P5247" s="14">
        <v>752</v>
      </c>
      <c r="Q5247">
        <v>12721</v>
      </c>
      <c r="R5247">
        <v>711</v>
      </c>
      <c r="S5247">
        <v>1515</v>
      </c>
    </row>
    <row r="5248" spans="11:19" x14ac:dyDescent="0.3">
      <c r="K5248" s="16">
        <f t="shared" si="81"/>
        <v>44234</v>
      </c>
      <c r="L5248" s="17">
        <v>0.58333333333333337</v>
      </c>
      <c r="M5248" s="14">
        <v>752</v>
      </c>
      <c r="N5248" s="14">
        <v>0</v>
      </c>
      <c r="O5248" s="14">
        <v>0</v>
      </c>
      <c r="P5248" s="14">
        <v>752</v>
      </c>
      <c r="Q5248">
        <v>12088</v>
      </c>
      <c r="R5248">
        <v>833</v>
      </c>
      <c r="S5248">
        <v>1331</v>
      </c>
    </row>
    <row r="5249" spans="11:19" x14ac:dyDescent="0.3">
      <c r="K5249" s="16">
        <f t="shared" si="81"/>
        <v>44234</v>
      </c>
      <c r="L5249" s="17">
        <v>0.625</v>
      </c>
      <c r="M5249" s="14">
        <v>752</v>
      </c>
      <c r="N5249" s="14">
        <v>0</v>
      </c>
      <c r="O5249" s="14">
        <v>0</v>
      </c>
      <c r="P5249" s="14">
        <v>752</v>
      </c>
      <c r="Q5249">
        <v>11698</v>
      </c>
      <c r="R5249">
        <v>884</v>
      </c>
      <c r="S5249">
        <v>979</v>
      </c>
    </row>
    <row r="5250" spans="11:19" x14ac:dyDescent="0.3">
      <c r="K5250" s="16">
        <f t="shared" si="81"/>
        <v>44234</v>
      </c>
      <c r="L5250" s="17">
        <v>0.66666666666666663</v>
      </c>
      <c r="M5250" s="14">
        <v>752</v>
      </c>
      <c r="N5250" s="14">
        <v>0</v>
      </c>
      <c r="O5250" s="14">
        <v>0</v>
      </c>
      <c r="P5250" s="14">
        <v>752</v>
      </c>
      <c r="Q5250">
        <v>11657</v>
      </c>
      <c r="R5250">
        <v>929</v>
      </c>
      <c r="S5250">
        <v>442</v>
      </c>
    </row>
    <row r="5251" spans="11:19" x14ac:dyDescent="0.3">
      <c r="K5251" s="16">
        <f t="shared" si="81"/>
        <v>44234</v>
      </c>
      <c r="L5251" s="17">
        <v>0.70833333333333337</v>
      </c>
      <c r="M5251" s="14">
        <v>752</v>
      </c>
      <c r="N5251" s="14">
        <v>0</v>
      </c>
      <c r="O5251" s="14">
        <v>0</v>
      </c>
      <c r="P5251" s="14">
        <v>752</v>
      </c>
      <c r="Q5251">
        <v>12101</v>
      </c>
      <c r="R5251">
        <v>1186</v>
      </c>
      <c r="S5251">
        <v>62</v>
      </c>
    </row>
    <row r="5252" spans="11:19" x14ac:dyDescent="0.3">
      <c r="K5252" s="16">
        <f t="shared" si="81"/>
        <v>44234</v>
      </c>
      <c r="L5252" s="17">
        <v>0.75</v>
      </c>
      <c r="M5252" s="14">
        <v>752</v>
      </c>
      <c r="N5252" s="14">
        <v>0</v>
      </c>
      <c r="O5252" s="14">
        <v>125</v>
      </c>
      <c r="P5252" s="14">
        <v>877</v>
      </c>
      <c r="Q5252">
        <v>13369</v>
      </c>
      <c r="R5252">
        <v>1215</v>
      </c>
      <c r="S5252">
        <v>0</v>
      </c>
    </row>
    <row r="5253" spans="11:19" x14ac:dyDescent="0.3">
      <c r="K5253" s="16">
        <f t="shared" si="81"/>
        <v>44234</v>
      </c>
      <c r="L5253" s="17">
        <v>0.79166666666666663</v>
      </c>
      <c r="M5253" s="14">
        <v>752</v>
      </c>
      <c r="N5253" s="14">
        <v>0</v>
      </c>
      <c r="O5253" s="14">
        <v>549</v>
      </c>
      <c r="P5253" s="14">
        <v>1301</v>
      </c>
      <c r="Q5253">
        <v>13749</v>
      </c>
      <c r="R5253">
        <v>1171</v>
      </c>
      <c r="S5253">
        <v>0</v>
      </c>
    </row>
    <row r="5254" spans="11:19" x14ac:dyDescent="0.3">
      <c r="K5254" s="16">
        <f t="shared" si="81"/>
        <v>44234</v>
      </c>
      <c r="L5254" s="17">
        <v>0.83333333333333337</v>
      </c>
      <c r="M5254" s="14">
        <v>752</v>
      </c>
      <c r="N5254" s="14">
        <v>0</v>
      </c>
      <c r="O5254" s="14">
        <v>239</v>
      </c>
      <c r="P5254" s="14">
        <v>991</v>
      </c>
      <c r="Q5254">
        <v>13352</v>
      </c>
      <c r="R5254">
        <v>1092</v>
      </c>
      <c r="S5254">
        <v>0</v>
      </c>
    </row>
    <row r="5255" spans="11:19" x14ac:dyDescent="0.3">
      <c r="K5255" s="16">
        <f t="shared" si="81"/>
        <v>44234</v>
      </c>
      <c r="L5255" s="17">
        <v>0.875</v>
      </c>
      <c r="M5255" s="14">
        <v>752</v>
      </c>
      <c r="N5255" s="14">
        <v>0</v>
      </c>
      <c r="O5255" s="14">
        <v>0</v>
      </c>
      <c r="P5255" s="14">
        <v>752</v>
      </c>
      <c r="Q5255">
        <v>12825</v>
      </c>
      <c r="R5255">
        <v>1033</v>
      </c>
      <c r="S5255">
        <v>0</v>
      </c>
    </row>
    <row r="5256" spans="11:19" x14ac:dyDescent="0.3">
      <c r="K5256" s="16">
        <f t="shared" si="81"/>
        <v>44234</v>
      </c>
      <c r="L5256" s="17">
        <v>0.91666666666666663</v>
      </c>
      <c r="M5256" s="14">
        <v>752</v>
      </c>
      <c r="N5256" s="14">
        <v>0</v>
      </c>
      <c r="O5256" s="14">
        <v>106</v>
      </c>
      <c r="P5256" s="14">
        <v>858</v>
      </c>
      <c r="Q5256">
        <v>13135</v>
      </c>
      <c r="R5256">
        <v>1016</v>
      </c>
      <c r="S5256">
        <v>0</v>
      </c>
    </row>
    <row r="5257" spans="11:19" x14ac:dyDescent="0.3">
      <c r="K5257" s="16">
        <f t="shared" si="81"/>
        <v>44234</v>
      </c>
      <c r="L5257" s="17">
        <v>0.95833333333333337</v>
      </c>
      <c r="M5257" s="14">
        <v>752</v>
      </c>
      <c r="N5257" s="14">
        <v>0</v>
      </c>
      <c r="O5257" s="14">
        <v>338</v>
      </c>
      <c r="P5257" s="14">
        <v>1090</v>
      </c>
      <c r="Q5257">
        <v>13363</v>
      </c>
      <c r="R5257">
        <v>1010</v>
      </c>
      <c r="S5257">
        <v>0</v>
      </c>
    </row>
    <row r="5258" spans="11:19" x14ac:dyDescent="0.3">
      <c r="K5258" s="16">
        <f t="shared" si="81"/>
        <v>44235</v>
      </c>
      <c r="L5258" s="17">
        <v>0</v>
      </c>
      <c r="M5258" s="14">
        <v>752</v>
      </c>
      <c r="N5258" s="14">
        <v>55</v>
      </c>
      <c r="O5258" s="14">
        <v>0</v>
      </c>
      <c r="P5258" s="14">
        <v>807</v>
      </c>
      <c r="Q5258">
        <v>13126</v>
      </c>
      <c r="R5258">
        <v>1054</v>
      </c>
      <c r="S5258">
        <v>0</v>
      </c>
    </row>
    <row r="5259" spans="11:19" x14ac:dyDescent="0.3">
      <c r="K5259" s="16">
        <f t="shared" si="81"/>
        <v>44235</v>
      </c>
      <c r="L5259" s="17">
        <v>4.1666666666666664E-2</v>
      </c>
      <c r="M5259" s="14">
        <v>752</v>
      </c>
      <c r="N5259" s="14">
        <v>0</v>
      </c>
      <c r="O5259" s="14">
        <v>-133</v>
      </c>
      <c r="P5259" s="14">
        <v>619</v>
      </c>
      <c r="Q5259">
        <v>12987</v>
      </c>
      <c r="R5259">
        <v>1107</v>
      </c>
      <c r="S5259">
        <v>0</v>
      </c>
    </row>
    <row r="5260" spans="11:19" x14ac:dyDescent="0.3">
      <c r="K5260" s="16">
        <f t="shared" si="81"/>
        <v>44235</v>
      </c>
      <c r="L5260" s="17">
        <v>8.3333333333333329E-2</v>
      </c>
      <c r="M5260" s="14">
        <v>752</v>
      </c>
      <c r="N5260" s="14">
        <v>0</v>
      </c>
      <c r="O5260" s="14">
        <v>-144</v>
      </c>
      <c r="P5260" s="14">
        <v>608</v>
      </c>
      <c r="Q5260">
        <v>12831</v>
      </c>
      <c r="R5260">
        <v>964</v>
      </c>
      <c r="S5260">
        <v>0</v>
      </c>
    </row>
    <row r="5261" spans="11:19" x14ac:dyDescent="0.3">
      <c r="K5261" s="16">
        <f t="shared" si="81"/>
        <v>44235</v>
      </c>
      <c r="L5261" s="17">
        <v>0.125</v>
      </c>
      <c r="M5261" s="14">
        <v>752</v>
      </c>
      <c r="N5261" s="14">
        <v>0</v>
      </c>
      <c r="O5261" s="14">
        <v>-430</v>
      </c>
      <c r="P5261" s="14">
        <v>322</v>
      </c>
      <c r="Q5261">
        <v>12431</v>
      </c>
      <c r="R5261">
        <v>850</v>
      </c>
      <c r="S5261">
        <v>0</v>
      </c>
    </row>
    <row r="5262" spans="11:19" x14ac:dyDescent="0.3">
      <c r="K5262" s="16">
        <f t="shared" si="81"/>
        <v>44235</v>
      </c>
      <c r="L5262" s="17">
        <v>0.16666666666666666</v>
      </c>
      <c r="M5262" s="14">
        <v>752</v>
      </c>
      <c r="N5262" s="14">
        <v>0</v>
      </c>
      <c r="O5262" s="14">
        <v>-491</v>
      </c>
      <c r="P5262" s="14">
        <v>261</v>
      </c>
      <c r="Q5262">
        <v>12388</v>
      </c>
      <c r="R5262">
        <v>869</v>
      </c>
      <c r="S5262">
        <v>0</v>
      </c>
    </row>
    <row r="5263" spans="11:19" x14ac:dyDescent="0.3">
      <c r="K5263" s="16">
        <f t="shared" si="81"/>
        <v>44235</v>
      </c>
      <c r="L5263" s="17">
        <v>0.20833333333333334</v>
      </c>
      <c r="M5263" s="14">
        <v>752</v>
      </c>
      <c r="N5263" s="14">
        <v>68</v>
      </c>
      <c r="O5263" s="14">
        <v>0</v>
      </c>
      <c r="P5263" s="14">
        <v>820</v>
      </c>
      <c r="Q5263">
        <v>13029</v>
      </c>
      <c r="R5263">
        <v>782</v>
      </c>
      <c r="S5263">
        <v>0</v>
      </c>
    </row>
    <row r="5264" spans="11:19" x14ac:dyDescent="0.3">
      <c r="K5264" s="16">
        <f t="shared" si="81"/>
        <v>44235</v>
      </c>
      <c r="L5264" s="17">
        <v>0.25</v>
      </c>
      <c r="M5264" s="14">
        <v>752</v>
      </c>
      <c r="N5264" s="14">
        <v>1303</v>
      </c>
      <c r="O5264" s="14">
        <v>0</v>
      </c>
      <c r="P5264" s="14">
        <v>2055</v>
      </c>
      <c r="Q5264">
        <v>14261</v>
      </c>
      <c r="R5264">
        <v>766</v>
      </c>
      <c r="S5264">
        <v>0</v>
      </c>
    </row>
    <row r="5265" spans="11:19" x14ac:dyDescent="0.3">
      <c r="K5265" s="16">
        <f t="shared" si="81"/>
        <v>44235</v>
      </c>
      <c r="L5265" s="17">
        <v>0.29166666666666669</v>
      </c>
      <c r="M5265" s="14">
        <v>752</v>
      </c>
      <c r="N5265" s="14">
        <v>2363</v>
      </c>
      <c r="O5265" s="14">
        <v>0</v>
      </c>
      <c r="P5265" s="14">
        <v>3115</v>
      </c>
      <c r="Q5265">
        <v>15261</v>
      </c>
      <c r="R5265">
        <v>856</v>
      </c>
      <c r="S5265">
        <v>0</v>
      </c>
    </row>
    <row r="5266" spans="11:19" x14ac:dyDescent="0.3">
      <c r="K5266" s="16">
        <f t="shared" si="81"/>
        <v>44235</v>
      </c>
      <c r="L5266" s="17">
        <v>0.33333333333333331</v>
      </c>
      <c r="M5266" s="14">
        <v>752</v>
      </c>
      <c r="N5266" s="14">
        <v>1201</v>
      </c>
      <c r="O5266" s="14">
        <v>1200</v>
      </c>
      <c r="P5266" s="14">
        <v>3153</v>
      </c>
      <c r="Q5266">
        <v>15462</v>
      </c>
      <c r="R5266">
        <v>775</v>
      </c>
      <c r="S5266">
        <v>74</v>
      </c>
    </row>
    <row r="5267" spans="11:19" x14ac:dyDescent="0.3">
      <c r="K5267" s="16">
        <f t="shared" si="81"/>
        <v>44235</v>
      </c>
      <c r="L5267" s="17">
        <v>0.375</v>
      </c>
      <c r="M5267" s="14">
        <v>752</v>
      </c>
      <c r="N5267" s="14">
        <v>1569</v>
      </c>
      <c r="O5267" s="14">
        <v>292</v>
      </c>
      <c r="P5267" s="14">
        <v>2613</v>
      </c>
      <c r="Q5267">
        <v>15470</v>
      </c>
      <c r="R5267">
        <v>847</v>
      </c>
      <c r="S5267">
        <v>555</v>
      </c>
    </row>
    <row r="5268" spans="11:19" x14ac:dyDescent="0.3">
      <c r="K5268" s="16">
        <f t="shared" si="81"/>
        <v>44235</v>
      </c>
      <c r="L5268" s="17">
        <v>0.41666666666666669</v>
      </c>
      <c r="M5268" s="14">
        <v>752</v>
      </c>
      <c r="N5268" s="14">
        <v>1106</v>
      </c>
      <c r="O5268" s="14">
        <v>0</v>
      </c>
      <c r="P5268" s="14">
        <v>1858</v>
      </c>
      <c r="Q5268">
        <v>15283</v>
      </c>
      <c r="R5268">
        <v>914</v>
      </c>
      <c r="S5268">
        <v>1222</v>
      </c>
    </row>
    <row r="5269" spans="11:19" x14ac:dyDescent="0.3">
      <c r="K5269" s="16">
        <f t="shared" si="81"/>
        <v>44235</v>
      </c>
      <c r="L5269" s="17">
        <v>0.45833333333333331</v>
      </c>
      <c r="M5269" s="14">
        <v>752</v>
      </c>
      <c r="N5269" s="14">
        <v>402</v>
      </c>
      <c r="O5269" s="14">
        <v>0</v>
      </c>
      <c r="P5269" s="14">
        <v>1154</v>
      </c>
      <c r="Q5269">
        <v>15207</v>
      </c>
      <c r="R5269">
        <v>1041</v>
      </c>
      <c r="S5269">
        <v>1721</v>
      </c>
    </row>
    <row r="5270" spans="11:19" x14ac:dyDescent="0.3">
      <c r="K5270" s="16">
        <f t="shared" si="81"/>
        <v>44235</v>
      </c>
      <c r="L5270" s="17">
        <v>0.5</v>
      </c>
      <c r="M5270" s="14">
        <v>752</v>
      </c>
      <c r="N5270" s="14">
        <v>0</v>
      </c>
      <c r="O5270" s="14">
        <v>-129</v>
      </c>
      <c r="P5270" s="14">
        <v>623</v>
      </c>
      <c r="Q5270">
        <v>15079</v>
      </c>
      <c r="R5270">
        <v>1188</v>
      </c>
      <c r="S5270">
        <v>1977</v>
      </c>
    </row>
    <row r="5271" spans="11:19" x14ac:dyDescent="0.3">
      <c r="K5271" s="16">
        <f t="shared" si="81"/>
        <v>44235</v>
      </c>
      <c r="L5271" s="17">
        <v>0.54166666666666663</v>
      </c>
      <c r="M5271" s="14">
        <v>752</v>
      </c>
      <c r="N5271" s="14">
        <v>0</v>
      </c>
      <c r="O5271" s="14">
        <v>-477</v>
      </c>
      <c r="P5271" s="14">
        <v>275</v>
      </c>
      <c r="Q5271">
        <v>14707</v>
      </c>
      <c r="R5271">
        <v>1213</v>
      </c>
      <c r="S5271">
        <v>1928</v>
      </c>
    </row>
    <row r="5272" spans="11:19" x14ac:dyDescent="0.3">
      <c r="K5272" s="16">
        <f t="shared" si="81"/>
        <v>44235</v>
      </c>
      <c r="L5272" s="17">
        <v>0.58333333333333337</v>
      </c>
      <c r="M5272" s="14">
        <v>752</v>
      </c>
      <c r="N5272" s="14">
        <v>0</v>
      </c>
      <c r="O5272" s="14">
        <v>-643</v>
      </c>
      <c r="P5272" s="14">
        <v>109</v>
      </c>
      <c r="Q5272">
        <v>14294</v>
      </c>
      <c r="R5272">
        <v>1230</v>
      </c>
      <c r="S5272">
        <v>1662</v>
      </c>
    </row>
    <row r="5273" spans="11:19" x14ac:dyDescent="0.3">
      <c r="K5273" s="16">
        <f t="shared" si="81"/>
        <v>44235</v>
      </c>
      <c r="L5273" s="17">
        <v>0.625</v>
      </c>
      <c r="M5273" s="14">
        <v>752</v>
      </c>
      <c r="N5273" s="14">
        <v>0</v>
      </c>
      <c r="O5273" s="14">
        <v>-505</v>
      </c>
      <c r="P5273" s="14">
        <v>247</v>
      </c>
      <c r="Q5273">
        <v>13956</v>
      </c>
      <c r="R5273">
        <v>1224</v>
      </c>
      <c r="S5273">
        <v>1192</v>
      </c>
    </row>
    <row r="5274" spans="11:19" x14ac:dyDescent="0.3">
      <c r="K5274" s="16">
        <f t="shared" si="81"/>
        <v>44235</v>
      </c>
      <c r="L5274" s="17">
        <v>0.66666666666666663</v>
      </c>
      <c r="M5274" s="14">
        <v>752</v>
      </c>
      <c r="N5274" s="14">
        <v>44</v>
      </c>
      <c r="O5274" s="14">
        <v>0</v>
      </c>
      <c r="P5274" s="14">
        <v>796</v>
      </c>
      <c r="Q5274">
        <v>13875</v>
      </c>
      <c r="R5274">
        <v>1208</v>
      </c>
      <c r="S5274">
        <v>578</v>
      </c>
    </row>
    <row r="5275" spans="11:19" x14ac:dyDescent="0.3">
      <c r="K5275" s="16">
        <f t="shared" ref="K5275:K5338" si="82">K5251+1</f>
        <v>44235</v>
      </c>
      <c r="L5275" s="17">
        <v>0.70833333333333337</v>
      </c>
      <c r="M5275" s="14">
        <v>752</v>
      </c>
      <c r="N5275" s="14">
        <v>0</v>
      </c>
      <c r="O5275" s="14">
        <v>871</v>
      </c>
      <c r="P5275" s="14">
        <v>1623</v>
      </c>
      <c r="Q5275">
        <v>14256</v>
      </c>
      <c r="R5275">
        <v>1080</v>
      </c>
      <c r="S5275">
        <v>94</v>
      </c>
    </row>
    <row r="5276" spans="11:19" x14ac:dyDescent="0.3">
      <c r="K5276" s="16">
        <f t="shared" si="82"/>
        <v>44235</v>
      </c>
      <c r="L5276" s="17">
        <v>0.75</v>
      </c>
      <c r="M5276" s="14">
        <v>752</v>
      </c>
      <c r="N5276" s="14">
        <v>2198</v>
      </c>
      <c r="O5276" s="14">
        <v>0</v>
      </c>
      <c r="P5276" s="14">
        <v>2950</v>
      </c>
      <c r="Q5276">
        <v>15359</v>
      </c>
      <c r="R5276">
        <v>1122</v>
      </c>
      <c r="S5276">
        <v>0</v>
      </c>
    </row>
    <row r="5277" spans="11:19" x14ac:dyDescent="0.3">
      <c r="K5277" s="16">
        <f t="shared" si="82"/>
        <v>44235</v>
      </c>
      <c r="L5277" s="17">
        <v>0.79166666666666663</v>
      </c>
      <c r="M5277" s="14">
        <v>752</v>
      </c>
      <c r="N5277" s="14">
        <v>2122</v>
      </c>
      <c r="O5277" s="14">
        <v>0</v>
      </c>
      <c r="P5277" s="14">
        <v>2874</v>
      </c>
      <c r="Q5277">
        <v>15334</v>
      </c>
      <c r="R5277">
        <v>1174</v>
      </c>
      <c r="S5277">
        <v>0</v>
      </c>
    </row>
    <row r="5278" spans="11:19" x14ac:dyDescent="0.3">
      <c r="K5278" s="16">
        <f t="shared" si="82"/>
        <v>44235</v>
      </c>
      <c r="L5278" s="17">
        <v>0.83333333333333337</v>
      </c>
      <c r="M5278" s="14">
        <v>752</v>
      </c>
      <c r="N5278" s="14">
        <v>1362</v>
      </c>
      <c r="O5278" s="14">
        <v>0</v>
      </c>
      <c r="P5278" s="14">
        <v>2114</v>
      </c>
      <c r="Q5278">
        <v>14524</v>
      </c>
      <c r="R5278">
        <v>1132</v>
      </c>
      <c r="S5278">
        <v>0</v>
      </c>
    </row>
    <row r="5279" spans="11:19" x14ac:dyDescent="0.3">
      <c r="K5279" s="16">
        <f t="shared" si="82"/>
        <v>44235</v>
      </c>
      <c r="L5279" s="17">
        <v>0.875</v>
      </c>
      <c r="M5279" s="14">
        <v>752</v>
      </c>
      <c r="N5279" s="14">
        <v>645</v>
      </c>
      <c r="O5279" s="14">
        <v>0</v>
      </c>
      <c r="P5279" s="14">
        <v>1397</v>
      </c>
      <c r="Q5279">
        <v>13796</v>
      </c>
      <c r="R5279">
        <v>1122</v>
      </c>
      <c r="S5279">
        <v>0</v>
      </c>
    </row>
    <row r="5280" spans="11:19" x14ac:dyDescent="0.3">
      <c r="K5280" s="16">
        <f t="shared" si="82"/>
        <v>44235</v>
      </c>
      <c r="L5280" s="17">
        <v>0.91666666666666663</v>
      </c>
      <c r="M5280" s="14">
        <v>752</v>
      </c>
      <c r="N5280" s="14">
        <v>1002</v>
      </c>
      <c r="O5280" s="14">
        <v>0</v>
      </c>
      <c r="P5280" s="14">
        <v>1754</v>
      </c>
      <c r="Q5280">
        <v>14016</v>
      </c>
      <c r="R5280">
        <v>989</v>
      </c>
      <c r="S5280">
        <v>0</v>
      </c>
    </row>
    <row r="5281" spans="11:19" x14ac:dyDescent="0.3">
      <c r="K5281" s="16">
        <f t="shared" si="82"/>
        <v>44235</v>
      </c>
      <c r="L5281" s="17">
        <v>0.95833333333333337</v>
      </c>
      <c r="M5281" s="14">
        <v>752</v>
      </c>
      <c r="N5281" s="14">
        <v>893</v>
      </c>
      <c r="O5281" s="14">
        <v>0</v>
      </c>
      <c r="P5281" s="14">
        <v>1645</v>
      </c>
      <c r="Q5281">
        <v>14127</v>
      </c>
      <c r="R5281">
        <v>1206</v>
      </c>
      <c r="S5281">
        <v>0</v>
      </c>
    </row>
    <row r="5282" spans="11:19" x14ac:dyDescent="0.3">
      <c r="K5282" s="16">
        <f t="shared" si="82"/>
        <v>44236</v>
      </c>
      <c r="L5282" s="17">
        <v>0</v>
      </c>
      <c r="M5282" s="14">
        <v>752</v>
      </c>
      <c r="N5282" s="14">
        <v>516</v>
      </c>
      <c r="O5282" s="14">
        <v>0</v>
      </c>
      <c r="P5282" s="14">
        <v>1268</v>
      </c>
      <c r="Q5282">
        <v>13813</v>
      </c>
      <c r="R5282">
        <v>1114</v>
      </c>
      <c r="S5282">
        <v>0</v>
      </c>
    </row>
    <row r="5283" spans="11:19" x14ac:dyDescent="0.3">
      <c r="K5283" s="16">
        <f t="shared" si="82"/>
        <v>44236</v>
      </c>
      <c r="L5283" s="17">
        <v>4.1666666666666664E-2</v>
      </c>
      <c r="M5283" s="14">
        <v>752</v>
      </c>
      <c r="N5283" s="14">
        <v>428</v>
      </c>
      <c r="O5283" s="14">
        <v>0</v>
      </c>
      <c r="P5283" s="14">
        <v>1180</v>
      </c>
      <c r="Q5283">
        <v>13617</v>
      </c>
      <c r="R5283">
        <v>1176</v>
      </c>
      <c r="S5283">
        <v>0</v>
      </c>
    </row>
    <row r="5284" spans="11:19" x14ac:dyDescent="0.3">
      <c r="K5284" s="16">
        <f t="shared" si="82"/>
        <v>44236</v>
      </c>
      <c r="L5284" s="17">
        <v>8.3333333333333329E-2</v>
      </c>
      <c r="M5284" s="14">
        <v>752</v>
      </c>
      <c r="N5284" s="14">
        <v>392</v>
      </c>
      <c r="O5284" s="14">
        <v>0</v>
      </c>
      <c r="P5284" s="14">
        <v>1144</v>
      </c>
      <c r="Q5284">
        <v>13417</v>
      </c>
      <c r="R5284">
        <v>1014</v>
      </c>
      <c r="S5284">
        <v>0</v>
      </c>
    </row>
    <row r="5285" spans="11:19" x14ac:dyDescent="0.3">
      <c r="K5285" s="16">
        <f t="shared" si="82"/>
        <v>44236</v>
      </c>
      <c r="L5285" s="17">
        <v>0.125</v>
      </c>
      <c r="M5285" s="14">
        <v>752</v>
      </c>
      <c r="N5285" s="14">
        <v>104</v>
      </c>
      <c r="O5285" s="14">
        <v>0</v>
      </c>
      <c r="P5285" s="14">
        <v>856</v>
      </c>
      <c r="Q5285">
        <v>13013</v>
      </c>
      <c r="R5285">
        <v>898</v>
      </c>
      <c r="S5285">
        <v>0</v>
      </c>
    </row>
    <row r="5286" spans="11:19" x14ac:dyDescent="0.3">
      <c r="K5286" s="16">
        <f t="shared" si="82"/>
        <v>44236</v>
      </c>
      <c r="L5286" s="17">
        <v>0.16666666666666666</v>
      </c>
      <c r="M5286" s="14">
        <v>752</v>
      </c>
      <c r="N5286" s="14">
        <v>42</v>
      </c>
      <c r="O5286" s="14">
        <v>0</v>
      </c>
      <c r="P5286" s="14">
        <v>794</v>
      </c>
      <c r="Q5286">
        <v>12947</v>
      </c>
      <c r="R5286">
        <v>896</v>
      </c>
      <c r="S5286">
        <v>0</v>
      </c>
    </row>
    <row r="5287" spans="11:19" x14ac:dyDescent="0.3">
      <c r="K5287" s="16">
        <f t="shared" si="82"/>
        <v>44236</v>
      </c>
      <c r="L5287" s="17">
        <v>0.20833333333333334</v>
      </c>
      <c r="M5287" s="14">
        <v>752</v>
      </c>
      <c r="N5287" s="14">
        <v>651</v>
      </c>
      <c r="O5287" s="14">
        <v>0</v>
      </c>
      <c r="P5287" s="14">
        <v>1403</v>
      </c>
      <c r="Q5287">
        <v>13514</v>
      </c>
      <c r="R5287">
        <v>852</v>
      </c>
      <c r="S5287">
        <v>0</v>
      </c>
    </row>
    <row r="5288" spans="11:19" x14ac:dyDescent="0.3">
      <c r="K5288" s="16">
        <f t="shared" si="82"/>
        <v>44236</v>
      </c>
      <c r="L5288" s="17">
        <v>0.25</v>
      </c>
      <c r="M5288" s="14">
        <v>752</v>
      </c>
      <c r="N5288" s="14">
        <v>1719</v>
      </c>
      <c r="O5288" s="14">
        <v>0</v>
      </c>
      <c r="P5288" s="14">
        <v>2471</v>
      </c>
      <c r="Q5288">
        <v>14725</v>
      </c>
      <c r="R5288">
        <v>815</v>
      </c>
      <c r="S5288">
        <v>0</v>
      </c>
    </row>
    <row r="5289" spans="11:19" x14ac:dyDescent="0.3">
      <c r="K5289" s="16">
        <f t="shared" si="82"/>
        <v>44236</v>
      </c>
      <c r="L5289" s="17">
        <v>0.29166666666666669</v>
      </c>
      <c r="M5289" s="14">
        <v>752</v>
      </c>
      <c r="N5289" s="14">
        <v>2809</v>
      </c>
      <c r="O5289" s="14">
        <v>0</v>
      </c>
      <c r="P5289" s="14">
        <v>3561</v>
      </c>
      <c r="Q5289">
        <v>15707</v>
      </c>
      <c r="R5289">
        <v>689</v>
      </c>
      <c r="S5289">
        <v>1</v>
      </c>
    </row>
    <row r="5290" spans="11:19" x14ac:dyDescent="0.3">
      <c r="K5290" s="16">
        <f t="shared" si="82"/>
        <v>44236</v>
      </c>
      <c r="L5290" s="17">
        <v>0.33333333333333331</v>
      </c>
      <c r="M5290" s="14">
        <v>752</v>
      </c>
      <c r="N5290" s="14">
        <v>2933</v>
      </c>
      <c r="O5290" s="14">
        <v>0</v>
      </c>
      <c r="P5290" s="14">
        <v>3685</v>
      </c>
      <c r="Q5290">
        <v>15958</v>
      </c>
      <c r="R5290">
        <v>743</v>
      </c>
      <c r="S5290">
        <v>70</v>
      </c>
    </row>
    <row r="5291" spans="11:19" x14ac:dyDescent="0.3">
      <c r="K5291" s="16">
        <f t="shared" si="82"/>
        <v>44236</v>
      </c>
      <c r="L5291" s="17">
        <v>0.375</v>
      </c>
      <c r="M5291" s="14">
        <v>752</v>
      </c>
      <c r="N5291" s="14">
        <v>2530</v>
      </c>
      <c r="O5291" s="14">
        <v>0</v>
      </c>
      <c r="P5291" s="14">
        <v>3282</v>
      </c>
      <c r="Q5291">
        <v>15982</v>
      </c>
      <c r="R5291">
        <v>732</v>
      </c>
      <c r="S5291">
        <v>512</v>
      </c>
    </row>
    <row r="5292" spans="11:19" x14ac:dyDescent="0.3">
      <c r="K5292" s="16">
        <f t="shared" si="82"/>
        <v>44236</v>
      </c>
      <c r="L5292" s="17">
        <v>0.41666666666666669</v>
      </c>
      <c r="M5292" s="14">
        <v>752</v>
      </c>
      <c r="N5292" s="14">
        <v>1805</v>
      </c>
      <c r="O5292" s="14">
        <v>0</v>
      </c>
      <c r="P5292" s="14">
        <v>2557</v>
      </c>
      <c r="Q5292">
        <v>15832</v>
      </c>
      <c r="R5292">
        <v>819</v>
      </c>
      <c r="S5292">
        <v>1167</v>
      </c>
    </row>
    <row r="5293" spans="11:19" x14ac:dyDescent="0.3">
      <c r="K5293" s="16">
        <f t="shared" si="82"/>
        <v>44236</v>
      </c>
      <c r="L5293" s="17">
        <v>0.45833333333333331</v>
      </c>
      <c r="M5293" s="14">
        <v>752</v>
      </c>
      <c r="N5293" s="14">
        <v>1014</v>
      </c>
      <c r="O5293" s="14">
        <v>0</v>
      </c>
      <c r="P5293" s="14">
        <v>1766</v>
      </c>
      <c r="Q5293">
        <v>15792</v>
      </c>
      <c r="R5293">
        <v>949</v>
      </c>
      <c r="S5293">
        <v>1620</v>
      </c>
    </row>
    <row r="5294" spans="11:19" x14ac:dyDescent="0.3">
      <c r="K5294" s="16">
        <f t="shared" si="82"/>
        <v>44236</v>
      </c>
      <c r="L5294" s="17">
        <v>0.5</v>
      </c>
      <c r="M5294" s="14">
        <v>752</v>
      </c>
      <c r="N5294" s="14">
        <v>803</v>
      </c>
      <c r="O5294" s="14">
        <v>0</v>
      </c>
      <c r="P5294" s="14">
        <v>1555</v>
      </c>
      <c r="Q5294">
        <v>15637</v>
      </c>
      <c r="R5294">
        <v>971</v>
      </c>
      <c r="S5294">
        <v>1821</v>
      </c>
    </row>
    <row r="5295" spans="11:19" x14ac:dyDescent="0.3">
      <c r="K5295" s="16">
        <f t="shared" si="82"/>
        <v>44236</v>
      </c>
      <c r="L5295" s="17">
        <v>0.54166666666666663</v>
      </c>
      <c r="M5295" s="14">
        <v>752</v>
      </c>
      <c r="N5295" s="14">
        <v>378</v>
      </c>
      <c r="O5295" s="14">
        <v>0</v>
      </c>
      <c r="P5295" s="14">
        <v>1130</v>
      </c>
      <c r="Q5295">
        <v>15249</v>
      </c>
      <c r="R5295">
        <v>1001</v>
      </c>
      <c r="S5295">
        <v>1827</v>
      </c>
    </row>
    <row r="5296" spans="11:19" x14ac:dyDescent="0.3">
      <c r="K5296" s="16">
        <f t="shared" si="82"/>
        <v>44236</v>
      </c>
      <c r="L5296" s="17">
        <v>0.58333333333333337</v>
      </c>
      <c r="M5296" s="14">
        <v>752</v>
      </c>
      <c r="N5296" s="14">
        <v>271</v>
      </c>
      <c r="O5296" s="14">
        <v>0</v>
      </c>
      <c r="P5296" s="14">
        <v>1023</v>
      </c>
      <c r="Q5296">
        <v>14856</v>
      </c>
      <c r="R5296">
        <v>925</v>
      </c>
      <c r="S5296">
        <v>1616</v>
      </c>
    </row>
    <row r="5297" spans="11:19" x14ac:dyDescent="0.3">
      <c r="K5297" s="16">
        <f t="shared" si="82"/>
        <v>44236</v>
      </c>
      <c r="L5297" s="17">
        <v>0.625</v>
      </c>
      <c r="M5297" s="14">
        <v>752</v>
      </c>
      <c r="N5297" s="14">
        <v>395</v>
      </c>
      <c r="O5297" s="14">
        <v>0</v>
      </c>
      <c r="P5297" s="14">
        <v>1147</v>
      </c>
      <c r="Q5297">
        <v>14524</v>
      </c>
      <c r="R5297">
        <v>899</v>
      </c>
      <c r="S5297">
        <v>1185</v>
      </c>
    </row>
    <row r="5298" spans="11:19" x14ac:dyDescent="0.3">
      <c r="K5298" s="16">
        <f t="shared" si="82"/>
        <v>44236</v>
      </c>
      <c r="L5298" s="17">
        <v>0.66666666666666663</v>
      </c>
      <c r="M5298" s="14">
        <v>752</v>
      </c>
      <c r="N5298" s="14">
        <v>1023</v>
      </c>
      <c r="O5298" s="14">
        <v>0</v>
      </c>
      <c r="P5298" s="14">
        <v>1775</v>
      </c>
      <c r="Q5298">
        <v>14524</v>
      </c>
      <c r="R5298">
        <v>875</v>
      </c>
      <c r="S5298">
        <v>581</v>
      </c>
    </row>
    <row r="5299" spans="11:19" x14ac:dyDescent="0.3">
      <c r="K5299" s="16">
        <f t="shared" si="82"/>
        <v>44236</v>
      </c>
      <c r="L5299" s="17">
        <v>0.70833333333333337</v>
      </c>
      <c r="M5299" s="14">
        <v>752</v>
      </c>
      <c r="N5299" s="14">
        <v>2054</v>
      </c>
      <c r="O5299" s="14">
        <v>0</v>
      </c>
      <c r="P5299" s="14">
        <v>2806</v>
      </c>
      <c r="Q5299">
        <v>14938</v>
      </c>
      <c r="R5299">
        <v>747</v>
      </c>
      <c r="S5299">
        <v>94</v>
      </c>
    </row>
    <row r="5300" spans="11:19" x14ac:dyDescent="0.3">
      <c r="K5300" s="16">
        <f t="shared" si="82"/>
        <v>44236</v>
      </c>
      <c r="L5300" s="17">
        <v>0.75</v>
      </c>
      <c r="M5300" s="14">
        <v>752</v>
      </c>
      <c r="N5300" s="14">
        <v>3148</v>
      </c>
      <c r="O5300" s="14">
        <v>0</v>
      </c>
      <c r="P5300" s="14">
        <v>3900</v>
      </c>
      <c r="Q5300">
        <v>16046</v>
      </c>
      <c r="R5300">
        <v>691</v>
      </c>
      <c r="S5300">
        <v>1</v>
      </c>
    </row>
    <row r="5301" spans="11:19" x14ac:dyDescent="0.3">
      <c r="K5301" s="16">
        <f t="shared" si="82"/>
        <v>44236</v>
      </c>
      <c r="L5301" s="17">
        <v>0.79166666666666663</v>
      </c>
      <c r="M5301" s="14">
        <v>752</v>
      </c>
      <c r="N5301" s="14">
        <v>3246</v>
      </c>
      <c r="O5301" s="14">
        <v>0</v>
      </c>
      <c r="P5301" s="14">
        <v>3998</v>
      </c>
      <c r="Q5301">
        <v>15922</v>
      </c>
      <c r="R5301">
        <v>638</v>
      </c>
      <c r="S5301">
        <v>0</v>
      </c>
    </row>
    <row r="5302" spans="11:19" x14ac:dyDescent="0.3">
      <c r="K5302" s="16">
        <f t="shared" si="82"/>
        <v>44236</v>
      </c>
      <c r="L5302" s="17">
        <v>0.83333333333333337</v>
      </c>
      <c r="M5302" s="14">
        <v>752</v>
      </c>
      <c r="N5302" s="14">
        <v>2253</v>
      </c>
      <c r="O5302" s="14">
        <v>0</v>
      </c>
      <c r="P5302" s="14">
        <v>3005</v>
      </c>
      <c r="Q5302">
        <v>15067</v>
      </c>
      <c r="R5302">
        <v>617</v>
      </c>
      <c r="S5302">
        <v>0</v>
      </c>
    </row>
    <row r="5303" spans="11:19" x14ac:dyDescent="0.3">
      <c r="K5303" s="16">
        <f t="shared" si="82"/>
        <v>44236</v>
      </c>
      <c r="L5303" s="17">
        <v>0.875</v>
      </c>
      <c r="M5303" s="14">
        <v>752</v>
      </c>
      <c r="N5303" s="14">
        <v>1721</v>
      </c>
      <c r="O5303" s="14">
        <v>0</v>
      </c>
      <c r="P5303" s="14">
        <v>2473</v>
      </c>
      <c r="Q5303">
        <v>14350</v>
      </c>
      <c r="R5303">
        <v>600</v>
      </c>
      <c r="S5303">
        <v>0</v>
      </c>
    </row>
    <row r="5304" spans="11:19" x14ac:dyDescent="0.3">
      <c r="K5304" s="16">
        <f t="shared" si="82"/>
        <v>44236</v>
      </c>
      <c r="L5304" s="17">
        <v>0.91666666666666663</v>
      </c>
      <c r="M5304" s="14">
        <v>752</v>
      </c>
      <c r="N5304" s="14">
        <v>1950</v>
      </c>
      <c r="O5304" s="14">
        <v>0</v>
      </c>
      <c r="P5304" s="14">
        <v>2702</v>
      </c>
      <c r="Q5304">
        <v>14534</v>
      </c>
      <c r="R5304">
        <v>559</v>
      </c>
      <c r="S5304">
        <v>0</v>
      </c>
    </row>
    <row r="5305" spans="11:19" x14ac:dyDescent="0.3">
      <c r="K5305" s="16">
        <f t="shared" si="82"/>
        <v>44236</v>
      </c>
      <c r="L5305" s="17">
        <v>0.95833333333333337</v>
      </c>
      <c r="M5305" s="14">
        <v>752</v>
      </c>
      <c r="N5305" s="14">
        <v>1986</v>
      </c>
      <c r="O5305" s="14">
        <v>0</v>
      </c>
      <c r="P5305" s="14">
        <v>2738</v>
      </c>
      <c r="Q5305">
        <v>14641</v>
      </c>
      <c r="R5305">
        <v>628</v>
      </c>
      <c r="S5305">
        <v>0</v>
      </c>
    </row>
    <row r="5306" spans="11:19" x14ac:dyDescent="0.3">
      <c r="K5306" s="16">
        <f t="shared" si="82"/>
        <v>44237</v>
      </c>
      <c r="L5306" s="17">
        <v>0</v>
      </c>
      <c r="M5306" s="14">
        <v>752</v>
      </c>
      <c r="N5306" s="14">
        <v>1386</v>
      </c>
      <c r="O5306" s="14">
        <v>0</v>
      </c>
      <c r="P5306" s="14">
        <v>2138</v>
      </c>
      <c r="Q5306">
        <v>14178</v>
      </c>
      <c r="R5306">
        <v>605</v>
      </c>
      <c r="S5306">
        <v>0</v>
      </c>
    </row>
    <row r="5307" spans="11:19" x14ac:dyDescent="0.3">
      <c r="K5307" s="16">
        <f t="shared" si="82"/>
        <v>44237</v>
      </c>
      <c r="L5307" s="17">
        <v>4.1666666666666664E-2</v>
      </c>
      <c r="M5307" s="14">
        <v>752</v>
      </c>
      <c r="N5307" s="14">
        <v>1415</v>
      </c>
      <c r="O5307" s="14">
        <v>0</v>
      </c>
      <c r="P5307" s="14">
        <v>2167</v>
      </c>
      <c r="Q5307">
        <v>13981</v>
      </c>
      <c r="R5307">
        <v>529</v>
      </c>
      <c r="S5307">
        <v>0</v>
      </c>
    </row>
    <row r="5308" spans="11:19" x14ac:dyDescent="0.3">
      <c r="K5308" s="16">
        <f t="shared" si="82"/>
        <v>44237</v>
      </c>
      <c r="L5308" s="17">
        <v>8.3333333333333329E-2</v>
      </c>
      <c r="M5308" s="14">
        <v>752</v>
      </c>
      <c r="N5308" s="14">
        <v>1279</v>
      </c>
      <c r="O5308" s="14">
        <v>0</v>
      </c>
      <c r="P5308" s="14">
        <v>2031</v>
      </c>
      <c r="Q5308">
        <v>13776</v>
      </c>
      <c r="R5308">
        <v>483</v>
      </c>
      <c r="S5308">
        <v>0</v>
      </c>
    </row>
    <row r="5309" spans="11:19" x14ac:dyDescent="0.3">
      <c r="K5309" s="16">
        <f t="shared" si="82"/>
        <v>44237</v>
      </c>
      <c r="L5309" s="17">
        <v>0.125</v>
      </c>
      <c r="M5309" s="14">
        <v>752</v>
      </c>
      <c r="N5309" s="14">
        <v>610</v>
      </c>
      <c r="O5309" s="14">
        <v>0</v>
      </c>
      <c r="P5309" s="14">
        <v>1362</v>
      </c>
      <c r="Q5309">
        <v>13366</v>
      </c>
      <c r="R5309">
        <v>589</v>
      </c>
      <c r="S5309">
        <v>0</v>
      </c>
    </row>
    <row r="5310" spans="11:19" x14ac:dyDescent="0.3">
      <c r="K5310" s="16">
        <f t="shared" si="82"/>
        <v>44237</v>
      </c>
      <c r="L5310" s="17">
        <v>0.16666666666666666</v>
      </c>
      <c r="M5310" s="14">
        <v>752</v>
      </c>
      <c r="N5310" s="14">
        <v>732</v>
      </c>
      <c r="O5310" s="14">
        <v>0</v>
      </c>
      <c r="P5310" s="14">
        <v>1484</v>
      </c>
      <c r="Q5310">
        <v>13284</v>
      </c>
      <c r="R5310">
        <v>539</v>
      </c>
      <c r="S5310">
        <v>0</v>
      </c>
    </row>
    <row r="5311" spans="11:19" x14ac:dyDescent="0.3">
      <c r="K5311" s="16">
        <f t="shared" si="82"/>
        <v>44237</v>
      </c>
      <c r="L5311" s="17">
        <v>0.20833333333333334</v>
      </c>
      <c r="M5311" s="14">
        <v>752</v>
      </c>
      <c r="N5311" s="14">
        <v>1194</v>
      </c>
      <c r="O5311" s="14">
        <v>0</v>
      </c>
      <c r="P5311" s="14">
        <v>1946</v>
      </c>
      <c r="Q5311">
        <v>13850</v>
      </c>
      <c r="R5311">
        <v>474</v>
      </c>
      <c r="S5311">
        <v>0</v>
      </c>
    </row>
    <row r="5312" spans="11:19" x14ac:dyDescent="0.3">
      <c r="K5312" s="16">
        <f t="shared" si="82"/>
        <v>44237</v>
      </c>
      <c r="L5312" s="17">
        <v>0.25</v>
      </c>
      <c r="M5312" s="14">
        <v>752</v>
      </c>
      <c r="N5312" s="14">
        <v>2504</v>
      </c>
      <c r="O5312" s="14">
        <v>0</v>
      </c>
      <c r="P5312" s="14">
        <v>3256</v>
      </c>
      <c r="Q5312">
        <v>15059</v>
      </c>
      <c r="R5312">
        <v>526</v>
      </c>
      <c r="S5312">
        <v>0</v>
      </c>
    </row>
    <row r="5313" spans="11:19" x14ac:dyDescent="0.3">
      <c r="K5313" s="16">
        <f t="shared" si="82"/>
        <v>44237</v>
      </c>
      <c r="L5313" s="17">
        <v>0.29166666666666669</v>
      </c>
      <c r="M5313" s="14">
        <v>752</v>
      </c>
      <c r="N5313" s="14">
        <v>3273</v>
      </c>
      <c r="O5313" s="14">
        <v>0</v>
      </c>
      <c r="P5313" s="14">
        <v>4025</v>
      </c>
      <c r="Q5313">
        <v>16048</v>
      </c>
      <c r="R5313">
        <v>729</v>
      </c>
      <c r="S5313">
        <v>1</v>
      </c>
    </row>
    <row r="5314" spans="11:19" x14ac:dyDescent="0.3">
      <c r="K5314" s="16">
        <f t="shared" si="82"/>
        <v>44237</v>
      </c>
      <c r="L5314" s="17">
        <v>0.33333333333333331</v>
      </c>
      <c r="M5314" s="14">
        <v>752</v>
      </c>
      <c r="N5314" s="14">
        <v>3367</v>
      </c>
      <c r="O5314" s="14">
        <v>0</v>
      </c>
      <c r="P5314" s="14">
        <v>4119</v>
      </c>
      <c r="Q5314">
        <v>16319</v>
      </c>
      <c r="R5314">
        <v>673</v>
      </c>
      <c r="S5314">
        <v>63</v>
      </c>
    </row>
    <row r="5315" spans="11:19" x14ac:dyDescent="0.3">
      <c r="K5315" s="16">
        <f t="shared" si="82"/>
        <v>44237</v>
      </c>
      <c r="L5315" s="17">
        <v>0.375</v>
      </c>
      <c r="M5315" s="14">
        <v>752</v>
      </c>
      <c r="N5315" s="14">
        <v>3380</v>
      </c>
      <c r="O5315" s="14">
        <v>0</v>
      </c>
      <c r="P5315" s="14">
        <v>4132</v>
      </c>
      <c r="Q5315">
        <v>16405</v>
      </c>
      <c r="R5315">
        <v>614</v>
      </c>
      <c r="S5315">
        <v>366</v>
      </c>
    </row>
    <row r="5316" spans="11:19" x14ac:dyDescent="0.3">
      <c r="K5316" s="16">
        <f t="shared" si="82"/>
        <v>44237</v>
      </c>
      <c r="L5316" s="17">
        <v>0.41666666666666669</v>
      </c>
      <c r="M5316" s="14">
        <v>752</v>
      </c>
      <c r="N5316" s="14">
        <v>2783</v>
      </c>
      <c r="O5316" s="14">
        <v>0</v>
      </c>
      <c r="P5316" s="14">
        <v>3535</v>
      </c>
      <c r="Q5316">
        <v>16332</v>
      </c>
      <c r="R5316">
        <v>698</v>
      </c>
      <c r="S5316">
        <v>806</v>
      </c>
    </row>
    <row r="5317" spans="11:19" x14ac:dyDescent="0.3">
      <c r="K5317" s="16">
        <f t="shared" si="82"/>
        <v>44237</v>
      </c>
      <c r="L5317" s="17">
        <v>0.45833333333333331</v>
      </c>
      <c r="M5317" s="14">
        <v>752</v>
      </c>
      <c r="N5317" s="14">
        <v>2549</v>
      </c>
      <c r="O5317" s="14">
        <v>0</v>
      </c>
      <c r="P5317" s="14">
        <v>3301</v>
      </c>
      <c r="Q5317">
        <v>16356</v>
      </c>
      <c r="R5317">
        <v>678</v>
      </c>
      <c r="S5317">
        <v>1083</v>
      </c>
    </row>
    <row r="5318" spans="11:19" x14ac:dyDescent="0.3">
      <c r="K5318" s="16">
        <f t="shared" si="82"/>
        <v>44237</v>
      </c>
      <c r="L5318" s="17">
        <v>0.5</v>
      </c>
      <c r="M5318" s="14">
        <v>752</v>
      </c>
      <c r="N5318" s="14">
        <v>2244</v>
      </c>
      <c r="O5318" s="14">
        <v>0</v>
      </c>
      <c r="P5318" s="14">
        <v>2996</v>
      </c>
      <c r="Q5318">
        <v>16285</v>
      </c>
      <c r="R5318">
        <v>731</v>
      </c>
      <c r="S5318">
        <v>1263</v>
      </c>
    </row>
    <row r="5319" spans="11:19" x14ac:dyDescent="0.3">
      <c r="K5319" s="16">
        <f t="shared" si="82"/>
        <v>44237</v>
      </c>
      <c r="L5319" s="17">
        <v>0.54166666666666663</v>
      </c>
      <c r="M5319" s="14">
        <v>752</v>
      </c>
      <c r="N5319" s="14">
        <v>1907</v>
      </c>
      <c r="O5319" s="14">
        <v>0</v>
      </c>
      <c r="P5319" s="14">
        <v>2659</v>
      </c>
      <c r="Q5319">
        <v>15942</v>
      </c>
      <c r="R5319">
        <v>755</v>
      </c>
      <c r="S5319">
        <v>1233</v>
      </c>
    </row>
    <row r="5320" spans="11:19" x14ac:dyDescent="0.3">
      <c r="K5320" s="16">
        <f t="shared" si="82"/>
        <v>44237</v>
      </c>
      <c r="L5320" s="17">
        <v>0.58333333333333337</v>
      </c>
      <c r="M5320" s="14">
        <v>752</v>
      </c>
      <c r="N5320" s="14">
        <v>1328</v>
      </c>
      <c r="O5320" s="14">
        <v>0</v>
      </c>
      <c r="P5320" s="14">
        <v>2080</v>
      </c>
      <c r="Q5320">
        <v>15549</v>
      </c>
      <c r="R5320">
        <v>896</v>
      </c>
      <c r="S5320">
        <v>1110</v>
      </c>
    </row>
    <row r="5321" spans="11:19" x14ac:dyDescent="0.3">
      <c r="K5321" s="16">
        <f t="shared" si="82"/>
        <v>44237</v>
      </c>
      <c r="L5321" s="17">
        <v>0.625</v>
      </c>
      <c r="M5321" s="14">
        <v>752</v>
      </c>
      <c r="N5321" s="14">
        <v>1266</v>
      </c>
      <c r="O5321" s="14">
        <v>0</v>
      </c>
      <c r="P5321" s="14">
        <v>2018</v>
      </c>
      <c r="Q5321">
        <v>15196</v>
      </c>
      <c r="R5321">
        <v>1062</v>
      </c>
      <c r="S5321">
        <v>819</v>
      </c>
    </row>
    <row r="5322" spans="11:19" x14ac:dyDescent="0.3">
      <c r="K5322" s="16">
        <f t="shared" si="82"/>
        <v>44237</v>
      </c>
      <c r="L5322" s="17">
        <v>0.66666666666666663</v>
      </c>
      <c r="M5322" s="14">
        <v>752</v>
      </c>
      <c r="N5322" s="14">
        <v>1698</v>
      </c>
      <c r="O5322" s="14">
        <v>0</v>
      </c>
      <c r="P5322" s="14">
        <v>2450</v>
      </c>
      <c r="Q5322">
        <v>15145</v>
      </c>
      <c r="R5322">
        <v>1020</v>
      </c>
      <c r="S5322">
        <v>378</v>
      </c>
    </row>
    <row r="5323" spans="11:19" x14ac:dyDescent="0.3">
      <c r="K5323" s="16">
        <f t="shared" si="82"/>
        <v>44237</v>
      </c>
      <c r="L5323" s="17">
        <v>0.70833333333333337</v>
      </c>
      <c r="M5323" s="14">
        <v>752</v>
      </c>
      <c r="N5323" s="14">
        <v>2298</v>
      </c>
      <c r="O5323" s="14">
        <v>0</v>
      </c>
      <c r="P5323" s="14">
        <v>3050</v>
      </c>
      <c r="Q5323">
        <v>15405</v>
      </c>
      <c r="R5323">
        <v>1002</v>
      </c>
      <c r="S5323">
        <v>58</v>
      </c>
    </row>
    <row r="5324" spans="11:19" x14ac:dyDescent="0.3">
      <c r="K5324" s="16">
        <f t="shared" si="82"/>
        <v>44237</v>
      </c>
      <c r="L5324" s="17">
        <v>0.75</v>
      </c>
      <c r="M5324" s="14">
        <v>752</v>
      </c>
      <c r="N5324" s="14">
        <v>3397</v>
      </c>
      <c r="O5324" s="14">
        <v>0</v>
      </c>
      <c r="P5324" s="14">
        <v>4149</v>
      </c>
      <c r="Q5324">
        <v>16354</v>
      </c>
      <c r="R5324">
        <v>912</v>
      </c>
      <c r="S5324">
        <v>2</v>
      </c>
    </row>
    <row r="5325" spans="11:19" x14ac:dyDescent="0.3">
      <c r="K5325" s="16">
        <f t="shared" si="82"/>
        <v>44237</v>
      </c>
      <c r="L5325" s="17">
        <v>0.79166666666666663</v>
      </c>
      <c r="M5325" s="14">
        <v>752</v>
      </c>
      <c r="N5325" s="14">
        <v>3125</v>
      </c>
      <c r="O5325" s="14">
        <v>0</v>
      </c>
      <c r="P5325" s="14">
        <v>3877</v>
      </c>
      <c r="Q5325">
        <v>16127</v>
      </c>
      <c r="R5325">
        <v>793</v>
      </c>
      <c r="S5325">
        <v>0</v>
      </c>
    </row>
    <row r="5326" spans="11:19" x14ac:dyDescent="0.3">
      <c r="K5326" s="16">
        <f t="shared" si="82"/>
        <v>44237</v>
      </c>
      <c r="L5326" s="17">
        <v>0.83333333333333337</v>
      </c>
      <c r="M5326" s="14">
        <v>752</v>
      </c>
      <c r="N5326" s="14">
        <v>2451</v>
      </c>
      <c r="O5326" s="14">
        <v>0</v>
      </c>
      <c r="P5326" s="14">
        <v>3203</v>
      </c>
      <c r="Q5326">
        <v>15240</v>
      </c>
      <c r="R5326">
        <v>755</v>
      </c>
      <c r="S5326">
        <v>0</v>
      </c>
    </row>
    <row r="5327" spans="11:19" x14ac:dyDescent="0.3">
      <c r="K5327" s="16">
        <f t="shared" si="82"/>
        <v>44237</v>
      </c>
      <c r="L5327" s="17">
        <v>0.875</v>
      </c>
      <c r="M5327" s="14">
        <v>752</v>
      </c>
      <c r="N5327" s="14">
        <v>1731</v>
      </c>
      <c r="O5327" s="14">
        <v>0</v>
      </c>
      <c r="P5327" s="14">
        <v>2483</v>
      </c>
      <c r="Q5327">
        <v>14486</v>
      </c>
      <c r="R5327">
        <v>555</v>
      </c>
      <c r="S5327">
        <v>0</v>
      </c>
    </row>
    <row r="5328" spans="11:19" x14ac:dyDescent="0.3">
      <c r="K5328" s="16">
        <f t="shared" si="82"/>
        <v>44237</v>
      </c>
      <c r="L5328" s="17">
        <v>0.91666666666666663</v>
      </c>
      <c r="M5328" s="14">
        <v>752</v>
      </c>
      <c r="N5328" s="14">
        <v>2041</v>
      </c>
      <c r="O5328" s="14">
        <v>0</v>
      </c>
      <c r="P5328" s="14">
        <v>2793</v>
      </c>
      <c r="Q5328">
        <v>14650</v>
      </c>
      <c r="R5328">
        <v>580</v>
      </c>
      <c r="S5328">
        <v>0</v>
      </c>
    </row>
    <row r="5329" spans="11:19" x14ac:dyDescent="0.3">
      <c r="K5329" s="16">
        <f t="shared" si="82"/>
        <v>44237</v>
      </c>
      <c r="L5329" s="17">
        <v>0.95833333333333337</v>
      </c>
      <c r="M5329" s="14">
        <v>752</v>
      </c>
      <c r="N5329" s="14">
        <v>2098</v>
      </c>
      <c r="O5329" s="14">
        <v>0</v>
      </c>
      <c r="P5329" s="14">
        <v>2850</v>
      </c>
      <c r="Q5329">
        <v>14749</v>
      </c>
      <c r="R5329">
        <v>620</v>
      </c>
      <c r="S5329">
        <v>0</v>
      </c>
    </row>
    <row r="5330" spans="11:19" x14ac:dyDescent="0.3">
      <c r="K5330" s="16">
        <f t="shared" si="82"/>
        <v>44238</v>
      </c>
      <c r="L5330" s="17">
        <v>0</v>
      </c>
      <c r="M5330" s="14">
        <v>752</v>
      </c>
      <c r="N5330" s="14">
        <v>1347</v>
      </c>
      <c r="O5330" s="14">
        <v>327</v>
      </c>
      <c r="P5330" s="14">
        <v>2426</v>
      </c>
      <c r="Q5330">
        <v>14282</v>
      </c>
      <c r="R5330">
        <v>421</v>
      </c>
      <c r="S5330">
        <v>0</v>
      </c>
    </row>
    <row r="5331" spans="11:19" x14ac:dyDescent="0.3">
      <c r="K5331" s="16">
        <f t="shared" si="82"/>
        <v>44238</v>
      </c>
      <c r="L5331" s="17">
        <v>4.1666666666666664E-2</v>
      </c>
      <c r="M5331" s="14">
        <v>752</v>
      </c>
      <c r="N5331" s="14">
        <v>1485</v>
      </c>
      <c r="O5331" s="14">
        <v>0</v>
      </c>
      <c r="P5331" s="14">
        <v>2237</v>
      </c>
      <c r="Q5331">
        <v>14085</v>
      </c>
      <c r="R5331">
        <v>583</v>
      </c>
      <c r="S5331">
        <v>0</v>
      </c>
    </row>
    <row r="5332" spans="11:19" x14ac:dyDescent="0.3">
      <c r="K5332" s="16">
        <f t="shared" si="82"/>
        <v>44238</v>
      </c>
      <c r="L5332" s="17">
        <v>8.3333333333333329E-2</v>
      </c>
      <c r="M5332" s="14">
        <v>752</v>
      </c>
      <c r="N5332" s="14">
        <v>1285</v>
      </c>
      <c r="O5332" s="14">
        <v>0</v>
      </c>
      <c r="P5332" s="14">
        <v>2037</v>
      </c>
      <c r="Q5332">
        <v>13878</v>
      </c>
      <c r="R5332">
        <v>578</v>
      </c>
      <c r="S5332">
        <v>0</v>
      </c>
    </row>
    <row r="5333" spans="11:19" x14ac:dyDescent="0.3">
      <c r="K5333" s="16">
        <f t="shared" si="82"/>
        <v>44238</v>
      </c>
      <c r="L5333" s="17">
        <v>0.125</v>
      </c>
      <c r="M5333" s="14">
        <v>752</v>
      </c>
      <c r="N5333" s="14">
        <v>733</v>
      </c>
      <c r="O5333" s="14">
        <v>0</v>
      </c>
      <c r="P5333" s="14">
        <v>1485</v>
      </c>
      <c r="Q5333">
        <v>13461</v>
      </c>
      <c r="R5333">
        <v>546</v>
      </c>
      <c r="S5333">
        <v>0</v>
      </c>
    </row>
    <row r="5334" spans="11:19" x14ac:dyDescent="0.3">
      <c r="K5334" s="16">
        <f t="shared" si="82"/>
        <v>44238</v>
      </c>
      <c r="L5334" s="17">
        <v>0.16666666666666666</v>
      </c>
      <c r="M5334" s="14">
        <v>752</v>
      </c>
      <c r="N5334" s="14">
        <v>645</v>
      </c>
      <c r="O5334" s="14">
        <v>0</v>
      </c>
      <c r="P5334" s="14">
        <v>1397</v>
      </c>
      <c r="Q5334">
        <v>13372</v>
      </c>
      <c r="R5334">
        <v>547</v>
      </c>
      <c r="S5334">
        <v>0</v>
      </c>
    </row>
    <row r="5335" spans="11:19" x14ac:dyDescent="0.3">
      <c r="K5335" s="16">
        <f t="shared" si="82"/>
        <v>44238</v>
      </c>
      <c r="L5335" s="17">
        <v>0.20833333333333334</v>
      </c>
      <c r="M5335" s="14">
        <v>752</v>
      </c>
      <c r="N5335" s="14">
        <v>1210</v>
      </c>
      <c r="O5335" s="14">
        <v>0</v>
      </c>
      <c r="P5335" s="14">
        <v>1962</v>
      </c>
      <c r="Q5335">
        <v>13932</v>
      </c>
      <c r="R5335">
        <v>707</v>
      </c>
      <c r="S5335">
        <v>0</v>
      </c>
    </row>
    <row r="5336" spans="11:19" x14ac:dyDescent="0.3">
      <c r="K5336" s="16">
        <f t="shared" si="82"/>
        <v>44238</v>
      </c>
      <c r="L5336" s="17">
        <v>0.25</v>
      </c>
      <c r="M5336" s="14">
        <v>752</v>
      </c>
      <c r="N5336" s="14">
        <v>2382</v>
      </c>
      <c r="O5336" s="14">
        <v>0</v>
      </c>
      <c r="P5336" s="14">
        <v>3134</v>
      </c>
      <c r="Q5336">
        <v>15129</v>
      </c>
      <c r="R5336">
        <v>718</v>
      </c>
      <c r="S5336">
        <v>0</v>
      </c>
    </row>
    <row r="5337" spans="11:19" x14ac:dyDescent="0.3">
      <c r="K5337" s="16">
        <f t="shared" si="82"/>
        <v>44238</v>
      </c>
      <c r="L5337" s="17">
        <v>0.29166666666666669</v>
      </c>
      <c r="M5337" s="14">
        <v>752</v>
      </c>
      <c r="N5337" s="14">
        <v>1906</v>
      </c>
      <c r="O5337" s="14">
        <v>1200</v>
      </c>
      <c r="P5337" s="14">
        <v>3858</v>
      </c>
      <c r="Q5337">
        <v>16110</v>
      </c>
      <c r="R5337">
        <v>789</v>
      </c>
      <c r="S5337">
        <v>2</v>
      </c>
    </row>
    <row r="5338" spans="11:19" x14ac:dyDescent="0.3">
      <c r="K5338" s="16">
        <f t="shared" si="82"/>
        <v>44238</v>
      </c>
      <c r="L5338" s="17">
        <v>0.33333333333333331</v>
      </c>
      <c r="M5338" s="14">
        <v>752</v>
      </c>
      <c r="N5338" s="14">
        <v>2764</v>
      </c>
      <c r="O5338" s="14">
        <v>382</v>
      </c>
      <c r="P5338" s="14">
        <v>3898</v>
      </c>
      <c r="Q5338">
        <v>16359</v>
      </c>
      <c r="R5338">
        <v>923</v>
      </c>
      <c r="S5338">
        <v>73</v>
      </c>
    </row>
    <row r="5339" spans="11:19" x14ac:dyDescent="0.3">
      <c r="K5339" s="16">
        <f t="shared" ref="K5339:K5402" si="83">K5315+1</f>
        <v>44238</v>
      </c>
      <c r="L5339" s="17">
        <v>0.375</v>
      </c>
      <c r="M5339" s="14">
        <v>752</v>
      </c>
      <c r="N5339" s="14">
        <v>2764</v>
      </c>
      <c r="O5339" s="14">
        <v>0</v>
      </c>
      <c r="P5339" s="14">
        <v>3516</v>
      </c>
      <c r="Q5339">
        <v>16405</v>
      </c>
      <c r="R5339">
        <v>973</v>
      </c>
      <c r="S5339">
        <v>472</v>
      </c>
    </row>
    <row r="5340" spans="11:19" x14ac:dyDescent="0.3">
      <c r="K5340" s="16">
        <f t="shared" si="83"/>
        <v>44238</v>
      </c>
      <c r="L5340" s="17">
        <v>0.41666666666666669</v>
      </c>
      <c r="M5340" s="14">
        <v>752</v>
      </c>
      <c r="N5340" s="14">
        <v>1794</v>
      </c>
      <c r="O5340" s="14">
        <v>0</v>
      </c>
      <c r="P5340" s="14">
        <v>2546</v>
      </c>
      <c r="Q5340">
        <v>16278</v>
      </c>
      <c r="R5340">
        <v>1392</v>
      </c>
      <c r="S5340">
        <v>1047</v>
      </c>
    </row>
    <row r="5341" spans="11:19" x14ac:dyDescent="0.3">
      <c r="K5341" s="16">
        <f t="shared" si="83"/>
        <v>44238</v>
      </c>
      <c r="L5341" s="17">
        <v>0.45833333333333331</v>
      </c>
      <c r="M5341" s="14">
        <v>752</v>
      </c>
      <c r="N5341" s="14">
        <v>1039</v>
      </c>
      <c r="O5341" s="14">
        <v>0</v>
      </c>
      <c r="P5341" s="14">
        <v>1791</v>
      </c>
      <c r="Q5341">
        <v>16257</v>
      </c>
      <c r="R5341">
        <v>1748</v>
      </c>
      <c r="S5341">
        <v>1423</v>
      </c>
    </row>
    <row r="5342" spans="11:19" x14ac:dyDescent="0.3">
      <c r="K5342" s="16">
        <f t="shared" si="83"/>
        <v>44238</v>
      </c>
      <c r="L5342" s="17">
        <v>0.5</v>
      </c>
      <c r="M5342" s="14">
        <v>752</v>
      </c>
      <c r="N5342" s="14">
        <v>461</v>
      </c>
      <c r="O5342" s="14">
        <v>0</v>
      </c>
      <c r="P5342" s="14">
        <v>1213</v>
      </c>
      <c r="Q5342">
        <v>16108</v>
      </c>
      <c r="R5342">
        <v>1810</v>
      </c>
      <c r="S5342">
        <v>1623</v>
      </c>
    </row>
    <row r="5343" spans="11:19" x14ac:dyDescent="0.3">
      <c r="K5343" s="16">
        <f t="shared" si="83"/>
        <v>44238</v>
      </c>
      <c r="L5343" s="17">
        <v>0.54166666666666663</v>
      </c>
      <c r="M5343" s="14">
        <v>752</v>
      </c>
      <c r="N5343" s="14">
        <v>16</v>
      </c>
      <c r="O5343" s="14">
        <v>0</v>
      </c>
      <c r="P5343" s="14">
        <v>768</v>
      </c>
      <c r="Q5343">
        <v>15732</v>
      </c>
      <c r="R5343">
        <v>1922</v>
      </c>
      <c r="S5343">
        <v>1579</v>
      </c>
    </row>
    <row r="5344" spans="11:19" x14ac:dyDescent="0.3">
      <c r="K5344" s="16">
        <f t="shared" si="83"/>
        <v>44238</v>
      </c>
      <c r="L5344" s="17">
        <v>0.58333333333333337</v>
      </c>
      <c r="M5344" s="14">
        <v>752</v>
      </c>
      <c r="N5344" s="14">
        <v>0</v>
      </c>
      <c r="O5344" s="14">
        <v>-620</v>
      </c>
      <c r="P5344" s="14">
        <v>132</v>
      </c>
      <c r="Q5344">
        <v>15323</v>
      </c>
      <c r="R5344">
        <v>2476</v>
      </c>
      <c r="S5344">
        <v>1418</v>
      </c>
    </row>
    <row r="5345" spans="11:19" x14ac:dyDescent="0.3">
      <c r="K5345" s="16">
        <f t="shared" si="83"/>
        <v>44238</v>
      </c>
      <c r="L5345" s="17">
        <v>0.625</v>
      </c>
      <c r="M5345" s="14">
        <v>752</v>
      </c>
      <c r="N5345" s="14">
        <v>0</v>
      </c>
      <c r="O5345" s="14">
        <v>-777</v>
      </c>
      <c r="P5345" s="14">
        <v>-25</v>
      </c>
      <c r="Q5345">
        <v>14962</v>
      </c>
      <c r="R5345">
        <v>2652</v>
      </c>
      <c r="S5345">
        <v>1038</v>
      </c>
    </row>
    <row r="5346" spans="11:19" x14ac:dyDescent="0.3">
      <c r="K5346" s="16">
        <f t="shared" si="83"/>
        <v>44238</v>
      </c>
      <c r="L5346" s="17">
        <v>0.66666666666666663</v>
      </c>
      <c r="M5346" s="14">
        <v>752</v>
      </c>
      <c r="N5346" s="14">
        <v>0</v>
      </c>
      <c r="O5346" s="14">
        <v>-461</v>
      </c>
      <c r="P5346" s="14">
        <v>291</v>
      </c>
      <c r="Q5346">
        <v>14923</v>
      </c>
      <c r="R5346">
        <v>2824</v>
      </c>
      <c r="S5346">
        <v>511</v>
      </c>
    </row>
    <row r="5347" spans="11:19" x14ac:dyDescent="0.3">
      <c r="K5347" s="16">
        <f t="shared" si="83"/>
        <v>44238</v>
      </c>
      <c r="L5347" s="17">
        <v>0.70833333333333337</v>
      </c>
      <c r="M5347" s="14">
        <v>752</v>
      </c>
      <c r="N5347" s="14">
        <v>18</v>
      </c>
      <c r="O5347" s="14">
        <v>0</v>
      </c>
      <c r="P5347" s="14">
        <v>770</v>
      </c>
      <c r="Q5347">
        <v>15250</v>
      </c>
      <c r="R5347">
        <v>2919</v>
      </c>
      <c r="S5347">
        <v>98</v>
      </c>
    </row>
    <row r="5348" spans="11:19" x14ac:dyDescent="0.3">
      <c r="K5348" s="16">
        <f t="shared" si="83"/>
        <v>44238</v>
      </c>
      <c r="L5348" s="17">
        <v>0.75</v>
      </c>
      <c r="M5348" s="14">
        <v>752</v>
      </c>
      <c r="N5348" s="14">
        <v>957</v>
      </c>
      <c r="O5348" s="14">
        <v>0</v>
      </c>
      <c r="P5348" s="14">
        <v>1709</v>
      </c>
      <c r="Q5348">
        <v>16288</v>
      </c>
      <c r="R5348">
        <v>3120</v>
      </c>
      <c r="S5348">
        <v>1</v>
      </c>
    </row>
    <row r="5349" spans="11:19" x14ac:dyDescent="0.3">
      <c r="K5349" s="16">
        <f t="shared" si="83"/>
        <v>44238</v>
      </c>
      <c r="L5349" s="17">
        <v>0.79166666666666663</v>
      </c>
      <c r="M5349" s="14">
        <v>752</v>
      </c>
      <c r="N5349" s="14">
        <v>848</v>
      </c>
      <c r="O5349" s="14">
        <v>0</v>
      </c>
      <c r="P5349" s="14">
        <v>1600</v>
      </c>
      <c r="Q5349">
        <v>16116</v>
      </c>
      <c r="R5349">
        <v>3226</v>
      </c>
      <c r="S5349">
        <v>0</v>
      </c>
    </row>
    <row r="5350" spans="11:19" x14ac:dyDescent="0.3">
      <c r="K5350" s="16">
        <f t="shared" si="83"/>
        <v>44238</v>
      </c>
      <c r="L5350" s="17">
        <v>0.83333333333333337</v>
      </c>
      <c r="M5350" s="14">
        <v>752</v>
      </c>
      <c r="N5350" s="14">
        <v>181</v>
      </c>
      <c r="O5350" s="14">
        <v>0</v>
      </c>
      <c r="P5350" s="14">
        <v>933</v>
      </c>
      <c r="Q5350">
        <v>15318</v>
      </c>
      <c r="R5350">
        <v>3103</v>
      </c>
      <c r="S5350">
        <v>0</v>
      </c>
    </row>
    <row r="5351" spans="11:19" x14ac:dyDescent="0.3">
      <c r="K5351" s="16">
        <f t="shared" si="83"/>
        <v>44238</v>
      </c>
      <c r="L5351" s="17">
        <v>0.875</v>
      </c>
      <c r="M5351" s="14">
        <v>752</v>
      </c>
      <c r="N5351" s="14">
        <v>0</v>
      </c>
      <c r="O5351" s="14">
        <v>-515</v>
      </c>
      <c r="P5351" s="14">
        <v>237</v>
      </c>
      <c r="Q5351">
        <v>14625</v>
      </c>
      <c r="R5351">
        <v>3106</v>
      </c>
      <c r="S5351">
        <v>0</v>
      </c>
    </row>
    <row r="5352" spans="11:19" x14ac:dyDescent="0.3">
      <c r="K5352" s="16">
        <f t="shared" si="83"/>
        <v>44238</v>
      </c>
      <c r="L5352" s="17">
        <v>0.91666666666666663</v>
      </c>
      <c r="M5352" s="14">
        <v>752</v>
      </c>
      <c r="N5352" s="14">
        <v>0</v>
      </c>
      <c r="O5352" s="14">
        <v>-13</v>
      </c>
      <c r="P5352" s="14">
        <v>739</v>
      </c>
      <c r="Q5352">
        <v>14809</v>
      </c>
      <c r="R5352">
        <v>2773</v>
      </c>
      <c r="S5352">
        <v>0</v>
      </c>
    </row>
    <row r="5353" spans="11:19" x14ac:dyDescent="0.3">
      <c r="K5353" s="16">
        <f t="shared" si="83"/>
        <v>44238</v>
      </c>
      <c r="L5353" s="17">
        <v>0.95833333333333337</v>
      </c>
      <c r="M5353" s="14">
        <v>752</v>
      </c>
      <c r="N5353" s="14">
        <v>46</v>
      </c>
      <c r="O5353" s="14">
        <v>0</v>
      </c>
      <c r="P5353" s="14">
        <v>798</v>
      </c>
      <c r="Q5353">
        <v>14911</v>
      </c>
      <c r="R5353">
        <v>2667</v>
      </c>
      <c r="S5353">
        <v>0</v>
      </c>
    </row>
    <row r="5354" spans="11:19" x14ac:dyDescent="0.3">
      <c r="K5354" s="16">
        <f t="shared" si="83"/>
        <v>44239</v>
      </c>
      <c r="L5354" s="17">
        <v>0</v>
      </c>
      <c r="M5354" s="14">
        <v>752</v>
      </c>
      <c r="N5354" s="14">
        <v>151</v>
      </c>
      <c r="O5354" s="14">
        <v>0</v>
      </c>
      <c r="P5354" s="14">
        <v>903</v>
      </c>
      <c r="Q5354">
        <v>14527</v>
      </c>
      <c r="R5354">
        <v>2353</v>
      </c>
      <c r="S5354">
        <v>0</v>
      </c>
    </row>
    <row r="5355" spans="11:19" x14ac:dyDescent="0.3">
      <c r="K5355" s="16">
        <f t="shared" si="83"/>
        <v>44239</v>
      </c>
      <c r="L5355" s="17">
        <v>4.1666666666666664E-2</v>
      </c>
      <c r="M5355" s="14">
        <v>752</v>
      </c>
      <c r="N5355" s="14">
        <v>0</v>
      </c>
      <c r="O5355" s="14">
        <v>0</v>
      </c>
      <c r="P5355" s="14">
        <v>752</v>
      </c>
      <c r="Q5355">
        <v>14350</v>
      </c>
      <c r="R5355">
        <v>2177</v>
      </c>
      <c r="S5355">
        <v>0</v>
      </c>
    </row>
    <row r="5356" spans="11:19" x14ac:dyDescent="0.3">
      <c r="K5356" s="16">
        <f t="shared" si="83"/>
        <v>44239</v>
      </c>
      <c r="L5356" s="17">
        <v>8.3333333333333329E-2</v>
      </c>
      <c r="M5356" s="14">
        <v>752</v>
      </c>
      <c r="N5356" s="14">
        <v>107</v>
      </c>
      <c r="O5356" s="14">
        <v>0</v>
      </c>
      <c r="P5356" s="14">
        <v>859</v>
      </c>
      <c r="Q5356">
        <v>14152</v>
      </c>
      <c r="R5356">
        <v>2027</v>
      </c>
      <c r="S5356">
        <v>0</v>
      </c>
    </row>
    <row r="5357" spans="11:19" x14ac:dyDescent="0.3">
      <c r="K5357" s="16">
        <f t="shared" si="83"/>
        <v>44239</v>
      </c>
      <c r="L5357" s="17">
        <v>0.125</v>
      </c>
      <c r="M5357" s="14">
        <v>752</v>
      </c>
      <c r="N5357" s="14">
        <v>0</v>
      </c>
      <c r="O5357" s="14">
        <v>-332</v>
      </c>
      <c r="P5357" s="14">
        <v>420</v>
      </c>
      <c r="Q5357">
        <v>13759</v>
      </c>
      <c r="R5357">
        <v>2073</v>
      </c>
      <c r="S5357">
        <v>0</v>
      </c>
    </row>
    <row r="5358" spans="11:19" x14ac:dyDescent="0.3">
      <c r="K5358" s="16">
        <f t="shared" si="83"/>
        <v>44239</v>
      </c>
      <c r="L5358" s="17">
        <v>0.16666666666666666</v>
      </c>
      <c r="M5358" s="14">
        <v>752</v>
      </c>
      <c r="N5358" s="14">
        <v>0</v>
      </c>
      <c r="O5358" s="14">
        <v>-781</v>
      </c>
      <c r="P5358" s="14">
        <v>-29</v>
      </c>
      <c r="Q5358">
        <v>13693</v>
      </c>
      <c r="R5358">
        <v>2458</v>
      </c>
      <c r="S5358">
        <v>0</v>
      </c>
    </row>
    <row r="5359" spans="11:19" x14ac:dyDescent="0.3">
      <c r="K5359" s="16">
        <f t="shared" si="83"/>
        <v>44239</v>
      </c>
      <c r="L5359" s="17">
        <v>0.20833333333333334</v>
      </c>
      <c r="M5359" s="14">
        <v>752</v>
      </c>
      <c r="N5359" s="14">
        <v>0</v>
      </c>
      <c r="O5359" s="14">
        <v>-211</v>
      </c>
      <c r="P5359" s="14">
        <v>541</v>
      </c>
      <c r="Q5359">
        <v>14270</v>
      </c>
      <c r="R5359">
        <v>2463</v>
      </c>
      <c r="S5359">
        <v>0</v>
      </c>
    </row>
    <row r="5360" spans="11:19" x14ac:dyDescent="0.3">
      <c r="K5360" s="16">
        <f t="shared" si="83"/>
        <v>44239</v>
      </c>
      <c r="L5360" s="17">
        <v>0.25</v>
      </c>
      <c r="M5360" s="14">
        <v>752</v>
      </c>
      <c r="N5360" s="14">
        <v>1314</v>
      </c>
      <c r="O5360" s="14">
        <v>0</v>
      </c>
      <c r="P5360" s="14">
        <v>2066</v>
      </c>
      <c r="Q5360">
        <v>15484</v>
      </c>
      <c r="R5360">
        <v>2138</v>
      </c>
      <c r="S5360">
        <v>0</v>
      </c>
    </row>
    <row r="5361" spans="11:19" x14ac:dyDescent="0.3">
      <c r="K5361" s="16">
        <f t="shared" si="83"/>
        <v>44239</v>
      </c>
      <c r="L5361" s="17">
        <v>0.29166666666666669</v>
      </c>
      <c r="M5361" s="14">
        <v>752</v>
      </c>
      <c r="N5361" s="14">
        <v>2328</v>
      </c>
      <c r="O5361" s="14">
        <v>0</v>
      </c>
      <c r="P5361" s="14">
        <v>3080</v>
      </c>
      <c r="Q5361">
        <v>16510</v>
      </c>
      <c r="R5361">
        <v>2131</v>
      </c>
      <c r="S5361">
        <v>2</v>
      </c>
    </row>
    <row r="5362" spans="11:19" x14ac:dyDescent="0.3">
      <c r="K5362" s="16">
        <f t="shared" si="83"/>
        <v>44239</v>
      </c>
      <c r="L5362" s="17">
        <v>0.33333333333333331</v>
      </c>
      <c r="M5362" s="14">
        <v>752</v>
      </c>
      <c r="N5362" s="14">
        <v>2536</v>
      </c>
      <c r="O5362" s="14">
        <v>0</v>
      </c>
      <c r="P5362" s="14">
        <v>3288</v>
      </c>
      <c r="Q5362">
        <v>16799</v>
      </c>
      <c r="R5362">
        <v>1924</v>
      </c>
      <c r="S5362">
        <v>120</v>
      </c>
    </row>
    <row r="5363" spans="11:19" x14ac:dyDescent="0.3">
      <c r="K5363" s="16">
        <f t="shared" si="83"/>
        <v>44239</v>
      </c>
      <c r="L5363" s="17">
        <v>0.375</v>
      </c>
      <c r="M5363" s="14">
        <v>752</v>
      </c>
      <c r="N5363" s="14">
        <v>2409</v>
      </c>
      <c r="O5363" s="14">
        <v>0</v>
      </c>
      <c r="P5363" s="14">
        <v>3161</v>
      </c>
      <c r="Q5363">
        <v>16934</v>
      </c>
      <c r="R5363">
        <v>1862</v>
      </c>
      <c r="S5363">
        <v>614</v>
      </c>
    </row>
    <row r="5364" spans="11:19" x14ac:dyDescent="0.3">
      <c r="K5364" s="16">
        <f t="shared" si="83"/>
        <v>44239</v>
      </c>
      <c r="L5364" s="17">
        <v>0.41666666666666669</v>
      </c>
      <c r="M5364" s="14">
        <v>752</v>
      </c>
      <c r="N5364" s="14">
        <v>1472</v>
      </c>
      <c r="O5364" s="14">
        <v>0</v>
      </c>
      <c r="P5364" s="14">
        <v>2224</v>
      </c>
      <c r="Q5364">
        <v>16827</v>
      </c>
      <c r="R5364">
        <v>1869</v>
      </c>
      <c r="S5364">
        <v>1271</v>
      </c>
    </row>
    <row r="5365" spans="11:19" x14ac:dyDescent="0.3">
      <c r="K5365" s="16">
        <f t="shared" si="83"/>
        <v>44239</v>
      </c>
      <c r="L5365" s="17">
        <v>0.45833333333333331</v>
      </c>
      <c r="M5365" s="14">
        <v>752</v>
      </c>
      <c r="N5365" s="14">
        <v>1316</v>
      </c>
      <c r="O5365" s="14">
        <v>0</v>
      </c>
      <c r="P5365" s="14">
        <v>2068</v>
      </c>
      <c r="Q5365">
        <v>16774</v>
      </c>
      <c r="R5365">
        <v>1670</v>
      </c>
      <c r="S5365">
        <v>1738</v>
      </c>
    </row>
    <row r="5366" spans="11:19" x14ac:dyDescent="0.3">
      <c r="K5366" s="16">
        <f t="shared" si="83"/>
        <v>44239</v>
      </c>
      <c r="L5366" s="17">
        <v>0.5</v>
      </c>
      <c r="M5366" s="14">
        <v>752</v>
      </c>
      <c r="N5366" s="14">
        <v>995</v>
      </c>
      <c r="O5366" s="14">
        <v>0</v>
      </c>
      <c r="P5366" s="14">
        <v>1747</v>
      </c>
      <c r="Q5366">
        <v>16594</v>
      </c>
      <c r="R5366">
        <v>1576</v>
      </c>
      <c r="S5366">
        <v>1973</v>
      </c>
    </row>
    <row r="5367" spans="11:19" x14ac:dyDescent="0.3">
      <c r="K5367" s="16">
        <f t="shared" si="83"/>
        <v>44239</v>
      </c>
      <c r="L5367" s="17">
        <v>0.54166666666666663</v>
      </c>
      <c r="M5367" s="14">
        <v>752</v>
      </c>
      <c r="N5367" s="14">
        <v>384</v>
      </c>
      <c r="O5367" s="14">
        <v>0</v>
      </c>
      <c r="P5367" s="14">
        <v>1136</v>
      </c>
      <c r="Q5367">
        <v>16139</v>
      </c>
      <c r="R5367">
        <v>1731</v>
      </c>
      <c r="S5367">
        <v>1974</v>
      </c>
    </row>
    <row r="5368" spans="11:19" x14ac:dyDescent="0.3">
      <c r="K5368" s="16">
        <f t="shared" si="83"/>
        <v>44239</v>
      </c>
      <c r="L5368" s="17">
        <v>0.58333333333333337</v>
      </c>
      <c r="M5368" s="14">
        <v>752</v>
      </c>
      <c r="N5368" s="14">
        <v>175</v>
      </c>
      <c r="O5368" s="14">
        <v>0</v>
      </c>
      <c r="P5368" s="14">
        <v>927</v>
      </c>
      <c r="Q5368">
        <v>15652</v>
      </c>
      <c r="R5368">
        <v>1672</v>
      </c>
      <c r="S5368">
        <v>1753</v>
      </c>
    </row>
    <row r="5369" spans="11:19" x14ac:dyDescent="0.3">
      <c r="K5369" s="16">
        <f t="shared" si="83"/>
        <v>44239</v>
      </c>
      <c r="L5369" s="17">
        <v>0.625</v>
      </c>
      <c r="M5369" s="14">
        <v>752</v>
      </c>
      <c r="N5369" s="14">
        <v>304</v>
      </c>
      <c r="O5369" s="14">
        <v>0</v>
      </c>
      <c r="P5369" s="14">
        <v>1056</v>
      </c>
      <c r="Q5369">
        <v>15237</v>
      </c>
      <c r="R5369">
        <v>1563</v>
      </c>
      <c r="S5369">
        <v>1318</v>
      </c>
    </row>
    <row r="5370" spans="11:19" x14ac:dyDescent="0.3">
      <c r="K5370" s="16">
        <f t="shared" si="83"/>
        <v>44239</v>
      </c>
      <c r="L5370" s="17">
        <v>0.66666666666666663</v>
      </c>
      <c r="M5370" s="14">
        <v>752</v>
      </c>
      <c r="N5370" s="14">
        <v>1033</v>
      </c>
      <c r="O5370" s="14">
        <v>0</v>
      </c>
      <c r="P5370" s="14">
        <v>1785</v>
      </c>
      <c r="Q5370">
        <v>15148</v>
      </c>
      <c r="R5370">
        <v>1216</v>
      </c>
      <c r="S5370">
        <v>680</v>
      </c>
    </row>
    <row r="5371" spans="11:19" x14ac:dyDescent="0.3">
      <c r="K5371" s="16">
        <f t="shared" si="83"/>
        <v>44239</v>
      </c>
      <c r="L5371" s="17">
        <v>0.70833333333333337</v>
      </c>
      <c r="M5371" s="14">
        <v>752</v>
      </c>
      <c r="N5371" s="14">
        <v>1987</v>
      </c>
      <c r="O5371" s="14">
        <v>0</v>
      </c>
      <c r="P5371" s="14">
        <v>2739</v>
      </c>
      <c r="Q5371">
        <v>15511</v>
      </c>
      <c r="R5371">
        <v>1187</v>
      </c>
      <c r="S5371">
        <v>120</v>
      </c>
    </row>
    <row r="5372" spans="11:19" x14ac:dyDescent="0.3">
      <c r="K5372" s="16">
        <f t="shared" si="83"/>
        <v>44239</v>
      </c>
      <c r="L5372" s="17">
        <v>0.75</v>
      </c>
      <c r="M5372" s="14">
        <v>752</v>
      </c>
      <c r="N5372" s="14">
        <v>2097</v>
      </c>
      <c r="O5372" s="14">
        <v>1060</v>
      </c>
      <c r="P5372" s="14">
        <v>3909</v>
      </c>
      <c r="Q5372">
        <v>16506</v>
      </c>
      <c r="R5372">
        <v>1136</v>
      </c>
      <c r="S5372">
        <v>1</v>
      </c>
    </row>
    <row r="5373" spans="11:19" x14ac:dyDescent="0.3">
      <c r="K5373" s="16">
        <f t="shared" si="83"/>
        <v>44239</v>
      </c>
      <c r="L5373" s="17">
        <v>0.79166666666666663</v>
      </c>
      <c r="M5373" s="14">
        <v>752</v>
      </c>
      <c r="N5373" s="14">
        <v>3273</v>
      </c>
      <c r="O5373" s="14">
        <v>0</v>
      </c>
      <c r="P5373" s="14">
        <v>4025</v>
      </c>
      <c r="Q5373">
        <v>16421</v>
      </c>
      <c r="R5373">
        <v>1103</v>
      </c>
      <c r="S5373">
        <v>0</v>
      </c>
    </row>
    <row r="5374" spans="11:19" x14ac:dyDescent="0.3">
      <c r="K5374" s="16">
        <f t="shared" si="83"/>
        <v>44239</v>
      </c>
      <c r="L5374" s="17">
        <v>0.83333333333333337</v>
      </c>
      <c r="M5374" s="14">
        <v>752</v>
      </c>
      <c r="N5374" s="14">
        <v>2503</v>
      </c>
      <c r="O5374" s="14">
        <v>0</v>
      </c>
      <c r="P5374" s="14">
        <v>3255</v>
      </c>
      <c r="Q5374">
        <v>15673</v>
      </c>
      <c r="R5374">
        <v>966</v>
      </c>
      <c r="S5374">
        <v>0</v>
      </c>
    </row>
    <row r="5375" spans="11:19" x14ac:dyDescent="0.3">
      <c r="K5375" s="16">
        <f t="shared" si="83"/>
        <v>44239</v>
      </c>
      <c r="L5375" s="17">
        <v>0.875</v>
      </c>
      <c r="M5375" s="14">
        <v>752</v>
      </c>
      <c r="N5375" s="14">
        <v>1980</v>
      </c>
      <c r="O5375" s="14">
        <v>0</v>
      </c>
      <c r="P5375" s="14">
        <v>2732</v>
      </c>
      <c r="Q5375">
        <v>15024</v>
      </c>
      <c r="R5375">
        <v>1008</v>
      </c>
      <c r="S5375">
        <v>0</v>
      </c>
    </row>
    <row r="5376" spans="11:19" x14ac:dyDescent="0.3">
      <c r="K5376" s="16">
        <f t="shared" si="83"/>
        <v>44239</v>
      </c>
      <c r="L5376" s="17">
        <v>0.91666666666666663</v>
      </c>
      <c r="M5376" s="14">
        <v>752</v>
      </c>
      <c r="N5376" s="14">
        <v>2053</v>
      </c>
      <c r="O5376" s="14">
        <v>0</v>
      </c>
      <c r="P5376" s="14">
        <v>2805</v>
      </c>
      <c r="Q5376">
        <v>15299</v>
      </c>
      <c r="R5376">
        <v>1047</v>
      </c>
      <c r="S5376">
        <v>0</v>
      </c>
    </row>
    <row r="5377" spans="11:19" x14ac:dyDescent="0.3">
      <c r="K5377" s="16">
        <f t="shared" si="83"/>
        <v>44239</v>
      </c>
      <c r="L5377" s="17">
        <v>0.95833333333333337</v>
      </c>
      <c r="M5377" s="14">
        <v>752</v>
      </c>
      <c r="N5377" s="14">
        <v>2390</v>
      </c>
      <c r="O5377" s="14">
        <v>0</v>
      </c>
      <c r="P5377" s="14">
        <v>3142</v>
      </c>
      <c r="Q5377">
        <v>15436</v>
      </c>
      <c r="R5377">
        <v>1012</v>
      </c>
      <c r="S5377">
        <v>0</v>
      </c>
    </row>
    <row r="5378" spans="11:19" x14ac:dyDescent="0.3">
      <c r="K5378" s="16">
        <f t="shared" si="83"/>
        <v>44240</v>
      </c>
      <c r="L5378" s="17">
        <v>0</v>
      </c>
      <c r="M5378" s="14">
        <v>752</v>
      </c>
      <c r="N5378" s="14">
        <v>4563</v>
      </c>
      <c r="O5378" s="14">
        <v>0</v>
      </c>
      <c r="P5378" s="14">
        <v>5315</v>
      </c>
      <c r="Q5378">
        <v>14965</v>
      </c>
      <c r="R5378">
        <v>1015</v>
      </c>
      <c r="S5378">
        <v>0</v>
      </c>
    </row>
    <row r="5379" spans="11:19" x14ac:dyDescent="0.3">
      <c r="K5379" s="16">
        <f t="shared" si="83"/>
        <v>44240</v>
      </c>
      <c r="L5379" s="17">
        <v>4.1666666666666664E-2</v>
      </c>
      <c r="M5379" s="14">
        <v>752</v>
      </c>
      <c r="N5379" s="14">
        <v>1802</v>
      </c>
      <c r="O5379" s="14">
        <v>0</v>
      </c>
      <c r="P5379" s="14">
        <v>2554</v>
      </c>
      <c r="Q5379">
        <v>14720</v>
      </c>
      <c r="R5379">
        <v>901</v>
      </c>
      <c r="S5379">
        <v>0</v>
      </c>
    </row>
    <row r="5380" spans="11:19" x14ac:dyDescent="0.3">
      <c r="K5380" s="16">
        <f t="shared" si="83"/>
        <v>44240</v>
      </c>
      <c r="L5380" s="17">
        <v>8.3333333333333329E-2</v>
      </c>
      <c r="M5380" s="14">
        <v>752</v>
      </c>
      <c r="N5380" s="14">
        <v>4464</v>
      </c>
      <c r="O5380" s="14">
        <v>0</v>
      </c>
      <c r="P5380" s="14">
        <v>5216</v>
      </c>
      <c r="Q5380">
        <v>14450</v>
      </c>
      <c r="R5380">
        <v>870</v>
      </c>
      <c r="S5380">
        <v>0</v>
      </c>
    </row>
    <row r="5381" spans="11:19" x14ac:dyDescent="0.3">
      <c r="K5381" s="16">
        <f t="shared" si="83"/>
        <v>44240</v>
      </c>
      <c r="L5381" s="17">
        <v>0.125</v>
      </c>
      <c r="M5381" s="14">
        <v>752</v>
      </c>
      <c r="N5381" s="14">
        <v>1121</v>
      </c>
      <c r="O5381" s="14">
        <v>0</v>
      </c>
      <c r="P5381" s="14">
        <v>1873</v>
      </c>
      <c r="Q5381">
        <v>13995</v>
      </c>
      <c r="R5381">
        <v>861</v>
      </c>
      <c r="S5381">
        <v>0</v>
      </c>
    </row>
    <row r="5382" spans="11:19" x14ac:dyDescent="0.3">
      <c r="K5382" s="16">
        <f t="shared" si="83"/>
        <v>44240</v>
      </c>
      <c r="L5382" s="17">
        <v>0.16666666666666666</v>
      </c>
      <c r="M5382" s="14">
        <v>752</v>
      </c>
      <c r="N5382" s="14">
        <v>3717</v>
      </c>
      <c r="O5382" s="14">
        <v>0</v>
      </c>
      <c r="P5382" s="14">
        <v>4469</v>
      </c>
      <c r="Q5382">
        <v>13765</v>
      </c>
      <c r="R5382">
        <v>934</v>
      </c>
      <c r="S5382">
        <v>0</v>
      </c>
    </row>
    <row r="5383" spans="11:19" x14ac:dyDescent="0.3">
      <c r="K5383" s="16">
        <f t="shared" si="83"/>
        <v>44240</v>
      </c>
      <c r="L5383" s="17">
        <v>0.20833333333333334</v>
      </c>
      <c r="M5383" s="14">
        <v>752</v>
      </c>
      <c r="N5383" s="14">
        <v>790</v>
      </c>
      <c r="O5383" s="14">
        <v>0</v>
      </c>
      <c r="P5383" s="14">
        <v>1542</v>
      </c>
      <c r="Q5383">
        <v>13968</v>
      </c>
      <c r="R5383">
        <v>1165</v>
      </c>
      <c r="S5383">
        <v>0</v>
      </c>
    </row>
    <row r="5384" spans="11:19" x14ac:dyDescent="0.3">
      <c r="K5384" s="16">
        <f t="shared" si="83"/>
        <v>44240</v>
      </c>
      <c r="L5384" s="17">
        <v>0.25</v>
      </c>
      <c r="M5384" s="14">
        <v>752</v>
      </c>
      <c r="N5384" s="14">
        <v>1013</v>
      </c>
      <c r="O5384" s="14">
        <v>0</v>
      </c>
      <c r="P5384" s="14">
        <v>1765</v>
      </c>
      <c r="Q5384">
        <v>14329</v>
      </c>
      <c r="R5384">
        <v>1300</v>
      </c>
      <c r="S5384">
        <v>0</v>
      </c>
    </row>
    <row r="5385" spans="11:19" x14ac:dyDescent="0.3">
      <c r="K5385" s="16">
        <f t="shared" si="83"/>
        <v>44240</v>
      </c>
      <c r="L5385" s="17">
        <v>0.29166666666666669</v>
      </c>
      <c r="M5385" s="14">
        <v>752</v>
      </c>
      <c r="N5385" s="14">
        <v>4423</v>
      </c>
      <c r="O5385" s="14">
        <v>0</v>
      </c>
      <c r="P5385" s="14">
        <v>5175</v>
      </c>
      <c r="Q5385">
        <v>14748</v>
      </c>
      <c r="R5385">
        <v>1195</v>
      </c>
      <c r="S5385">
        <v>4</v>
      </c>
    </row>
    <row r="5386" spans="11:19" x14ac:dyDescent="0.3">
      <c r="K5386" s="16">
        <f t="shared" si="83"/>
        <v>44240</v>
      </c>
      <c r="L5386" s="17">
        <v>0.33333333333333331</v>
      </c>
      <c r="M5386" s="14">
        <v>752</v>
      </c>
      <c r="N5386" s="14">
        <v>4563</v>
      </c>
      <c r="O5386" s="14">
        <v>0</v>
      </c>
      <c r="P5386" s="14">
        <v>5315</v>
      </c>
      <c r="Q5386">
        <v>15231</v>
      </c>
      <c r="R5386">
        <v>1196</v>
      </c>
      <c r="S5386">
        <v>134</v>
      </c>
    </row>
    <row r="5387" spans="11:19" x14ac:dyDescent="0.3">
      <c r="K5387" s="16">
        <f t="shared" si="83"/>
        <v>44240</v>
      </c>
      <c r="L5387" s="17">
        <v>0.375</v>
      </c>
      <c r="M5387" s="14">
        <v>752</v>
      </c>
      <c r="N5387" s="14">
        <v>4563</v>
      </c>
      <c r="O5387" s="14">
        <v>0</v>
      </c>
      <c r="P5387" s="14">
        <v>5315</v>
      </c>
      <c r="Q5387">
        <v>15664</v>
      </c>
      <c r="R5387">
        <v>1047</v>
      </c>
      <c r="S5387">
        <v>715</v>
      </c>
    </row>
    <row r="5388" spans="11:19" x14ac:dyDescent="0.3">
      <c r="K5388" s="16">
        <f t="shared" si="83"/>
        <v>44240</v>
      </c>
      <c r="L5388" s="17">
        <v>0.41666666666666669</v>
      </c>
      <c r="M5388" s="14">
        <v>752</v>
      </c>
      <c r="N5388" s="14">
        <v>3985</v>
      </c>
      <c r="O5388" s="14">
        <v>0</v>
      </c>
      <c r="P5388" s="14">
        <v>4737</v>
      </c>
      <c r="Q5388">
        <v>15648</v>
      </c>
      <c r="R5388">
        <v>1090</v>
      </c>
      <c r="S5388">
        <v>1427</v>
      </c>
    </row>
    <row r="5389" spans="11:19" x14ac:dyDescent="0.3">
      <c r="K5389" s="16">
        <f t="shared" si="83"/>
        <v>44240</v>
      </c>
      <c r="L5389" s="17">
        <v>0.45833333333333331</v>
      </c>
      <c r="M5389" s="14">
        <v>752</v>
      </c>
      <c r="N5389" s="14">
        <v>548</v>
      </c>
      <c r="O5389" s="14">
        <v>0</v>
      </c>
      <c r="P5389" s="14">
        <v>1300</v>
      </c>
      <c r="Q5389">
        <v>15626</v>
      </c>
      <c r="R5389">
        <v>1118</v>
      </c>
      <c r="S5389">
        <v>1913</v>
      </c>
    </row>
    <row r="5390" spans="11:19" x14ac:dyDescent="0.3">
      <c r="K5390" s="16">
        <f t="shared" si="83"/>
        <v>44240</v>
      </c>
      <c r="L5390" s="17">
        <v>0.5</v>
      </c>
      <c r="M5390" s="14">
        <v>752</v>
      </c>
      <c r="N5390" s="14">
        <v>3218</v>
      </c>
      <c r="O5390" s="14">
        <v>0</v>
      </c>
      <c r="P5390" s="14">
        <v>3970</v>
      </c>
      <c r="Q5390">
        <v>15679</v>
      </c>
      <c r="R5390">
        <v>1141</v>
      </c>
      <c r="S5390">
        <v>2171</v>
      </c>
    </row>
    <row r="5391" spans="11:19" x14ac:dyDescent="0.3">
      <c r="K5391" s="16">
        <f t="shared" si="83"/>
        <v>44240</v>
      </c>
      <c r="L5391" s="17">
        <v>0.54166666666666663</v>
      </c>
      <c r="M5391" s="14">
        <v>752</v>
      </c>
      <c r="N5391" s="14">
        <v>0</v>
      </c>
      <c r="O5391" s="14">
        <v>0</v>
      </c>
      <c r="P5391" s="14">
        <v>752</v>
      </c>
      <c r="Q5391">
        <v>15033</v>
      </c>
      <c r="R5391">
        <v>1233</v>
      </c>
      <c r="S5391">
        <v>2173</v>
      </c>
    </row>
    <row r="5392" spans="11:19" x14ac:dyDescent="0.3">
      <c r="K5392" s="16">
        <f t="shared" si="83"/>
        <v>44240</v>
      </c>
      <c r="L5392" s="17">
        <v>0.58333333333333337</v>
      </c>
      <c r="M5392" s="14">
        <v>752</v>
      </c>
      <c r="N5392" s="14">
        <v>1999</v>
      </c>
      <c r="O5392" s="14">
        <v>0</v>
      </c>
      <c r="P5392" s="14">
        <v>2751</v>
      </c>
      <c r="Q5392">
        <v>14393</v>
      </c>
      <c r="R5392">
        <v>1322</v>
      </c>
      <c r="S5392">
        <v>1926</v>
      </c>
    </row>
    <row r="5393" spans="11:19" x14ac:dyDescent="0.3">
      <c r="K5393" s="16">
        <f t="shared" si="83"/>
        <v>44240</v>
      </c>
      <c r="L5393" s="17">
        <v>0.625</v>
      </c>
      <c r="M5393" s="14">
        <v>752</v>
      </c>
      <c r="N5393" s="14">
        <v>1779</v>
      </c>
      <c r="O5393" s="14">
        <v>0</v>
      </c>
      <c r="P5393" s="14">
        <v>2531</v>
      </c>
      <c r="Q5393">
        <v>13934</v>
      </c>
      <c r="R5393">
        <v>1557</v>
      </c>
      <c r="S5393">
        <v>1455</v>
      </c>
    </row>
    <row r="5394" spans="11:19" x14ac:dyDescent="0.3">
      <c r="K5394" s="16">
        <f t="shared" si="83"/>
        <v>44240</v>
      </c>
      <c r="L5394" s="17">
        <v>0.66666666666666663</v>
      </c>
      <c r="M5394" s="14">
        <v>752</v>
      </c>
      <c r="N5394" s="14">
        <v>2346</v>
      </c>
      <c r="O5394" s="14">
        <v>0</v>
      </c>
      <c r="P5394" s="14">
        <v>3098</v>
      </c>
      <c r="Q5394">
        <v>13794</v>
      </c>
      <c r="R5394">
        <v>1524</v>
      </c>
      <c r="S5394">
        <v>783</v>
      </c>
    </row>
    <row r="5395" spans="11:19" x14ac:dyDescent="0.3">
      <c r="K5395" s="16">
        <f t="shared" si="83"/>
        <v>44240</v>
      </c>
      <c r="L5395" s="17">
        <v>0.70833333333333337</v>
      </c>
      <c r="M5395" s="14">
        <v>752</v>
      </c>
      <c r="N5395" s="14">
        <v>3328</v>
      </c>
      <c r="O5395" s="14">
        <v>0</v>
      </c>
      <c r="P5395" s="14">
        <v>4080</v>
      </c>
      <c r="Q5395">
        <v>14142</v>
      </c>
      <c r="R5395">
        <v>1536</v>
      </c>
      <c r="S5395">
        <v>138</v>
      </c>
    </row>
    <row r="5396" spans="11:19" x14ac:dyDescent="0.3">
      <c r="K5396" s="16">
        <f t="shared" si="83"/>
        <v>44240</v>
      </c>
      <c r="L5396" s="17">
        <v>0.75</v>
      </c>
      <c r="M5396" s="14">
        <v>752</v>
      </c>
      <c r="N5396" s="14">
        <v>4499</v>
      </c>
      <c r="O5396" s="14">
        <v>0</v>
      </c>
      <c r="P5396" s="14">
        <v>5251</v>
      </c>
      <c r="Q5396">
        <v>15205</v>
      </c>
      <c r="R5396">
        <v>1570</v>
      </c>
      <c r="S5396">
        <v>1</v>
      </c>
    </row>
    <row r="5397" spans="11:19" x14ac:dyDescent="0.3">
      <c r="K5397" s="16">
        <f t="shared" si="83"/>
        <v>44240</v>
      </c>
      <c r="L5397" s="17">
        <v>0.79166666666666663</v>
      </c>
      <c r="M5397" s="14">
        <v>752</v>
      </c>
      <c r="N5397" s="14">
        <v>1594</v>
      </c>
      <c r="O5397" s="14">
        <v>0</v>
      </c>
      <c r="P5397" s="14">
        <v>2346</v>
      </c>
      <c r="Q5397">
        <v>15334</v>
      </c>
      <c r="R5397">
        <v>1708</v>
      </c>
      <c r="S5397">
        <v>0</v>
      </c>
    </row>
    <row r="5398" spans="11:19" x14ac:dyDescent="0.3">
      <c r="K5398" s="16">
        <f t="shared" si="83"/>
        <v>44240</v>
      </c>
      <c r="L5398" s="17">
        <v>0.83333333333333337</v>
      </c>
      <c r="M5398" s="14">
        <v>752</v>
      </c>
      <c r="N5398" s="14">
        <v>3853</v>
      </c>
      <c r="O5398" s="14">
        <v>0</v>
      </c>
      <c r="P5398" s="14">
        <v>4605</v>
      </c>
      <c r="Q5398">
        <v>14822</v>
      </c>
      <c r="R5398">
        <v>1843</v>
      </c>
      <c r="S5398">
        <v>0</v>
      </c>
    </row>
    <row r="5399" spans="11:19" x14ac:dyDescent="0.3">
      <c r="K5399" s="16">
        <f t="shared" si="83"/>
        <v>44240</v>
      </c>
      <c r="L5399" s="17">
        <v>0.875</v>
      </c>
      <c r="M5399" s="14">
        <v>752</v>
      </c>
      <c r="N5399" s="14">
        <v>3367</v>
      </c>
      <c r="O5399" s="14">
        <v>0</v>
      </c>
      <c r="P5399" s="14">
        <v>4119</v>
      </c>
      <c r="Q5399">
        <v>14352</v>
      </c>
      <c r="R5399">
        <v>1864</v>
      </c>
      <c r="S5399">
        <v>0</v>
      </c>
    </row>
    <row r="5400" spans="11:19" x14ac:dyDescent="0.3">
      <c r="K5400" s="16">
        <f t="shared" si="83"/>
        <v>44240</v>
      </c>
      <c r="L5400" s="17">
        <v>0.91666666666666663</v>
      </c>
      <c r="M5400" s="14">
        <v>752</v>
      </c>
      <c r="N5400" s="14">
        <v>634</v>
      </c>
      <c r="O5400" s="14">
        <v>0</v>
      </c>
      <c r="P5400" s="14">
        <v>1386</v>
      </c>
      <c r="Q5400">
        <v>14766</v>
      </c>
      <c r="R5400">
        <v>2116</v>
      </c>
      <c r="S5400">
        <v>0</v>
      </c>
    </row>
    <row r="5401" spans="11:19" x14ac:dyDescent="0.3">
      <c r="K5401" s="16">
        <f t="shared" si="83"/>
        <v>44240</v>
      </c>
      <c r="L5401" s="17">
        <v>0.95833333333333337</v>
      </c>
      <c r="M5401" s="14">
        <v>752</v>
      </c>
      <c r="N5401" s="14">
        <v>3820</v>
      </c>
      <c r="O5401" s="14">
        <v>0</v>
      </c>
      <c r="P5401" s="14">
        <v>4572</v>
      </c>
      <c r="Q5401">
        <v>15015</v>
      </c>
      <c r="R5401">
        <v>2075</v>
      </c>
      <c r="S5401">
        <v>0</v>
      </c>
    </row>
    <row r="5402" spans="11:19" x14ac:dyDescent="0.3">
      <c r="K5402" s="16">
        <f t="shared" si="83"/>
        <v>44241</v>
      </c>
      <c r="L5402" s="17">
        <v>0</v>
      </c>
      <c r="M5402" s="14">
        <v>752</v>
      </c>
      <c r="N5402" s="14">
        <v>2603</v>
      </c>
      <c r="O5402" s="14">
        <v>0</v>
      </c>
      <c r="P5402" s="14">
        <v>3355</v>
      </c>
      <c r="Q5402">
        <v>14682</v>
      </c>
      <c r="R5402">
        <v>2166</v>
      </c>
      <c r="S5402">
        <v>0</v>
      </c>
    </row>
    <row r="5403" spans="11:19" x14ac:dyDescent="0.3">
      <c r="K5403" s="16">
        <f t="shared" ref="K5403:K5466" si="84">K5379+1</f>
        <v>44241</v>
      </c>
      <c r="L5403" s="17">
        <v>4.1666666666666664E-2</v>
      </c>
      <c r="M5403" s="14">
        <v>752</v>
      </c>
      <c r="N5403" s="14">
        <v>2603</v>
      </c>
      <c r="O5403" s="14">
        <v>0</v>
      </c>
      <c r="P5403" s="14">
        <v>3355</v>
      </c>
      <c r="Q5403">
        <v>14464</v>
      </c>
      <c r="R5403">
        <v>2465</v>
      </c>
      <c r="S5403">
        <v>0</v>
      </c>
    </row>
    <row r="5404" spans="11:19" x14ac:dyDescent="0.3">
      <c r="K5404" s="16">
        <f t="shared" si="84"/>
        <v>44241</v>
      </c>
      <c r="L5404" s="17">
        <v>8.3333333333333329E-2</v>
      </c>
      <c r="M5404" s="14">
        <v>752</v>
      </c>
      <c r="N5404" s="14">
        <v>2603</v>
      </c>
      <c r="O5404" s="14">
        <v>0</v>
      </c>
      <c r="P5404" s="14">
        <v>3355</v>
      </c>
      <c r="Q5404">
        <v>14167</v>
      </c>
      <c r="R5404">
        <v>2404</v>
      </c>
      <c r="S5404">
        <v>0</v>
      </c>
    </row>
    <row r="5405" spans="11:19" x14ac:dyDescent="0.3">
      <c r="K5405" s="16">
        <f t="shared" si="84"/>
        <v>44241</v>
      </c>
      <c r="L5405" s="17">
        <v>0.125</v>
      </c>
      <c r="M5405" s="14">
        <v>752</v>
      </c>
      <c r="N5405" s="14">
        <v>1945</v>
      </c>
      <c r="O5405" s="14">
        <v>0</v>
      </c>
      <c r="P5405" s="14">
        <v>2697</v>
      </c>
      <c r="Q5405">
        <v>13595</v>
      </c>
      <c r="R5405">
        <v>2538</v>
      </c>
      <c r="S5405">
        <v>0</v>
      </c>
    </row>
    <row r="5406" spans="11:19" x14ac:dyDescent="0.3">
      <c r="K5406" s="16">
        <f t="shared" si="84"/>
        <v>44241</v>
      </c>
      <c r="L5406" s="17">
        <v>0.16666666666666666</v>
      </c>
      <c r="M5406" s="14">
        <v>752</v>
      </c>
      <c r="N5406" s="14">
        <v>1308</v>
      </c>
      <c r="O5406" s="14">
        <v>0</v>
      </c>
      <c r="P5406" s="14">
        <v>2060</v>
      </c>
      <c r="Q5406">
        <v>13257</v>
      </c>
      <c r="R5406">
        <v>2838</v>
      </c>
      <c r="S5406">
        <v>0</v>
      </c>
    </row>
    <row r="5407" spans="11:19" x14ac:dyDescent="0.3">
      <c r="K5407" s="16">
        <f t="shared" si="84"/>
        <v>44241</v>
      </c>
      <c r="L5407" s="17">
        <v>0.20833333333333334</v>
      </c>
      <c r="M5407" s="14">
        <v>752</v>
      </c>
      <c r="N5407" s="14">
        <v>1020</v>
      </c>
      <c r="O5407" s="14">
        <v>0</v>
      </c>
      <c r="P5407" s="14">
        <v>1772</v>
      </c>
      <c r="Q5407">
        <v>13257</v>
      </c>
      <c r="R5407">
        <v>3125</v>
      </c>
      <c r="S5407">
        <v>0</v>
      </c>
    </row>
    <row r="5408" spans="11:19" x14ac:dyDescent="0.3">
      <c r="K5408" s="16">
        <f t="shared" si="84"/>
        <v>44241</v>
      </c>
      <c r="L5408" s="17">
        <v>0.25</v>
      </c>
      <c r="M5408" s="14">
        <v>752</v>
      </c>
      <c r="N5408" s="14">
        <v>858</v>
      </c>
      <c r="O5408" s="14">
        <v>0</v>
      </c>
      <c r="P5408" s="14">
        <v>1610</v>
      </c>
      <c r="Q5408">
        <v>13356</v>
      </c>
      <c r="R5408">
        <v>3383</v>
      </c>
      <c r="S5408">
        <v>0</v>
      </c>
    </row>
    <row r="5409" spans="11:19" x14ac:dyDescent="0.3">
      <c r="K5409" s="16">
        <f t="shared" si="84"/>
        <v>44241</v>
      </c>
      <c r="L5409" s="17">
        <v>0.29166666666666669</v>
      </c>
      <c r="M5409" s="14">
        <v>752</v>
      </c>
      <c r="N5409" s="14">
        <v>882</v>
      </c>
      <c r="O5409" s="14">
        <v>0</v>
      </c>
      <c r="P5409" s="14">
        <v>1634</v>
      </c>
      <c r="Q5409">
        <v>13455</v>
      </c>
      <c r="R5409">
        <v>3444</v>
      </c>
      <c r="S5409">
        <v>5</v>
      </c>
    </row>
    <row r="5410" spans="11:19" x14ac:dyDescent="0.3">
      <c r="K5410" s="16">
        <f t="shared" si="84"/>
        <v>44241</v>
      </c>
      <c r="L5410" s="17">
        <v>0.33333333333333331</v>
      </c>
      <c r="M5410" s="14">
        <v>752</v>
      </c>
      <c r="N5410" s="14">
        <v>0</v>
      </c>
      <c r="O5410" s="14">
        <v>0</v>
      </c>
      <c r="P5410" s="14">
        <v>752</v>
      </c>
      <c r="Q5410">
        <v>13805</v>
      </c>
      <c r="R5410">
        <v>3299</v>
      </c>
      <c r="S5410">
        <v>79</v>
      </c>
    </row>
    <row r="5411" spans="11:19" x14ac:dyDescent="0.3">
      <c r="K5411" s="16">
        <f t="shared" si="84"/>
        <v>44241</v>
      </c>
      <c r="L5411" s="17">
        <v>0.375</v>
      </c>
      <c r="M5411" s="14">
        <v>752</v>
      </c>
      <c r="N5411" s="14">
        <v>0</v>
      </c>
      <c r="O5411" s="14">
        <v>0</v>
      </c>
      <c r="P5411" s="14">
        <v>752</v>
      </c>
      <c r="Q5411">
        <v>14328</v>
      </c>
      <c r="R5411">
        <v>3400</v>
      </c>
      <c r="S5411">
        <v>296</v>
      </c>
    </row>
    <row r="5412" spans="11:19" x14ac:dyDescent="0.3">
      <c r="K5412" s="16">
        <f t="shared" si="84"/>
        <v>44241</v>
      </c>
      <c r="L5412" s="17">
        <v>0.41666666666666669</v>
      </c>
      <c r="M5412" s="14">
        <v>752</v>
      </c>
      <c r="N5412" s="14">
        <v>0</v>
      </c>
      <c r="O5412" s="14">
        <v>0</v>
      </c>
      <c r="P5412" s="14">
        <v>752</v>
      </c>
      <c r="Q5412">
        <v>14592</v>
      </c>
      <c r="R5412">
        <v>3393</v>
      </c>
      <c r="S5412">
        <v>576</v>
      </c>
    </row>
    <row r="5413" spans="11:19" x14ac:dyDescent="0.3">
      <c r="K5413" s="16">
        <f t="shared" si="84"/>
        <v>44241</v>
      </c>
      <c r="L5413" s="17">
        <v>0.45833333333333331</v>
      </c>
      <c r="M5413" s="14">
        <v>752</v>
      </c>
      <c r="N5413" s="14">
        <v>0</v>
      </c>
      <c r="O5413" s="14">
        <v>0</v>
      </c>
      <c r="P5413" s="14">
        <v>752</v>
      </c>
      <c r="Q5413">
        <v>14762</v>
      </c>
      <c r="R5413">
        <v>3341</v>
      </c>
      <c r="S5413">
        <v>645</v>
      </c>
    </row>
    <row r="5414" spans="11:19" x14ac:dyDescent="0.3">
      <c r="K5414" s="16">
        <f t="shared" si="84"/>
        <v>44241</v>
      </c>
      <c r="L5414" s="17">
        <v>0.5</v>
      </c>
      <c r="M5414" s="14">
        <v>752</v>
      </c>
      <c r="N5414" s="14">
        <v>1750</v>
      </c>
      <c r="O5414" s="14">
        <v>0</v>
      </c>
      <c r="P5414" s="14">
        <v>2502</v>
      </c>
      <c r="Q5414">
        <v>14930</v>
      </c>
      <c r="R5414">
        <v>3284</v>
      </c>
      <c r="S5414">
        <v>750</v>
      </c>
    </row>
    <row r="5415" spans="11:19" x14ac:dyDescent="0.3">
      <c r="K5415" s="16">
        <f t="shared" si="84"/>
        <v>44241</v>
      </c>
      <c r="L5415" s="17">
        <v>0.54166666666666663</v>
      </c>
      <c r="M5415" s="14">
        <v>752</v>
      </c>
      <c r="N5415" s="14">
        <v>1017</v>
      </c>
      <c r="O5415" s="14">
        <v>0</v>
      </c>
      <c r="P5415" s="14">
        <v>1769</v>
      </c>
      <c r="Q5415">
        <v>14162</v>
      </c>
      <c r="R5415">
        <v>3353</v>
      </c>
      <c r="S5415">
        <v>646</v>
      </c>
    </row>
    <row r="5416" spans="11:19" x14ac:dyDescent="0.3">
      <c r="K5416" s="16">
        <f t="shared" si="84"/>
        <v>44241</v>
      </c>
      <c r="L5416" s="17">
        <v>0.58333333333333337</v>
      </c>
      <c r="M5416" s="14">
        <v>752</v>
      </c>
      <c r="N5416" s="14">
        <v>183</v>
      </c>
      <c r="O5416" s="14">
        <v>0</v>
      </c>
      <c r="P5416" s="14">
        <v>935</v>
      </c>
      <c r="Q5416">
        <v>13383</v>
      </c>
      <c r="R5416">
        <v>3355</v>
      </c>
      <c r="S5416">
        <v>703</v>
      </c>
    </row>
    <row r="5417" spans="11:19" x14ac:dyDescent="0.3">
      <c r="K5417" s="16">
        <f t="shared" si="84"/>
        <v>44241</v>
      </c>
      <c r="L5417" s="17">
        <v>0.625</v>
      </c>
      <c r="M5417" s="14">
        <v>752</v>
      </c>
      <c r="N5417" s="14">
        <v>0</v>
      </c>
      <c r="O5417" s="14">
        <v>0</v>
      </c>
      <c r="P5417" s="14">
        <v>752</v>
      </c>
      <c r="Q5417">
        <v>12822</v>
      </c>
      <c r="R5417">
        <v>3076</v>
      </c>
      <c r="S5417">
        <v>706</v>
      </c>
    </row>
    <row r="5418" spans="11:19" x14ac:dyDescent="0.3">
      <c r="K5418" s="16">
        <f t="shared" si="84"/>
        <v>44241</v>
      </c>
      <c r="L5418" s="17">
        <v>0.66666666666666663</v>
      </c>
      <c r="M5418" s="14">
        <v>752</v>
      </c>
      <c r="N5418" s="14">
        <v>0</v>
      </c>
      <c r="O5418" s="14">
        <v>0</v>
      </c>
      <c r="P5418" s="14">
        <v>752</v>
      </c>
      <c r="Q5418">
        <v>12613</v>
      </c>
      <c r="R5418">
        <v>3013</v>
      </c>
      <c r="S5418">
        <v>404</v>
      </c>
    </row>
    <row r="5419" spans="11:19" x14ac:dyDescent="0.3">
      <c r="K5419" s="16">
        <f t="shared" si="84"/>
        <v>44241</v>
      </c>
      <c r="L5419" s="17">
        <v>0.70833333333333337</v>
      </c>
      <c r="M5419" s="14">
        <v>752</v>
      </c>
      <c r="N5419" s="14">
        <v>0</v>
      </c>
      <c r="O5419" s="14">
        <v>0</v>
      </c>
      <c r="P5419" s="14">
        <v>752</v>
      </c>
      <c r="Q5419">
        <v>12854</v>
      </c>
      <c r="R5419">
        <v>2966</v>
      </c>
      <c r="S5419">
        <v>85</v>
      </c>
    </row>
    <row r="5420" spans="11:19" x14ac:dyDescent="0.3">
      <c r="K5420" s="16">
        <f t="shared" si="84"/>
        <v>44241</v>
      </c>
      <c r="L5420" s="17">
        <v>0.75</v>
      </c>
      <c r="M5420" s="14">
        <v>752</v>
      </c>
      <c r="N5420" s="14">
        <v>2244</v>
      </c>
      <c r="O5420" s="14">
        <v>0</v>
      </c>
      <c r="P5420" s="14">
        <v>2996</v>
      </c>
      <c r="Q5420">
        <v>14035</v>
      </c>
      <c r="R5420">
        <v>2654</v>
      </c>
      <c r="S5420">
        <v>5</v>
      </c>
    </row>
    <row r="5421" spans="11:19" x14ac:dyDescent="0.3">
      <c r="K5421" s="16">
        <f t="shared" si="84"/>
        <v>44241</v>
      </c>
      <c r="L5421" s="17">
        <v>0.79166666666666663</v>
      </c>
      <c r="M5421" s="14">
        <v>752</v>
      </c>
      <c r="N5421" s="14">
        <v>2603</v>
      </c>
      <c r="O5421" s="14">
        <v>0</v>
      </c>
      <c r="P5421" s="14">
        <v>3355</v>
      </c>
      <c r="Q5421">
        <v>14202</v>
      </c>
      <c r="R5421">
        <v>2361</v>
      </c>
      <c r="S5421">
        <v>0</v>
      </c>
    </row>
    <row r="5422" spans="11:19" x14ac:dyDescent="0.3">
      <c r="K5422" s="16">
        <f t="shared" si="84"/>
        <v>44241</v>
      </c>
      <c r="L5422" s="17">
        <v>0.83333333333333337</v>
      </c>
      <c r="M5422" s="14">
        <v>752</v>
      </c>
      <c r="N5422" s="14">
        <v>0</v>
      </c>
      <c r="O5422" s="14">
        <v>0</v>
      </c>
      <c r="P5422" s="14">
        <v>752</v>
      </c>
      <c r="Q5422">
        <v>13837</v>
      </c>
      <c r="R5422">
        <v>1869</v>
      </c>
      <c r="S5422">
        <v>0</v>
      </c>
    </row>
    <row r="5423" spans="11:19" x14ac:dyDescent="0.3">
      <c r="K5423" s="16">
        <f t="shared" si="84"/>
        <v>44241</v>
      </c>
      <c r="L5423" s="17">
        <v>0.875</v>
      </c>
      <c r="M5423" s="14">
        <v>752</v>
      </c>
      <c r="N5423" s="14">
        <v>0</v>
      </c>
      <c r="O5423" s="14">
        <v>0</v>
      </c>
      <c r="P5423" s="14">
        <v>752</v>
      </c>
      <c r="Q5423">
        <v>13405</v>
      </c>
      <c r="R5423">
        <v>1675</v>
      </c>
      <c r="S5423">
        <v>0</v>
      </c>
    </row>
    <row r="5424" spans="11:19" x14ac:dyDescent="0.3">
      <c r="K5424" s="16">
        <f t="shared" si="84"/>
        <v>44241</v>
      </c>
      <c r="L5424" s="17">
        <v>0.91666666666666663</v>
      </c>
      <c r="M5424" s="14">
        <v>752</v>
      </c>
      <c r="N5424" s="14">
        <v>95</v>
      </c>
      <c r="O5424" s="14">
        <v>0</v>
      </c>
      <c r="P5424" s="14">
        <v>847</v>
      </c>
      <c r="Q5424">
        <v>13669</v>
      </c>
      <c r="R5424">
        <v>1561</v>
      </c>
      <c r="S5424">
        <v>0</v>
      </c>
    </row>
    <row r="5425" spans="11:19" x14ac:dyDescent="0.3">
      <c r="K5425" s="16">
        <f t="shared" si="84"/>
        <v>44241</v>
      </c>
      <c r="L5425" s="17">
        <v>0.95833333333333337</v>
      </c>
      <c r="M5425" s="14">
        <v>752</v>
      </c>
      <c r="N5425" s="14">
        <v>2603</v>
      </c>
      <c r="O5425" s="14">
        <v>0</v>
      </c>
      <c r="P5425" s="14">
        <v>3355</v>
      </c>
      <c r="Q5425">
        <v>13817</v>
      </c>
      <c r="R5425">
        <v>1596</v>
      </c>
      <c r="S5425">
        <v>0</v>
      </c>
    </row>
    <row r="5426" spans="11:19" x14ac:dyDescent="0.3">
      <c r="K5426" s="16">
        <f t="shared" si="84"/>
        <v>44242</v>
      </c>
      <c r="L5426" s="17">
        <v>0</v>
      </c>
      <c r="M5426" s="14">
        <v>752</v>
      </c>
      <c r="N5426" s="14">
        <v>2328</v>
      </c>
      <c r="O5426" s="14">
        <v>0</v>
      </c>
      <c r="P5426" s="14">
        <v>3080</v>
      </c>
      <c r="Q5426">
        <v>13487</v>
      </c>
      <c r="R5426">
        <v>1265</v>
      </c>
      <c r="S5426">
        <v>0</v>
      </c>
    </row>
    <row r="5427" spans="11:19" x14ac:dyDescent="0.3">
      <c r="K5427" s="16">
        <f t="shared" si="84"/>
        <v>44242</v>
      </c>
      <c r="L5427" s="17">
        <v>4.1666666666666664E-2</v>
      </c>
      <c r="M5427" s="14">
        <v>752</v>
      </c>
      <c r="N5427" s="14">
        <v>142</v>
      </c>
      <c r="O5427" s="14">
        <v>0</v>
      </c>
      <c r="P5427" s="14">
        <v>894</v>
      </c>
      <c r="Q5427">
        <v>13309</v>
      </c>
      <c r="R5427">
        <v>1150</v>
      </c>
      <c r="S5427">
        <v>0</v>
      </c>
    </row>
    <row r="5428" spans="11:19" x14ac:dyDescent="0.3">
      <c r="K5428" s="16">
        <f t="shared" si="84"/>
        <v>44242</v>
      </c>
      <c r="L5428" s="17">
        <v>8.3333333333333329E-2</v>
      </c>
      <c r="M5428" s="14">
        <v>752</v>
      </c>
      <c r="N5428" s="14">
        <v>2328</v>
      </c>
      <c r="O5428" s="14">
        <v>0</v>
      </c>
      <c r="P5428" s="14">
        <v>3080</v>
      </c>
      <c r="Q5428">
        <v>13083</v>
      </c>
      <c r="R5428">
        <v>1172</v>
      </c>
      <c r="S5428">
        <v>0</v>
      </c>
    </row>
    <row r="5429" spans="11:19" x14ac:dyDescent="0.3">
      <c r="K5429" s="16">
        <f t="shared" si="84"/>
        <v>44242</v>
      </c>
      <c r="L5429" s="17">
        <v>0.125</v>
      </c>
      <c r="M5429" s="14">
        <v>752</v>
      </c>
      <c r="N5429" s="14">
        <v>0</v>
      </c>
      <c r="O5429" s="14">
        <v>0</v>
      </c>
      <c r="P5429" s="14">
        <v>752</v>
      </c>
      <c r="Q5429">
        <v>12631</v>
      </c>
      <c r="R5429">
        <v>1130</v>
      </c>
      <c r="S5429">
        <v>0</v>
      </c>
    </row>
    <row r="5430" spans="11:19" x14ac:dyDescent="0.3">
      <c r="K5430" s="16">
        <f t="shared" si="84"/>
        <v>44242</v>
      </c>
      <c r="L5430" s="17">
        <v>0.16666666666666666</v>
      </c>
      <c r="M5430" s="14">
        <v>752</v>
      </c>
      <c r="N5430" s="14">
        <v>0</v>
      </c>
      <c r="O5430" s="14">
        <v>0</v>
      </c>
      <c r="P5430" s="14">
        <v>752</v>
      </c>
      <c r="Q5430">
        <v>12521</v>
      </c>
      <c r="R5430">
        <v>1206</v>
      </c>
      <c r="S5430">
        <v>0</v>
      </c>
    </row>
    <row r="5431" spans="11:19" x14ac:dyDescent="0.3">
      <c r="K5431" s="16">
        <f t="shared" si="84"/>
        <v>44242</v>
      </c>
      <c r="L5431" s="17">
        <v>0.20833333333333334</v>
      </c>
      <c r="M5431" s="14">
        <v>752</v>
      </c>
      <c r="N5431" s="14">
        <v>89</v>
      </c>
      <c r="O5431" s="14">
        <v>0</v>
      </c>
      <c r="P5431" s="14">
        <v>841</v>
      </c>
      <c r="Q5431">
        <v>13073</v>
      </c>
      <c r="R5431">
        <v>1411</v>
      </c>
      <c r="S5431">
        <v>0</v>
      </c>
    </row>
    <row r="5432" spans="11:19" x14ac:dyDescent="0.3">
      <c r="K5432" s="16">
        <f t="shared" si="84"/>
        <v>44242</v>
      </c>
      <c r="L5432" s="17">
        <v>0.25</v>
      </c>
      <c r="M5432" s="14">
        <v>752</v>
      </c>
      <c r="N5432" s="14">
        <v>2328</v>
      </c>
      <c r="O5432" s="14">
        <v>0</v>
      </c>
      <c r="P5432" s="14">
        <v>3080</v>
      </c>
      <c r="Q5432">
        <v>14207</v>
      </c>
      <c r="R5432">
        <v>1891</v>
      </c>
      <c r="S5432">
        <v>0</v>
      </c>
    </row>
    <row r="5433" spans="11:19" x14ac:dyDescent="0.3">
      <c r="K5433" s="16">
        <f t="shared" si="84"/>
        <v>44242</v>
      </c>
      <c r="L5433" s="17">
        <v>0.29166666666666669</v>
      </c>
      <c r="M5433" s="14">
        <v>752</v>
      </c>
      <c r="N5433" s="14">
        <v>2328</v>
      </c>
      <c r="O5433" s="14">
        <v>0</v>
      </c>
      <c r="P5433" s="14">
        <v>3080</v>
      </c>
      <c r="Q5433">
        <v>15013</v>
      </c>
      <c r="R5433">
        <v>2328</v>
      </c>
      <c r="S5433">
        <v>1</v>
      </c>
    </row>
    <row r="5434" spans="11:19" x14ac:dyDescent="0.3">
      <c r="K5434" s="16">
        <f t="shared" si="84"/>
        <v>44242</v>
      </c>
      <c r="L5434" s="17">
        <v>0.33333333333333331</v>
      </c>
      <c r="M5434" s="14">
        <v>752</v>
      </c>
      <c r="N5434" s="14">
        <v>2328</v>
      </c>
      <c r="O5434" s="14">
        <v>0</v>
      </c>
      <c r="P5434" s="14">
        <v>3080</v>
      </c>
      <c r="Q5434">
        <v>15215</v>
      </c>
      <c r="R5434">
        <v>2836</v>
      </c>
      <c r="S5434">
        <v>81</v>
      </c>
    </row>
    <row r="5435" spans="11:19" x14ac:dyDescent="0.3">
      <c r="K5435" s="16">
        <f t="shared" si="84"/>
        <v>44242</v>
      </c>
      <c r="L5435" s="17">
        <v>0.375</v>
      </c>
      <c r="M5435" s="14">
        <v>752</v>
      </c>
      <c r="N5435" s="14">
        <v>0</v>
      </c>
      <c r="O5435" s="14">
        <v>0</v>
      </c>
      <c r="P5435" s="14">
        <v>752</v>
      </c>
      <c r="Q5435">
        <v>15251</v>
      </c>
      <c r="R5435">
        <v>3315</v>
      </c>
      <c r="S5435">
        <v>346</v>
      </c>
    </row>
    <row r="5436" spans="11:19" x14ac:dyDescent="0.3">
      <c r="K5436" s="16">
        <f t="shared" si="84"/>
        <v>44242</v>
      </c>
      <c r="L5436" s="17">
        <v>0.41666666666666669</v>
      </c>
      <c r="M5436" s="14">
        <v>752</v>
      </c>
      <c r="N5436" s="14">
        <v>1648</v>
      </c>
      <c r="O5436" s="14">
        <v>0</v>
      </c>
      <c r="P5436" s="14">
        <v>2400</v>
      </c>
      <c r="Q5436">
        <v>15137</v>
      </c>
      <c r="R5436">
        <v>3693</v>
      </c>
      <c r="S5436">
        <v>649</v>
      </c>
    </row>
    <row r="5437" spans="11:19" x14ac:dyDescent="0.3">
      <c r="K5437" s="16">
        <f t="shared" si="84"/>
        <v>44242</v>
      </c>
      <c r="L5437" s="17">
        <v>0.45833333333333331</v>
      </c>
      <c r="M5437" s="14">
        <v>752</v>
      </c>
      <c r="N5437" s="14">
        <v>1114</v>
      </c>
      <c r="O5437" s="14">
        <v>0</v>
      </c>
      <c r="P5437" s="14">
        <v>1866</v>
      </c>
      <c r="Q5437">
        <v>15114</v>
      </c>
      <c r="R5437">
        <v>4144</v>
      </c>
      <c r="S5437">
        <v>707</v>
      </c>
    </row>
    <row r="5438" spans="11:19" x14ac:dyDescent="0.3">
      <c r="K5438" s="16">
        <f t="shared" si="84"/>
        <v>44242</v>
      </c>
      <c r="L5438" s="17">
        <v>0.5</v>
      </c>
      <c r="M5438" s="14">
        <v>752</v>
      </c>
      <c r="N5438" s="14">
        <v>694</v>
      </c>
      <c r="O5438" s="14">
        <v>0</v>
      </c>
      <c r="P5438" s="14">
        <v>1446</v>
      </c>
      <c r="Q5438">
        <v>15031</v>
      </c>
      <c r="R5438">
        <v>4397</v>
      </c>
      <c r="S5438">
        <v>791</v>
      </c>
    </row>
    <row r="5439" spans="11:19" x14ac:dyDescent="0.3">
      <c r="K5439" s="16">
        <f t="shared" si="84"/>
        <v>44242</v>
      </c>
      <c r="L5439" s="17">
        <v>0.54166666666666663</v>
      </c>
      <c r="M5439" s="14">
        <v>752</v>
      </c>
      <c r="N5439" s="14">
        <v>213</v>
      </c>
      <c r="O5439" s="14">
        <v>0</v>
      </c>
      <c r="P5439" s="14">
        <v>965</v>
      </c>
      <c r="Q5439">
        <v>14688</v>
      </c>
      <c r="R5439">
        <v>4588</v>
      </c>
      <c r="S5439">
        <v>738</v>
      </c>
    </row>
    <row r="5440" spans="11:19" x14ac:dyDescent="0.3">
      <c r="K5440" s="16">
        <f t="shared" si="84"/>
        <v>44242</v>
      </c>
      <c r="L5440" s="17">
        <v>0.58333333333333337</v>
      </c>
      <c r="M5440" s="14">
        <v>752</v>
      </c>
      <c r="N5440" s="14">
        <v>0</v>
      </c>
      <c r="O5440" s="14">
        <v>0</v>
      </c>
      <c r="P5440" s="14">
        <v>752</v>
      </c>
      <c r="Q5440">
        <v>14272</v>
      </c>
      <c r="R5440">
        <v>4643</v>
      </c>
      <c r="S5440">
        <v>656</v>
      </c>
    </row>
    <row r="5441" spans="11:19" x14ac:dyDescent="0.3">
      <c r="K5441" s="16">
        <f t="shared" si="84"/>
        <v>44242</v>
      </c>
      <c r="L5441" s="17">
        <v>0.625</v>
      </c>
      <c r="M5441" s="14">
        <v>752</v>
      </c>
      <c r="N5441" s="14">
        <v>0</v>
      </c>
      <c r="O5441" s="14">
        <v>0</v>
      </c>
      <c r="P5441" s="14">
        <v>752</v>
      </c>
      <c r="Q5441">
        <v>13817</v>
      </c>
      <c r="R5441">
        <v>4558</v>
      </c>
      <c r="S5441">
        <v>493</v>
      </c>
    </row>
    <row r="5442" spans="11:19" x14ac:dyDescent="0.3">
      <c r="K5442" s="16">
        <f t="shared" si="84"/>
        <v>44242</v>
      </c>
      <c r="L5442" s="17">
        <v>0.66666666666666663</v>
      </c>
      <c r="M5442" s="14">
        <v>752</v>
      </c>
      <c r="N5442" s="14">
        <v>0</v>
      </c>
      <c r="O5442" s="14">
        <v>0</v>
      </c>
      <c r="P5442" s="14">
        <v>752</v>
      </c>
      <c r="Q5442">
        <v>13550</v>
      </c>
      <c r="R5442">
        <v>4545</v>
      </c>
      <c r="S5442">
        <v>259</v>
      </c>
    </row>
    <row r="5443" spans="11:19" x14ac:dyDescent="0.3">
      <c r="K5443" s="16">
        <f t="shared" si="84"/>
        <v>44242</v>
      </c>
      <c r="L5443" s="17">
        <v>0.70833333333333337</v>
      </c>
      <c r="M5443" s="14">
        <v>752</v>
      </c>
      <c r="N5443" s="14">
        <v>0</v>
      </c>
      <c r="O5443" s="14">
        <v>0</v>
      </c>
      <c r="P5443" s="14">
        <v>752</v>
      </c>
      <c r="Q5443">
        <v>13583</v>
      </c>
      <c r="R5443">
        <v>4541</v>
      </c>
      <c r="S5443">
        <v>78</v>
      </c>
    </row>
    <row r="5444" spans="11:19" x14ac:dyDescent="0.3">
      <c r="K5444" s="16">
        <f t="shared" si="84"/>
        <v>44242</v>
      </c>
      <c r="L5444" s="17">
        <v>0.75</v>
      </c>
      <c r="M5444" s="14">
        <v>752</v>
      </c>
      <c r="N5444" s="14">
        <v>0</v>
      </c>
      <c r="O5444" s="14">
        <v>0</v>
      </c>
      <c r="P5444" s="14">
        <v>752</v>
      </c>
      <c r="Q5444">
        <v>14399</v>
      </c>
      <c r="R5444">
        <v>4389</v>
      </c>
      <c r="S5444">
        <v>5</v>
      </c>
    </row>
    <row r="5445" spans="11:19" x14ac:dyDescent="0.3">
      <c r="K5445" s="16">
        <f t="shared" si="84"/>
        <v>44242</v>
      </c>
      <c r="L5445" s="17">
        <v>0.79166666666666663</v>
      </c>
      <c r="M5445" s="14">
        <v>752</v>
      </c>
      <c r="N5445" s="14">
        <v>0</v>
      </c>
      <c r="O5445" s="14">
        <v>0</v>
      </c>
      <c r="P5445" s="14">
        <v>752</v>
      </c>
      <c r="Q5445">
        <v>14017</v>
      </c>
      <c r="R5445">
        <v>4256</v>
      </c>
      <c r="S5445">
        <v>0</v>
      </c>
    </row>
    <row r="5446" spans="11:19" x14ac:dyDescent="0.3">
      <c r="K5446" s="16">
        <f t="shared" si="84"/>
        <v>44242</v>
      </c>
      <c r="L5446" s="17">
        <v>0.83333333333333337</v>
      </c>
      <c r="M5446" s="14">
        <v>752</v>
      </c>
      <c r="N5446" s="14">
        <v>0</v>
      </c>
      <c r="O5446" s="14">
        <v>0</v>
      </c>
      <c r="P5446" s="14">
        <v>752</v>
      </c>
      <c r="Q5446">
        <v>13294</v>
      </c>
      <c r="R5446">
        <v>4065</v>
      </c>
      <c r="S5446">
        <v>0</v>
      </c>
    </row>
    <row r="5447" spans="11:19" x14ac:dyDescent="0.3">
      <c r="K5447" s="16">
        <f t="shared" si="84"/>
        <v>44242</v>
      </c>
      <c r="L5447" s="17">
        <v>0.875</v>
      </c>
      <c r="M5447" s="14">
        <v>752</v>
      </c>
      <c r="N5447" s="14">
        <v>0</v>
      </c>
      <c r="O5447" s="14">
        <v>0</v>
      </c>
      <c r="P5447" s="14">
        <v>752</v>
      </c>
      <c r="Q5447">
        <v>12694</v>
      </c>
      <c r="R5447">
        <v>3837</v>
      </c>
      <c r="S5447">
        <v>0</v>
      </c>
    </row>
    <row r="5448" spans="11:19" x14ac:dyDescent="0.3">
      <c r="K5448" s="16">
        <f t="shared" si="84"/>
        <v>44242</v>
      </c>
      <c r="L5448" s="17">
        <v>0.91666666666666663</v>
      </c>
      <c r="M5448" s="14">
        <v>752</v>
      </c>
      <c r="N5448" s="14">
        <v>0</v>
      </c>
      <c r="O5448" s="14">
        <v>0</v>
      </c>
      <c r="P5448" s="14">
        <v>752</v>
      </c>
      <c r="Q5448">
        <v>12847</v>
      </c>
      <c r="R5448">
        <v>3734</v>
      </c>
      <c r="S5448">
        <v>0</v>
      </c>
    </row>
    <row r="5449" spans="11:19" x14ac:dyDescent="0.3">
      <c r="K5449" s="16">
        <f t="shared" si="84"/>
        <v>44242</v>
      </c>
      <c r="L5449" s="17">
        <v>0.95833333333333337</v>
      </c>
      <c r="M5449" s="14">
        <v>752</v>
      </c>
      <c r="N5449" s="14">
        <v>144</v>
      </c>
      <c r="O5449" s="14">
        <v>0</v>
      </c>
      <c r="P5449" s="14">
        <v>896</v>
      </c>
      <c r="Q5449">
        <v>12931</v>
      </c>
      <c r="R5449">
        <v>3654</v>
      </c>
      <c r="S5449">
        <v>0</v>
      </c>
    </row>
    <row r="5450" spans="11:19" x14ac:dyDescent="0.3">
      <c r="K5450" s="16">
        <f t="shared" si="84"/>
        <v>44243</v>
      </c>
      <c r="L5450" s="17">
        <v>0</v>
      </c>
      <c r="M5450" s="14">
        <v>752</v>
      </c>
      <c r="N5450" s="14">
        <v>0</v>
      </c>
      <c r="O5450" s="14">
        <v>0</v>
      </c>
      <c r="P5450" s="14">
        <v>752</v>
      </c>
      <c r="Q5450">
        <v>12417</v>
      </c>
      <c r="R5450">
        <v>3071</v>
      </c>
      <c r="S5450">
        <v>0</v>
      </c>
    </row>
    <row r="5451" spans="11:19" x14ac:dyDescent="0.3">
      <c r="K5451" s="16">
        <f t="shared" si="84"/>
        <v>44243</v>
      </c>
      <c r="L5451" s="17">
        <v>4.1666666666666664E-2</v>
      </c>
      <c r="M5451" s="14">
        <v>752</v>
      </c>
      <c r="N5451" s="14">
        <v>149</v>
      </c>
      <c r="O5451" s="14">
        <v>0</v>
      </c>
      <c r="P5451" s="14">
        <v>901</v>
      </c>
      <c r="Q5451">
        <v>12148</v>
      </c>
      <c r="R5451">
        <v>2877</v>
      </c>
      <c r="S5451">
        <v>0</v>
      </c>
    </row>
    <row r="5452" spans="11:19" x14ac:dyDescent="0.3">
      <c r="K5452" s="16">
        <f t="shared" si="84"/>
        <v>44243</v>
      </c>
      <c r="L5452" s="17">
        <v>8.3333333333333329E-2</v>
      </c>
      <c r="M5452" s="14">
        <v>752</v>
      </c>
      <c r="N5452" s="14">
        <v>0</v>
      </c>
      <c r="O5452" s="14">
        <v>0</v>
      </c>
      <c r="P5452" s="14">
        <v>752</v>
      </c>
      <c r="Q5452">
        <v>11829</v>
      </c>
      <c r="R5452">
        <v>2739</v>
      </c>
      <c r="S5452">
        <v>0</v>
      </c>
    </row>
    <row r="5453" spans="11:19" x14ac:dyDescent="0.3">
      <c r="K5453" s="16">
        <f t="shared" si="84"/>
        <v>44243</v>
      </c>
      <c r="L5453" s="17">
        <v>0.125</v>
      </c>
      <c r="M5453" s="14">
        <v>752</v>
      </c>
      <c r="N5453" s="14">
        <v>0</v>
      </c>
      <c r="O5453" s="14">
        <v>0</v>
      </c>
      <c r="P5453" s="14">
        <v>752</v>
      </c>
      <c r="Q5453">
        <v>11320</v>
      </c>
      <c r="R5453">
        <v>3029</v>
      </c>
      <c r="S5453">
        <v>0</v>
      </c>
    </row>
    <row r="5454" spans="11:19" x14ac:dyDescent="0.3">
      <c r="K5454" s="16">
        <f t="shared" si="84"/>
        <v>44243</v>
      </c>
      <c r="L5454" s="17">
        <v>0.16666666666666666</v>
      </c>
      <c r="M5454" s="14">
        <v>752</v>
      </c>
      <c r="N5454" s="14">
        <v>0</v>
      </c>
      <c r="O5454" s="14">
        <v>0</v>
      </c>
      <c r="P5454" s="14">
        <v>752</v>
      </c>
      <c r="Q5454">
        <v>11137</v>
      </c>
      <c r="R5454">
        <v>3546</v>
      </c>
      <c r="S5454">
        <v>0</v>
      </c>
    </row>
    <row r="5455" spans="11:19" x14ac:dyDescent="0.3">
      <c r="K5455" s="16">
        <f t="shared" si="84"/>
        <v>44243</v>
      </c>
      <c r="L5455" s="17">
        <v>0.20833333333333334</v>
      </c>
      <c r="M5455" s="14">
        <v>752</v>
      </c>
      <c r="N5455" s="14">
        <v>0</v>
      </c>
      <c r="O5455" s="14">
        <v>0</v>
      </c>
      <c r="P5455" s="14">
        <v>752</v>
      </c>
      <c r="Q5455">
        <v>11565</v>
      </c>
      <c r="R5455">
        <v>3933</v>
      </c>
      <c r="S5455">
        <v>0</v>
      </c>
    </row>
    <row r="5456" spans="11:19" x14ac:dyDescent="0.3">
      <c r="K5456" s="16">
        <f t="shared" si="84"/>
        <v>44243</v>
      </c>
      <c r="L5456" s="17">
        <v>0.25</v>
      </c>
      <c r="M5456" s="14">
        <v>752</v>
      </c>
      <c r="N5456" s="14">
        <v>0</v>
      </c>
      <c r="O5456" s="14">
        <v>0</v>
      </c>
      <c r="P5456" s="14">
        <v>752</v>
      </c>
      <c r="Q5456">
        <v>12630</v>
      </c>
      <c r="R5456">
        <v>4159</v>
      </c>
      <c r="S5456">
        <v>0</v>
      </c>
    </row>
    <row r="5457" spans="11:19" x14ac:dyDescent="0.3">
      <c r="K5457" s="16">
        <f t="shared" si="84"/>
        <v>44243</v>
      </c>
      <c r="L5457" s="17">
        <v>0.29166666666666669</v>
      </c>
      <c r="M5457" s="14">
        <v>752</v>
      </c>
      <c r="N5457" s="14">
        <v>24</v>
      </c>
      <c r="O5457" s="14">
        <v>0</v>
      </c>
      <c r="P5457" s="14">
        <v>776</v>
      </c>
      <c r="Q5457">
        <v>13423</v>
      </c>
      <c r="R5457">
        <v>4244</v>
      </c>
      <c r="S5457">
        <v>3</v>
      </c>
    </row>
    <row r="5458" spans="11:19" x14ac:dyDescent="0.3">
      <c r="K5458" s="16">
        <f t="shared" si="84"/>
        <v>44243</v>
      </c>
      <c r="L5458" s="17">
        <v>0.33333333333333331</v>
      </c>
      <c r="M5458" s="14">
        <v>752</v>
      </c>
      <c r="N5458" s="14">
        <v>167</v>
      </c>
      <c r="O5458" s="14">
        <v>0</v>
      </c>
      <c r="P5458" s="14">
        <v>919</v>
      </c>
      <c r="Q5458">
        <v>13691</v>
      </c>
      <c r="R5458">
        <v>4286</v>
      </c>
      <c r="S5458">
        <v>83</v>
      </c>
    </row>
    <row r="5459" spans="11:19" x14ac:dyDescent="0.3">
      <c r="K5459" s="16">
        <f t="shared" si="84"/>
        <v>44243</v>
      </c>
      <c r="L5459" s="17">
        <v>0.375</v>
      </c>
      <c r="M5459" s="14">
        <v>752</v>
      </c>
      <c r="N5459" s="14">
        <v>324</v>
      </c>
      <c r="O5459" s="14">
        <v>0</v>
      </c>
      <c r="P5459" s="14">
        <v>1076</v>
      </c>
      <c r="Q5459">
        <v>13784</v>
      </c>
      <c r="R5459">
        <v>3952</v>
      </c>
      <c r="S5459">
        <v>356</v>
      </c>
    </row>
    <row r="5460" spans="11:19" x14ac:dyDescent="0.3">
      <c r="K5460" s="16">
        <f t="shared" si="84"/>
        <v>44243</v>
      </c>
      <c r="L5460" s="17">
        <v>0.41666666666666669</v>
      </c>
      <c r="M5460" s="14">
        <v>752</v>
      </c>
      <c r="N5460" s="14">
        <v>0</v>
      </c>
      <c r="O5460" s="14">
        <v>0</v>
      </c>
      <c r="P5460" s="14">
        <v>752</v>
      </c>
      <c r="Q5460">
        <v>13727</v>
      </c>
      <c r="R5460">
        <v>3756</v>
      </c>
      <c r="S5460">
        <v>685</v>
      </c>
    </row>
    <row r="5461" spans="11:19" x14ac:dyDescent="0.3">
      <c r="K5461" s="16">
        <f t="shared" si="84"/>
        <v>44243</v>
      </c>
      <c r="L5461" s="17">
        <v>0.45833333333333331</v>
      </c>
      <c r="M5461" s="14">
        <v>752</v>
      </c>
      <c r="N5461" s="14">
        <v>310</v>
      </c>
      <c r="O5461" s="14">
        <v>0</v>
      </c>
      <c r="P5461" s="14">
        <v>1062</v>
      </c>
      <c r="Q5461">
        <v>13763</v>
      </c>
      <c r="R5461">
        <v>3427</v>
      </c>
      <c r="S5461">
        <v>874</v>
      </c>
    </row>
    <row r="5462" spans="11:19" x14ac:dyDescent="0.3">
      <c r="K5462" s="16">
        <f t="shared" si="84"/>
        <v>44243</v>
      </c>
      <c r="L5462" s="17">
        <v>0.5</v>
      </c>
      <c r="M5462" s="14">
        <v>752</v>
      </c>
      <c r="N5462" s="14">
        <v>0</v>
      </c>
      <c r="O5462" s="14">
        <v>0</v>
      </c>
      <c r="P5462" s="14">
        <v>752</v>
      </c>
      <c r="Q5462">
        <v>13681</v>
      </c>
      <c r="R5462">
        <v>3370</v>
      </c>
      <c r="S5462">
        <v>984</v>
      </c>
    </row>
    <row r="5463" spans="11:19" x14ac:dyDescent="0.3">
      <c r="K5463" s="16">
        <f t="shared" si="84"/>
        <v>44243</v>
      </c>
      <c r="L5463" s="17">
        <v>0.54166666666666663</v>
      </c>
      <c r="M5463" s="14">
        <v>752</v>
      </c>
      <c r="N5463" s="14">
        <v>0</v>
      </c>
      <c r="O5463" s="14">
        <v>0</v>
      </c>
      <c r="P5463" s="14">
        <v>752</v>
      </c>
      <c r="Q5463">
        <v>13339</v>
      </c>
      <c r="R5463">
        <v>3267</v>
      </c>
      <c r="S5463">
        <v>1102</v>
      </c>
    </row>
    <row r="5464" spans="11:19" x14ac:dyDescent="0.3">
      <c r="K5464" s="16">
        <f t="shared" si="84"/>
        <v>44243</v>
      </c>
      <c r="L5464" s="17">
        <v>0.58333333333333337</v>
      </c>
      <c r="M5464" s="14">
        <v>752</v>
      </c>
      <c r="N5464" s="14">
        <v>0</v>
      </c>
      <c r="O5464" s="14">
        <v>0</v>
      </c>
      <c r="P5464" s="14">
        <v>752</v>
      </c>
      <c r="Q5464">
        <v>12977</v>
      </c>
      <c r="R5464">
        <v>3372</v>
      </c>
      <c r="S5464">
        <v>1031</v>
      </c>
    </row>
    <row r="5465" spans="11:19" x14ac:dyDescent="0.3">
      <c r="K5465" s="16">
        <f t="shared" si="84"/>
        <v>44243</v>
      </c>
      <c r="L5465" s="17">
        <v>0.625</v>
      </c>
      <c r="M5465" s="14">
        <v>752</v>
      </c>
      <c r="N5465" s="14">
        <v>0</v>
      </c>
      <c r="O5465" s="14">
        <v>0</v>
      </c>
      <c r="P5465" s="14">
        <v>752</v>
      </c>
      <c r="Q5465">
        <v>12628</v>
      </c>
      <c r="R5465">
        <v>2942</v>
      </c>
      <c r="S5465">
        <v>893</v>
      </c>
    </row>
    <row r="5466" spans="11:19" x14ac:dyDescent="0.3">
      <c r="K5466" s="16">
        <f t="shared" si="84"/>
        <v>44243</v>
      </c>
      <c r="L5466" s="17">
        <v>0.66666666666666663</v>
      </c>
      <c r="M5466" s="14">
        <v>752</v>
      </c>
      <c r="N5466" s="14">
        <v>0</v>
      </c>
      <c r="O5466" s="14">
        <v>0</v>
      </c>
      <c r="P5466" s="14">
        <v>752</v>
      </c>
      <c r="Q5466">
        <v>12456</v>
      </c>
      <c r="R5466">
        <v>2404</v>
      </c>
      <c r="S5466">
        <v>476</v>
      </c>
    </row>
    <row r="5467" spans="11:19" x14ac:dyDescent="0.3">
      <c r="K5467" s="16">
        <f t="shared" ref="K5467:K5530" si="85">K5443+1</f>
        <v>44243</v>
      </c>
      <c r="L5467" s="17">
        <v>0.70833333333333337</v>
      </c>
      <c r="M5467" s="14">
        <v>752</v>
      </c>
      <c r="N5467" s="14">
        <v>0</v>
      </c>
      <c r="O5467" s="14">
        <v>0</v>
      </c>
      <c r="P5467" s="14">
        <v>752</v>
      </c>
      <c r="Q5467">
        <v>12644</v>
      </c>
      <c r="R5467">
        <v>2017</v>
      </c>
      <c r="S5467">
        <v>112</v>
      </c>
    </row>
    <row r="5468" spans="11:19" x14ac:dyDescent="0.3">
      <c r="K5468" s="16">
        <f t="shared" si="85"/>
        <v>44243</v>
      </c>
      <c r="L5468" s="17">
        <v>0.75</v>
      </c>
      <c r="M5468" s="14">
        <v>752</v>
      </c>
      <c r="N5468" s="14">
        <v>1803</v>
      </c>
      <c r="O5468" s="14">
        <v>0</v>
      </c>
      <c r="P5468" s="14">
        <v>2555</v>
      </c>
      <c r="Q5468">
        <v>13660</v>
      </c>
      <c r="R5468">
        <v>1575</v>
      </c>
      <c r="S5468">
        <v>8</v>
      </c>
    </row>
    <row r="5469" spans="11:19" x14ac:dyDescent="0.3">
      <c r="K5469" s="16">
        <f t="shared" si="85"/>
        <v>44243</v>
      </c>
      <c r="L5469" s="17">
        <v>0.79166666666666663</v>
      </c>
      <c r="M5469" s="14">
        <v>752</v>
      </c>
      <c r="N5469" s="14">
        <v>1803</v>
      </c>
      <c r="O5469" s="14">
        <v>0</v>
      </c>
      <c r="P5469" s="14">
        <v>2555</v>
      </c>
      <c r="Q5469">
        <v>13408</v>
      </c>
      <c r="R5469">
        <v>1231</v>
      </c>
      <c r="S5469">
        <v>0</v>
      </c>
    </row>
    <row r="5470" spans="11:19" x14ac:dyDescent="0.3">
      <c r="K5470" s="16">
        <f t="shared" si="85"/>
        <v>44243</v>
      </c>
      <c r="L5470" s="17">
        <v>0.83333333333333337</v>
      </c>
      <c r="M5470" s="14">
        <v>752</v>
      </c>
      <c r="N5470" s="14">
        <v>0</v>
      </c>
      <c r="O5470" s="14">
        <v>0</v>
      </c>
      <c r="P5470" s="14">
        <v>752</v>
      </c>
      <c r="Q5470">
        <v>12840</v>
      </c>
      <c r="R5470">
        <v>1008</v>
      </c>
      <c r="S5470">
        <v>0</v>
      </c>
    </row>
    <row r="5471" spans="11:19" x14ac:dyDescent="0.3">
      <c r="K5471" s="16">
        <f t="shared" si="85"/>
        <v>44243</v>
      </c>
      <c r="L5471" s="17">
        <v>0.875</v>
      </c>
      <c r="M5471" s="14">
        <v>752</v>
      </c>
      <c r="N5471" s="14">
        <v>0</v>
      </c>
      <c r="O5471" s="14">
        <v>0</v>
      </c>
      <c r="P5471" s="14">
        <v>752</v>
      </c>
      <c r="Q5471">
        <v>12324</v>
      </c>
      <c r="R5471">
        <v>893</v>
      </c>
      <c r="S5471">
        <v>0</v>
      </c>
    </row>
    <row r="5472" spans="11:19" x14ac:dyDescent="0.3">
      <c r="K5472" s="16">
        <f t="shared" si="85"/>
        <v>44243</v>
      </c>
      <c r="L5472" s="17">
        <v>0.91666666666666663</v>
      </c>
      <c r="M5472" s="14">
        <v>752</v>
      </c>
      <c r="N5472" s="14">
        <v>1803</v>
      </c>
      <c r="O5472" s="14">
        <v>0</v>
      </c>
      <c r="P5472" s="14">
        <v>2555</v>
      </c>
      <c r="Q5472">
        <v>12506</v>
      </c>
      <c r="R5472">
        <v>837</v>
      </c>
      <c r="S5472">
        <v>0</v>
      </c>
    </row>
    <row r="5473" spans="11:19" x14ac:dyDescent="0.3">
      <c r="K5473" s="16">
        <f t="shared" si="85"/>
        <v>44243</v>
      </c>
      <c r="L5473" s="17">
        <v>0.95833333333333337</v>
      </c>
      <c r="M5473" s="14">
        <v>752</v>
      </c>
      <c r="N5473" s="14">
        <v>0</v>
      </c>
      <c r="O5473" s="14">
        <v>0</v>
      </c>
      <c r="P5473" s="14">
        <v>752</v>
      </c>
      <c r="Q5473">
        <v>12665</v>
      </c>
      <c r="R5473">
        <v>876</v>
      </c>
      <c r="S5473">
        <v>0</v>
      </c>
    </row>
    <row r="5474" spans="11:19" x14ac:dyDescent="0.3">
      <c r="K5474" s="16">
        <f t="shared" si="85"/>
        <v>44244</v>
      </c>
      <c r="L5474" s="17">
        <v>0</v>
      </c>
      <c r="M5474" s="14">
        <v>752</v>
      </c>
      <c r="N5474" s="14">
        <v>0</v>
      </c>
      <c r="O5474" s="14">
        <v>0</v>
      </c>
      <c r="P5474" s="14">
        <v>752</v>
      </c>
      <c r="Q5474">
        <v>12242</v>
      </c>
      <c r="R5474">
        <v>936</v>
      </c>
      <c r="S5474">
        <v>0</v>
      </c>
    </row>
    <row r="5475" spans="11:19" x14ac:dyDescent="0.3">
      <c r="K5475" s="16">
        <f t="shared" si="85"/>
        <v>44244</v>
      </c>
      <c r="L5475" s="17">
        <v>4.1666666666666664E-2</v>
      </c>
      <c r="M5475" s="14">
        <v>752</v>
      </c>
      <c r="N5475" s="14">
        <v>0</v>
      </c>
      <c r="O5475" s="14">
        <v>0</v>
      </c>
      <c r="P5475" s="14">
        <v>752</v>
      </c>
      <c r="Q5475">
        <v>12019</v>
      </c>
      <c r="R5475">
        <v>928</v>
      </c>
      <c r="S5475">
        <v>0</v>
      </c>
    </row>
    <row r="5476" spans="11:19" x14ac:dyDescent="0.3">
      <c r="K5476" s="16">
        <f t="shared" si="85"/>
        <v>44244</v>
      </c>
      <c r="L5476" s="17">
        <v>8.3333333333333329E-2</v>
      </c>
      <c r="M5476" s="14">
        <v>752</v>
      </c>
      <c r="N5476" s="14">
        <v>0</v>
      </c>
      <c r="O5476" s="14">
        <v>0</v>
      </c>
      <c r="P5476" s="14">
        <v>752</v>
      </c>
      <c r="Q5476">
        <v>11771</v>
      </c>
      <c r="R5476">
        <v>897</v>
      </c>
      <c r="S5476">
        <v>0</v>
      </c>
    </row>
    <row r="5477" spans="11:19" x14ac:dyDescent="0.3">
      <c r="K5477" s="16">
        <f t="shared" si="85"/>
        <v>44244</v>
      </c>
      <c r="L5477" s="17">
        <v>0.125</v>
      </c>
      <c r="M5477" s="14">
        <v>752</v>
      </c>
      <c r="N5477" s="14">
        <v>0</v>
      </c>
      <c r="O5477" s="14">
        <v>0</v>
      </c>
      <c r="P5477" s="14">
        <v>752</v>
      </c>
      <c r="Q5477">
        <v>11345</v>
      </c>
      <c r="R5477">
        <v>1062</v>
      </c>
      <c r="S5477">
        <v>0</v>
      </c>
    </row>
    <row r="5478" spans="11:19" x14ac:dyDescent="0.3">
      <c r="K5478" s="16">
        <f t="shared" si="85"/>
        <v>44244</v>
      </c>
      <c r="L5478" s="17">
        <v>0.16666666666666666</v>
      </c>
      <c r="M5478" s="14">
        <v>752</v>
      </c>
      <c r="N5478" s="14">
        <v>0</v>
      </c>
      <c r="O5478" s="14">
        <v>0</v>
      </c>
      <c r="P5478" s="14">
        <v>752</v>
      </c>
      <c r="Q5478">
        <v>11245</v>
      </c>
      <c r="R5478">
        <v>1351</v>
      </c>
      <c r="S5478">
        <v>0</v>
      </c>
    </row>
    <row r="5479" spans="11:19" x14ac:dyDescent="0.3">
      <c r="K5479" s="16">
        <f t="shared" si="85"/>
        <v>44244</v>
      </c>
      <c r="L5479" s="17">
        <v>0.20833333333333334</v>
      </c>
      <c r="M5479" s="14">
        <v>752</v>
      </c>
      <c r="N5479" s="14">
        <v>927</v>
      </c>
      <c r="O5479" s="14">
        <v>0</v>
      </c>
      <c r="P5479" s="14">
        <v>1679</v>
      </c>
      <c r="Q5479">
        <v>11738</v>
      </c>
      <c r="R5479">
        <v>1690</v>
      </c>
      <c r="S5479">
        <v>0</v>
      </c>
    </row>
    <row r="5480" spans="11:19" x14ac:dyDescent="0.3">
      <c r="K5480" s="16">
        <f t="shared" si="85"/>
        <v>44244</v>
      </c>
      <c r="L5480" s="17">
        <v>0.25</v>
      </c>
      <c r="M5480" s="14">
        <v>752</v>
      </c>
      <c r="N5480" s="14">
        <v>1792</v>
      </c>
      <c r="O5480" s="14">
        <v>0</v>
      </c>
      <c r="P5480" s="14">
        <v>2544</v>
      </c>
      <c r="Q5480">
        <v>12850</v>
      </c>
      <c r="R5480">
        <v>1923</v>
      </c>
      <c r="S5480">
        <v>0</v>
      </c>
    </row>
    <row r="5481" spans="11:19" x14ac:dyDescent="0.3">
      <c r="K5481" s="16">
        <f t="shared" si="85"/>
        <v>44244</v>
      </c>
      <c r="L5481" s="17">
        <v>0.29166666666666669</v>
      </c>
      <c r="M5481" s="14">
        <v>752</v>
      </c>
      <c r="N5481" s="14">
        <v>1837</v>
      </c>
      <c r="O5481" s="14">
        <v>0</v>
      </c>
      <c r="P5481" s="14">
        <v>2589</v>
      </c>
      <c r="Q5481">
        <v>13669</v>
      </c>
      <c r="R5481">
        <v>2240</v>
      </c>
      <c r="S5481">
        <v>1</v>
      </c>
    </row>
    <row r="5482" spans="11:19" x14ac:dyDescent="0.3">
      <c r="K5482" s="16">
        <f t="shared" si="85"/>
        <v>44244</v>
      </c>
      <c r="L5482" s="17">
        <v>0.33333333333333331</v>
      </c>
      <c r="M5482" s="14">
        <v>752</v>
      </c>
      <c r="N5482" s="14">
        <v>1837</v>
      </c>
      <c r="O5482" s="14">
        <v>0</v>
      </c>
      <c r="P5482" s="14">
        <v>2589</v>
      </c>
      <c r="Q5482">
        <v>13933</v>
      </c>
      <c r="R5482">
        <v>2537</v>
      </c>
      <c r="S5482">
        <v>113</v>
      </c>
    </row>
    <row r="5483" spans="11:19" x14ac:dyDescent="0.3">
      <c r="K5483" s="16">
        <f t="shared" si="85"/>
        <v>44244</v>
      </c>
      <c r="L5483" s="17">
        <v>0.375</v>
      </c>
      <c r="M5483" s="14">
        <v>752</v>
      </c>
      <c r="N5483" s="14">
        <v>0</v>
      </c>
      <c r="O5483" s="14">
        <v>0</v>
      </c>
      <c r="P5483" s="14">
        <v>752</v>
      </c>
      <c r="Q5483">
        <v>13998</v>
      </c>
      <c r="R5483">
        <v>2778</v>
      </c>
      <c r="S5483">
        <v>461</v>
      </c>
    </row>
    <row r="5484" spans="11:19" x14ac:dyDescent="0.3">
      <c r="K5484" s="16">
        <f t="shared" si="85"/>
        <v>44244</v>
      </c>
      <c r="L5484" s="17">
        <v>0.41666666666666669</v>
      </c>
      <c r="M5484" s="14">
        <v>752</v>
      </c>
      <c r="N5484" s="14">
        <v>859</v>
      </c>
      <c r="O5484" s="14">
        <v>0</v>
      </c>
      <c r="P5484" s="14">
        <v>1611</v>
      </c>
      <c r="Q5484">
        <v>13881</v>
      </c>
      <c r="R5484">
        <v>3032</v>
      </c>
      <c r="S5484">
        <v>838</v>
      </c>
    </row>
    <row r="5485" spans="11:19" x14ac:dyDescent="0.3">
      <c r="K5485" s="16">
        <f t="shared" si="85"/>
        <v>44244</v>
      </c>
      <c r="L5485" s="17">
        <v>0.45833333333333331</v>
      </c>
      <c r="M5485" s="14">
        <v>752</v>
      </c>
      <c r="N5485" s="14">
        <v>747</v>
      </c>
      <c r="O5485" s="14">
        <v>0</v>
      </c>
      <c r="P5485" s="14">
        <v>1499</v>
      </c>
      <c r="Q5485">
        <v>13864</v>
      </c>
      <c r="R5485">
        <v>2971</v>
      </c>
      <c r="S5485">
        <v>993</v>
      </c>
    </row>
    <row r="5486" spans="11:19" x14ac:dyDescent="0.3">
      <c r="K5486" s="16">
        <f t="shared" si="85"/>
        <v>44244</v>
      </c>
      <c r="L5486" s="17">
        <v>0.5</v>
      </c>
      <c r="M5486" s="14">
        <v>752</v>
      </c>
      <c r="N5486" s="14">
        <v>355</v>
      </c>
      <c r="O5486" s="14">
        <v>0</v>
      </c>
      <c r="P5486" s="14">
        <v>1107</v>
      </c>
      <c r="Q5486">
        <v>13741</v>
      </c>
      <c r="R5486">
        <v>3113</v>
      </c>
      <c r="S5486">
        <v>1120</v>
      </c>
    </row>
    <row r="5487" spans="11:19" x14ac:dyDescent="0.3">
      <c r="K5487" s="16">
        <f t="shared" si="85"/>
        <v>44244</v>
      </c>
      <c r="L5487" s="17">
        <v>0.54166666666666663</v>
      </c>
      <c r="M5487" s="14">
        <v>752</v>
      </c>
      <c r="N5487" s="14">
        <v>0</v>
      </c>
      <c r="O5487" s="14">
        <v>0</v>
      </c>
      <c r="P5487" s="14">
        <v>752</v>
      </c>
      <c r="Q5487">
        <v>13347</v>
      </c>
      <c r="R5487">
        <v>3139</v>
      </c>
      <c r="S5487">
        <v>1106</v>
      </c>
    </row>
    <row r="5488" spans="11:19" x14ac:dyDescent="0.3">
      <c r="K5488" s="16">
        <f t="shared" si="85"/>
        <v>44244</v>
      </c>
      <c r="L5488" s="17">
        <v>0.58333333333333337</v>
      </c>
      <c r="M5488" s="14">
        <v>752</v>
      </c>
      <c r="N5488" s="14">
        <v>0</v>
      </c>
      <c r="O5488" s="14">
        <v>0</v>
      </c>
      <c r="P5488" s="14">
        <v>752</v>
      </c>
      <c r="Q5488">
        <v>12947</v>
      </c>
      <c r="R5488">
        <v>3181</v>
      </c>
      <c r="S5488">
        <v>1016</v>
      </c>
    </row>
    <row r="5489" spans="11:19" x14ac:dyDescent="0.3">
      <c r="K5489" s="16">
        <f t="shared" si="85"/>
        <v>44244</v>
      </c>
      <c r="L5489" s="17">
        <v>0.625</v>
      </c>
      <c r="M5489" s="14">
        <v>752</v>
      </c>
      <c r="N5489" s="14">
        <v>0</v>
      </c>
      <c r="O5489" s="14">
        <v>0</v>
      </c>
      <c r="P5489" s="14">
        <v>752</v>
      </c>
      <c r="Q5489">
        <v>12537</v>
      </c>
      <c r="R5489">
        <v>3319</v>
      </c>
      <c r="S5489">
        <v>844</v>
      </c>
    </row>
    <row r="5490" spans="11:19" x14ac:dyDescent="0.3">
      <c r="K5490" s="16">
        <f t="shared" si="85"/>
        <v>44244</v>
      </c>
      <c r="L5490" s="17">
        <v>0.66666666666666663</v>
      </c>
      <c r="M5490" s="14">
        <v>752</v>
      </c>
      <c r="N5490" s="14">
        <v>0</v>
      </c>
      <c r="O5490" s="14">
        <v>0</v>
      </c>
      <c r="P5490" s="14">
        <v>752</v>
      </c>
      <c r="Q5490">
        <v>12266</v>
      </c>
      <c r="R5490">
        <v>3578</v>
      </c>
      <c r="S5490">
        <v>495</v>
      </c>
    </row>
    <row r="5491" spans="11:19" x14ac:dyDescent="0.3">
      <c r="K5491" s="16">
        <f t="shared" si="85"/>
        <v>44244</v>
      </c>
      <c r="L5491" s="17">
        <v>0.70833333333333337</v>
      </c>
      <c r="M5491" s="14">
        <v>752</v>
      </c>
      <c r="N5491" s="14">
        <v>0</v>
      </c>
      <c r="O5491" s="14">
        <v>0</v>
      </c>
      <c r="P5491" s="14">
        <v>752</v>
      </c>
      <c r="Q5491">
        <v>12307</v>
      </c>
      <c r="R5491">
        <v>3627</v>
      </c>
      <c r="S5491">
        <v>132</v>
      </c>
    </row>
    <row r="5492" spans="11:19" x14ac:dyDescent="0.3">
      <c r="K5492" s="16">
        <f t="shared" si="85"/>
        <v>44244</v>
      </c>
      <c r="L5492" s="17">
        <v>0.75</v>
      </c>
      <c r="M5492" s="14">
        <v>752</v>
      </c>
      <c r="N5492" s="14">
        <v>497</v>
      </c>
      <c r="O5492" s="14">
        <v>0</v>
      </c>
      <c r="P5492" s="14">
        <v>1249</v>
      </c>
      <c r="Q5492">
        <v>13173</v>
      </c>
      <c r="R5492">
        <v>3519</v>
      </c>
      <c r="S5492">
        <v>8</v>
      </c>
    </row>
    <row r="5493" spans="11:19" x14ac:dyDescent="0.3">
      <c r="K5493" s="16">
        <f t="shared" si="85"/>
        <v>44244</v>
      </c>
      <c r="L5493" s="17">
        <v>0.79166666666666663</v>
      </c>
      <c r="M5493" s="14">
        <v>752</v>
      </c>
      <c r="N5493" s="14">
        <v>0</v>
      </c>
      <c r="O5493" s="14">
        <v>0</v>
      </c>
      <c r="P5493" s="14">
        <v>752</v>
      </c>
      <c r="Q5493">
        <v>13198</v>
      </c>
      <c r="R5493">
        <v>3456</v>
      </c>
      <c r="S5493">
        <v>0</v>
      </c>
    </row>
    <row r="5494" spans="11:19" x14ac:dyDescent="0.3">
      <c r="K5494" s="16">
        <f t="shared" si="85"/>
        <v>44244</v>
      </c>
      <c r="L5494" s="17">
        <v>0.83333333333333337</v>
      </c>
      <c r="M5494" s="14">
        <v>752</v>
      </c>
      <c r="N5494" s="14">
        <v>0</v>
      </c>
      <c r="O5494" s="14">
        <v>0</v>
      </c>
      <c r="P5494" s="14">
        <v>752</v>
      </c>
      <c r="Q5494">
        <v>12482</v>
      </c>
      <c r="R5494">
        <v>3442</v>
      </c>
      <c r="S5494">
        <v>0</v>
      </c>
    </row>
    <row r="5495" spans="11:19" x14ac:dyDescent="0.3">
      <c r="K5495" s="16">
        <f t="shared" si="85"/>
        <v>44244</v>
      </c>
      <c r="L5495" s="17">
        <v>0.875</v>
      </c>
      <c r="M5495" s="14">
        <v>752</v>
      </c>
      <c r="N5495" s="14">
        <v>0</v>
      </c>
      <c r="O5495" s="14">
        <v>0</v>
      </c>
      <c r="P5495" s="14">
        <v>752</v>
      </c>
      <c r="Q5495">
        <v>11833</v>
      </c>
      <c r="R5495">
        <v>3413</v>
      </c>
      <c r="S5495">
        <v>0</v>
      </c>
    </row>
    <row r="5496" spans="11:19" x14ac:dyDescent="0.3">
      <c r="K5496" s="16">
        <f t="shared" si="85"/>
        <v>44244</v>
      </c>
      <c r="L5496" s="17">
        <v>0.91666666666666663</v>
      </c>
      <c r="M5496" s="14">
        <v>752</v>
      </c>
      <c r="N5496" s="14">
        <v>0</v>
      </c>
      <c r="O5496" s="14">
        <v>0</v>
      </c>
      <c r="P5496" s="14">
        <v>752</v>
      </c>
      <c r="Q5496">
        <v>12010</v>
      </c>
      <c r="R5496">
        <v>3403</v>
      </c>
      <c r="S5496">
        <v>0</v>
      </c>
    </row>
    <row r="5497" spans="11:19" x14ac:dyDescent="0.3">
      <c r="K5497" s="16">
        <f t="shared" si="85"/>
        <v>44244</v>
      </c>
      <c r="L5497" s="17">
        <v>0.95833333333333337</v>
      </c>
      <c r="M5497" s="14">
        <v>752</v>
      </c>
      <c r="N5497" s="14">
        <v>0</v>
      </c>
      <c r="O5497" s="14">
        <v>0</v>
      </c>
      <c r="P5497" s="14">
        <v>752</v>
      </c>
      <c r="Q5497">
        <v>12175</v>
      </c>
      <c r="R5497">
        <v>3440</v>
      </c>
      <c r="S5497">
        <v>0</v>
      </c>
    </row>
    <row r="5498" spans="11:19" x14ac:dyDescent="0.3">
      <c r="K5498" s="16">
        <f t="shared" si="85"/>
        <v>44245</v>
      </c>
      <c r="L5498" s="17">
        <v>0</v>
      </c>
      <c r="M5498" s="14">
        <v>752</v>
      </c>
      <c r="N5498" s="14">
        <v>0</v>
      </c>
      <c r="O5498" s="14">
        <v>0</v>
      </c>
      <c r="P5498" s="14">
        <v>752</v>
      </c>
      <c r="Q5498">
        <v>11737</v>
      </c>
      <c r="R5498">
        <v>3218</v>
      </c>
      <c r="S5498">
        <v>0</v>
      </c>
    </row>
    <row r="5499" spans="11:19" x14ac:dyDescent="0.3">
      <c r="K5499" s="16">
        <f t="shared" si="85"/>
        <v>44245</v>
      </c>
      <c r="L5499" s="17">
        <v>4.1666666666666664E-2</v>
      </c>
      <c r="M5499" s="14">
        <v>752</v>
      </c>
      <c r="N5499" s="14">
        <v>0</v>
      </c>
      <c r="O5499" s="14">
        <v>0</v>
      </c>
      <c r="P5499" s="14">
        <v>752</v>
      </c>
      <c r="Q5499">
        <v>11486</v>
      </c>
      <c r="R5499">
        <v>3355</v>
      </c>
      <c r="S5499">
        <v>0</v>
      </c>
    </row>
    <row r="5500" spans="11:19" x14ac:dyDescent="0.3">
      <c r="K5500" s="16">
        <f t="shared" si="85"/>
        <v>44245</v>
      </c>
      <c r="L5500" s="17">
        <v>8.3333333333333329E-2</v>
      </c>
      <c r="M5500" s="14">
        <v>752</v>
      </c>
      <c r="N5500" s="14">
        <v>0</v>
      </c>
      <c r="O5500" s="14">
        <v>0</v>
      </c>
      <c r="P5500" s="14">
        <v>752</v>
      </c>
      <c r="Q5500">
        <v>11199</v>
      </c>
      <c r="R5500">
        <v>3220</v>
      </c>
      <c r="S5500">
        <v>0</v>
      </c>
    </row>
    <row r="5501" spans="11:19" x14ac:dyDescent="0.3">
      <c r="K5501" s="16">
        <f t="shared" si="85"/>
        <v>44245</v>
      </c>
      <c r="L5501" s="17">
        <v>0.125</v>
      </c>
      <c r="M5501" s="14">
        <v>752</v>
      </c>
      <c r="N5501" s="14">
        <v>0</v>
      </c>
      <c r="O5501" s="14">
        <v>0</v>
      </c>
      <c r="P5501" s="14">
        <v>752</v>
      </c>
      <c r="Q5501">
        <v>10747</v>
      </c>
      <c r="R5501">
        <v>3250</v>
      </c>
      <c r="S5501">
        <v>0</v>
      </c>
    </row>
    <row r="5502" spans="11:19" x14ac:dyDescent="0.3">
      <c r="K5502" s="16">
        <f t="shared" si="85"/>
        <v>44245</v>
      </c>
      <c r="L5502" s="17">
        <v>0.16666666666666666</v>
      </c>
      <c r="M5502" s="14">
        <v>752</v>
      </c>
      <c r="N5502" s="14">
        <v>0</v>
      </c>
      <c r="O5502" s="14">
        <v>0</v>
      </c>
      <c r="P5502" s="14">
        <v>752</v>
      </c>
      <c r="Q5502">
        <v>10632</v>
      </c>
      <c r="R5502">
        <v>3307</v>
      </c>
      <c r="S5502">
        <v>0</v>
      </c>
    </row>
    <row r="5503" spans="11:19" x14ac:dyDescent="0.3">
      <c r="K5503" s="16">
        <f t="shared" si="85"/>
        <v>44245</v>
      </c>
      <c r="L5503" s="17">
        <v>0.20833333333333334</v>
      </c>
      <c r="M5503" s="14">
        <v>752</v>
      </c>
      <c r="N5503" s="14">
        <v>0</v>
      </c>
      <c r="O5503" s="14">
        <v>0</v>
      </c>
      <c r="P5503" s="14">
        <v>752</v>
      </c>
      <c r="Q5503">
        <v>11103</v>
      </c>
      <c r="R5503">
        <v>3235</v>
      </c>
      <c r="S5503">
        <v>0</v>
      </c>
    </row>
    <row r="5504" spans="11:19" x14ac:dyDescent="0.3">
      <c r="K5504" s="16">
        <f t="shared" si="85"/>
        <v>44245</v>
      </c>
      <c r="L5504" s="17">
        <v>0.25</v>
      </c>
      <c r="M5504" s="14">
        <v>752</v>
      </c>
      <c r="N5504" s="14">
        <v>0</v>
      </c>
      <c r="O5504" s="14">
        <v>0</v>
      </c>
      <c r="P5504" s="14">
        <v>752</v>
      </c>
      <c r="Q5504">
        <v>12203</v>
      </c>
      <c r="R5504">
        <v>3198</v>
      </c>
      <c r="S5504">
        <v>0</v>
      </c>
    </row>
    <row r="5505" spans="11:19" x14ac:dyDescent="0.3">
      <c r="K5505" s="16">
        <f t="shared" si="85"/>
        <v>44245</v>
      </c>
      <c r="L5505" s="17">
        <v>0.29166666666666669</v>
      </c>
      <c r="M5505" s="14">
        <v>752</v>
      </c>
      <c r="N5505" s="14">
        <v>0</v>
      </c>
      <c r="O5505" s="14">
        <v>0</v>
      </c>
      <c r="P5505" s="14">
        <v>752</v>
      </c>
      <c r="Q5505">
        <v>12988</v>
      </c>
      <c r="R5505">
        <v>3413</v>
      </c>
      <c r="S5505">
        <v>3</v>
      </c>
    </row>
    <row r="5506" spans="11:19" x14ac:dyDescent="0.3">
      <c r="K5506" s="16">
        <f t="shared" si="85"/>
        <v>44245</v>
      </c>
      <c r="L5506" s="17">
        <v>0.33333333333333331</v>
      </c>
      <c r="M5506" s="14">
        <v>752</v>
      </c>
      <c r="N5506" s="14">
        <v>0</v>
      </c>
      <c r="O5506" s="14">
        <v>0</v>
      </c>
      <c r="P5506" s="14">
        <v>752</v>
      </c>
      <c r="Q5506">
        <v>13202</v>
      </c>
      <c r="R5506">
        <v>3207</v>
      </c>
      <c r="S5506">
        <v>127</v>
      </c>
    </row>
    <row r="5507" spans="11:19" x14ac:dyDescent="0.3">
      <c r="K5507" s="16">
        <f t="shared" si="85"/>
        <v>44245</v>
      </c>
      <c r="L5507" s="17">
        <v>0.375</v>
      </c>
      <c r="M5507" s="14">
        <v>752</v>
      </c>
      <c r="N5507" s="14">
        <v>0</v>
      </c>
      <c r="O5507" s="14">
        <v>0</v>
      </c>
      <c r="P5507" s="14">
        <v>752</v>
      </c>
      <c r="Q5507">
        <v>13239</v>
      </c>
      <c r="R5507">
        <v>3225</v>
      </c>
      <c r="S5507">
        <v>608</v>
      </c>
    </row>
    <row r="5508" spans="11:19" x14ac:dyDescent="0.3">
      <c r="K5508" s="16">
        <f t="shared" si="85"/>
        <v>44245</v>
      </c>
      <c r="L5508" s="17">
        <v>0.41666666666666669</v>
      </c>
      <c r="M5508" s="14">
        <v>752</v>
      </c>
      <c r="N5508" s="14">
        <v>0</v>
      </c>
      <c r="O5508" s="14">
        <v>0</v>
      </c>
      <c r="P5508" s="14">
        <v>752</v>
      </c>
      <c r="Q5508">
        <v>13135</v>
      </c>
      <c r="R5508">
        <v>2790</v>
      </c>
      <c r="S5508">
        <v>1120</v>
      </c>
    </row>
    <row r="5509" spans="11:19" x14ac:dyDescent="0.3">
      <c r="K5509" s="16">
        <f t="shared" si="85"/>
        <v>44245</v>
      </c>
      <c r="L5509" s="17">
        <v>0.45833333333333331</v>
      </c>
      <c r="M5509" s="14">
        <v>752</v>
      </c>
      <c r="N5509" s="14">
        <v>0</v>
      </c>
      <c r="O5509" s="14">
        <v>0</v>
      </c>
      <c r="P5509" s="14">
        <v>752</v>
      </c>
      <c r="Q5509">
        <v>13130</v>
      </c>
      <c r="R5509">
        <v>2547</v>
      </c>
      <c r="S5509">
        <v>1488</v>
      </c>
    </row>
    <row r="5510" spans="11:19" x14ac:dyDescent="0.3">
      <c r="K5510" s="16">
        <f t="shared" si="85"/>
        <v>44245</v>
      </c>
      <c r="L5510" s="17">
        <v>0.5</v>
      </c>
      <c r="M5510" s="14">
        <v>752</v>
      </c>
      <c r="N5510" s="14">
        <v>0</v>
      </c>
      <c r="O5510" s="14">
        <v>0</v>
      </c>
      <c r="P5510" s="14">
        <v>752</v>
      </c>
      <c r="Q5510">
        <v>13022</v>
      </c>
      <c r="R5510">
        <v>2631</v>
      </c>
      <c r="S5510">
        <v>1672</v>
      </c>
    </row>
    <row r="5511" spans="11:19" x14ac:dyDescent="0.3">
      <c r="K5511" s="16">
        <f t="shared" si="85"/>
        <v>44245</v>
      </c>
      <c r="L5511" s="17">
        <v>0.54166666666666663</v>
      </c>
      <c r="M5511" s="14">
        <v>752</v>
      </c>
      <c r="N5511" s="14">
        <v>0</v>
      </c>
      <c r="O5511" s="14">
        <v>0</v>
      </c>
      <c r="P5511" s="14">
        <v>752</v>
      </c>
      <c r="Q5511">
        <v>12651</v>
      </c>
      <c r="R5511">
        <v>2314</v>
      </c>
      <c r="S5511">
        <v>1698</v>
      </c>
    </row>
    <row r="5512" spans="11:19" x14ac:dyDescent="0.3">
      <c r="K5512" s="16">
        <f t="shared" si="85"/>
        <v>44245</v>
      </c>
      <c r="L5512" s="17">
        <v>0.58333333333333337</v>
      </c>
      <c r="M5512" s="14">
        <v>752</v>
      </c>
      <c r="N5512" s="14">
        <v>0</v>
      </c>
      <c r="O5512" s="14">
        <v>0</v>
      </c>
      <c r="P5512" s="14">
        <v>752</v>
      </c>
      <c r="Q5512">
        <v>12293</v>
      </c>
      <c r="R5512">
        <v>2444</v>
      </c>
      <c r="S5512">
        <v>1470</v>
      </c>
    </row>
    <row r="5513" spans="11:19" x14ac:dyDescent="0.3">
      <c r="K5513" s="16">
        <f t="shared" si="85"/>
        <v>44245</v>
      </c>
      <c r="L5513" s="17">
        <v>0.625</v>
      </c>
      <c r="M5513" s="14">
        <v>752</v>
      </c>
      <c r="N5513" s="14">
        <v>0</v>
      </c>
      <c r="O5513" s="14">
        <v>0</v>
      </c>
      <c r="P5513" s="14">
        <v>752</v>
      </c>
      <c r="Q5513">
        <v>11939</v>
      </c>
      <c r="R5513">
        <v>2401</v>
      </c>
      <c r="S5513">
        <v>1109</v>
      </c>
    </row>
    <row r="5514" spans="11:19" x14ac:dyDescent="0.3">
      <c r="K5514" s="16">
        <f t="shared" si="85"/>
        <v>44245</v>
      </c>
      <c r="L5514" s="17">
        <v>0.66666666666666663</v>
      </c>
      <c r="M5514" s="14">
        <v>752</v>
      </c>
      <c r="N5514" s="14">
        <v>0</v>
      </c>
      <c r="O5514" s="14">
        <v>0</v>
      </c>
      <c r="P5514" s="14">
        <v>752</v>
      </c>
      <c r="Q5514">
        <v>11764</v>
      </c>
      <c r="R5514">
        <v>2228</v>
      </c>
      <c r="S5514">
        <v>595</v>
      </c>
    </row>
    <row r="5515" spans="11:19" x14ac:dyDescent="0.3">
      <c r="K5515" s="16">
        <f t="shared" si="85"/>
        <v>44245</v>
      </c>
      <c r="L5515" s="17">
        <v>0.70833333333333337</v>
      </c>
      <c r="M5515" s="14">
        <v>752</v>
      </c>
      <c r="N5515" s="14">
        <v>289</v>
      </c>
      <c r="O5515" s="14">
        <v>0</v>
      </c>
      <c r="P5515" s="14">
        <v>1041</v>
      </c>
      <c r="Q5515">
        <v>11878</v>
      </c>
      <c r="R5515">
        <v>2294</v>
      </c>
      <c r="S5515">
        <v>143</v>
      </c>
    </row>
    <row r="5516" spans="11:19" x14ac:dyDescent="0.3">
      <c r="K5516" s="16">
        <f t="shared" si="85"/>
        <v>44245</v>
      </c>
      <c r="L5516" s="17">
        <v>0.75</v>
      </c>
      <c r="M5516" s="14">
        <v>752</v>
      </c>
      <c r="N5516" s="14">
        <v>0</v>
      </c>
      <c r="O5516" s="14">
        <v>0</v>
      </c>
      <c r="P5516" s="14">
        <v>752</v>
      </c>
      <c r="Q5516">
        <v>12803</v>
      </c>
      <c r="R5516">
        <v>2249</v>
      </c>
      <c r="S5516">
        <v>6</v>
      </c>
    </row>
    <row r="5517" spans="11:19" x14ac:dyDescent="0.3">
      <c r="K5517" s="16">
        <f t="shared" si="85"/>
        <v>44245</v>
      </c>
      <c r="L5517" s="17">
        <v>0.79166666666666663</v>
      </c>
      <c r="M5517" s="14">
        <v>752</v>
      </c>
      <c r="N5517" s="14">
        <v>1370</v>
      </c>
      <c r="O5517" s="14">
        <v>0</v>
      </c>
      <c r="P5517" s="14">
        <v>2122</v>
      </c>
      <c r="Q5517">
        <v>12810</v>
      </c>
      <c r="R5517">
        <v>2103</v>
      </c>
      <c r="S5517">
        <v>0</v>
      </c>
    </row>
    <row r="5518" spans="11:19" x14ac:dyDescent="0.3">
      <c r="K5518" s="16">
        <f t="shared" si="85"/>
        <v>44245</v>
      </c>
      <c r="L5518" s="17">
        <v>0.83333333333333337</v>
      </c>
      <c r="M5518" s="14">
        <v>752</v>
      </c>
      <c r="N5518" s="14">
        <v>726</v>
      </c>
      <c r="O5518" s="14">
        <v>0</v>
      </c>
      <c r="P5518" s="14">
        <v>1478</v>
      </c>
      <c r="Q5518">
        <v>12087</v>
      </c>
      <c r="R5518">
        <v>2222</v>
      </c>
      <c r="S5518">
        <v>0</v>
      </c>
    </row>
    <row r="5519" spans="11:19" x14ac:dyDescent="0.3">
      <c r="K5519" s="16">
        <f t="shared" si="85"/>
        <v>44245</v>
      </c>
      <c r="L5519" s="17">
        <v>0.875</v>
      </c>
      <c r="M5519" s="14">
        <v>752</v>
      </c>
      <c r="N5519" s="14">
        <v>0</v>
      </c>
      <c r="O5519" s="14">
        <v>0</v>
      </c>
      <c r="P5519" s="14">
        <v>752</v>
      </c>
      <c r="Q5519">
        <v>11434</v>
      </c>
      <c r="R5519">
        <v>2233</v>
      </c>
      <c r="S5519">
        <v>0</v>
      </c>
    </row>
    <row r="5520" spans="11:19" x14ac:dyDescent="0.3">
      <c r="K5520" s="16">
        <f t="shared" si="85"/>
        <v>44245</v>
      </c>
      <c r="L5520" s="17">
        <v>0.91666666666666663</v>
      </c>
      <c r="M5520" s="14">
        <v>752</v>
      </c>
      <c r="N5520" s="14">
        <v>79</v>
      </c>
      <c r="O5520" s="14">
        <v>0</v>
      </c>
      <c r="P5520" s="14">
        <v>831</v>
      </c>
      <c r="Q5520">
        <v>11616</v>
      </c>
      <c r="R5520">
        <v>2404</v>
      </c>
      <c r="S5520">
        <v>0</v>
      </c>
    </row>
    <row r="5521" spans="11:19" x14ac:dyDescent="0.3">
      <c r="K5521" s="16">
        <f t="shared" si="85"/>
        <v>44245</v>
      </c>
      <c r="L5521" s="17">
        <v>0.95833333333333337</v>
      </c>
      <c r="M5521" s="14">
        <v>752</v>
      </c>
      <c r="N5521" s="14">
        <v>183</v>
      </c>
      <c r="O5521" s="14">
        <v>0</v>
      </c>
      <c r="P5521" s="14">
        <v>935</v>
      </c>
      <c r="Q5521">
        <v>11805</v>
      </c>
      <c r="R5521">
        <v>2486</v>
      </c>
      <c r="S5521">
        <v>0</v>
      </c>
    </row>
    <row r="5522" spans="11:19" x14ac:dyDescent="0.3">
      <c r="K5522" s="16">
        <f t="shared" si="85"/>
        <v>44246</v>
      </c>
      <c r="L5522" s="17">
        <v>0</v>
      </c>
      <c r="M5522" s="14">
        <v>752</v>
      </c>
      <c r="N5522" s="14">
        <v>0</v>
      </c>
      <c r="O5522" s="14">
        <v>0</v>
      </c>
      <c r="P5522" s="14">
        <v>752</v>
      </c>
      <c r="Q5522">
        <v>11313</v>
      </c>
      <c r="R5522">
        <v>2677</v>
      </c>
      <c r="S5522">
        <v>0</v>
      </c>
    </row>
    <row r="5523" spans="11:19" x14ac:dyDescent="0.3">
      <c r="K5523" s="16">
        <f t="shared" si="85"/>
        <v>44246</v>
      </c>
      <c r="L5523" s="17">
        <v>4.1666666666666664E-2</v>
      </c>
      <c r="M5523" s="14">
        <v>752</v>
      </c>
      <c r="N5523" s="14">
        <v>0</v>
      </c>
      <c r="O5523" s="14">
        <v>0</v>
      </c>
      <c r="P5523" s="14">
        <v>752</v>
      </c>
      <c r="Q5523">
        <v>11031</v>
      </c>
      <c r="R5523">
        <v>2535</v>
      </c>
      <c r="S5523">
        <v>0</v>
      </c>
    </row>
    <row r="5524" spans="11:19" x14ac:dyDescent="0.3">
      <c r="K5524" s="16">
        <f t="shared" si="85"/>
        <v>44246</v>
      </c>
      <c r="L5524" s="17">
        <v>8.3333333333333329E-2</v>
      </c>
      <c r="M5524" s="14">
        <v>752</v>
      </c>
      <c r="N5524" s="14">
        <v>0</v>
      </c>
      <c r="O5524" s="14">
        <v>0</v>
      </c>
      <c r="P5524" s="14">
        <v>752</v>
      </c>
      <c r="Q5524">
        <v>10769</v>
      </c>
      <c r="R5524">
        <v>2685</v>
      </c>
      <c r="S5524">
        <v>0</v>
      </c>
    </row>
    <row r="5525" spans="11:19" x14ac:dyDescent="0.3">
      <c r="K5525" s="16">
        <f t="shared" si="85"/>
        <v>44246</v>
      </c>
      <c r="L5525" s="17">
        <v>0.125</v>
      </c>
      <c r="M5525" s="14">
        <v>752</v>
      </c>
      <c r="N5525" s="14">
        <v>0</v>
      </c>
      <c r="O5525" s="14">
        <v>0</v>
      </c>
      <c r="P5525" s="14">
        <v>752</v>
      </c>
      <c r="Q5525">
        <v>10341</v>
      </c>
      <c r="R5525">
        <v>2865</v>
      </c>
      <c r="S5525">
        <v>0</v>
      </c>
    </row>
    <row r="5526" spans="11:19" x14ac:dyDescent="0.3">
      <c r="K5526" s="16">
        <f t="shared" si="85"/>
        <v>44246</v>
      </c>
      <c r="L5526" s="17">
        <v>0.16666666666666666</v>
      </c>
      <c r="M5526" s="14">
        <v>752</v>
      </c>
      <c r="N5526" s="14">
        <v>0</v>
      </c>
      <c r="O5526" s="14">
        <v>0</v>
      </c>
      <c r="P5526" s="14">
        <v>752</v>
      </c>
      <c r="Q5526">
        <v>10227</v>
      </c>
      <c r="R5526">
        <v>3173</v>
      </c>
      <c r="S5526">
        <v>0</v>
      </c>
    </row>
    <row r="5527" spans="11:19" x14ac:dyDescent="0.3">
      <c r="K5527" s="16">
        <f t="shared" si="85"/>
        <v>44246</v>
      </c>
      <c r="L5527" s="17">
        <v>0.20833333333333334</v>
      </c>
      <c r="M5527" s="14">
        <v>752</v>
      </c>
      <c r="N5527" s="14">
        <v>0</v>
      </c>
      <c r="O5527" s="14">
        <v>0</v>
      </c>
      <c r="P5527" s="14">
        <v>752</v>
      </c>
      <c r="Q5527">
        <v>10700</v>
      </c>
      <c r="R5527">
        <v>3347</v>
      </c>
      <c r="S5527">
        <v>0</v>
      </c>
    </row>
    <row r="5528" spans="11:19" x14ac:dyDescent="0.3">
      <c r="K5528" s="16">
        <f t="shared" si="85"/>
        <v>44246</v>
      </c>
      <c r="L5528" s="17">
        <v>0.25</v>
      </c>
      <c r="M5528" s="14">
        <v>752</v>
      </c>
      <c r="N5528" s="14">
        <v>0</v>
      </c>
      <c r="O5528" s="14">
        <v>0</v>
      </c>
      <c r="P5528" s="14">
        <v>752</v>
      </c>
      <c r="Q5528">
        <v>11746</v>
      </c>
      <c r="R5528">
        <v>3418</v>
      </c>
      <c r="S5528">
        <v>0</v>
      </c>
    </row>
    <row r="5529" spans="11:19" x14ac:dyDescent="0.3">
      <c r="K5529" s="16">
        <f t="shared" si="85"/>
        <v>44246</v>
      </c>
      <c r="L5529" s="17">
        <v>0.29166666666666669</v>
      </c>
      <c r="M5529" s="14">
        <v>752</v>
      </c>
      <c r="N5529" s="14">
        <v>112</v>
      </c>
      <c r="O5529" s="14">
        <v>0</v>
      </c>
      <c r="P5529" s="14">
        <v>864</v>
      </c>
      <c r="Q5529">
        <v>12549</v>
      </c>
      <c r="R5529">
        <v>3283</v>
      </c>
      <c r="S5529">
        <v>3</v>
      </c>
    </row>
    <row r="5530" spans="11:19" x14ac:dyDescent="0.3">
      <c r="K5530" s="16">
        <f t="shared" si="85"/>
        <v>44246</v>
      </c>
      <c r="L5530" s="17">
        <v>0.33333333333333331</v>
      </c>
      <c r="M5530" s="14">
        <v>752</v>
      </c>
      <c r="N5530" s="14">
        <v>332</v>
      </c>
      <c r="O5530" s="14">
        <v>0</v>
      </c>
      <c r="P5530" s="14">
        <v>1084</v>
      </c>
      <c r="Q5530">
        <v>12770</v>
      </c>
      <c r="R5530">
        <v>3173</v>
      </c>
      <c r="S5530">
        <v>111</v>
      </c>
    </row>
    <row r="5531" spans="11:19" x14ac:dyDescent="0.3">
      <c r="K5531" s="16">
        <f t="shared" ref="K5531:K5594" si="86">K5507+1</f>
        <v>44246</v>
      </c>
      <c r="L5531" s="17">
        <v>0.375</v>
      </c>
      <c r="M5531" s="14">
        <v>752</v>
      </c>
      <c r="N5531" s="14">
        <v>453</v>
      </c>
      <c r="O5531" s="14">
        <v>0</v>
      </c>
      <c r="P5531" s="14">
        <v>1205</v>
      </c>
      <c r="Q5531">
        <v>12836</v>
      </c>
      <c r="R5531">
        <v>2723</v>
      </c>
      <c r="S5531">
        <v>509</v>
      </c>
    </row>
    <row r="5532" spans="11:19" x14ac:dyDescent="0.3">
      <c r="K5532" s="16">
        <f t="shared" si="86"/>
        <v>44246</v>
      </c>
      <c r="L5532" s="17">
        <v>0.41666666666666669</v>
      </c>
      <c r="M5532" s="14">
        <v>752</v>
      </c>
      <c r="N5532" s="14">
        <v>0</v>
      </c>
      <c r="O5532" s="14">
        <v>0</v>
      </c>
      <c r="P5532" s="14">
        <v>752</v>
      </c>
      <c r="Q5532">
        <v>12715</v>
      </c>
      <c r="R5532">
        <v>2296</v>
      </c>
      <c r="S5532">
        <v>998</v>
      </c>
    </row>
    <row r="5533" spans="11:19" x14ac:dyDescent="0.3">
      <c r="K5533" s="16">
        <f t="shared" si="86"/>
        <v>44246</v>
      </c>
      <c r="L5533" s="17">
        <v>0.45833333333333331</v>
      </c>
      <c r="M5533" s="14">
        <v>752</v>
      </c>
      <c r="N5533" s="14">
        <v>182</v>
      </c>
      <c r="O5533" s="14">
        <v>0</v>
      </c>
      <c r="P5533" s="14">
        <v>934</v>
      </c>
      <c r="Q5533">
        <v>12672</v>
      </c>
      <c r="R5533">
        <v>2066</v>
      </c>
      <c r="S5533">
        <v>1272</v>
      </c>
    </row>
    <row r="5534" spans="11:19" x14ac:dyDescent="0.3">
      <c r="K5534" s="16">
        <f t="shared" si="86"/>
        <v>44246</v>
      </c>
      <c r="L5534" s="17">
        <v>0.5</v>
      </c>
      <c r="M5534" s="14">
        <v>752</v>
      </c>
      <c r="N5534" s="14">
        <v>0</v>
      </c>
      <c r="O5534" s="14">
        <v>0</v>
      </c>
      <c r="P5534" s="14">
        <v>752</v>
      </c>
      <c r="Q5534">
        <v>12607</v>
      </c>
      <c r="R5534">
        <v>2225</v>
      </c>
      <c r="S5534">
        <v>1435</v>
      </c>
    </row>
    <row r="5535" spans="11:19" x14ac:dyDescent="0.3">
      <c r="K5535" s="16">
        <f t="shared" si="86"/>
        <v>44246</v>
      </c>
      <c r="L5535" s="17">
        <v>0.54166666666666663</v>
      </c>
      <c r="M5535" s="14">
        <v>752</v>
      </c>
      <c r="N5535" s="14">
        <v>0</v>
      </c>
      <c r="O5535" s="14">
        <v>0</v>
      </c>
      <c r="P5535" s="14">
        <v>752</v>
      </c>
      <c r="Q5535">
        <v>12182</v>
      </c>
      <c r="R5535">
        <v>2443</v>
      </c>
      <c r="S5535">
        <v>1437</v>
      </c>
    </row>
    <row r="5536" spans="11:19" x14ac:dyDescent="0.3">
      <c r="K5536" s="16">
        <f t="shared" si="86"/>
        <v>44246</v>
      </c>
      <c r="L5536" s="17">
        <v>0.58333333333333337</v>
      </c>
      <c r="M5536" s="14">
        <v>752</v>
      </c>
      <c r="N5536" s="14">
        <v>0</v>
      </c>
      <c r="O5536" s="14">
        <v>0</v>
      </c>
      <c r="P5536" s="14">
        <v>752</v>
      </c>
      <c r="Q5536">
        <v>11827</v>
      </c>
      <c r="R5536">
        <v>2578</v>
      </c>
      <c r="S5536">
        <v>1295</v>
      </c>
    </row>
    <row r="5537" spans="11:19" x14ac:dyDescent="0.3">
      <c r="K5537" s="16">
        <f t="shared" si="86"/>
        <v>44246</v>
      </c>
      <c r="L5537" s="17">
        <v>0.625</v>
      </c>
      <c r="M5537" s="14">
        <v>752</v>
      </c>
      <c r="N5537" s="14">
        <v>0</v>
      </c>
      <c r="O5537" s="14">
        <v>0</v>
      </c>
      <c r="P5537" s="14">
        <v>752</v>
      </c>
      <c r="Q5537">
        <v>11469</v>
      </c>
      <c r="R5537">
        <v>2588</v>
      </c>
      <c r="S5537">
        <v>989</v>
      </c>
    </row>
    <row r="5538" spans="11:19" x14ac:dyDescent="0.3">
      <c r="K5538" s="16">
        <f t="shared" si="86"/>
        <v>44246</v>
      </c>
      <c r="L5538" s="17">
        <v>0.66666666666666663</v>
      </c>
      <c r="M5538" s="14">
        <v>752</v>
      </c>
      <c r="N5538" s="14">
        <v>0</v>
      </c>
      <c r="O5538" s="14">
        <v>0</v>
      </c>
      <c r="P5538" s="14">
        <v>752</v>
      </c>
      <c r="Q5538">
        <v>11258</v>
      </c>
      <c r="R5538">
        <v>2812</v>
      </c>
      <c r="S5538">
        <v>546</v>
      </c>
    </row>
    <row r="5539" spans="11:19" x14ac:dyDescent="0.3">
      <c r="K5539" s="16">
        <f t="shared" si="86"/>
        <v>44246</v>
      </c>
      <c r="L5539" s="17">
        <v>0.70833333333333337</v>
      </c>
      <c r="M5539" s="14">
        <v>752</v>
      </c>
      <c r="N5539" s="14">
        <v>0</v>
      </c>
      <c r="O5539" s="14">
        <v>0</v>
      </c>
      <c r="P5539" s="14">
        <v>752</v>
      </c>
      <c r="Q5539">
        <v>11374</v>
      </c>
      <c r="R5539">
        <v>2749</v>
      </c>
      <c r="S5539">
        <v>138</v>
      </c>
    </row>
    <row r="5540" spans="11:19" x14ac:dyDescent="0.3">
      <c r="K5540" s="16">
        <f t="shared" si="86"/>
        <v>44246</v>
      </c>
      <c r="L5540" s="17">
        <v>0.75</v>
      </c>
      <c r="M5540" s="14">
        <v>752</v>
      </c>
      <c r="N5540" s="14">
        <v>305</v>
      </c>
      <c r="O5540" s="14">
        <v>0</v>
      </c>
      <c r="P5540" s="14">
        <v>1057</v>
      </c>
      <c r="Q5540">
        <v>12187</v>
      </c>
      <c r="R5540">
        <v>2721</v>
      </c>
      <c r="S5540">
        <v>13</v>
      </c>
    </row>
    <row r="5541" spans="11:19" x14ac:dyDescent="0.3">
      <c r="K5541" s="16">
        <f t="shared" si="86"/>
        <v>44246</v>
      </c>
      <c r="L5541" s="17">
        <v>0.79166666666666663</v>
      </c>
      <c r="M5541" s="14">
        <v>752</v>
      </c>
      <c r="N5541" s="14">
        <v>213</v>
      </c>
      <c r="O5541" s="14">
        <v>0</v>
      </c>
      <c r="P5541" s="14">
        <v>965</v>
      </c>
      <c r="Q5541">
        <v>12314</v>
      </c>
      <c r="R5541">
        <v>2954</v>
      </c>
      <c r="S5541">
        <v>0</v>
      </c>
    </row>
    <row r="5542" spans="11:19" x14ac:dyDescent="0.3">
      <c r="K5542" s="16">
        <f t="shared" si="86"/>
        <v>44246</v>
      </c>
      <c r="L5542" s="17">
        <v>0.83333333333333337</v>
      </c>
      <c r="M5542" s="14">
        <v>752</v>
      </c>
      <c r="N5542" s="14">
        <v>0</v>
      </c>
      <c r="O5542" s="14">
        <v>0</v>
      </c>
      <c r="P5542" s="14">
        <v>752</v>
      </c>
      <c r="Q5542">
        <v>11679</v>
      </c>
      <c r="R5542">
        <v>2901</v>
      </c>
      <c r="S5542">
        <v>0</v>
      </c>
    </row>
    <row r="5543" spans="11:19" x14ac:dyDescent="0.3">
      <c r="K5543" s="16">
        <f t="shared" si="86"/>
        <v>44246</v>
      </c>
      <c r="L5543" s="17">
        <v>0.875</v>
      </c>
      <c r="M5543" s="14">
        <v>752</v>
      </c>
      <c r="N5543" s="14">
        <v>0</v>
      </c>
      <c r="O5543" s="14">
        <v>0</v>
      </c>
      <c r="P5543" s="14">
        <v>752</v>
      </c>
      <c r="Q5543">
        <v>11092</v>
      </c>
      <c r="R5543">
        <v>2739</v>
      </c>
      <c r="S5543">
        <v>0</v>
      </c>
    </row>
    <row r="5544" spans="11:19" x14ac:dyDescent="0.3">
      <c r="K5544" s="16">
        <f t="shared" si="86"/>
        <v>44246</v>
      </c>
      <c r="L5544" s="17">
        <v>0.91666666666666663</v>
      </c>
      <c r="M5544" s="14">
        <v>752</v>
      </c>
      <c r="N5544" s="14">
        <v>0</v>
      </c>
      <c r="O5544" s="14">
        <v>0</v>
      </c>
      <c r="P5544" s="14">
        <v>752</v>
      </c>
      <c r="Q5544">
        <v>11373</v>
      </c>
      <c r="R5544">
        <v>2536</v>
      </c>
      <c r="S5544">
        <v>0</v>
      </c>
    </row>
    <row r="5545" spans="11:19" x14ac:dyDescent="0.3">
      <c r="K5545" s="16">
        <f t="shared" si="86"/>
        <v>44246</v>
      </c>
      <c r="L5545" s="17">
        <v>0.95833333333333337</v>
      </c>
      <c r="M5545" s="14">
        <v>752</v>
      </c>
      <c r="N5545" s="14">
        <v>82</v>
      </c>
      <c r="O5545" s="14">
        <v>0</v>
      </c>
      <c r="P5545" s="14">
        <v>834</v>
      </c>
      <c r="Q5545">
        <v>11630</v>
      </c>
      <c r="R5545">
        <v>2412</v>
      </c>
      <c r="S5545">
        <v>0</v>
      </c>
    </row>
    <row r="5546" spans="11:19" x14ac:dyDescent="0.3">
      <c r="K5546" s="16">
        <f t="shared" si="86"/>
        <v>44247</v>
      </c>
      <c r="L5546" s="17">
        <v>0</v>
      </c>
      <c r="M5546" s="14">
        <v>752</v>
      </c>
      <c r="N5546" s="14">
        <v>0</v>
      </c>
      <c r="O5546" s="14">
        <v>242</v>
      </c>
      <c r="P5546" s="14">
        <v>994</v>
      </c>
      <c r="Q5546">
        <v>11142</v>
      </c>
      <c r="R5546">
        <v>1779</v>
      </c>
      <c r="S5546">
        <v>0</v>
      </c>
    </row>
    <row r="5547" spans="11:19" x14ac:dyDescent="0.3">
      <c r="K5547" s="16">
        <f t="shared" si="86"/>
        <v>44247</v>
      </c>
      <c r="L5547" s="17">
        <v>4.1666666666666664E-2</v>
      </c>
      <c r="M5547" s="14">
        <v>752</v>
      </c>
      <c r="N5547" s="14">
        <v>871</v>
      </c>
      <c r="O5547" s="14">
        <v>0</v>
      </c>
      <c r="P5547" s="14">
        <v>1623</v>
      </c>
      <c r="Q5547">
        <v>10847</v>
      </c>
      <c r="R5547">
        <v>1389</v>
      </c>
      <c r="S5547">
        <v>0</v>
      </c>
    </row>
    <row r="5548" spans="11:19" x14ac:dyDescent="0.3">
      <c r="K5548" s="16">
        <f t="shared" si="86"/>
        <v>44247</v>
      </c>
      <c r="L5548" s="17">
        <v>8.3333333333333329E-2</v>
      </c>
      <c r="M5548" s="14">
        <v>752</v>
      </c>
      <c r="N5548" s="14">
        <v>164</v>
      </c>
      <c r="O5548" s="14">
        <v>45</v>
      </c>
      <c r="P5548" s="14">
        <v>961</v>
      </c>
      <c r="Q5548">
        <v>10574</v>
      </c>
      <c r="R5548">
        <v>1247</v>
      </c>
      <c r="S5548">
        <v>0</v>
      </c>
    </row>
    <row r="5549" spans="11:19" x14ac:dyDescent="0.3">
      <c r="K5549" s="16">
        <f t="shared" si="86"/>
        <v>44247</v>
      </c>
      <c r="L5549" s="17">
        <v>0.125</v>
      </c>
      <c r="M5549" s="14">
        <v>752</v>
      </c>
      <c r="N5549" s="14">
        <v>0</v>
      </c>
      <c r="O5549" s="14">
        <v>0</v>
      </c>
      <c r="P5549" s="14">
        <v>752</v>
      </c>
      <c r="Q5549">
        <v>10114</v>
      </c>
      <c r="R5549">
        <v>1234</v>
      </c>
      <c r="S5549">
        <v>0</v>
      </c>
    </row>
    <row r="5550" spans="11:19" x14ac:dyDescent="0.3">
      <c r="K5550" s="16">
        <f t="shared" si="86"/>
        <v>44247</v>
      </c>
      <c r="L5550" s="17">
        <v>0.16666666666666666</v>
      </c>
      <c r="M5550" s="14">
        <v>752</v>
      </c>
      <c r="N5550" s="14">
        <v>0</v>
      </c>
      <c r="O5550" s="14">
        <v>0</v>
      </c>
      <c r="P5550" s="14">
        <v>752</v>
      </c>
      <c r="Q5550">
        <v>9932</v>
      </c>
      <c r="R5550">
        <v>1400</v>
      </c>
      <c r="S5550">
        <v>0</v>
      </c>
    </row>
    <row r="5551" spans="11:19" x14ac:dyDescent="0.3">
      <c r="K5551" s="16">
        <f t="shared" si="86"/>
        <v>44247</v>
      </c>
      <c r="L5551" s="17">
        <v>0.20833333333333334</v>
      </c>
      <c r="M5551" s="14">
        <v>752</v>
      </c>
      <c r="N5551" s="14">
        <v>871</v>
      </c>
      <c r="O5551" s="14">
        <v>0</v>
      </c>
      <c r="P5551" s="14">
        <v>1623</v>
      </c>
      <c r="Q5551">
        <v>10115</v>
      </c>
      <c r="R5551">
        <v>1424</v>
      </c>
      <c r="S5551">
        <v>0</v>
      </c>
    </row>
    <row r="5552" spans="11:19" x14ac:dyDescent="0.3">
      <c r="K5552" s="16">
        <f t="shared" si="86"/>
        <v>44247</v>
      </c>
      <c r="L5552" s="17">
        <v>0.25</v>
      </c>
      <c r="M5552" s="14">
        <v>752</v>
      </c>
      <c r="N5552" s="14">
        <v>871</v>
      </c>
      <c r="O5552" s="14">
        <v>0</v>
      </c>
      <c r="P5552" s="14">
        <v>1623</v>
      </c>
      <c r="Q5552">
        <v>10517</v>
      </c>
      <c r="R5552">
        <v>1640</v>
      </c>
      <c r="S5552">
        <v>0</v>
      </c>
    </row>
    <row r="5553" spans="11:19" x14ac:dyDescent="0.3">
      <c r="K5553" s="16">
        <f t="shared" si="86"/>
        <v>44247</v>
      </c>
      <c r="L5553" s="17">
        <v>0.29166666666666669</v>
      </c>
      <c r="M5553" s="14">
        <v>752</v>
      </c>
      <c r="N5553" s="14">
        <v>0</v>
      </c>
      <c r="O5553" s="14">
        <v>0</v>
      </c>
      <c r="P5553" s="14">
        <v>752</v>
      </c>
      <c r="Q5553">
        <v>10838</v>
      </c>
      <c r="R5553">
        <v>1765</v>
      </c>
      <c r="S5553">
        <v>5</v>
      </c>
    </row>
    <row r="5554" spans="11:19" x14ac:dyDescent="0.3">
      <c r="K5554" s="16">
        <f t="shared" si="86"/>
        <v>44247</v>
      </c>
      <c r="L5554" s="17">
        <v>0.33333333333333331</v>
      </c>
      <c r="M5554" s="14">
        <v>752</v>
      </c>
      <c r="N5554" s="14">
        <v>0</v>
      </c>
      <c r="O5554" s="14">
        <v>5</v>
      </c>
      <c r="P5554" s="14">
        <v>757</v>
      </c>
      <c r="Q5554">
        <v>11289</v>
      </c>
      <c r="R5554">
        <v>1993</v>
      </c>
      <c r="S5554">
        <v>153</v>
      </c>
    </row>
    <row r="5555" spans="11:19" x14ac:dyDescent="0.3">
      <c r="K5555" s="16">
        <f t="shared" si="86"/>
        <v>44247</v>
      </c>
      <c r="L5555" s="17">
        <v>0.375</v>
      </c>
      <c r="M5555" s="14">
        <v>752</v>
      </c>
      <c r="N5555" s="14">
        <v>871</v>
      </c>
      <c r="O5555" s="14">
        <v>0</v>
      </c>
      <c r="P5555" s="14">
        <v>1623</v>
      </c>
      <c r="Q5555">
        <v>11727</v>
      </c>
      <c r="R5555">
        <v>2145</v>
      </c>
      <c r="S5555">
        <v>610</v>
      </c>
    </row>
    <row r="5556" spans="11:19" x14ac:dyDescent="0.3">
      <c r="K5556" s="16">
        <f t="shared" si="86"/>
        <v>44247</v>
      </c>
      <c r="L5556" s="17">
        <v>0.41666666666666669</v>
      </c>
      <c r="M5556" s="14">
        <v>752</v>
      </c>
      <c r="N5556" s="14">
        <v>0</v>
      </c>
      <c r="O5556" s="14">
        <v>0</v>
      </c>
      <c r="P5556" s="14">
        <v>752</v>
      </c>
      <c r="Q5556">
        <v>11780</v>
      </c>
      <c r="R5556">
        <v>2558</v>
      </c>
      <c r="S5556">
        <v>1039</v>
      </c>
    </row>
    <row r="5557" spans="11:19" x14ac:dyDescent="0.3">
      <c r="K5557" s="16">
        <f t="shared" si="86"/>
        <v>44247</v>
      </c>
      <c r="L5557" s="17">
        <v>0.45833333333333331</v>
      </c>
      <c r="M5557" s="14">
        <v>752</v>
      </c>
      <c r="N5557" s="14">
        <v>871</v>
      </c>
      <c r="O5557" s="14">
        <v>0</v>
      </c>
      <c r="P5557" s="14">
        <v>1623</v>
      </c>
      <c r="Q5557">
        <v>11852</v>
      </c>
      <c r="R5557">
        <v>3061</v>
      </c>
      <c r="S5557">
        <v>1276</v>
      </c>
    </row>
    <row r="5558" spans="11:19" x14ac:dyDescent="0.3">
      <c r="K5558" s="16">
        <f t="shared" si="86"/>
        <v>44247</v>
      </c>
      <c r="L5558" s="17">
        <v>0.5</v>
      </c>
      <c r="M5558" s="14">
        <v>752</v>
      </c>
      <c r="N5558" s="14">
        <v>0</v>
      </c>
      <c r="O5558" s="14">
        <v>0</v>
      </c>
      <c r="P5558" s="14">
        <v>752</v>
      </c>
      <c r="Q5558">
        <v>12044</v>
      </c>
      <c r="R5558">
        <v>3226</v>
      </c>
      <c r="S5558">
        <v>1391</v>
      </c>
    </row>
    <row r="5559" spans="11:19" x14ac:dyDescent="0.3">
      <c r="K5559" s="16">
        <f t="shared" si="86"/>
        <v>44247</v>
      </c>
      <c r="L5559" s="17">
        <v>0.54166666666666663</v>
      </c>
      <c r="M5559" s="14">
        <v>752</v>
      </c>
      <c r="N5559" s="14">
        <v>0</v>
      </c>
      <c r="O5559" s="14">
        <v>0</v>
      </c>
      <c r="P5559" s="14">
        <v>752</v>
      </c>
      <c r="Q5559">
        <v>11541</v>
      </c>
      <c r="R5559">
        <v>3038</v>
      </c>
      <c r="S5559">
        <v>1465</v>
      </c>
    </row>
    <row r="5560" spans="11:19" x14ac:dyDescent="0.3">
      <c r="K5560" s="16">
        <f t="shared" si="86"/>
        <v>44247</v>
      </c>
      <c r="L5560" s="17">
        <v>0.58333333333333337</v>
      </c>
      <c r="M5560" s="14">
        <v>752</v>
      </c>
      <c r="N5560" s="14">
        <v>310</v>
      </c>
      <c r="O5560" s="14">
        <v>0</v>
      </c>
      <c r="P5560" s="14">
        <v>1062</v>
      </c>
      <c r="Q5560">
        <v>11076</v>
      </c>
      <c r="R5560">
        <v>3186</v>
      </c>
      <c r="S5560">
        <v>1293</v>
      </c>
    </row>
    <row r="5561" spans="11:19" x14ac:dyDescent="0.3">
      <c r="K5561" s="16">
        <f t="shared" si="86"/>
        <v>44247</v>
      </c>
      <c r="L5561" s="17">
        <v>0.625</v>
      </c>
      <c r="M5561" s="14">
        <v>752</v>
      </c>
      <c r="N5561" s="14">
        <v>0</v>
      </c>
      <c r="O5561" s="14">
        <v>0</v>
      </c>
      <c r="P5561" s="14">
        <v>752</v>
      </c>
      <c r="Q5561">
        <v>10750</v>
      </c>
      <c r="R5561">
        <v>3336</v>
      </c>
      <c r="S5561">
        <v>873</v>
      </c>
    </row>
    <row r="5562" spans="11:19" x14ac:dyDescent="0.3">
      <c r="K5562" s="16">
        <f t="shared" si="86"/>
        <v>44247</v>
      </c>
      <c r="L5562" s="17">
        <v>0.66666666666666663</v>
      </c>
      <c r="M5562" s="14">
        <v>752</v>
      </c>
      <c r="N5562" s="14">
        <v>170</v>
      </c>
      <c r="O5562" s="14">
        <v>0</v>
      </c>
      <c r="P5562" s="14">
        <v>922</v>
      </c>
      <c r="Q5562">
        <v>10537</v>
      </c>
      <c r="R5562">
        <v>3623</v>
      </c>
      <c r="S5562">
        <v>462</v>
      </c>
    </row>
    <row r="5563" spans="11:19" x14ac:dyDescent="0.3">
      <c r="K5563" s="16">
        <f t="shared" si="86"/>
        <v>44247</v>
      </c>
      <c r="L5563" s="17">
        <v>0.70833333333333337</v>
      </c>
      <c r="M5563" s="14">
        <v>752</v>
      </c>
      <c r="N5563" s="14">
        <v>0</v>
      </c>
      <c r="O5563" s="14">
        <v>0</v>
      </c>
      <c r="P5563" s="14">
        <v>752</v>
      </c>
      <c r="Q5563">
        <v>10642</v>
      </c>
      <c r="R5563">
        <v>3892</v>
      </c>
      <c r="S5563">
        <v>113</v>
      </c>
    </row>
    <row r="5564" spans="11:19" x14ac:dyDescent="0.3">
      <c r="K5564" s="16">
        <f t="shared" si="86"/>
        <v>44247</v>
      </c>
      <c r="L5564" s="17">
        <v>0.75</v>
      </c>
      <c r="M5564" s="14">
        <v>752</v>
      </c>
      <c r="N5564" s="14">
        <v>871</v>
      </c>
      <c r="O5564" s="14">
        <v>0</v>
      </c>
      <c r="P5564" s="14">
        <v>1623</v>
      </c>
      <c r="Q5564">
        <v>11387</v>
      </c>
      <c r="R5564">
        <v>3947</v>
      </c>
      <c r="S5564">
        <v>9</v>
      </c>
    </row>
    <row r="5565" spans="11:19" x14ac:dyDescent="0.3">
      <c r="K5565" s="16">
        <f t="shared" si="86"/>
        <v>44247</v>
      </c>
      <c r="L5565" s="17">
        <v>0.79166666666666663</v>
      </c>
      <c r="M5565" s="14">
        <v>752</v>
      </c>
      <c r="N5565" s="14">
        <v>0</v>
      </c>
      <c r="O5565" s="14">
        <v>0</v>
      </c>
      <c r="P5565" s="14">
        <v>752</v>
      </c>
      <c r="Q5565">
        <v>11713</v>
      </c>
      <c r="R5565">
        <v>4096</v>
      </c>
      <c r="S5565">
        <v>0</v>
      </c>
    </row>
    <row r="5566" spans="11:19" x14ac:dyDescent="0.3">
      <c r="K5566" s="16">
        <f t="shared" si="86"/>
        <v>44247</v>
      </c>
      <c r="L5566" s="17">
        <v>0.83333333333333337</v>
      </c>
      <c r="M5566" s="14">
        <v>752</v>
      </c>
      <c r="N5566" s="14">
        <v>0</v>
      </c>
      <c r="O5566" s="14">
        <v>0</v>
      </c>
      <c r="P5566" s="14">
        <v>752</v>
      </c>
      <c r="Q5566">
        <v>11042</v>
      </c>
      <c r="R5566">
        <v>4379</v>
      </c>
      <c r="S5566">
        <v>0</v>
      </c>
    </row>
    <row r="5567" spans="11:19" x14ac:dyDescent="0.3">
      <c r="K5567" s="16">
        <f t="shared" si="86"/>
        <v>44247</v>
      </c>
      <c r="L5567" s="17">
        <v>0.875</v>
      </c>
      <c r="M5567" s="14">
        <v>752</v>
      </c>
      <c r="N5567" s="14">
        <v>0</v>
      </c>
      <c r="O5567" s="14">
        <v>-364</v>
      </c>
      <c r="P5567" s="14">
        <v>388</v>
      </c>
      <c r="Q5567">
        <v>10450</v>
      </c>
      <c r="R5567">
        <v>4392</v>
      </c>
      <c r="S5567">
        <v>0</v>
      </c>
    </row>
    <row r="5568" spans="11:19" x14ac:dyDescent="0.3">
      <c r="K5568" s="16">
        <f t="shared" si="86"/>
        <v>44247</v>
      </c>
      <c r="L5568" s="17">
        <v>0.91666666666666663</v>
      </c>
      <c r="M5568" s="14">
        <v>752</v>
      </c>
      <c r="N5568" s="14">
        <v>0</v>
      </c>
      <c r="O5568" s="14">
        <v>0</v>
      </c>
      <c r="P5568" s="14">
        <v>752</v>
      </c>
      <c r="Q5568">
        <v>10795</v>
      </c>
      <c r="R5568">
        <v>4198</v>
      </c>
      <c r="S5568">
        <v>0</v>
      </c>
    </row>
    <row r="5569" spans="11:19" x14ac:dyDescent="0.3">
      <c r="K5569" s="16">
        <f t="shared" si="86"/>
        <v>44247</v>
      </c>
      <c r="L5569" s="17">
        <v>0.95833333333333337</v>
      </c>
      <c r="M5569" s="14">
        <v>752</v>
      </c>
      <c r="N5569" s="14">
        <v>0</v>
      </c>
      <c r="O5569" s="14">
        <v>0</v>
      </c>
      <c r="P5569" s="14">
        <v>752</v>
      </c>
      <c r="Q5569">
        <v>11110</v>
      </c>
      <c r="R5569">
        <v>4158</v>
      </c>
      <c r="S5569">
        <v>0</v>
      </c>
    </row>
    <row r="5570" spans="11:19" x14ac:dyDescent="0.3">
      <c r="K5570" s="16">
        <f t="shared" si="86"/>
        <v>44248</v>
      </c>
      <c r="L5570" s="17">
        <v>0</v>
      </c>
      <c r="M5570" s="14">
        <v>752</v>
      </c>
      <c r="N5570" s="14">
        <v>0</v>
      </c>
      <c r="O5570" s="14">
        <v>326</v>
      </c>
      <c r="P5570" s="14">
        <v>1078</v>
      </c>
      <c r="Q5570">
        <v>10690</v>
      </c>
      <c r="R5570">
        <v>4184</v>
      </c>
      <c r="S5570">
        <v>0</v>
      </c>
    </row>
    <row r="5571" spans="11:19" x14ac:dyDescent="0.3">
      <c r="K5571" s="16">
        <f t="shared" si="86"/>
        <v>44248</v>
      </c>
      <c r="L5571" s="17">
        <v>4.1666666666666664E-2</v>
      </c>
      <c r="M5571" s="14">
        <v>752</v>
      </c>
      <c r="N5571" s="14">
        <v>0</v>
      </c>
      <c r="O5571" s="14">
        <v>0</v>
      </c>
      <c r="P5571" s="14">
        <v>752</v>
      </c>
      <c r="Q5571">
        <v>10350</v>
      </c>
      <c r="R5571">
        <v>4197</v>
      </c>
      <c r="S5571">
        <v>0</v>
      </c>
    </row>
    <row r="5572" spans="11:19" x14ac:dyDescent="0.3">
      <c r="K5572" s="16">
        <f t="shared" si="86"/>
        <v>44248</v>
      </c>
      <c r="L5572" s="17">
        <v>8.3333333333333329E-2</v>
      </c>
      <c r="M5572" s="14">
        <v>752</v>
      </c>
      <c r="N5572" s="14">
        <v>0</v>
      </c>
      <c r="O5572" s="14">
        <v>0</v>
      </c>
      <c r="P5572" s="14">
        <v>752</v>
      </c>
      <c r="Q5572">
        <v>9964</v>
      </c>
      <c r="R5572">
        <v>4282</v>
      </c>
      <c r="S5572">
        <v>0</v>
      </c>
    </row>
    <row r="5573" spans="11:19" x14ac:dyDescent="0.3">
      <c r="K5573" s="16">
        <f t="shared" si="86"/>
        <v>44248</v>
      </c>
      <c r="L5573" s="17">
        <v>0.125</v>
      </c>
      <c r="M5573" s="14">
        <v>752</v>
      </c>
      <c r="N5573" s="14">
        <v>0</v>
      </c>
      <c r="O5573" s="14">
        <v>-352</v>
      </c>
      <c r="P5573" s="14">
        <v>400</v>
      </c>
      <c r="Q5573">
        <v>9369</v>
      </c>
      <c r="R5573">
        <v>4161</v>
      </c>
      <c r="S5573">
        <v>0</v>
      </c>
    </row>
    <row r="5574" spans="11:19" x14ac:dyDescent="0.3">
      <c r="K5574" s="16">
        <f t="shared" si="86"/>
        <v>44248</v>
      </c>
      <c r="L5574" s="17">
        <v>0.16666666666666666</v>
      </c>
      <c r="M5574" s="14">
        <v>752</v>
      </c>
      <c r="N5574" s="14">
        <v>0</v>
      </c>
      <c r="O5574" s="14">
        <v>-725</v>
      </c>
      <c r="P5574" s="14">
        <v>27</v>
      </c>
      <c r="Q5574">
        <v>9026</v>
      </c>
      <c r="R5574">
        <v>4192</v>
      </c>
      <c r="S5574">
        <v>0</v>
      </c>
    </row>
    <row r="5575" spans="11:19" x14ac:dyDescent="0.3">
      <c r="K5575" s="16">
        <f t="shared" si="86"/>
        <v>44248</v>
      </c>
      <c r="L5575" s="17">
        <v>0.20833333333333334</v>
      </c>
      <c r="M5575" s="14">
        <v>752</v>
      </c>
      <c r="N5575" s="14">
        <v>0</v>
      </c>
      <c r="O5575" s="14">
        <v>-771</v>
      </c>
      <c r="P5575" s="14">
        <v>-19</v>
      </c>
      <c r="Q5575">
        <v>8970</v>
      </c>
      <c r="R5575">
        <v>4119</v>
      </c>
      <c r="S5575">
        <v>0</v>
      </c>
    </row>
    <row r="5576" spans="11:19" x14ac:dyDescent="0.3">
      <c r="K5576" s="16">
        <f t="shared" si="86"/>
        <v>44248</v>
      </c>
      <c r="L5576" s="17">
        <v>0.25</v>
      </c>
      <c r="M5576" s="14">
        <v>752</v>
      </c>
      <c r="N5576" s="14">
        <v>0</v>
      </c>
      <c r="O5576" s="14">
        <v>-505</v>
      </c>
      <c r="P5576" s="14">
        <v>247</v>
      </c>
      <c r="Q5576">
        <v>9064</v>
      </c>
      <c r="R5576">
        <v>4006</v>
      </c>
      <c r="S5576">
        <v>0</v>
      </c>
    </row>
    <row r="5577" spans="11:19" x14ac:dyDescent="0.3">
      <c r="K5577" s="16">
        <f t="shared" si="86"/>
        <v>44248</v>
      </c>
      <c r="L5577" s="17">
        <v>0.29166666666666669</v>
      </c>
      <c r="M5577" s="14">
        <v>752</v>
      </c>
      <c r="N5577" s="14">
        <v>0</v>
      </c>
      <c r="O5577" s="14">
        <v>-357</v>
      </c>
      <c r="P5577" s="14">
        <v>395</v>
      </c>
      <c r="Q5577">
        <v>9047</v>
      </c>
      <c r="R5577">
        <v>3826</v>
      </c>
      <c r="S5577">
        <v>6</v>
      </c>
    </row>
    <row r="5578" spans="11:19" x14ac:dyDescent="0.3">
      <c r="K5578" s="16">
        <f t="shared" si="86"/>
        <v>44248</v>
      </c>
      <c r="L5578" s="17">
        <v>0.33333333333333331</v>
      </c>
      <c r="M5578" s="14">
        <v>752</v>
      </c>
      <c r="N5578" s="14">
        <v>0</v>
      </c>
      <c r="O5578" s="14">
        <v>-541</v>
      </c>
      <c r="P5578" s="14">
        <v>211</v>
      </c>
      <c r="Q5578">
        <v>9296</v>
      </c>
      <c r="R5578">
        <v>3521</v>
      </c>
      <c r="S5578">
        <v>119</v>
      </c>
    </row>
    <row r="5579" spans="11:19" x14ac:dyDescent="0.3">
      <c r="K5579" s="16">
        <f t="shared" si="86"/>
        <v>44248</v>
      </c>
      <c r="L5579" s="17">
        <v>0.375</v>
      </c>
      <c r="M5579" s="14">
        <v>752</v>
      </c>
      <c r="N5579" s="14">
        <v>0</v>
      </c>
      <c r="O5579" s="14">
        <v>-304</v>
      </c>
      <c r="P5579" s="14">
        <v>448</v>
      </c>
      <c r="Q5579">
        <v>9659</v>
      </c>
      <c r="R5579">
        <v>3299</v>
      </c>
      <c r="S5579">
        <v>460</v>
      </c>
    </row>
    <row r="5580" spans="11:19" x14ac:dyDescent="0.3">
      <c r="K5580" s="16">
        <f t="shared" si="86"/>
        <v>44248</v>
      </c>
      <c r="L5580" s="17">
        <v>0.41666666666666669</v>
      </c>
      <c r="M5580" s="14">
        <v>752</v>
      </c>
      <c r="N5580" s="14">
        <v>0</v>
      </c>
      <c r="O5580" s="14">
        <v>0</v>
      </c>
      <c r="P5580" s="14">
        <v>752</v>
      </c>
      <c r="Q5580">
        <v>9921</v>
      </c>
      <c r="R5580">
        <v>2964</v>
      </c>
      <c r="S5580">
        <v>760</v>
      </c>
    </row>
    <row r="5581" spans="11:19" x14ac:dyDescent="0.3">
      <c r="K5581" s="16">
        <f t="shared" si="86"/>
        <v>44248</v>
      </c>
      <c r="L5581" s="17">
        <v>0.45833333333333331</v>
      </c>
      <c r="M5581" s="14">
        <v>752</v>
      </c>
      <c r="N5581" s="14">
        <v>0</v>
      </c>
      <c r="O5581" s="14">
        <v>327</v>
      </c>
      <c r="P5581" s="14">
        <v>1079</v>
      </c>
      <c r="Q5581">
        <v>10100</v>
      </c>
      <c r="R5581">
        <v>2630</v>
      </c>
      <c r="S5581">
        <v>934</v>
      </c>
    </row>
    <row r="5582" spans="11:19" x14ac:dyDescent="0.3">
      <c r="K5582" s="16">
        <f t="shared" si="86"/>
        <v>44248</v>
      </c>
      <c r="L5582" s="17">
        <v>0.5</v>
      </c>
      <c r="M5582" s="14">
        <v>752</v>
      </c>
      <c r="N5582" s="14">
        <v>0</v>
      </c>
      <c r="O5582" s="14">
        <v>647</v>
      </c>
      <c r="P5582" s="14">
        <v>1399</v>
      </c>
      <c r="Q5582">
        <v>10387</v>
      </c>
      <c r="R5582">
        <v>2483</v>
      </c>
      <c r="S5582">
        <v>1047</v>
      </c>
    </row>
    <row r="5583" spans="11:19" x14ac:dyDescent="0.3">
      <c r="K5583" s="16">
        <f t="shared" si="86"/>
        <v>44248</v>
      </c>
      <c r="L5583" s="17">
        <v>0.54166666666666663</v>
      </c>
      <c r="M5583" s="14">
        <v>752</v>
      </c>
      <c r="N5583" s="14">
        <v>0</v>
      </c>
      <c r="O5583" s="14">
        <v>0</v>
      </c>
      <c r="P5583" s="14">
        <v>752</v>
      </c>
      <c r="Q5583">
        <v>9765</v>
      </c>
      <c r="R5583">
        <v>2693</v>
      </c>
      <c r="S5583">
        <v>1108</v>
      </c>
    </row>
    <row r="5584" spans="11:19" x14ac:dyDescent="0.3">
      <c r="K5584" s="16">
        <f t="shared" si="86"/>
        <v>44248</v>
      </c>
      <c r="L5584" s="17">
        <v>0.58333333333333337</v>
      </c>
      <c r="M5584" s="14">
        <v>752</v>
      </c>
      <c r="N5584" s="14">
        <v>0</v>
      </c>
      <c r="O5584" s="14">
        <v>0</v>
      </c>
      <c r="P5584" s="14">
        <v>752</v>
      </c>
      <c r="Q5584">
        <v>9209</v>
      </c>
      <c r="R5584">
        <v>2543</v>
      </c>
      <c r="S5584">
        <v>1034</v>
      </c>
    </row>
    <row r="5585" spans="11:19" x14ac:dyDescent="0.3">
      <c r="K5585" s="16">
        <f t="shared" si="86"/>
        <v>44248</v>
      </c>
      <c r="L5585" s="17">
        <v>0.625</v>
      </c>
      <c r="M5585" s="14">
        <v>752</v>
      </c>
      <c r="N5585" s="14">
        <v>0</v>
      </c>
      <c r="O5585" s="14">
        <v>-732</v>
      </c>
      <c r="P5585" s="14">
        <v>20</v>
      </c>
      <c r="Q5585">
        <v>8835</v>
      </c>
      <c r="R5585">
        <v>2482</v>
      </c>
      <c r="S5585">
        <v>881</v>
      </c>
    </row>
    <row r="5586" spans="11:19" x14ac:dyDescent="0.3">
      <c r="K5586" s="16">
        <f t="shared" si="86"/>
        <v>44248</v>
      </c>
      <c r="L5586" s="17">
        <v>0.66666666666666663</v>
      </c>
      <c r="M5586" s="14">
        <v>752</v>
      </c>
      <c r="N5586" s="14">
        <v>0</v>
      </c>
      <c r="O5586" s="14">
        <v>-640</v>
      </c>
      <c r="P5586" s="14">
        <v>112</v>
      </c>
      <c r="Q5586">
        <v>8638</v>
      </c>
      <c r="R5586">
        <v>2588</v>
      </c>
      <c r="S5586">
        <v>489</v>
      </c>
    </row>
    <row r="5587" spans="11:19" x14ac:dyDescent="0.3">
      <c r="K5587" s="16">
        <f t="shared" si="86"/>
        <v>44248</v>
      </c>
      <c r="L5587" s="17">
        <v>0.70833333333333337</v>
      </c>
      <c r="M5587" s="14">
        <v>752</v>
      </c>
      <c r="N5587" s="14">
        <v>0</v>
      </c>
      <c r="O5587" s="14">
        <v>-349</v>
      </c>
      <c r="P5587" s="14">
        <v>403</v>
      </c>
      <c r="Q5587">
        <v>8796</v>
      </c>
      <c r="R5587">
        <v>2805</v>
      </c>
      <c r="S5587">
        <v>139</v>
      </c>
    </row>
    <row r="5588" spans="11:19" x14ac:dyDescent="0.3">
      <c r="K5588" s="16">
        <f t="shared" si="86"/>
        <v>44248</v>
      </c>
      <c r="L5588" s="17">
        <v>0.75</v>
      </c>
      <c r="M5588" s="14">
        <v>752</v>
      </c>
      <c r="N5588" s="14">
        <v>0</v>
      </c>
      <c r="O5588" s="14">
        <v>577</v>
      </c>
      <c r="P5588" s="14">
        <v>1329</v>
      </c>
      <c r="Q5588">
        <v>9753</v>
      </c>
      <c r="R5588">
        <v>2968</v>
      </c>
      <c r="S5588">
        <v>12</v>
      </c>
    </row>
    <row r="5589" spans="11:19" x14ac:dyDescent="0.3">
      <c r="K5589" s="16">
        <f t="shared" si="86"/>
        <v>44248</v>
      </c>
      <c r="L5589" s="17">
        <v>0.79166666666666663</v>
      </c>
      <c r="M5589" s="14">
        <v>752</v>
      </c>
      <c r="N5589" s="14">
        <v>0</v>
      </c>
      <c r="O5589" s="14">
        <v>970</v>
      </c>
      <c r="P5589" s="14">
        <v>1722</v>
      </c>
      <c r="Q5589">
        <v>10100</v>
      </c>
      <c r="R5589">
        <v>2935</v>
      </c>
      <c r="S5589">
        <v>0</v>
      </c>
    </row>
    <row r="5590" spans="11:19" x14ac:dyDescent="0.3">
      <c r="K5590" s="16">
        <f t="shared" si="86"/>
        <v>44248</v>
      </c>
      <c r="L5590" s="17">
        <v>0.83333333333333337</v>
      </c>
      <c r="M5590" s="14">
        <v>752</v>
      </c>
      <c r="N5590" s="14">
        <v>0</v>
      </c>
      <c r="O5590" s="14">
        <v>458</v>
      </c>
      <c r="P5590" s="14">
        <v>1210</v>
      </c>
      <c r="Q5590">
        <v>9712</v>
      </c>
      <c r="R5590">
        <v>2988</v>
      </c>
      <c r="S5590">
        <v>0</v>
      </c>
    </row>
    <row r="5591" spans="11:19" x14ac:dyDescent="0.3">
      <c r="K5591" s="16">
        <f t="shared" si="86"/>
        <v>44248</v>
      </c>
      <c r="L5591" s="17">
        <v>0.875</v>
      </c>
      <c r="M5591" s="14">
        <v>752</v>
      </c>
      <c r="N5591" s="14">
        <v>0</v>
      </c>
      <c r="O5591" s="14">
        <v>0</v>
      </c>
      <c r="P5591" s="14">
        <v>752</v>
      </c>
      <c r="Q5591">
        <v>9328</v>
      </c>
      <c r="R5591">
        <v>3072</v>
      </c>
      <c r="S5591">
        <v>0</v>
      </c>
    </row>
    <row r="5592" spans="11:19" x14ac:dyDescent="0.3">
      <c r="K5592" s="16">
        <f t="shared" si="86"/>
        <v>44248</v>
      </c>
      <c r="L5592" s="17">
        <v>0.91666666666666663</v>
      </c>
      <c r="M5592" s="14">
        <v>752</v>
      </c>
      <c r="N5592" s="14">
        <v>0</v>
      </c>
      <c r="O5592" s="14">
        <v>308</v>
      </c>
      <c r="P5592" s="14">
        <v>1060</v>
      </c>
      <c r="Q5592">
        <v>9618</v>
      </c>
      <c r="R5592">
        <v>3052</v>
      </c>
      <c r="S5592">
        <v>0</v>
      </c>
    </row>
    <row r="5593" spans="11:19" x14ac:dyDescent="0.3">
      <c r="K5593" s="16">
        <f t="shared" si="86"/>
        <v>44248</v>
      </c>
      <c r="L5593" s="17">
        <v>0.95833333333333337</v>
      </c>
      <c r="M5593" s="14">
        <v>752</v>
      </c>
      <c r="N5593" s="14">
        <v>0</v>
      </c>
      <c r="O5593" s="14">
        <v>612</v>
      </c>
      <c r="P5593" s="14">
        <v>1364</v>
      </c>
      <c r="Q5593">
        <v>9906</v>
      </c>
      <c r="R5593">
        <v>3033</v>
      </c>
      <c r="S5593">
        <v>0</v>
      </c>
    </row>
    <row r="5594" spans="11:19" x14ac:dyDescent="0.3">
      <c r="K5594" s="16">
        <f t="shared" si="86"/>
        <v>44249</v>
      </c>
      <c r="L5594" s="17">
        <v>0</v>
      </c>
      <c r="M5594" s="14">
        <v>752</v>
      </c>
      <c r="N5594" s="14">
        <v>0</v>
      </c>
      <c r="O5594" s="14">
        <v>0</v>
      </c>
      <c r="P5594" s="14">
        <v>752</v>
      </c>
      <c r="Q5594">
        <v>9562</v>
      </c>
      <c r="R5594">
        <v>3143</v>
      </c>
      <c r="S5594">
        <v>0</v>
      </c>
    </row>
    <row r="5595" spans="11:19" x14ac:dyDescent="0.3">
      <c r="K5595" s="16">
        <f t="shared" ref="K5595:K5658" si="87">K5571+1</f>
        <v>44249</v>
      </c>
      <c r="L5595" s="17">
        <v>4.1666666666666664E-2</v>
      </c>
      <c r="M5595" s="14">
        <v>752</v>
      </c>
      <c r="N5595" s="14">
        <v>0</v>
      </c>
      <c r="O5595" s="14">
        <v>0</v>
      </c>
      <c r="P5595" s="14">
        <v>752</v>
      </c>
      <c r="Q5595">
        <v>9359</v>
      </c>
      <c r="R5595">
        <v>3099</v>
      </c>
      <c r="S5595">
        <v>0</v>
      </c>
    </row>
    <row r="5596" spans="11:19" x14ac:dyDescent="0.3">
      <c r="K5596" s="16">
        <f t="shared" si="87"/>
        <v>44249</v>
      </c>
      <c r="L5596" s="17">
        <v>8.3333333333333329E-2</v>
      </c>
      <c r="M5596" s="14">
        <v>752</v>
      </c>
      <c r="N5596" s="14">
        <v>0</v>
      </c>
      <c r="O5596" s="14">
        <v>-226</v>
      </c>
      <c r="P5596" s="14">
        <v>526</v>
      </c>
      <c r="Q5596">
        <v>9129</v>
      </c>
      <c r="R5596">
        <v>3097</v>
      </c>
      <c r="S5596">
        <v>0</v>
      </c>
    </row>
    <row r="5597" spans="11:19" x14ac:dyDescent="0.3">
      <c r="K5597" s="16">
        <f t="shared" si="87"/>
        <v>44249</v>
      </c>
      <c r="L5597" s="17">
        <v>0.125</v>
      </c>
      <c r="M5597" s="14">
        <v>752</v>
      </c>
      <c r="N5597" s="14">
        <v>0</v>
      </c>
      <c r="O5597" s="14">
        <v>-602</v>
      </c>
      <c r="P5597" s="14">
        <v>150</v>
      </c>
      <c r="Q5597">
        <v>8744</v>
      </c>
      <c r="R5597">
        <v>3088</v>
      </c>
      <c r="S5597">
        <v>0</v>
      </c>
    </row>
    <row r="5598" spans="11:19" x14ac:dyDescent="0.3">
      <c r="K5598" s="16">
        <f t="shared" si="87"/>
        <v>44249</v>
      </c>
      <c r="L5598" s="17">
        <v>0.16666666666666666</v>
      </c>
      <c r="M5598" s="14">
        <v>752</v>
      </c>
      <c r="N5598" s="14">
        <v>0</v>
      </c>
      <c r="O5598" s="14">
        <v>-725</v>
      </c>
      <c r="P5598" s="14">
        <v>27</v>
      </c>
      <c r="Q5598">
        <v>8731</v>
      </c>
      <c r="R5598">
        <v>3199</v>
      </c>
      <c r="S5598">
        <v>0</v>
      </c>
    </row>
    <row r="5599" spans="11:19" x14ac:dyDescent="0.3">
      <c r="K5599" s="16">
        <f t="shared" si="87"/>
        <v>44249</v>
      </c>
      <c r="L5599" s="17">
        <v>0.20833333333333334</v>
      </c>
      <c r="M5599" s="14">
        <v>752</v>
      </c>
      <c r="N5599" s="14">
        <v>0</v>
      </c>
      <c r="O5599" s="14">
        <v>-44</v>
      </c>
      <c r="P5599" s="14">
        <v>708</v>
      </c>
      <c r="Q5599">
        <v>9312</v>
      </c>
      <c r="R5599">
        <v>3097</v>
      </c>
      <c r="S5599">
        <v>0</v>
      </c>
    </row>
    <row r="5600" spans="11:19" x14ac:dyDescent="0.3">
      <c r="K5600" s="16">
        <f t="shared" si="87"/>
        <v>44249</v>
      </c>
      <c r="L5600" s="17">
        <v>0.25</v>
      </c>
      <c r="M5600" s="14">
        <v>752</v>
      </c>
      <c r="N5600" s="14">
        <v>0</v>
      </c>
      <c r="O5600" s="14">
        <v>0</v>
      </c>
      <c r="P5600" s="14">
        <v>752</v>
      </c>
      <c r="Q5600">
        <v>10474</v>
      </c>
      <c r="R5600">
        <v>3020</v>
      </c>
      <c r="S5600">
        <v>0</v>
      </c>
    </row>
    <row r="5601" spans="11:19" x14ac:dyDescent="0.3">
      <c r="K5601" s="16">
        <f t="shared" si="87"/>
        <v>44249</v>
      </c>
      <c r="L5601" s="17">
        <v>0.29166666666666669</v>
      </c>
      <c r="M5601" s="14">
        <v>752</v>
      </c>
      <c r="N5601" s="14">
        <v>946</v>
      </c>
      <c r="O5601" s="14">
        <v>0</v>
      </c>
      <c r="P5601" s="14">
        <v>1698</v>
      </c>
      <c r="Q5601">
        <v>11325</v>
      </c>
      <c r="R5601">
        <v>3172</v>
      </c>
      <c r="S5601">
        <v>7</v>
      </c>
    </row>
    <row r="5602" spans="11:19" x14ac:dyDescent="0.3">
      <c r="K5602" s="16">
        <f t="shared" si="87"/>
        <v>44249</v>
      </c>
      <c r="L5602" s="17">
        <v>0.33333333333333331</v>
      </c>
      <c r="M5602" s="14">
        <v>752</v>
      </c>
      <c r="N5602" s="14">
        <v>946</v>
      </c>
      <c r="O5602" s="14">
        <v>0</v>
      </c>
      <c r="P5602" s="14">
        <v>1698</v>
      </c>
      <c r="Q5602">
        <v>11684</v>
      </c>
      <c r="R5602">
        <v>3146</v>
      </c>
      <c r="S5602">
        <v>129</v>
      </c>
    </row>
    <row r="5603" spans="11:19" x14ac:dyDescent="0.3">
      <c r="K5603" s="16">
        <f t="shared" si="87"/>
        <v>44249</v>
      </c>
      <c r="L5603" s="17">
        <v>0.375</v>
      </c>
      <c r="M5603" s="14">
        <v>752</v>
      </c>
      <c r="N5603" s="14">
        <v>946</v>
      </c>
      <c r="O5603" s="14">
        <v>0</v>
      </c>
      <c r="P5603" s="14">
        <v>1698</v>
      </c>
      <c r="Q5603">
        <v>11850</v>
      </c>
      <c r="R5603">
        <v>2973</v>
      </c>
      <c r="S5603">
        <v>513</v>
      </c>
    </row>
    <row r="5604" spans="11:19" x14ac:dyDescent="0.3">
      <c r="K5604" s="16">
        <f t="shared" si="87"/>
        <v>44249</v>
      </c>
      <c r="L5604" s="17">
        <v>0.41666666666666669</v>
      </c>
      <c r="M5604" s="14">
        <v>752</v>
      </c>
      <c r="N5604" s="14">
        <v>946</v>
      </c>
      <c r="O5604" s="14">
        <v>0</v>
      </c>
      <c r="P5604" s="14">
        <v>1698</v>
      </c>
      <c r="Q5604">
        <v>11870</v>
      </c>
      <c r="R5604">
        <v>2872</v>
      </c>
      <c r="S5604">
        <v>920</v>
      </c>
    </row>
    <row r="5605" spans="11:19" x14ac:dyDescent="0.3">
      <c r="K5605" s="16">
        <f t="shared" si="87"/>
        <v>44249</v>
      </c>
      <c r="L5605" s="17">
        <v>0.45833333333333331</v>
      </c>
      <c r="M5605" s="14">
        <v>752</v>
      </c>
      <c r="N5605" s="14">
        <v>0</v>
      </c>
      <c r="O5605" s="14">
        <v>0</v>
      </c>
      <c r="P5605" s="14">
        <v>752</v>
      </c>
      <c r="Q5605">
        <v>11966</v>
      </c>
      <c r="R5605">
        <v>2595</v>
      </c>
      <c r="S5605">
        <v>1152</v>
      </c>
    </row>
    <row r="5606" spans="11:19" x14ac:dyDescent="0.3">
      <c r="K5606" s="16">
        <f t="shared" si="87"/>
        <v>44249</v>
      </c>
      <c r="L5606" s="17">
        <v>0.5</v>
      </c>
      <c r="M5606" s="14">
        <v>752</v>
      </c>
      <c r="N5606" s="14">
        <v>946</v>
      </c>
      <c r="O5606" s="14">
        <v>0</v>
      </c>
      <c r="P5606" s="14">
        <v>1698</v>
      </c>
      <c r="Q5606">
        <v>11977</v>
      </c>
      <c r="R5606">
        <v>2525</v>
      </c>
      <c r="S5606">
        <v>1285</v>
      </c>
    </row>
    <row r="5607" spans="11:19" x14ac:dyDescent="0.3">
      <c r="K5607" s="16">
        <f t="shared" si="87"/>
        <v>44249</v>
      </c>
      <c r="L5607" s="17">
        <v>0.54166666666666663</v>
      </c>
      <c r="M5607" s="14">
        <v>752</v>
      </c>
      <c r="N5607" s="14">
        <v>946</v>
      </c>
      <c r="O5607" s="14">
        <v>0</v>
      </c>
      <c r="P5607" s="14">
        <v>1698</v>
      </c>
      <c r="Q5607">
        <v>11696</v>
      </c>
      <c r="R5607">
        <v>2641</v>
      </c>
      <c r="S5607">
        <v>1347</v>
      </c>
    </row>
    <row r="5608" spans="11:19" x14ac:dyDescent="0.3">
      <c r="K5608" s="16">
        <f t="shared" si="87"/>
        <v>44249</v>
      </c>
      <c r="L5608" s="17">
        <v>0.58333333333333337</v>
      </c>
      <c r="M5608" s="14">
        <v>752</v>
      </c>
      <c r="N5608" s="14">
        <v>946</v>
      </c>
      <c r="O5608" s="14">
        <v>0</v>
      </c>
      <c r="P5608" s="14">
        <v>1698</v>
      </c>
      <c r="Q5608">
        <v>11377</v>
      </c>
      <c r="R5608">
        <v>2383</v>
      </c>
      <c r="S5608">
        <v>1236</v>
      </c>
    </row>
    <row r="5609" spans="11:19" x14ac:dyDescent="0.3">
      <c r="K5609" s="16">
        <f t="shared" si="87"/>
        <v>44249</v>
      </c>
      <c r="L5609" s="17">
        <v>0.625</v>
      </c>
      <c r="M5609" s="14">
        <v>752</v>
      </c>
      <c r="N5609" s="14">
        <v>0</v>
      </c>
      <c r="O5609" s="14">
        <v>0</v>
      </c>
      <c r="P5609" s="14">
        <v>752</v>
      </c>
      <c r="Q5609">
        <v>11045</v>
      </c>
      <c r="R5609">
        <v>2434</v>
      </c>
      <c r="S5609">
        <v>1063</v>
      </c>
    </row>
    <row r="5610" spans="11:19" x14ac:dyDescent="0.3">
      <c r="K5610" s="16">
        <f t="shared" si="87"/>
        <v>44249</v>
      </c>
      <c r="L5610" s="17">
        <v>0.66666666666666663</v>
      </c>
      <c r="M5610" s="14">
        <v>752</v>
      </c>
      <c r="N5610" s="14">
        <v>946</v>
      </c>
      <c r="O5610" s="14">
        <v>0</v>
      </c>
      <c r="P5610" s="14">
        <v>1698</v>
      </c>
      <c r="Q5610">
        <v>10848</v>
      </c>
      <c r="R5610">
        <v>2214</v>
      </c>
      <c r="S5610">
        <v>617</v>
      </c>
    </row>
    <row r="5611" spans="11:19" x14ac:dyDescent="0.3">
      <c r="K5611" s="16">
        <f t="shared" si="87"/>
        <v>44249</v>
      </c>
      <c r="L5611" s="17">
        <v>0.70833333333333337</v>
      </c>
      <c r="M5611" s="14">
        <v>752</v>
      </c>
      <c r="N5611" s="14">
        <v>0</v>
      </c>
      <c r="O5611" s="14">
        <v>0</v>
      </c>
      <c r="P5611" s="14">
        <v>752</v>
      </c>
      <c r="Q5611">
        <v>11036</v>
      </c>
      <c r="R5611">
        <v>1925</v>
      </c>
      <c r="S5611">
        <v>175</v>
      </c>
    </row>
    <row r="5612" spans="11:19" x14ac:dyDescent="0.3">
      <c r="K5612" s="16">
        <f t="shared" si="87"/>
        <v>44249</v>
      </c>
      <c r="L5612" s="17">
        <v>0.75</v>
      </c>
      <c r="M5612" s="14">
        <v>752</v>
      </c>
      <c r="N5612" s="14">
        <v>946</v>
      </c>
      <c r="O5612" s="14">
        <v>97</v>
      </c>
      <c r="P5612" s="14">
        <v>1795</v>
      </c>
      <c r="Q5612">
        <v>11985</v>
      </c>
      <c r="R5612">
        <v>1777</v>
      </c>
      <c r="S5612">
        <v>17</v>
      </c>
    </row>
    <row r="5613" spans="11:19" x14ac:dyDescent="0.3">
      <c r="K5613" s="16">
        <f t="shared" si="87"/>
        <v>44249</v>
      </c>
      <c r="L5613" s="17">
        <v>0.79166666666666663</v>
      </c>
      <c r="M5613" s="14">
        <v>752</v>
      </c>
      <c r="N5613" s="14">
        <v>345</v>
      </c>
      <c r="O5613" s="14">
        <v>1181</v>
      </c>
      <c r="P5613" s="14">
        <v>2278</v>
      </c>
      <c r="Q5613">
        <v>12121</v>
      </c>
      <c r="R5613">
        <v>1449</v>
      </c>
      <c r="S5613">
        <v>0</v>
      </c>
    </row>
    <row r="5614" spans="11:19" x14ac:dyDescent="0.3">
      <c r="K5614" s="16">
        <f t="shared" si="87"/>
        <v>44249</v>
      </c>
      <c r="L5614" s="17">
        <v>0.83333333333333337</v>
      </c>
      <c r="M5614" s="14">
        <v>752</v>
      </c>
      <c r="N5614" s="14">
        <v>946</v>
      </c>
      <c r="O5614" s="14">
        <v>0</v>
      </c>
      <c r="P5614" s="14">
        <v>1698</v>
      </c>
      <c r="Q5614">
        <v>11311</v>
      </c>
      <c r="R5614">
        <v>1309</v>
      </c>
      <c r="S5614">
        <v>0</v>
      </c>
    </row>
    <row r="5615" spans="11:19" x14ac:dyDescent="0.3">
      <c r="K5615" s="16">
        <f t="shared" si="87"/>
        <v>44249</v>
      </c>
      <c r="L5615" s="17">
        <v>0.875</v>
      </c>
      <c r="M5615" s="14">
        <v>752</v>
      </c>
      <c r="N5615" s="14">
        <v>946</v>
      </c>
      <c r="O5615" s="14">
        <v>0</v>
      </c>
      <c r="P5615" s="14">
        <v>1698</v>
      </c>
      <c r="Q5615">
        <v>10593</v>
      </c>
      <c r="R5615">
        <v>1196</v>
      </c>
      <c r="S5615">
        <v>0</v>
      </c>
    </row>
    <row r="5616" spans="11:19" x14ac:dyDescent="0.3">
      <c r="K5616" s="16">
        <f t="shared" si="87"/>
        <v>44249</v>
      </c>
      <c r="L5616" s="17">
        <v>0.91666666666666663</v>
      </c>
      <c r="M5616" s="14">
        <v>752</v>
      </c>
      <c r="N5616" s="14">
        <v>946</v>
      </c>
      <c r="O5616" s="14">
        <v>0</v>
      </c>
      <c r="P5616" s="14">
        <v>1698</v>
      </c>
      <c r="Q5616">
        <v>10829</v>
      </c>
      <c r="R5616">
        <v>1159</v>
      </c>
      <c r="S5616">
        <v>0</v>
      </c>
    </row>
    <row r="5617" spans="11:19" x14ac:dyDescent="0.3">
      <c r="K5617" s="16">
        <f t="shared" si="87"/>
        <v>44249</v>
      </c>
      <c r="L5617" s="17">
        <v>0.95833333333333337</v>
      </c>
      <c r="M5617" s="14">
        <v>752</v>
      </c>
      <c r="N5617" s="14">
        <v>946</v>
      </c>
      <c r="O5617" s="14">
        <v>0</v>
      </c>
      <c r="P5617" s="14">
        <v>1698</v>
      </c>
      <c r="Q5617">
        <v>11027</v>
      </c>
      <c r="R5617">
        <v>1099</v>
      </c>
      <c r="S5617">
        <v>0</v>
      </c>
    </row>
    <row r="5618" spans="11:19" x14ac:dyDescent="0.3">
      <c r="K5618" s="16">
        <f t="shared" si="87"/>
        <v>44250</v>
      </c>
      <c r="L5618" s="17">
        <v>0</v>
      </c>
      <c r="M5618" s="14">
        <v>752</v>
      </c>
      <c r="N5618" s="14">
        <v>1363</v>
      </c>
      <c r="O5618" s="14">
        <v>0</v>
      </c>
      <c r="P5618" s="14">
        <v>2115</v>
      </c>
      <c r="Q5618">
        <v>10668</v>
      </c>
      <c r="R5618">
        <v>1232</v>
      </c>
      <c r="S5618">
        <v>0</v>
      </c>
    </row>
    <row r="5619" spans="11:19" x14ac:dyDescent="0.3">
      <c r="K5619" s="16">
        <f t="shared" si="87"/>
        <v>44250</v>
      </c>
      <c r="L5619" s="17">
        <v>4.1666666666666664E-2</v>
      </c>
      <c r="M5619" s="14">
        <v>752</v>
      </c>
      <c r="N5619" s="14">
        <v>1363</v>
      </c>
      <c r="O5619" s="14">
        <v>0</v>
      </c>
      <c r="P5619" s="14">
        <v>2115</v>
      </c>
      <c r="Q5619">
        <v>10405</v>
      </c>
      <c r="R5619">
        <v>1320</v>
      </c>
      <c r="S5619">
        <v>0</v>
      </c>
    </row>
    <row r="5620" spans="11:19" x14ac:dyDescent="0.3">
      <c r="K5620" s="16">
        <f t="shared" si="87"/>
        <v>44250</v>
      </c>
      <c r="L5620" s="17">
        <v>8.3333333333333329E-2</v>
      </c>
      <c r="M5620" s="14">
        <v>752</v>
      </c>
      <c r="N5620" s="14">
        <v>1363</v>
      </c>
      <c r="O5620" s="14">
        <v>0</v>
      </c>
      <c r="P5620" s="14">
        <v>2115</v>
      </c>
      <c r="Q5620">
        <v>10167</v>
      </c>
      <c r="R5620">
        <v>1339</v>
      </c>
      <c r="S5620">
        <v>0</v>
      </c>
    </row>
    <row r="5621" spans="11:19" x14ac:dyDescent="0.3">
      <c r="K5621" s="16">
        <f t="shared" si="87"/>
        <v>44250</v>
      </c>
      <c r="L5621" s="17">
        <v>0.125</v>
      </c>
      <c r="M5621" s="14">
        <v>752</v>
      </c>
      <c r="N5621" s="14">
        <v>1363</v>
      </c>
      <c r="O5621" s="14">
        <v>0</v>
      </c>
      <c r="P5621" s="14">
        <v>2115</v>
      </c>
      <c r="Q5621">
        <v>9788</v>
      </c>
      <c r="R5621">
        <v>1338</v>
      </c>
      <c r="S5621">
        <v>0</v>
      </c>
    </row>
    <row r="5622" spans="11:19" x14ac:dyDescent="0.3">
      <c r="K5622" s="16">
        <f t="shared" si="87"/>
        <v>44250</v>
      </c>
      <c r="L5622" s="17">
        <v>0.16666666666666666</v>
      </c>
      <c r="M5622" s="14">
        <v>752</v>
      </c>
      <c r="N5622" s="14">
        <v>0</v>
      </c>
      <c r="O5622" s="14">
        <v>0</v>
      </c>
      <c r="P5622" s="14">
        <v>752</v>
      </c>
      <c r="Q5622">
        <v>9760</v>
      </c>
      <c r="R5622">
        <v>1225</v>
      </c>
      <c r="S5622">
        <v>0</v>
      </c>
    </row>
    <row r="5623" spans="11:19" x14ac:dyDescent="0.3">
      <c r="K5623" s="16">
        <f t="shared" si="87"/>
        <v>44250</v>
      </c>
      <c r="L5623" s="17">
        <v>0.20833333333333334</v>
      </c>
      <c r="M5623" s="14">
        <v>752</v>
      </c>
      <c r="N5623" s="14">
        <v>1363</v>
      </c>
      <c r="O5623" s="14">
        <v>0</v>
      </c>
      <c r="P5623" s="14">
        <v>2115</v>
      </c>
      <c r="Q5623">
        <v>10299</v>
      </c>
      <c r="R5623">
        <v>1168</v>
      </c>
      <c r="S5623">
        <v>0</v>
      </c>
    </row>
    <row r="5624" spans="11:19" x14ac:dyDescent="0.3">
      <c r="K5624" s="16">
        <f t="shared" si="87"/>
        <v>44250</v>
      </c>
      <c r="L5624" s="17">
        <v>0.25</v>
      </c>
      <c r="M5624" s="14">
        <v>752</v>
      </c>
      <c r="N5624" s="14">
        <v>1363</v>
      </c>
      <c r="O5624" s="14">
        <v>0</v>
      </c>
      <c r="P5624" s="14">
        <v>2115</v>
      </c>
      <c r="Q5624">
        <v>11450</v>
      </c>
      <c r="R5624">
        <v>1212</v>
      </c>
      <c r="S5624">
        <v>0</v>
      </c>
    </row>
    <row r="5625" spans="11:19" x14ac:dyDescent="0.3">
      <c r="K5625" s="16">
        <f t="shared" si="87"/>
        <v>44250</v>
      </c>
      <c r="L5625" s="17">
        <v>0.29166666666666669</v>
      </c>
      <c r="M5625" s="14">
        <v>752</v>
      </c>
      <c r="N5625" s="14">
        <v>1363</v>
      </c>
      <c r="O5625" s="14">
        <v>0</v>
      </c>
      <c r="P5625" s="14">
        <v>2115</v>
      </c>
      <c r="Q5625">
        <v>12271</v>
      </c>
      <c r="R5625">
        <v>1233</v>
      </c>
      <c r="S5625">
        <v>8</v>
      </c>
    </row>
    <row r="5626" spans="11:19" x14ac:dyDescent="0.3">
      <c r="K5626" s="16">
        <f t="shared" si="87"/>
        <v>44250</v>
      </c>
      <c r="L5626" s="17">
        <v>0.33333333333333331</v>
      </c>
      <c r="M5626" s="14">
        <v>752</v>
      </c>
      <c r="N5626" s="14">
        <v>1363</v>
      </c>
      <c r="O5626" s="14">
        <v>0</v>
      </c>
      <c r="P5626" s="14">
        <v>2115</v>
      </c>
      <c r="Q5626">
        <v>12579</v>
      </c>
      <c r="R5626">
        <v>1205</v>
      </c>
      <c r="S5626">
        <v>169</v>
      </c>
    </row>
    <row r="5627" spans="11:19" x14ac:dyDescent="0.3">
      <c r="K5627" s="16">
        <f t="shared" si="87"/>
        <v>44250</v>
      </c>
      <c r="L5627" s="17">
        <v>0.375</v>
      </c>
      <c r="M5627" s="14">
        <v>752</v>
      </c>
      <c r="N5627" s="14">
        <v>1363</v>
      </c>
      <c r="O5627" s="14">
        <v>0</v>
      </c>
      <c r="P5627" s="14">
        <v>2115</v>
      </c>
      <c r="Q5627">
        <v>12630</v>
      </c>
      <c r="R5627">
        <v>1297</v>
      </c>
      <c r="S5627">
        <v>626</v>
      </c>
    </row>
    <row r="5628" spans="11:19" x14ac:dyDescent="0.3">
      <c r="K5628" s="16">
        <f t="shared" si="87"/>
        <v>44250</v>
      </c>
      <c r="L5628" s="17">
        <v>0.41666666666666669</v>
      </c>
      <c r="M5628" s="14">
        <v>752</v>
      </c>
      <c r="N5628" s="14">
        <v>724</v>
      </c>
      <c r="O5628" s="14">
        <v>0</v>
      </c>
      <c r="P5628" s="14">
        <v>1476</v>
      </c>
      <c r="Q5628">
        <v>12499</v>
      </c>
      <c r="R5628">
        <v>1499</v>
      </c>
      <c r="S5628">
        <v>1128</v>
      </c>
    </row>
    <row r="5629" spans="11:19" x14ac:dyDescent="0.3">
      <c r="K5629" s="16">
        <f t="shared" si="87"/>
        <v>44250</v>
      </c>
      <c r="L5629" s="17">
        <v>0.45833333333333331</v>
      </c>
      <c r="M5629" s="14">
        <v>752</v>
      </c>
      <c r="N5629" s="14">
        <v>316</v>
      </c>
      <c r="O5629" s="14">
        <v>0</v>
      </c>
      <c r="P5629" s="14">
        <v>1068</v>
      </c>
      <c r="Q5629">
        <v>12466</v>
      </c>
      <c r="R5629">
        <v>1548</v>
      </c>
      <c r="S5629">
        <v>1453</v>
      </c>
    </row>
    <row r="5630" spans="11:19" x14ac:dyDescent="0.3">
      <c r="K5630" s="16">
        <f t="shared" si="87"/>
        <v>44250</v>
      </c>
      <c r="L5630" s="17">
        <v>0.5</v>
      </c>
      <c r="M5630" s="14">
        <v>752</v>
      </c>
      <c r="N5630" s="14">
        <v>1363</v>
      </c>
      <c r="O5630" s="14">
        <v>0</v>
      </c>
      <c r="P5630" s="14">
        <v>2115</v>
      </c>
      <c r="Q5630">
        <v>12289</v>
      </c>
      <c r="R5630">
        <v>1755</v>
      </c>
      <c r="S5630">
        <v>1638</v>
      </c>
    </row>
    <row r="5631" spans="11:19" x14ac:dyDescent="0.3">
      <c r="K5631" s="16">
        <f t="shared" si="87"/>
        <v>44250</v>
      </c>
      <c r="L5631" s="17">
        <v>0.54166666666666663</v>
      </c>
      <c r="M5631" s="14">
        <v>752</v>
      </c>
      <c r="N5631" s="14">
        <v>1363</v>
      </c>
      <c r="O5631" s="14">
        <v>0</v>
      </c>
      <c r="P5631" s="14">
        <v>2115</v>
      </c>
      <c r="Q5631">
        <v>11897</v>
      </c>
      <c r="R5631">
        <v>2044</v>
      </c>
      <c r="S5631">
        <v>1780</v>
      </c>
    </row>
    <row r="5632" spans="11:19" x14ac:dyDescent="0.3">
      <c r="K5632" s="16">
        <f t="shared" si="87"/>
        <v>44250</v>
      </c>
      <c r="L5632" s="17">
        <v>0.58333333333333337</v>
      </c>
      <c r="M5632" s="14">
        <v>752</v>
      </c>
      <c r="N5632" s="14">
        <v>1122</v>
      </c>
      <c r="O5632" s="14">
        <v>0</v>
      </c>
      <c r="P5632" s="14">
        <v>1874</v>
      </c>
      <c r="Q5632">
        <v>11554</v>
      </c>
      <c r="R5632">
        <v>2303</v>
      </c>
      <c r="S5632">
        <v>1677</v>
      </c>
    </row>
    <row r="5633" spans="11:19" x14ac:dyDescent="0.3">
      <c r="K5633" s="16">
        <f t="shared" si="87"/>
        <v>44250</v>
      </c>
      <c r="L5633" s="17">
        <v>0.625</v>
      </c>
      <c r="M5633" s="14">
        <v>752</v>
      </c>
      <c r="N5633" s="14">
        <v>0</v>
      </c>
      <c r="O5633" s="14">
        <v>0</v>
      </c>
      <c r="P5633" s="14">
        <v>752</v>
      </c>
      <c r="Q5633">
        <v>11215</v>
      </c>
      <c r="R5633">
        <v>2647</v>
      </c>
      <c r="S5633">
        <v>1416</v>
      </c>
    </row>
    <row r="5634" spans="11:19" x14ac:dyDescent="0.3">
      <c r="K5634" s="16">
        <f t="shared" si="87"/>
        <v>44250</v>
      </c>
      <c r="L5634" s="17">
        <v>0.66666666666666663</v>
      </c>
      <c r="M5634" s="14">
        <v>752</v>
      </c>
      <c r="N5634" s="14">
        <v>0</v>
      </c>
      <c r="O5634" s="14">
        <v>0</v>
      </c>
      <c r="P5634" s="14">
        <v>752</v>
      </c>
      <c r="Q5634">
        <v>11064</v>
      </c>
      <c r="R5634">
        <v>2757</v>
      </c>
      <c r="S5634">
        <v>886</v>
      </c>
    </row>
    <row r="5635" spans="11:19" x14ac:dyDescent="0.3">
      <c r="K5635" s="16">
        <f t="shared" si="87"/>
        <v>44250</v>
      </c>
      <c r="L5635" s="17">
        <v>0.70833333333333337</v>
      </c>
      <c r="M5635" s="14">
        <v>752</v>
      </c>
      <c r="N5635" s="14">
        <v>0</v>
      </c>
      <c r="O5635" s="14">
        <v>0</v>
      </c>
      <c r="P5635" s="14">
        <v>752</v>
      </c>
      <c r="Q5635">
        <v>11272</v>
      </c>
      <c r="R5635">
        <v>2740</v>
      </c>
      <c r="S5635">
        <v>256</v>
      </c>
    </row>
    <row r="5636" spans="11:19" x14ac:dyDescent="0.3">
      <c r="K5636" s="16">
        <f t="shared" si="87"/>
        <v>44250</v>
      </c>
      <c r="L5636" s="17">
        <v>0.75</v>
      </c>
      <c r="M5636" s="14">
        <v>752</v>
      </c>
      <c r="N5636" s="14">
        <v>55</v>
      </c>
      <c r="O5636" s="14">
        <v>0</v>
      </c>
      <c r="P5636" s="14">
        <v>807</v>
      </c>
      <c r="Q5636">
        <v>12253</v>
      </c>
      <c r="R5636">
        <v>3039</v>
      </c>
      <c r="S5636">
        <v>13</v>
      </c>
    </row>
    <row r="5637" spans="11:19" x14ac:dyDescent="0.3">
      <c r="K5637" s="16">
        <f t="shared" si="87"/>
        <v>44250</v>
      </c>
      <c r="L5637" s="17">
        <v>0.79166666666666663</v>
      </c>
      <c r="M5637" s="14">
        <v>752</v>
      </c>
      <c r="N5637" s="14">
        <v>1363</v>
      </c>
      <c r="O5637" s="14">
        <v>0</v>
      </c>
      <c r="P5637" s="14">
        <v>2115</v>
      </c>
      <c r="Q5637">
        <v>12707</v>
      </c>
      <c r="R5637">
        <v>3188</v>
      </c>
      <c r="S5637">
        <v>0</v>
      </c>
    </row>
    <row r="5638" spans="11:19" x14ac:dyDescent="0.3">
      <c r="K5638" s="16">
        <f t="shared" si="87"/>
        <v>44250</v>
      </c>
      <c r="L5638" s="17">
        <v>0.83333333333333337</v>
      </c>
      <c r="M5638" s="14">
        <v>752</v>
      </c>
      <c r="N5638" s="14">
        <v>1363</v>
      </c>
      <c r="O5638" s="14">
        <v>0</v>
      </c>
      <c r="P5638" s="14">
        <v>2115</v>
      </c>
      <c r="Q5638">
        <v>11924</v>
      </c>
      <c r="R5638">
        <v>3365</v>
      </c>
      <c r="S5638">
        <v>0</v>
      </c>
    </row>
    <row r="5639" spans="11:19" x14ac:dyDescent="0.3">
      <c r="K5639" s="16">
        <f t="shared" si="87"/>
        <v>44250</v>
      </c>
      <c r="L5639" s="17">
        <v>0.875</v>
      </c>
      <c r="M5639" s="14">
        <v>752</v>
      </c>
      <c r="N5639" s="14">
        <v>0</v>
      </c>
      <c r="O5639" s="14">
        <v>0</v>
      </c>
      <c r="P5639" s="14">
        <v>752</v>
      </c>
      <c r="Q5639">
        <v>11236</v>
      </c>
      <c r="R5639">
        <v>3542</v>
      </c>
      <c r="S5639">
        <v>0</v>
      </c>
    </row>
    <row r="5640" spans="11:19" x14ac:dyDescent="0.3">
      <c r="K5640" s="16">
        <f t="shared" si="87"/>
        <v>44250</v>
      </c>
      <c r="L5640" s="17">
        <v>0.91666666666666663</v>
      </c>
      <c r="M5640" s="14">
        <v>752</v>
      </c>
      <c r="N5640" s="14">
        <v>0</v>
      </c>
      <c r="O5640" s="14">
        <v>0</v>
      </c>
      <c r="P5640" s="14">
        <v>752</v>
      </c>
      <c r="Q5640">
        <v>11480</v>
      </c>
      <c r="R5640">
        <v>3547</v>
      </c>
      <c r="S5640">
        <v>0</v>
      </c>
    </row>
    <row r="5641" spans="11:19" x14ac:dyDescent="0.3">
      <c r="K5641" s="16">
        <f t="shared" si="87"/>
        <v>44250</v>
      </c>
      <c r="L5641" s="17">
        <v>0.95833333333333337</v>
      </c>
      <c r="M5641" s="14">
        <v>752</v>
      </c>
      <c r="N5641" s="14">
        <v>0</v>
      </c>
      <c r="O5641" s="14">
        <v>0</v>
      </c>
      <c r="P5641" s="14">
        <v>752</v>
      </c>
      <c r="Q5641">
        <v>11695</v>
      </c>
      <c r="R5641">
        <v>3484</v>
      </c>
      <c r="S5641">
        <v>0</v>
      </c>
    </row>
    <row r="5642" spans="11:19" x14ac:dyDescent="0.3">
      <c r="K5642" s="16">
        <f t="shared" si="87"/>
        <v>44251</v>
      </c>
      <c r="L5642" s="17">
        <v>0</v>
      </c>
      <c r="M5642" s="14">
        <v>752</v>
      </c>
      <c r="N5642" s="14">
        <v>1094</v>
      </c>
      <c r="O5642" s="14">
        <v>0</v>
      </c>
      <c r="P5642" s="14">
        <v>1846</v>
      </c>
      <c r="Q5642">
        <v>11208</v>
      </c>
      <c r="R5642">
        <v>3610</v>
      </c>
      <c r="S5642">
        <v>0</v>
      </c>
    </row>
    <row r="5643" spans="11:19" x14ac:dyDescent="0.3">
      <c r="K5643" s="16">
        <f t="shared" si="87"/>
        <v>44251</v>
      </c>
      <c r="L5643" s="17">
        <v>4.1666666666666664E-2</v>
      </c>
      <c r="M5643" s="14">
        <v>752</v>
      </c>
      <c r="N5643" s="14">
        <v>555</v>
      </c>
      <c r="O5643" s="14">
        <v>0</v>
      </c>
      <c r="P5643" s="14">
        <v>1307</v>
      </c>
      <c r="Q5643">
        <v>10951</v>
      </c>
      <c r="R5643">
        <v>3896</v>
      </c>
      <c r="S5643">
        <v>0</v>
      </c>
    </row>
    <row r="5644" spans="11:19" x14ac:dyDescent="0.3">
      <c r="K5644" s="16">
        <f t="shared" si="87"/>
        <v>44251</v>
      </c>
      <c r="L5644" s="17">
        <v>8.3333333333333329E-2</v>
      </c>
      <c r="M5644" s="14">
        <v>752</v>
      </c>
      <c r="N5644" s="14">
        <v>218</v>
      </c>
      <c r="O5644" s="14">
        <v>0</v>
      </c>
      <c r="P5644" s="14">
        <v>970</v>
      </c>
      <c r="Q5644">
        <v>10704</v>
      </c>
      <c r="R5644">
        <v>3988</v>
      </c>
      <c r="S5644">
        <v>0</v>
      </c>
    </row>
    <row r="5645" spans="11:19" x14ac:dyDescent="0.3">
      <c r="K5645" s="16">
        <f t="shared" si="87"/>
        <v>44251</v>
      </c>
      <c r="L5645" s="17">
        <v>0.125</v>
      </c>
      <c r="M5645" s="14">
        <v>752</v>
      </c>
      <c r="N5645" s="14">
        <v>0</v>
      </c>
      <c r="O5645" s="14">
        <v>-330</v>
      </c>
      <c r="P5645" s="14">
        <v>422</v>
      </c>
      <c r="Q5645">
        <v>10304</v>
      </c>
      <c r="R5645">
        <v>4216</v>
      </c>
      <c r="S5645">
        <v>0</v>
      </c>
    </row>
    <row r="5646" spans="11:19" x14ac:dyDescent="0.3">
      <c r="K5646" s="16">
        <f t="shared" si="87"/>
        <v>44251</v>
      </c>
      <c r="L5646" s="17">
        <v>0.16666666666666666</v>
      </c>
      <c r="M5646" s="14">
        <v>752</v>
      </c>
      <c r="N5646" s="14">
        <v>0</v>
      </c>
      <c r="O5646" s="14">
        <v>-476</v>
      </c>
      <c r="P5646" s="14">
        <v>276</v>
      </c>
      <c r="Q5646">
        <v>10247</v>
      </c>
      <c r="R5646">
        <v>4306</v>
      </c>
      <c r="S5646">
        <v>0</v>
      </c>
    </row>
    <row r="5647" spans="11:19" x14ac:dyDescent="0.3">
      <c r="K5647" s="16">
        <f t="shared" si="87"/>
        <v>44251</v>
      </c>
      <c r="L5647" s="17">
        <v>0.20833333333333334</v>
      </c>
      <c r="M5647" s="14">
        <v>752</v>
      </c>
      <c r="N5647" s="14">
        <v>0</v>
      </c>
      <c r="O5647" s="14">
        <v>0</v>
      </c>
      <c r="P5647" s="14">
        <v>752</v>
      </c>
      <c r="Q5647">
        <v>10759</v>
      </c>
      <c r="R5647">
        <v>4276</v>
      </c>
      <c r="S5647">
        <v>0</v>
      </c>
    </row>
    <row r="5648" spans="11:19" x14ac:dyDescent="0.3">
      <c r="K5648" s="16">
        <f t="shared" si="87"/>
        <v>44251</v>
      </c>
      <c r="L5648" s="17">
        <v>0.25</v>
      </c>
      <c r="M5648" s="14">
        <v>752</v>
      </c>
      <c r="N5648" s="14">
        <v>0</v>
      </c>
      <c r="O5648" s="14">
        <v>56</v>
      </c>
      <c r="P5648" s="14">
        <v>808</v>
      </c>
      <c r="Q5648">
        <v>11868</v>
      </c>
      <c r="R5648">
        <v>4229</v>
      </c>
      <c r="S5648">
        <v>0</v>
      </c>
    </row>
    <row r="5649" spans="11:19" x14ac:dyDescent="0.3">
      <c r="K5649" s="16">
        <f t="shared" si="87"/>
        <v>44251</v>
      </c>
      <c r="L5649" s="17">
        <v>0.29166666666666669</v>
      </c>
      <c r="M5649" s="14">
        <v>752</v>
      </c>
      <c r="N5649" s="14">
        <v>2029</v>
      </c>
      <c r="O5649" s="14">
        <v>0</v>
      </c>
      <c r="P5649" s="14">
        <v>2781</v>
      </c>
      <c r="Q5649">
        <v>12626</v>
      </c>
      <c r="R5649">
        <v>4142</v>
      </c>
      <c r="S5649">
        <v>6</v>
      </c>
    </row>
    <row r="5650" spans="11:19" x14ac:dyDescent="0.3">
      <c r="K5650" s="16">
        <f t="shared" si="87"/>
        <v>44251</v>
      </c>
      <c r="L5650" s="17">
        <v>0.33333333333333331</v>
      </c>
      <c r="M5650" s="14">
        <v>752</v>
      </c>
      <c r="N5650" s="14">
        <v>0</v>
      </c>
      <c r="O5650" s="14">
        <v>0</v>
      </c>
      <c r="P5650" s="14">
        <v>752</v>
      </c>
      <c r="Q5650">
        <v>12841</v>
      </c>
      <c r="R5650">
        <v>4179</v>
      </c>
      <c r="S5650">
        <v>203</v>
      </c>
    </row>
    <row r="5651" spans="11:19" x14ac:dyDescent="0.3">
      <c r="K5651" s="16">
        <f t="shared" si="87"/>
        <v>44251</v>
      </c>
      <c r="L5651" s="17">
        <v>0.375</v>
      </c>
      <c r="M5651" s="14">
        <v>752</v>
      </c>
      <c r="N5651" s="14">
        <v>1429</v>
      </c>
      <c r="O5651" s="14">
        <v>0</v>
      </c>
      <c r="P5651" s="14">
        <v>2181</v>
      </c>
      <c r="Q5651">
        <v>12841</v>
      </c>
      <c r="R5651">
        <v>4183</v>
      </c>
      <c r="S5651">
        <v>700</v>
      </c>
    </row>
    <row r="5652" spans="11:19" x14ac:dyDescent="0.3">
      <c r="K5652" s="16">
        <f t="shared" si="87"/>
        <v>44251</v>
      </c>
      <c r="L5652" s="17">
        <v>0.41666666666666669</v>
      </c>
      <c r="M5652" s="14">
        <v>752</v>
      </c>
      <c r="N5652" s="14">
        <v>986</v>
      </c>
      <c r="O5652" s="14">
        <v>0</v>
      </c>
      <c r="P5652" s="14">
        <v>1738</v>
      </c>
      <c r="Q5652">
        <v>12717</v>
      </c>
      <c r="R5652">
        <v>4015</v>
      </c>
      <c r="S5652">
        <v>1187</v>
      </c>
    </row>
    <row r="5653" spans="11:19" x14ac:dyDescent="0.3">
      <c r="K5653" s="16">
        <f t="shared" si="87"/>
        <v>44251</v>
      </c>
      <c r="L5653" s="17">
        <v>0.45833333333333331</v>
      </c>
      <c r="M5653" s="14">
        <v>752</v>
      </c>
      <c r="N5653" s="14">
        <v>0</v>
      </c>
      <c r="O5653" s="14">
        <v>658</v>
      </c>
      <c r="P5653" s="14">
        <v>1410</v>
      </c>
      <c r="Q5653">
        <v>12705</v>
      </c>
      <c r="R5653">
        <v>4090</v>
      </c>
      <c r="S5653">
        <v>1427</v>
      </c>
    </row>
    <row r="5654" spans="11:19" x14ac:dyDescent="0.3">
      <c r="K5654" s="16">
        <f t="shared" si="87"/>
        <v>44251</v>
      </c>
      <c r="L5654" s="17">
        <v>0.5</v>
      </c>
      <c r="M5654" s="14">
        <v>752</v>
      </c>
      <c r="N5654" s="14">
        <v>387</v>
      </c>
      <c r="O5654" s="14">
        <v>0</v>
      </c>
      <c r="P5654" s="14">
        <v>1139</v>
      </c>
      <c r="Q5654">
        <v>12566</v>
      </c>
      <c r="R5654">
        <v>4062</v>
      </c>
      <c r="S5654">
        <v>1586</v>
      </c>
    </row>
    <row r="5655" spans="11:19" x14ac:dyDescent="0.3">
      <c r="K5655" s="16">
        <f t="shared" si="87"/>
        <v>44251</v>
      </c>
      <c r="L5655" s="17">
        <v>0.54166666666666663</v>
      </c>
      <c r="M5655" s="14">
        <v>752</v>
      </c>
      <c r="N5655" s="14">
        <v>134</v>
      </c>
      <c r="O5655" s="14">
        <v>0</v>
      </c>
      <c r="P5655" s="14">
        <v>886</v>
      </c>
      <c r="Q5655">
        <v>12202</v>
      </c>
      <c r="R5655">
        <v>4170</v>
      </c>
      <c r="S5655">
        <v>1527</v>
      </c>
    </row>
    <row r="5656" spans="11:19" x14ac:dyDescent="0.3">
      <c r="K5656" s="16">
        <f t="shared" si="87"/>
        <v>44251</v>
      </c>
      <c r="L5656" s="17">
        <v>0.58333333333333337</v>
      </c>
      <c r="M5656" s="14">
        <v>752</v>
      </c>
      <c r="N5656" s="14">
        <v>0</v>
      </c>
      <c r="O5656" s="14">
        <v>-57</v>
      </c>
      <c r="P5656" s="14">
        <v>695</v>
      </c>
      <c r="Q5656">
        <v>11862</v>
      </c>
      <c r="R5656">
        <v>4157</v>
      </c>
      <c r="S5656">
        <v>1390</v>
      </c>
    </row>
    <row r="5657" spans="11:19" x14ac:dyDescent="0.3">
      <c r="K5657" s="16">
        <f t="shared" si="87"/>
        <v>44251</v>
      </c>
      <c r="L5657" s="17">
        <v>0.625</v>
      </c>
      <c r="M5657" s="14">
        <v>752</v>
      </c>
      <c r="N5657" s="14">
        <v>0</v>
      </c>
      <c r="O5657" s="14">
        <v>-29</v>
      </c>
      <c r="P5657" s="14">
        <v>723</v>
      </c>
      <c r="Q5657">
        <v>11509</v>
      </c>
      <c r="R5657">
        <v>4120</v>
      </c>
      <c r="S5657">
        <v>1045</v>
      </c>
    </row>
    <row r="5658" spans="11:19" x14ac:dyDescent="0.3">
      <c r="K5658" s="16">
        <f t="shared" si="87"/>
        <v>44251</v>
      </c>
      <c r="L5658" s="17">
        <v>0.66666666666666663</v>
      </c>
      <c r="M5658" s="14">
        <v>752</v>
      </c>
      <c r="N5658" s="14">
        <v>0</v>
      </c>
      <c r="O5658" s="14">
        <v>0</v>
      </c>
      <c r="P5658" s="14">
        <v>752</v>
      </c>
      <c r="Q5658">
        <v>11303</v>
      </c>
      <c r="R5658">
        <v>4300</v>
      </c>
      <c r="S5658">
        <v>591</v>
      </c>
    </row>
    <row r="5659" spans="11:19" x14ac:dyDescent="0.3">
      <c r="K5659" s="16">
        <f t="shared" ref="K5659:K5722" si="88">K5635+1</f>
        <v>44251</v>
      </c>
      <c r="L5659" s="17">
        <v>0.70833333333333337</v>
      </c>
      <c r="M5659" s="14">
        <v>752</v>
      </c>
      <c r="N5659" s="14">
        <v>0</v>
      </c>
      <c r="O5659" s="14">
        <v>0</v>
      </c>
      <c r="P5659" s="14">
        <v>752</v>
      </c>
      <c r="Q5659">
        <v>11363</v>
      </c>
      <c r="R5659">
        <v>3859</v>
      </c>
      <c r="S5659">
        <v>181</v>
      </c>
    </row>
    <row r="5660" spans="11:19" x14ac:dyDescent="0.3">
      <c r="K5660" s="16">
        <f t="shared" si="88"/>
        <v>44251</v>
      </c>
      <c r="L5660" s="17">
        <v>0.75</v>
      </c>
      <c r="M5660" s="14">
        <v>752</v>
      </c>
      <c r="N5660" s="14">
        <v>0</v>
      </c>
      <c r="O5660" s="14">
        <v>0</v>
      </c>
      <c r="P5660" s="14">
        <v>752</v>
      </c>
      <c r="Q5660">
        <v>12131</v>
      </c>
      <c r="R5660">
        <v>4045</v>
      </c>
      <c r="S5660">
        <v>13</v>
      </c>
    </row>
    <row r="5661" spans="11:19" x14ac:dyDescent="0.3">
      <c r="K5661" s="16">
        <f t="shared" si="88"/>
        <v>44251</v>
      </c>
      <c r="L5661" s="17">
        <v>0.79166666666666663</v>
      </c>
      <c r="M5661" s="14">
        <v>752</v>
      </c>
      <c r="N5661" s="14">
        <v>0</v>
      </c>
      <c r="O5661" s="14">
        <v>0</v>
      </c>
      <c r="P5661" s="14">
        <v>752</v>
      </c>
      <c r="Q5661">
        <v>12348</v>
      </c>
      <c r="R5661">
        <v>3984</v>
      </c>
      <c r="S5661">
        <v>0</v>
      </c>
    </row>
    <row r="5662" spans="11:19" x14ac:dyDescent="0.3">
      <c r="K5662" s="16">
        <f t="shared" si="88"/>
        <v>44251</v>
      </c>
      <c r="L5662" s="17">
        <v>0.83333333333333337</v>
      </c>
      <c r="M5662" s="14">
        <v>752</v>
      </c>
      <c r="N5662" s="14">
        <v>0</v>
      </c>
      <c r="O5662" s="14">
        <v>0</v>
      </c>
      <c r="P5662" s="14">
        <v>752</v>
      </c>
      <c r="Q5662">
        <v>11429</v>
      </c>
      <c r="R5662">
        <v>4053</v>
      </c>
      <c r="S5662">
        <v>0</v>
      </c>
    </row>
    <row r="5663" spans="11:19" x14ac:dyDescent="0.3">
      <c r="K5663" s="16">
        <f t="shared" si="88"/>
        <v>44251</v>
      </c>
      <c r="L5663" s="17">
        <v>0.875</v>
      </c>
      <c r="M5663" s="14">
        <v>752</v>
      </c>
      <c r="N5663" s="14">
        <v>100</v>
      </c>
      <c r="O5663" s="14">
        <v>0</v>
      </c>
      <c r="P5663" s="14">
        <v>852</v>
      </c>
      <c r="Q5663">
        <v>10706</v>
      </c>
      <c r="R5663">
        <v>4089</v>
      </c>
      <c r="S5663">
        <v>0</v>
      </c>
    </row>
    <row r="5664" spans="11:19" x14ac:dyDescent="0.3">
      <c r="K5664" s="16">
        <f t="shared" si="88"/>
        <v>44251</v>
      </c>
      <c r="L5664" s="17">
        <v>0.91666666666666663</v>
      </c>
      <c r="M5664" s="14">
        <v>752</v>
      </c>
      <c r="N5664" s="14">
        <v>0</v>
      </c>
      <c r="O5664" s="14">
        <v>0</v>
      </c>
      <c r="P5664" s="14">
        <v>752</v>
      </c>
      <c r="Q5664">
        <v>10872</v>
      </c>
      <c r="R5664">
        <v>4153</v>
      </c>
      <c r="S5664">
        <v>0</v>
      </c>
    </row>
    <row r="5665" spans="11:19" x14ac:dyDescent="0.3">
      <c r="K5665" s="16">
        <f t="shared" si="88"/>
        <v>44251</v>
      </c>
      <c r="L5665" s="17">
        <v>0.95833333333333337</v>
      </c>
      <c r="M5665" s="14">
        <v>752</v>
      </c>
      <c r="N5665" s="14">
        <v>0</v>
      </c>
      <c r="O5665" s="14">
        <v>0</v>
      </c>
      <c r="P5665" s="14">
        <v>752</v>
      </c>
      <c r="Q5665">
        <v>11049</v>
      </c>
      <c r="R5665">
        <v>4122</v>
      </c>
      <c r="S5665">
        <v>0</v>
      </c>
    </row>
    <row r="5666" spans="11:19" x14ac:dyDescent="0.3">
      <c r="K5666" s="16">
        <f t="shared" si="88"/>
        <v>44252</v>
      </c>
      <c r="L5666" s="17">
        <v>0</v>
      </c>
      <c r="M5666" s="14">
        <v>752</v>
      </c>
      <c r="N5666" s="14">
        <v>168</v>
      </c>
      <c r="O5666" s="14">
        <v>0</v>
      </c>
      <c r="P5666" s="14">
        <v>920</v>
      </c>
      <c r="Q5666">
        <v>10518</v>
      </c>
      <c r="R5666">
        <v>4007</v>
      </c>
      <c r="S5666">
        <v>0</v>
      </c>
    </row>
    <row r="5667" spans="11:19" x14ac:dyDescent="0.3">
      <c r="K5667" s="16">
        <f t="shared" si="88"/>
        <v>44252</v>
      </c>
      <c r="L5667" s="17">
        <v>4.1666666666666664E-2</v>
      </c>
      <c r="M5667" s="14">
        <v>752</v>
      </c>
      <c r="N5667" s="14">
        <v>70</v>
      </c>
      <c r="O5667" s="14">
        <v>0</v>
      </c>
      <c r="P5667" s="14">
        <v>822</v>
      </c>
      <c r="Q5667">
        <v>10219</v>
      </c>
      <c r="R5667">
        <v>3809</v>
      </c>
      <c r="S5667">
        <v>0</v>
      </c>
    </row>
    <row r="5668" spans="11:19" x14ac:dyDescent="0.3">
      <c r="K5668" s="16">
        <f t="shared" si="88"/>
        <v>44252</v>
      </c>
      <c r="L5668" s="17">
        <v>8.3333333333333329E-2</v>
      </c>
      <c r="M5668" s="14">
        <v>752</v>
      </c>
      <c r="N5668" s="14">
        <v>0</v>
      </c>
      <c r="O5668" s="14">
        <v>-279</v>
      </c>
      <c r="P5668" s="14">
        <v>473</v>
      </c>
      <c r="Q5668">
        <v>9931</v>
      </c>
      <c r="R5668">
        <v>3873</v>
      </c>
      <c r="S5668">
        <v>0</v>
      </c>
    </row>
    <row r="5669" spans="11:19" x14ac:dyDescent="0.3">
      <c r="K5669" s="16">
        <f t="shared" si="88"/>
        <v>44252</v>
      </c>
      <c r="L5669" s="17">
        <v>0.125</v>
      </c>
      <c r="M5669" s="14">
        <v>752</v>
      </c>
      <c r="N5669" s="14">
        <v>0</v>
      </c>
      <c r="O5669" s="14">
        <v>-704</v>
      </c>
      <c r="P5669" s="14">
        <v>48</v>
      </c>
      <c r="Q5669">
        <v>9501</v>
      </c>
      <c r="R5669">
        <v>3867</v>
      </c>
      <c r="S5669">
        <v>0</v>
      </c>
    </row>
    <row r="5670" spans="11:19" x14ac:dyDescent="0.3">
      <c r="K5670" s="16">
        <f t="shared" si="88"/>
        <v>44252</v>
      </c>
      <c r="L5670" s="17">
        <v>0.16666666666666666</v>
      </c>
      <c r="M5670" s="14">
        <v>752</v>
      </c>
      <c r="N5670" s="14">
        <v>0</v>
      </c>
      <c r="O5670" s="14">
        <v>-532</v>
      </c>
      <c r="P5670" s="14">
        <v>220</v>
      </c>
      <c r="Q5670">
        <v>9431</v>
      </c>
      <c r="R5670">
        <v>3467</v>
      </c>
      <c r="S5670">
        <v>0</v>
      </c>
    </row>
    <row r="5671" spans="11:19" x14ac:dyDescent="0.3">
      <c r="K5671" s="16">
        <f t="shared" si="88"/>
        <v>44252</v>
      </c>
      <c r="L5671" s="17">
        <v>0.20833333333333334</v>
      </c>
      <c r="M5671" s="14">
        <v>752</v>
      </c>
      <c r="N5671" s="14">
        <v>0</v>
      </c>
      <c r="O5671" s="14">
        <v>-116</v>
      </c>
      <c r="P5671" s="14">
        <v>636</v>
      </c>
      <c r="Q5671">
        <v>9934</v>
      </c>
      <c r="R5671">
        <v>3552</v>
      </c>
      <c r="S5671">
        <v>0</v>
      </c>
    </row>
    <row r="5672" spans="11:19" x14ac:dyDescent="0.3">
      <c r="K5672" s="16">
        <f t="shared" si="88"/>
        <v>44252</v>
      </c>
      <c r="L5672" s="17">
        <v>0.25</v>
      </c>
      <c r="M5672" s="14">
        <v>752</v>
      </c>
      <c r="N5672" s="14">
        <v>0</v>
      </c>
      <c r="O5672" s="14">
        <v>0</v>
      </c>
      <c r="P5672" s="14">
        <v>752</v>
      </c>
      <c r="Q5672">
        <v>11065</v>
      </c>
      <c r="R5672">
        <v>3405</v>
      </c>
      <c r="S5672">
        <v>0</v>
      </c>
    </row>
    <row r="5673" spans="11:19" x14ac:dyDescent="0.3">
      <c r="K5673" s="16">
        <f t="shared" si="88"/>
        <v>44252</v>
      </c>
      <c r="L5673" s="17">
        <v>0.29166666666666669</v>
      </c>
      <c r="M5673" s="14">
        <v>752</v>
      </c>
      <c r="N5673" s="14">
        <v>0</v>
      </c>
      <c r="O5673" s="14">
        <v>0</v>
      </c>
      <c r="P5673" s="14">
        <v>752</v>
      </c>
      <c r="Q5673">
        <v>11877</v>
      </c>
      <c r="R5673">
        <v>3316</v>
      </c>
      <c r="S5673">
        <v>11</v>
      </c>
    </row>
    <row r="5674" spans="11:19" x14ac:dyDescent="0.3">
      <c r="K5674" s="16">
        <f t="shared" si="88"/>
        <v>44252</v>
      </c>
      <c r="L5674" s="17">
        <v>0.33333333333333331</v>
      </c>
      <c r="M5674" s="14">
        <v>752</v>
      </c>
      <c r="N5674" s="14">
        <v>2247</v>
      </c>
      <c r="O5674" s="14">
        <v>0</v>
      </c>
      <c r="P5674" s="14">
        <v>2999</v>
      </c>
      <c r="Q5674">
        <v>12189</v>
      </c>
      <c r="R5674">
        <v>3263</v>
      </c>
      <c r="S5674">
        <v>147</v>
      </c>
    </row>
    <row r="5675" spans="11:19" x14ac:dyDescent="0.3">
      <c r="K5675" s="16">
        <f t="shared" si="88"/>
        <v>44252</v>
      </c>
      <c r="L5675" s="17">
        <v>0.375</v>
      </c>
      <c r="M5675" s="14">
        <v>752</v>
      </c>
      <c r="N5675" s="14">
        <v>2280</v>
      </c>
      <c r="O5675" s="14">
        <v>0</v>
      </c>
      <c r="P5675" s="14">
        <v>3032</v>
      </c>
      <c r="Q5675">
        <v>12276</v>
      </c>
      <c r="R5675">
        <v>3056</v>
      </c>
      <c r="S5675">
        <v>492</v>
      </c>
    </row>
    <row r="5676" spans="11:19" x14ac:dyDescent="0.3">
      <c r="K5676" s="16">
        <f t="shared" si="88"/>
        <v>44252</v>
      </c>
      <c r="L5676" s="17">
        <v>0.41666666666666669</v>
      </c>
      <c r="M5676" s="14">
        <v>752</v>
      </c>
      <c r="N5676" s="14">
        <v>1634</v>
      </c>
      <c r="O5676" s="14">
        <v>0</v>
      </c>
      <c r="P5676" s="14">
        <v>2386</v>
      </c>
      <c r="Q5676">
        <v>12220</v>
      </c>
      <c r="R5676">
        <v>3307</v>
      </c>
      <c r="S5676">
        <v>831</v>
      </c>
    </row>
    <row r="5677" spans="11:19" x14ac:dyDescent="0.3">
      <c r="K5677" s="16">
        <f t="shared" si="88"/>
        <v>44252</v>
      </c>
      <c r="L5677" s="17">
        <v>0.45833333333333331</v>
      </c>
      <c r="M5677" s="14">
        <v>752</v>
      </c>
      <c r="N5677" s="14">
        <v>1376</v>
      </c>
      <c r="O5677" s="14">
        <v>0</v>
      </c>
      <c r="P5677" s="14">
        <v>2128</v>
      </c>
      <c r="Q5677">
        <v>12280</v>
      </c>
      <c r="R5677">
        <v>3557</v>
      </c>
      <c r="S5677">
        <v>897</v>
      </c>
    </row>
    <row r="5678" spans="11:19" x14ac:dyDescent="0.3">
      <c r="K5678" s="16">
        <f t="shared" si="88"/>
        <v>44252</v>
      </c>
      <c r="L5678" s="17">
        <v>0.5</v>
      </c>
      <c r="M5678" s="14">
        <v>752</v>
      </c>
      <c r="N5678" s="14">
        <v>0</v>
      </c>
      <c r="O5678" s="14">
        <v>0</v>
      </c>
      <c r="P5678" s="14">
        <v>752</v>
      </c>
      <c r="Q5678">
        <v>12209</v>
      </c>
      <c r="R5678">
        <v>3464</v>
      </c>
      <c r="S5678">
        <v>977</v>
      </c>
    </row>
    <row r="5679" spans="11:19" x14ac:dyDescent="0.3">
      <c r="K5679" s="16">
        <f t="shared" si="88"/>
        <v>44252</v>
      </c>
      <c r="L5679" s="17">
        <v>0.54166666666666663</v>
      </c>
      <c r="M5679" s="14">
        <v>752</v>
      </c>
      <c r="N5679" s="14">
        <v>0</v>
      </c>
      <c r="O5679" s="14">
        <v>394</v>
      </c>
      <c r="P5679" s="14">
        <v>1146</v>
      </c>
      <c r="Q5679">
        <v>11863</v>
      </c>
      <c r="R5679">
        <v>3433</v>
      </c>
      <c r="S5679">
        <v>1038</v>
      </c>
    </row>
    <row r="5680" spans="11:19" x14ac:dyDescent="0.3">
      <c r="K5680" s="16">
        <f t="shared" si="88"/>
        <v>44252</v>
      </c>
      <c r="L5680" s="17">
        <v>0.58333333333333337</v>
      </c>
      <c r="M5680" s="14">
        <v>752</v>
      </c>
      <c r="N5680" s="14">
        <v>0</v>
      </c>
      <c r="O5680" s="14">
        <v>0</v>
      </c>
      <c r="P5680" s="14">
        <v>752</v>
      </c>
      <c r="Q5680">
        <v>11542</v>
      </c>
      <c r="R5680">
        <v>3476</v>
      </c>
      <c r="S5680">
        <v>994</v>
      </c>
    </row>
    <row r="5681" spans="11:19" x14ac:dyDescent="0.3">
      <c r="K5681" s="16">
        <f t="shared" si="88"/>
        <v>44252</v>
      </c>
      <c r="L5681" s="17">
        <v>0.625</v>
      </c>
      <c r="M5681" s="14">
        <v>752</v>
      </c>
      <c r="N5681" s="14">
        <v>448</v>
      </c>
      <c r="O5681" s="14">
        <v>0</v>
      </c>
      <c r="P5681" s="14">
        <v>1200</v>
      </c>
      <c r="Q5681">
        <v>11168</v>
      </c>
      <c r="R5681">
        <v>3224</v>
      </c>
      <c r="S5681">
        <v>884</v>
      </c>
    </row>
    <row r="5682" spans="11:19" x14ac:dyDescent="0.3">
      <c r="K5682" s="16">
        <f t="shared" si="88"/>
        <v>44252</v>
      </c>
      <c r="L5682" s="17">
        <v>0.66666666666666663</v>
      </c>
      <c r="M5682" s="14">
        <v>752</v>
      </c>
      <c r="N5682" s="14">
        <v>0</v>
      </c>
      <c r="O5682" s="14">
        <v>0</v>
      </c>
      <c r="P5682" s="14">
        <v>752</v>
      </c>
      <c r="Q5682">
        <v>10961</v>
      </c>
      <c r="R5682">
        <v>3011</v>
      </c>
      <c r="S5682">
        <v>518</v>
      </c>
    </row>
    <row r="5683" spans="11:19" x14ac:dyDescent="0.3">
      <c r="K5683" s="16">
        <f t="shared" si="88"/>
        <v>44252</v>
      </c>
      <c r="L5683" s="17">
        <v>0.70833333333333337</v>
      </c>
      <c r="M5683" s="14">
        <v>752</v>
      </c>
      <c r="N5683" s="14">
        <v>1599</v>
      </c>
      <c r="O5683" s="14">
        <v>0</v>
      </c>
      <c r="P5683" s="14">
        <v>2351</v>
      </c>
      <c r="Q5683">
        <v>11071</v>
      </c>
      <c r="R5683">
        <v>2700</v>
      </c>
      <c r="S5683">
        <v>161</v>
      </c>
    </row>
    <row r="5684" spans="11:19" x14ac:dyDescent="0.3">
      <c r="K5684" s="16">
        <f t="shared" si="88"/>
        <v>44252</v>
      </c>
      <c r="L5684" s="17">
        <v>0.75</v>
      </c>
      <c r="M5684" s="14">
        <v>752</v>
      </c>
      <c r="N5684" s="14">
        <v>0</v>
      </c>
      <c r="O5684" s="14">
        <v>131</v>
      </c>
      <c r="P5684" s="14">
        <v>883</v>
      </c>
      <c r="Q5684">
        <v>11911</v>
      </c>
      <c r="R5684">
        <v>2616</v>
      </c>
      <c r="S5684">
        <v>18</v>
      </c>
    </row>
    <row r="5685" spans="11:19" x14ac:dyDescent="0.3">
      <c r="K5685" s="16">
        <f t="shared" si="88"/>
        <v>44252</v>
      </c>
      <c r="L5685" s="17">
        <v>0.79166666666666663</v>
      </c>
      <c r="M5685" s="14">
        <v>752</v>
      </c>
      <c r="N5685" s="14">
        <v>0</v>
      </c>
      <c r="O5685" s="14">
        <v>394</v>
      </c>
      <c r="P5685" s="14">
        <v>1146</v>
      </c>
      <c r="Q5685">
        <v>12066</v>
      </c>
      <c r="R5685">
        <v>2527</v>
      </c>
      <c r="S5685">
        <v>0</v>
      </c>
    </row>
    <row r="5686" spans="11:19" x14ac:dyDescent="0.3">
      <c r="K5686" s="16">
        <f t="shared" si="88"/>
        <v>44252</v>
      </c>
      <c r="L5686" s="17">
        <v>0.83333333333333337</v>
      </c>
      <c r="M5686" s="14">
        <v>752</v>
      </c>
      <c r="N5686" s="14">
        <v>0</v>
      </c>
      <c r="O5686" s="14">
        <v>0</v>
      </c>
      <c r="P5686" s="14">
        <v>752</v>
      </c>
      <c r="Q5686">
        <v>11282</v>
      </c>
      <c r="R5686">
        <v>2240</v>
      </c>
      <c r="S5686">
        <v>0</v>
      </c>
    </row>
    <row r="5687" spans="11:19" x14ac:dyDescent="0.3">
      <c r="K5687" s="16">
        <f t="shared" si="88"/>
        <v>44252</v>
      </c>
      <c r="L5687" s="17">
        <v>0.875</v>
      </c>
      <c r="M5687" s="14">
        <v>752</v>
      </c>
      <c r="N5687" s="14">
        <v>0</v>
      </c>
      <c r="O5687" s="14">
        <v>0</v>
      </c>
      <c r="P5687" s="14">
        <v>752</v>
      </c>
      <c r="Q5687">
        <v>10656</v>
      </c>
      <c r="R5687">
        <v>1705</v>
      </c>
      <c r="S5687">
        <v>0</v>
      </c>
    </row>
    <row r="5688" spans="11:19" x14ac:dyDescent="0.3">
      <c r="K5688" s="16">
        <f t="shared" si="88"/>
        <v>44252</v>
      </c>
      <c r="L5688" s="17">
        <v>0.91666666666666663</v>
      </c>
      <c r="M5688" s="14">
        <v>752</v>
      </c>
      <c r="N5688" s="14">
        <v>0</v>
      </c>
      <c r="O5688" s="14">
        <v>122</v>
      </c>
      <c r="P5688" s="14">
        <v>874</v>
      </c>
      <c r="Q5688">
        <v>10849</v>
      </c>
      <c r="R5688">
        <v>1595</v>
      </c>
      <c r="S5688">
        <v>0</v>
      </c>
    </row>
    <row r="5689" spans="11:19" x14ac:dyDescent="0.3">
      <c r="K5689" s="16">
        <f t="shared" si="88"/>
        <v>44252</v>
      </c>
      <c r="L5689" s="17">
        <v>0.95833333333333337</v>
      </c>
      <c r="M5689" s="14">
        <v>752</v>
      </c>
      <c r="N5689" s="14">
        <v>0</v>
      </c>
      <c r="O5689" s="14">
        <v>265</v>
      </c>
      <c r="P5689" s="14">
        <v>1017</v>
      </c>
      <c r="Q5689">
        <v>11036</v>
      </c>
      <c r="R5689">
        <v>1637</v>
      </c>
      <c r="S5689">
        <v>0</v>
      </c>
    </row>
    <row r="5690" spans="11:19" x14ac:dyDescent="0.3">
      <c r="K5690" s="16">
        <f t="shared" si="88"/>
        <v>44253</v>
      </c>
      <c r="L5690" s="17">
        <v>0</v>
      </c>
      <c r="M5690" s="14">
        <v>752</v>
      </c>
      <c r="N5690" s="14">
        <v>2329</v>
      </c>
      <c r="O5690" s="14">
        <v>0</v>
      </c>
      <c r="P5690" s="14">
        <v>3081</v>
      </c>
      <c r="Q5690">
        <v>10572</v>
      </c>
      <c r="R5690">
        <v>1662</v>
      </c>
      <c r="S5690">
        <v>0</v>
      </c>
    </row>
    <row r="5691" spans="11:19" x14ac:dyDescent="0.3">
      <c r="K5691" s="16">
        <f t="shared" si="88"/>
        <v>44253</v>
      </c>
      <c r="L5691" s="17">
        <v>4.1666666666666664E-2</v>
      </c>
      <c r="M5691" s="14">
        <v>752</v>
      </c>
      <c r="N5691" s="14">
        <v>0</v>
      </c>
      <c r="O5691" s="14">
        <v>0</v>
      </c>
      <c r="P5691" s="14">
        <v>752</v>
      </c>
      <c r="Q5691">
        <v>10272</v>
      </c>
      <c r="R5691">
        <v>1535</v>
      </c>
      <c r="S5691">
        <v>0</v>
      </c>
    </row>
    <row r="5692" spans="11:19" x14ac:dyDescent="0.3">
      <c r="K5692" s="16">
        <f t="shared" si="88"/>
        <v>44253</v>
      </c>
      <c r="L5692" s="17">
        <v>8.3333333333333329E-2</v>
      </c>
      <c r="M5692" s="14">
        <v>752</v>
      </c>
      <c r="N5692" s="14">
        <v>0</v>
      </c>
      <c r="O5692" s="14">
        <v>0</v>
      </c>
      <c r="P5692" s="14">
        <v>752</v>
      </c>
      <c r="Q5692">
        <v>10005</v>
      </c>
      <c r="R5692">
        <v>1410</v>
      </c>
      <c r="S5692">
        <v>0</v>
      </c>
    </row>
    <row r="5693" spans="11:19" x14ac:dyDescent="0.3">
      <c r="K5693" s="16">
        <f t="shared" si="88"/>
        <v>44253</v>
      </c>
      <c r="L5693" s="17">
        <v>0.125</v>
      </c>
      <c r="M5693" s="14">
        <v>752</v>
      </c>
      <c r="N5693" s="14">
        <v>1642</v>
      </c>
      <c r="O5693" s="14">
        <v>0</v>
      </c>
      <c r="P5693" s="14">
        <v>2394</v>
      </c>
      <c r="Q5693">
        <v>9608</v>
      </c>
      <c r="R5693">
        <v>1391</v>
      </c>
      <c r="S5693">
        <v>0</v>
      </c>
    </row>
    <row r="5694" spans="11:19" x14ac:dyDescent="0.3">
      <c r="K5694" s="16">
        <f t="shared" si="88"/>
        <v>44253</v>
      </c>
      <c r="L5694" s="17">
        <v>0.16666666666666666</v>
      </c>
      <c r="M5694" s="14">
        <v>752</v>
      </c>
      <c r="N5694" s="14">
        <v>0</v>
      </c>
      <c r="O5694" s="14">
        <v>0</v>
      </c>
      <c r="P5694" s="14">
        <v>752</v>
      </c>
      <c r="Q5694">
        <v>9570</v>
      </c>
      <c r="R5694">
        <v>1357</v>
      </c>
      <c r="S5694">
        <v>0</v>
      </c>
    </row>
    <row r="5695" spans="11:19" x14ac:dyDescent="0.3">
      <c r="K5695" s="16">
        <f t="shared" si="88"/>
        <v>44253</v>
      </c>
      <c r="L5695" s="17">
        <v>0.20833333333333334</v>
      </c>
      <c r="M5695" s="14">
        <v>752</v>
      </c>
      <c r="N5695" s="14">
        <v>2221</v>
      </c>
      <c r="O5695" s="14">
        <v>0</v>
      </c>
      <c r="P5695" s="14">
        <v>2973</v>
      </c>
      <c r="Q5695">
        <v>10061</v>
      </c>
      <c r="R5695">
        <v>1264</v>
      </c>
      <c r="S5695">
        <v>0</v>
      </c>
    </row>
    <row r="5696" spans="11:19" x14ac:dyDescent="0.3">
      <c r="K5696" s="16">
        <f t="shared" si="88"/>
        <v>44253</v>
      </c>
      <c r="L5696" s="17">
        <v>0.25</v>
      </c>
      <c r="M5696" s="14">
        <v>752</v>
      </c>
      <c r="N5696" s="14">
        <v>798</v>
      </c>
      <c r="O5696" s="14">
        <v>0</v>
      </c>
      <c r="P5696" s="14">
        <v>1550</v>
      </c>
      <c r="Q5696">
        <v>11136</v>
      </c>
      <c r="R5696">
        <v>1208</v>
      </c>
      <c r="S5696">
        <v>0</v>
      </c>
    </row>
    <row r="5697" spans="11:19" x14ac:dyDescent="0.3">
      <c r="K5697" s="16">
        <f t="shared" si="88"/>
        <v>44253</v>
      </c>
      <c r="L5697" s="17">
        <v>0.29166666666666669</v>
      </c>
      <c r="M5697" s="14">
        <v>752</v>
      </c>
      <c r="N5697" s="14">
        <v>1707</v>
      </c>
      <c r="O5697" s="14">
        <v>0</v>
      </c>
      <c r="P5697" s="14">
        <v>2459</v>
      </c>
      <c r="Q5697">
        <v>11934</v>
      </c>
      <c r="R5697">
        <v>1067</v>
      </c>
      <c r="S5697">
        <v>13</v>
      </c>
    </row>
    <row r="5698" spans="11:19" x14ac:dyDescent="0.3">
      <c r="K5698" s="16">
        <f t="shared" si="88"/>
        <v>44253</v>
      </c>
      <c r="L5698" s="17">
        <v>0.33333333333333331</v>
      </c>
      <c r="M5698" s="14">
        <v>752</v>
      </c>
      <c r="N5698" s="14">
        <v>1918</v>
      </c>
      <c r="O5698" s="14">
        <v>0</v>
      </c>
      <c r="P5698" s="14">
        <v>2670</v>
      </c>
      <c r="Q5698">
        <v>12258</v>
      </c>
      <c r="R5698">
        <v>1000</v>
      </c>
      <c r="S5698">
        <v>190</v>
      </c>
    </row>
    <row r="5699" spans="11:19" x14ac:dyDescent="0.3">
      <c r="K5699" s="16">
        <f t="shared" si="88"/>
        <v>44253</v>
      </c>
      <c r="L5699" s="17">
        <v>0.375</v>
      </c>
      <c r="M5699" s="14">
        <v>752</v>
      </c>
      <c r="N5699" s="14">
        <v>1674</v>
      </c>
      <c r="O5699" s="14">
        <v>0</v>
      </c>
      <c r="P5699" s="14">
        <v>2426</v>
      </c>
      <c r="Q5699">
        <v>12357</v>
      </c>
      <c r="R5699">
        <v>957</v>
      </c>
      <c r="S5699">
        <v>580</v>
      </c>
    </row>
    <row r="5700" spans="11:19" x14ac:dyDescent="0.3">
      <c r="K5700" s="16">
        <f t="shared" si="88"/>
        <v>44253</v>
      </c>
      <c r="L5700" s="17">
        <v>0.41666666666666669</v>
      </c>
      <c r="M5700" s="14">
        <v>752</v>
      </c>
      <c r="N5700" s="14">
        <v>3584</v>
      </c>
      <c r="O5700" s="14">
        <v>0</v>
      </c>
      <c r="P5700" s="14">
        <v>4336</v>
      </c>
      <c r="Q5700">
        <v>12248</v>
      </c>
      <c r="R5700">
        <v>1006</v>
      </c>
      <c r="S5700">
        <v>988</v>
      </c>
    </row>
    <row r="5701" spans="11:19" x14ac:dyDescent="0.3">
      <c r="K5701" s="16">
        <f t="shared" si="88"/>
        <v>44253</v>
      </c>
      <c r="L5701" s="17">
        <v>0.45833333333333331</v>
      </c>
      <c r="M5701" s="14">
        <v>752</v>
      </c>
      <c r="N5701" s="14">
        <v>825</v>
      </c>
      <c r="O5701" s="14">
        <v>0</v>
      </c>
      <c r="P5701" s="14">
        <v>1577</v>
      </c>
      <c r="Q5701">
        <v>12268</v>
      </c>
      <c r="R5701">
        <v>1082</v>
      </c>
      <c r="S5701">
        <v>1214</v>
      </c>
    </row>
    <row r="5702" spans="11:19" x14ac:dyDescent="0.3">
      <c r="K5702" s="16">
        <f t="shared" si="88"/>
        <v>44253</v>
      </c>
      <c r="L5702" s="17">
        <v>0.5</v>
      </c>
      <c r="M5702" s="14">
        <v>752</v>
      </c>
      <c r="N5702" s="14">
        <v>3086</v>
      </c>
      <c r="O5702" s="14">
        <v>0</v>
      </c>
      <c r="P5702" s="14">
        <v>3838</v>
      </c>
      <c r="Q5702">
        <v>12185</v>
      </c>
      <c r="R5702">
        <v>1146</v>
      </c>
      <c r="S5702">
        <v>1346</v>
      </c>
    </row>
    <row r="5703" spans="11:19" x14ac:dyDescent="0.3">
      <c r="K5703" s="16">
        <f t="shared" si="88"/>
        <v>44253</v>
      </c>
      <c r="L5703" s="17">
        <v>0.54166666666666663</v>
      </c>
      <c r="M5703" s="14">
        <v>752</v>
      </c>
      <c r="N5703" s="14">
        <v>2496</v>
      </c>
      <c r="O5703" s="14">
        <v>0</v>
      </c>
      <c r="P5703" s="14">
        <v>3248</v>
      </c>
      <c r="Q5703">
        <v>11772</v>
      </c>
      <c r="R5703">
        <v>1301</v>
      </c>
      <c r="S5703">
        <v>1367</v>
      </c>
    </row>
    <row r="5704" spans="11:19" x14ac:dyDescent="0.3">
      <c r="K5704" s="16">
        <f t="shared" si="88"/>
        <v>44253</v>
      </c>
      <c r="L5704" s="17">
        <v>0.58333333333333337</v>
      </c>
      <c r="M5704" s="14">
        <v>752</v>
      </c>
      <c r="N5704" s="14">
        <v>0</v>
      </c>
      <c r="O5704" s="14">
        <v>0</v>
      </c>
      <c r="P5704" s="14">
        <v>752</v>
      </c>
      <c r="Q5704">
        <v>11407</v>
      </c>
      <c r="R5704">
        <v>1369</v>
      </c>
      <c r="S5704">
        <v>1284</v>
      </c>
    </row>
    <row r="5705" spans="11:19" x14ac:dyDescent="0.3">
      <c r="K5705" s="16">
        <f t="shared" si="88"/>
        <v>44253</v>
      </c>
      <c r="L5705" s="17">
        <v>0.625</v>
      </c>
      <c r="M5705" s="14">
        <v>752</v>
      </c>
      <c r="N5705" s="14">
        <v>1839</v>
      </c>
      <c r="O5705" s="14">
        <v>0</v>
      </c>
      <c r="P5705" s="14">
        <v>2591</v>
      </c>
      <c r="Q5705">
        <v>11037</v>
      </c>
      <c r="R5705">
        <v>1490</v>
      </c>
      <c r="S5705">
        <v>1098</v>
      </c>
    </row>
    <row r="5706" spans="11:19" x14ac:dyDescent="0.3">
      <c r="K5706" s="16">
        <f t="shared" si="88"/>
        <v>44253</v>
      </c>
      <c r="L5706" s="17">
        <v>0.66666666666666663</v>
      </c>
      <c r="M5706" s="14">
        <v>752</v>
      </c>
      <c r="N5706" s="14">
        <v>1443</v>
      </c>
      <c r="O5706" s="14">
        <v>0</v>
      </c>
      <c r="P5706" s="14">
        <v>2195</v>
      </c>
      <c r="Q5706">
        <v>10774</v>
      </c>
      <c r="R5706">
        <v>1650</v>
      </c>
      <c r="S5706">
        <v>685</v>
      </c>
    </row>
    <row r="5707" spans="11:19" x14ac:dyDescent="0.3">
      <c r="K5707" s="16">
        <f t="shared" si="88"/>
        <v>44253</v>
      </c>
      <c r="L5707" s="17">
        <v>0.70833333333333337</v>
      </c>
      <c r="M5707" s="14">
        <v>752</v>
      </c>
      <c r="N5707" s="14">
        <v>0</v>
      </c>
      <c r="O5707" s="14">
        <v>0</v>
      </c>
      <c r="P5707" s="14">
        <v>752</v>
      </c>
      <c r="Q5707">
        <v>10884</v>
      </c>
      <c r="R5707">
        <v>1660</v>
      </c>
      <c r="S5707">
        <v>224</v>
      </c>
    </row>
    <row r="5708" spans="11:19" x14ac:dyDescent="0.3">
      <c r="K5708" s="16">
        <f t="shared" si="88"/>
        <v>44253</v>
      </c>
      <c r="L5708" s="17">
        <v>0.75</v>
      </c>
      <c r="M5708" s="14">
        <v>752</v>
      </c>
      <c r="N5708" s="14">
        <v>3481</v>
      </c>
      <c r="O5708" s="14">
        <v>0</v>
      </c>
      <c r="P5708" s="14">
        <v>4233</v>
      </c>
      <c r="Q5708">
        <v>11630</v>
      </c>
      <c r="R5708">
        <v>1530</v>
      </c>
      <c r="S5708">
        <v>16</v>
      </c>
    </row>
    <row r="5709" spans="11:19" x14ac:dyDescent="0.3">
      <c r="K5709" s="16">
        <f t="shared" si="88"/>
        <v>44253</v>
      </c>
      <c r="L5709" s="17">
        <v>0.79166666666666663</v>
      </c>
      <c r="M5709" s="14">
        <v>752</v>
      </c>
      <c r="N5709" s="14">
        <v>3584</v>
      </c>
      <c r="O5709" s="14">
        <v>0</v>
      </c>
      <c r="P5709" s="14">
        <v>4336</v>
      </c>
      <c r="Q5709">
        <v>11906</v>
      </c>
      <c r="R5709">
        <v>1481</v>
      </c>
      <c r="S5709">
        <v>0</v>
      </c>
    </row>
    <row r="5710" spans="11:19" x14ac:dyDescent="0.3">
      <c r="K5710" s="16">
        <f t="shared" si="88"/>
        <v>44253</v>
      </c>
      <c r="L5710" s="17">
        <v>0.83333333333333337</v>
      </c>
      <c r="M5710" s="14">
        <v>752</v>
      </c>
      <c r="N5710" s="14">
        <v>3490</v>
      </c>
      <c r="O5710" s="14">
        <v>0</v>
      </c>
      <c r="P5710" s="14">
        <v>4242</v>
      </c>
      <c r="Q5710">
        <v>11197</v>
      </c>
      <c r="R5710">
        <v>1512</v>
      </c>
      <c r="S5710">
        <v>0</v>
      </c>
    </row>
    <row r="5711" spans="11:19" x14ac:dyDescent="0.3">
      <c r="K5711" s="16">
        <f t="shared" si="88"/>
        <v>44253</v>
      </c>
      <c r="L5711" s="17">
        <v>0.875</v>
      </c>
      <c r="M5711" s="14">
        <v>752</v>
      </c>
      <c r="N5711" s="14">
        <v>2790</v>
      </c>
      <c r="O5711" s="14">
        <v>0</v>
      </c>
      <c r="P5711" s="14">
        <v>3542</v>
      </c>
      <c r="Q5711">
        <v>10635</v>
      </c>
      <c r="R5711">
        <v>1651</v>
      </c>
      <c r="S5711">
        <v>0</v>
      </c>
    </row>
    <row r="5712" spans="11:19" x14ac:dyDescent="0.3">
      <c r="K5712" s="16">
        <f t="shared" si="88"/>
        <v>44253</v>
      </c>
      <c r="L5712" s="17">
        <v>0.91666666666666663</v>
      </c>
      <c r="M5712" s="14">
        <v>752</v>
      </c>
      <c r="N5712" s="14">
        <v>3169</v>
      </c>
      <c r="O5712" s="14">
        <v>0</v>
      </c>
      <c r="P5712" s="14">
        <v>3921</v>
      </c>
      <c r="Q5712">
        <v>10892</v>
      </c>
      <c r="R5712">
        <v>1533</v>
      </c>
      <c r="S5712">
        <v>0</v>
      </c>
    </row>
    <row r="5713" spans="11:19" x14ac:dyDescent="0.3">
      <c r="K5713" s="16">
        <f t="shared" si="88"/>
        <v>44253</v>
      </c>
      <c r="L5713" s="17">
        <v>0.95833333333333337</v>
      </c>
      <c r="M5713" s="14">
        <v>752</v>
      </c>
      <c r="N5713" s="14">
        <v>2773</v>
      </c>
      <c r="O5713" s="14">
        <v>0</v>
      </c>
      <c r="P5713" s="14">
        <v>3525</v>
      </c>
      <c r="Q5713">
        <v>11080</v>
      </c>
      <c r="R5713">
        <v>1715</v>
      </c>
      <c r="S5713">
        <v>0</v>
      </c>
    </row>
    <row r="5714" spans="11:19" x14ac:dyDescent="0.3">
      <c r="K5714" s="16">
        <f t="shared" si="88"/>
        <v>44254</v>
      </c>
      <c r="L5714" s="17">
        <v>0</v>
      </c>
      <c r="M5714" s="14">
        <v>752</v>
      </c>
      <c r="N5714" s="14">
        <v>2727</v>
      </c>
      <c r="O5714" s="14">
        <v>0</v>
      </c>
      <c r="P5714" s="14">
        <v>3479</v>
      </c>
      <c r="Q5714">
        <v>10547</v>
      </c>
      <c r="R5714">
        <v>1455</v>
      </c>
      <c r="S5714">
        <v>0</v>
      </c>
    </row>
    <row r="5715" spans="11:19" x14ac:dyDescent="0.3">
      <c r="K5715" s="16">
        <f t="shared" si="88"/>
        <v>44254</v>
      </c>
      <c r="L5715" s="17">
        <v>4.1666666666666664E-2</v>
      </c>
      <c r="M5715" s="14">
        <v>752</v>
      </c>
      <c r="N5715" s="14">
        <v>0</v>
      </c>
      <c r="O5715" s="14">
        <v>0</v>
      </c>
      <c r="P5715" s="14">
        <v>752</v>
      </c>
      <c r="Q5715">
        <v>10182</v>
      </c>
      <c r="R5715">
        <v>1507</v>
      </c>
      <c r="S5715">
        <v>0</v>
      </c>
    </row>
    <row r="5716" spans="11:19" x14ac:dyDescent="0.3">
      <c r="K5716" s="16">
        <f t="shared" si="88"/>
        <v>44254</v>
      </c>
      <c r="L5716" s="17">
        <v>8.3333333333333329E-2</v>
      </c>
      <c r="M5716" s="14">
        <v>752</v>
      </c>
      <c r="N5716" s="14">
        <v>1670</v>
      </c>
      <c r="O5716" s="14">
        <v>0</v>
      </c>
      <c r="P5716" s="14">
        <v>2422</v>
      </c>
      <c r="Q5716">
        <v>9845</v>
      </c>
      <c r="R5716">
        <v>1605</v>
      </c>
      <c r="S5716">
        <v>0</v>
      </c>
    </row>
    <row r="5717" spans="11:19" x14ac:dyDescent="0.3">
      <c r="K5717" s="16">
        <f t="shared" si="88"/>
        <v>44254</v>
      </c>
      <c r="L5717" s="17">
        <v>0.125</v>
      </c>
      <c r="M5717" s="14">
        <v>752</v>
      </c>
      <c r="N5717" s="14">
        <v>0</v>
      </c>
      <c r="O5717" s="14">
        <v>0</v>
      </c>
      <c r="P5717" s="14">
        <v>752</v>
      </c>
      <c r="Q5717">
        <v>9367</v>
      </c>
      <c r="R5717">
        <v>1608</v>
      </c>
      <c r="S5717">
        <v>0</v>
      </c>
    </row>
    <row r="5718" spans="11:19" x14ac:dyDescent="0.3">
      <c r="K5718" s="16">
        <f t="shared" si="88"/>
        <v>44254</v>
      </c>
      <c r="L5718" s="17">
        <v>0.16666666666666666</v>
      </c>
      <c r="M5718" s="14">
        <v>752</v>
      </c>
      <c r="N5718" s="14">
        <v>842</v>
      </c>
      <c r="O5718" s="14">
        <v>0</v>
      </c>
      <c r="P5718" s="14">
        <v>1594</v>
      </c>
      <c r="Q5718">
        <v>9163</v>
      </c>
      <c r="R5718">
        <v>1754</v>
      </c>
      <c r="S5718">
        <v>0</v>
      </c>
    </row>
    <row r="5719" spans="11:19" x14ac:dyDescent="0.3">
      <c r="K5719" s="16">
        <f t="shared" si="88"/>
        <v>44254</v>
      </c>
      <c r="L5719" s="17">
        <v>0.20833333333333334</v>
      </c>
      <c r="M5719" s="14">
        <v>752</v>
      </c>
      <c r="N5719" s="14">
        <v>0</v>
      </c>
      <c r="O5719" s="14">
        <v>0</v>
      </c>
      <c r="P5719" s="14">
        <v>752</v>
      </c>
      <c r="Q5719">
        <v>9324</v>
      </c>
      <c r="R5719">
        <v>2091</v>
      </c>
      <c r="S5719">
        <v>0</v>
      </c>
    </row>
    <row r="5720" spans="11:19" x14ac:dyDescent="0.3">
      <c r="K5720" s="16">
        <f t="shared" si="88"/>
        <v>44254</v>
      </c>
      <c r="L5720" s="17">
        <v>0.25</v>
      </c>
      <c r="M5720" s="14">
        <v>752</v>
      </c>
      <c r="N5720" s="14">
        <v>0</v>
      </c>
      <c r="O5720" s="14">
        <v>0</v>
      </c>
      <c r="P5720" s="14">
        <v>752</v>
      </c>
      <c r="Q5720">
        <v>9732</v>
      </c>
      <c r="R5720">
        <v>2310</v>
      </c>
      <c r="S5720">
        <v>0</v>
      </c>
    </row>
    <row r="5721" spans="11:19" x14ac:dyDescent="0.3">
      <c r="K5721" s="16">
        <f t="shared" si="88"/>
        <v>44254</v>
      </c>
      <c r="L5721" s="17">
        <v>0.29166666666666669</v>
      </c>
      <c r="M5721" s="14">
        <v>752</v>
      </c>
      <c r="N5721" s="14">
        <v>0</v>
      </c>
      <c r="O5721" s="14">
        <v>0</v>
      </c>
      <c r="P5721" s="14">
        <v>752</v>
      </c>
      <c r="Q5721">
        <v>10016</v>
      </c>
      <c r="R5721">
        <v>2389</v>
      </c>
      <c r="S5721">
        <v>14</v>
      </c>
    </row>
    <row r="5722" spans="11:19" x14ac:dyDescent="0.3">
      <c r="K5722" s="16">
        <f t="shared" si="88"/>
        <v>44254</v>
      </c>
      <c r="L5722" s="17">
        <v>0.33333333333333331</v>
      </c>
      <c r="M5722" s="14">
        <v>752</v>
      </c>
      <c r="N5722" s="14">
        <v>0</v>
      </c>
      <c r="O5722" s="14">
        <v>0</v>
      </c>
      <c r="P5722" s="14">
        <v>752</v>
      </c>
      <c r="Q5722">
        <v>10491</v>
      </c>
      <c r="R5722">
        <v>2443</v>
      </c>
      <c r="S5722">
        <v>219</v>
      </c>
    </row>
    <row r="5723" spans="11:19" x14ac:dyDescent="0.3">
      <c r="K5723" s="16">
        <f t="shared" ref="K5723:K5786" si="89">K5699+1</f>
        <v>44254</v>
      </c>
      <c r="L5723" s="17">
        <v>0.375</v>
      </c>
      <c r="M5723" s="14">
        <v>752</v>
      </c>
      <c r="N5723" s="14">
        <v>1388</v>
      </c>
      <c r="O5723" s="14">
        <v>0</v>
      </c>
      <c r="P5723" s="14">
        <v>2140</v>
      </c>
      <c r="Q5723">
        <v>10851</v>
      </c>
      <c r="R5723">
        <v>2342</v>
      </c>
      <c r="S5723">
        <v>684</v>
      </c>
    </row>
    <row r="5724" spans="11:19" x14ac:dyDescent="0.3">
      <c r="K5724" s="16">
        <f t="shared" si="89"/>
        <v>44254</v>
      </c>
      <c r="L5724" s="17">
        <v>0.41666666666666669</v>
      </c>
      <c r="M5724" s="14">
        <v>752</v>
      </c>
      <c r="N5724" s="14">
        <v>0</v>
      </c>
      <c r="O5724" s="14">
        <v>0</v>
      </c>
      <c r="P5724" s="14">
        <v>752</v>
      </c>
      <c r="Q5724">
        <v>10884</v>
      </c>
      <c r="R5724">
        <v>2220</v>
      </c>
      <c r="S5724">
        <v>1135</v>
      </c>
    </row>
    <row r="5725" spans="11:19" x14ac:dyDescent="0.3">
      <c r="K5725" s="16">
        <f t="shared" si="89"/>
        <v>44254</v>
      </c>
      <c r="L5725" s="17">
        <v>0.45833333333333331</v>
      </c>
      <c r="M5725" s="14">
        <v>752</v>
      </c>
      <c r="N5725" s="14">
        <v>1156</v>
      </c>
      <c r="O5725" s="14">
        <v>0</v>
      </c>
      <c r="P5725" s="14">
        <v>1908</v>
      </c>
      <c r="Q5725">
        <v>10962</v>
      </c>
      <c r="R5725">
        <v>2229</v>
      </c>
      <c r="S5725">
        <v>1375</v>
      </c>
    </row>
    <row r="5726" spans="11:19" x14ac:dyDescent="0.3">
      <c r="K5726" s="16">
        <f t="shared" si="89"/>
        <v>44254</v>
      </c>
      <c r="L5726" s="17">
        <v>0.5</v>
      </c>
      <c r="M5726" s="14">
        <v>752</v>
      </c>
      <c r="N5726" s="14">
        <v>969</v>
      </c>
      <c r="O5726" s="14">
        <v>0</v>
      </c>
      <c r="P5726" s="14">
        <v>1721</v>
      </c>
      <c r="Q5726">
        <v>11156</v>
      </c>
      <c r="R5726">
        <v>2474</v>
      </c>
      <c r="S5726">
        <v>1511</v>
      </c>
    </row>
    <row r="5727" spans="11:19" x14ac:dyDescent="0.3">
      <c r="K5727" s="16">
        <f t="shared" si="89"/>
        <v>44254</v>
      </c>
      <c r="L5727" s="17">
        <v>0.54166666666666663</v>
      </c>
      <c r="M5727" s="14">
        <v>752</v>
      </c>
      <c r="N5727" s="14">
        <v>0</v>
      </c>
      <c r="O5727" s="14">
        <v>-49</v>
      </c>
      <c r="P5727" s="14">
        <v>703</v>
      </c>
      <c r="Q5727">
        <v>10598</v>
      </c>
      <c r="R5727">
        <v>2865</v>
      </c>
      <c r="S5727">
        <v>1580</v>
      </c>
    </row>
    <row r="5728" spans="11:19" x14ac:dyDescent="0.3">
      <c r="K5728" s="16">
        <f t="shared" si="89"/>
        <v>44254</v>
      </c>
      <c r="L5728" s="17">
        <v>0.58333333333333337</v>
      </c>
      <c r="M5728" s="14">
        <v>752</v>
      </c>
      <c r="N5728" s="14">
        <v>0</v>
      </c>
      <c r="O5728" s="14">
        <v>-658</v>
      </c>
      <c r="P5728" s="14">
        <v>94</v>
      </c>
      <c r="Q5728">
        <v>10086</v>
      </c>
      <c r="R5728">
        <v>3039</v>
      </c>
      <c r="S5728">
        <v>1507</v>
      </c>
    </row>
    <row r="5729" spans="11:19" x14ac:dyDescent="0.3">
      <c r="K5729" s="16">
        <f t="shared" si="89"/>
        <v>44254</v>
      </c>
      <c r="L5729" s="17">
        <v>0.625</v>
      </c>
      <c r="M5729" s="14">
        <v>752</v>
      </c>
      <c r="N5729" s="14">
        <v>0</v>
      </c>
      <c r="O5729" s="14">
        <v>-484</v>
      </c>
      <c r="P5729" s="14">
        <v>268</v>
      </c>
      <c r="Q5729">
        <v>9742</v>
      </c>
      <c r="R5729">
        <v>2743</v>
      </c>
      <c r="S5729">
        <v>1287</v>
      </c>
    </row>
    <row r="5730" spans="11:19" x14ac:dyDescent="0.3">
      <c r="K5730" s="16">
        <f t="shared" si="89"/>
        <v>44254</v>
      </c>
      <c r="L5730" s="17">
        <v>0.66666666666666663</v>
      </c>
      <c r="M5730" s="14">
        <v>752</v>
      </c>
      <c r="N5730" s="14">
        <v>0</v>
      </c>
      <c r="O5730" s="14">
        <v>-470</v>
      </c>
      <c r="P5730" s="14">
        <v>282</v>
      </c>
      <c r="Q5730">
        <v>9519</v>
      </c>
      <c r="R5730">
        <v>2688</v>
      </c>
      <c r="S5730">
        <v>787</v>
      </c>
    </row>
    <row r="5731" spans="11:19" x14ac:dyDescent="0.3">
      <c r="K5731" s="16">
        <f t="shared" si="89"/>
        <v>44254</v>
      </c>
      <c r="L5731" s="17">
        <v>0.70833333333333337</v>
      </c>
      <c r="M5731" s="14">
        <v>752</v>
      </c>
      <c r="N5731" s="14">
        <v>339</v>
      </c>
      <c r="O5731" s="14">
        <v>0</v>
      </c>
      <c r="P5731" s="14">
        <v>1091</v>
      </c>
      <c r="Q5731">
        <v>9687</v>
      </c>
      <c r="R5731">
        <v>2567</v>
      </c>
      <c r="S5731">
        <v>268</v>
      </c>
    </row>
    <row r="5732" spans="11:19" x14ac:dyDescent="0.3">
      <c r="K5732" s="16">
        <f t="shared" si="89"/>
        <v>44254</v>
      </c>
      <c r="L5732" s="17">
        <v>0.75</v>
      </c>
      <c r="M5732" s="14">
        <v>752</v>
      </c>
      <c r="N5732" s="14">
        <v>0</v>
      </c>
      <c r="O5732" s="14">
        <v>0</v>
      </c>
      <c r="P5732" s="14">
        <v>752</v>
      </c>
      <c r="Q5732">
        <v>10609</v>
      </c>
      <c r="R5732">
        <v>2441</v>
      </c>
      <c r="S5732">
        <v>23</v>
      </c>
    </row>
    <row r="5733" spans="11:19" x14ac:dyDescent="0.3">
      <c r="K5733" s="16">
        <f t="shared" si="89"/>
        <v>44254</v>
      </c>
      <c r="L5733" s="17">
        <v>0.79166666666666663</v>
      </c>
      <c r="M5733" s="14">
        <v>752</v>
      </c>
      <c r="N5733" s="14">
        <v>2305</v>
      </c>
      <c r="O5733" s="14">
        <v>0</v>
      </c>
      <c r="P5733" s="14">
        <v>3057</v>
      </c>
      <c r="Q5733">
        <v>11023</v>
      </c>
      <c r="R5733">
        <v>2211</v>
      </c>
      <c r="S5733">
        <v>0</v>
      </c>
    </row>
    <row r="5734" spans="11:19" x14ac:dyDescent="0.3">
      <c r="K5734" s="16">
        <f t="shared" si="89"/>
        <v>44254</v>
      </c>
      <c r="L5734" s="17">
        <v>0.83333333333333337</v>
      </c>
      <c r="M5734" s="14">
        <v>752</v>
      </c>
      <c r="N5734" s="14">
        <v>1729</v>
      </c>
      <c r="O5734" s="14">
        <v>0</v>
      </c>
      <c r="P5734" s="14">
        <v>2481</v>
      </c>
      <c r="Q5734">
        <v>10529</v>
      </c>
      <c r="R5734">
        <v>2300</v>
      </c>
      <c r="S5734">
        <v>0</v>
      </c>
    </row>
    <row r="5735" spans="11:19" x14ac:dyDescent="0.3">
      <c r="K5735" s="16">
        <f t="shared" si="89"/>
        <v>44254</v>
      </c>
      <c r="L5735" s="17">
        <v>0.875</v>
      </c>
      <c r="M5735" s="14">
        <v>752</v>
      </c>
      <c r="N5735" s="14">
        <v>0</v>
      </c>
      <c r="O5735" s="14">
        <v>1112</v>
      </c>
      <c r="P5735" s="14">
        <v>1864</v>
      </c>
      <c r="Q5735">
        <v>10093</v>
      </c>
      <c r="R5735">
        <v>2486</v>
      </c>
      <c r="S5735">
        <v>0</v>
      </c>
    </row>
    <row r="5736" spans="11:19" x14ac:dyDescent="0.3">
      <c r="K5736" s="16">
        <f t="shared" si="89"/>
        <v>44254</v>
      </c>
      <c r="L5736" s="17">
        <v>0.91666666666666663</v>
      </c>
      <c r="M5736" s="14">
        <v>752</v>
      </c>
      <c r="N5736" s="14">
        <v>0</v>
      </c>
      <c r="O5736" s="14">
        <v>0</v>
      </c>
      <c r="P5736" s="14">
        <v>752</v>
      </c>
      <c r="Q5736">
        <v>10502</v>
      </c>
      <c r="R5736">
        <v>2497</v>
      </c>
      <c r="S5736">
        <v>0</v>
      </c>
    </row>
    <row r="5737" spans="11:19" x14ac:dyDescent="0.3">
      <c r="K5737" s="16">
        <f t="shared" si="89"/>
        <v>44254</v>
      </c>
      <c r="L5737" s="17">
        <v>0.95833333333333337</v>
      </c>
      <c r="M5737" s="14">
        <v>752</v>
      </c>
      <c r="N5737" s="14">
        <v>0</v>
      </c>
      <c r="O5737" s="14">
        <v>218</v>
      </c>
      <c r="P5737" s="14">
        <v>970</v>
      </c>
      <c r="Q5737">
        <v>10848</v>
      </c>
      <c r="R5737">
        <v>2399</v>
      </c>
      <c r="S5737">
        <v>0</v>
      </c>
    </row>
    <row r="5738" spans="11:19" x14ac:dyDescent="0.3">
      <c r="K5738" s="16">
        <f t="shared" si="89"/>
        <v>44255</v>
      </c>
      <c r="L5738" s="17">
        <v>0</v>
      </c>
      <c r="M5738" s="14">
        <v>752</v>
      </c>
      <c r="N5738" s="14">
        <v>472</v>
      </c>
      <c r="O5738" s="14">
        <v>1200</v>
      </c>
      <c r="P5738" s="14">
        <v>2424</v>
      </c>
      <c r="Q5738">
        <v>10460</v>
      </c>
      <c r="R5738">
        <v>2294</v>
      </c>
      <c r="S5738">
        <v>0</v>
      </c>
    </row>
    <row r="5739" spans="11:19" x14ac:dyDescent="0.3">
      <c r="K5739" s="16">
        <f t="shared" si="89"/>
        <v>44255</v>
      </c>
      <c r="L5739" s="17">
        <v>4.1666666666666664E-2</v>
      </c>
      <c r="M5739" s="14">
        <v>752</v>
      </c>
      <c r="N5739" s="14">
        <v>0</v>
      </c>
      <c r="O5739" s="14">
        <v>1200</v>
      </c>
      <c r="P5739" s="14">
        <v>1952</v>
      </c>
      <c r="Q5739">
        <v>10168</v>
      </c>
      <c r="R5739">
        <v>2337</v>
      </c>
      <c r="S5739">
        <v>0</v>
      </c>
    </row>
    <row r="5740" spans="11:19" x14ac:dyDescent="0.3">
      <c r="K5740" s="16">
        <f t="shared" si="89"/>
        <v>44255</v>
      </c>
      <c r="L5740" s="17">
        <v>8.3333333333333329E-2</v>
      </c>
      <c r="M5740" s="14">
        <v>752</v>
      </c>
      <c r="N5740" s="14">
        <v>308</v>
      </c>
      <c r="O5740" s="14">
        <v>1200</v>
      </c>
      <c r="P5740" s="14">
        <v>2260</v>
      </c>
      <c r="Q5740">
        <v>9858</v>
      </c>
      <c r="R5740">
        <v>2180</v>
      </c>
      <c r="S5740">
        <v>0</v>
      </c>
    </row>
    <row r="5741" spans="11:19" x14ac:dyDescent="0.3">
      <c r="K5741" s="16">
        <f t="shared" si="89"/>
        <v>44255</v>
      </c>
      <c r="L5741" s="17">
        <v>0.125</v>
      </c>
      <c r="M5741" s="14">
        <v>752</v>
      </c>
      <c r="N5741" s="14">
        <v>0</v>
      </c>
      <c r="O5741" s="14">
        <v>543</v>
      </c>
      <c r="P5741" s="14">
        <v>1295</v>
      </c>
      <c r="Q5741">
        <v>9364</v>
      </c>
      <c r="R5741">
        <v>2652</v>
      </c>
      <c r="S5741">
        <v>0</v>
      </c>
    </row>
    <row r="5742" spans="11:19" x14ac:dyDescent="0.3">
      <c r="K5742" s="16">
        <f t="shared" si="89"/>
        <v>44255</v>
      </c>
      <c r="L5742" s="17">
        <v>0.16666666666666666</v>
      </c>
      <c r="M5742" s="14">
        <v>752</v>
      </c>
      <c r="N5742" s="14">
        <v>483</v>
      </c>
      <c r="O5742" s="14">
        <v>0</v>
      </c>
      <c r="P5742" s="14">
        <v>1235</v>
      </c>
      <c r="Q5742">
        <v>9135</v>
      </c>
      <c r="R5742">
        <v>2485</v>
      </c>
      <c r="S5742">
        <v>0</v>
      </c>
    </row>
    <row r="5743" spans="11:19" x14ac:dyDescent="0.3">
      <c r="K5743" s="16">
        <f t="shared" si="89"/>
        <v>44255</v>
      </c>
      <c r="L5743" s="17">
        <v>0.20833333333333334</v>
      </c>
      <c r="M5743" s="14">
        <v>752</v>
      </c>
      <c r="N5743" s="14">
        <v>0</v>
      </c>
      <c r="O5743" s="14">
        <v>435</v>
      </c>
      <c r="P5743" s="14">
        <v>1187</v>
      </c>
      <c r="Q5743">
        <v>9181</v>
      </c>
      <c r="R5743">
        <v>2577</v>
      </c>
      <c r="S5743">
        <v>0</v>
      </c>
    </row>
    <row r="5744" spans="11:19" x14ac:dyDescent="0.3">
      <c r="K5744" s="16">
        <f t="shared" si="89"/>
        <v>44255</v>
      </c>
      <c r="L5744" s="17">
        <v>0.25</v>
      </c>
      <c r="M5744" s="14">
        <v>752</v>
      </c>
      <c r="N5744" s="14">
        <v>0</v>
      </c>
      <c r="O5744" s="14">
        <v>534</v>
      </c>
      <c r="P5744" s="14">
        <v>1286</v>
      </c>
      <c r="Q5744">
        <v>9391</v>
      </c>
      <c r="R5744">
        <v>2686</v>
      </c>
      <c r="S5744">
        <v>0</v>
      </c>
    </row>
    <row r="5745" spans="11:19" x14ac:dyDescent="0.3">
      <c r="K5745" s="16">
        <f t="shared" si="89"/>
        <v>44255</v>
      </c>
      <c r="L5745" s="17">
        <v>0.29166666666666669</v>
      </c>
      <c r="M5745" s="14">
        <v>752</v>
      </c>
      <c r="N5745" s="14">
        <v>522</v>
      </c>
      <c r="O5745" s="14">
        <v>150</v>
      </c>
      <c r="P5745" s="14">
        <v>1424</v>
      </c>
      <c r="Q5745">
        <v>9478</v>
      </c>
      <c r="R5745">
        <v>2619</v>
      </c>
      <c r="S5745">
        <v>7</v>
      </c>
    </row>
    <row r="5746" spans="11:19" x14ac:dyDescent="0.3">
      <c r="K5746" s="16">
        <f t="shared" si="89"/>
        <v>44255</v>
      </c>
      <c r="L5746" s="17">
        <v>0.33333333333333331</v>
      </c>
      <c r="M5746" s="14">
        <v>752</v>
      </c>
      <c r="N5746" s="14">
        <v>0</v>
      </c>
      <c r="O5746" s="14">
        <v>745</v>
      </c>
      <c r="P5746" s="14">
        <v>1497</v>
      </c>
      <c r="Q5746">
        <v>9898</v>
      </c>
      <c r="R5746">
        <v>2722</v>
      </c>
      <c r="S5746">
        <v>241</v>
      </c>
    </row>
    <row r="5747" spans="11:19" x14ac:dyDescent="0.3">
      <c r="K5747" s="16">
        <f t="shared" si="89"/>
        <v>44255</v>
      </c>
      <c r="L5747" s="17">
        <v>0.375</v>
      </c>
      <c r="M5747" s="14">
        <v>752</v>
      </c>
      <c r="N5747" s="14">
        <v>0</v>
      </c>
      <c r="O5747" s="14">
        <v>309</v>
      </c>
      <c r="P5747" s="14">
        <v>1061</v>
      </c>
      <c r="Q5747">
        <v>10298</v>
      </c>
      <c r="R5747">
        <v>3035</v>
      </c>
      <c r="S5747">
        <v>758</v>
      </c>
    </row>
    <row r="5748" spans="11:19" x14ac:dyDescent="0.3">
      <c r="K5748" s="16">
        <f t="shared" si="89"/>
        <v>44255</v>
      </c>
      <c r="L5748" s="17">
        <v>0.41666666666666669</v>
      </c>
      <c r="M5748" s="14">
        <v>752</v>
      </c>
      <c r="N5748" s="14">
        <v>0</v>
      </c>
      <c r="O5748" s="14">
        <v>-307</v>
      </c>
      <c r="P5748" s="14">
        <v>445</v>
      </c>
      <c r="Q5748">
        <v>10446</v>
      </c>
      <c r="R5748">
        <v>3274</v>
      </c>
      <c r="S5748">
        <v>1280</v>
      </c>
    </row>
    <row r="5749" spans="11:19" x14ac:dyDescent="0.3">
      <c r="K5749" s="16">
        <f t="shared" si="89"/>
        <v>44255</v>
      </c>
      <c r="L5749" s="17">
        <v>0.45833333333333331</v>
      </c>
      <c r="M5749" s="14">
        <v>752</v>
      </c>
      <c r="N5749" s="14">
        <v>0</v>
      </c>
      <c r="O5749" s="14">
        <v>-685</v>
      </c>
      <c r="P5749" s="14">
        <v>67</v>
      </c>
      <c r="Q5749">
        <v>10519</v>
      </c>
      <c r="R5749">
        <v>3362</v>
      </c>
      <c r="S5749">
        <v>1640</v>
      </c>
    </row>
    <row r="5750" spans="11:19" x14ac:dyDescent="0.3">
      <c r="K5750" s="16">
        <f t="shared" si="89"/>
        <v>44255</v>
      </c>
      <c r="L5750" s="17">
        <v>0.5</v>
      </c>
      <c r="M5750" s="14">
        <v>752</v>
      </c>
      <c r="N5750" s="14">
        <v>0</v>
      </c>
      <c r="O5750" s="14">
        <v>-715</v>
      </c>
      <c r="P5750" s="14">
        <v>37</v>
      </c>
      <c r="Q5750">
        <v>10713</v>
      </c>
      <c r="R5750">
        <v>3408</v>
      </c>
      <c r="S5750">
        <v>1818</v>
      </c>
    </row>
    <row r="5751" spans="11:19" x14ac:dyDescent="0.3">
      <c r="K5751" s="16">
        <f t="shared" si="89"/>
        <v>44255</v>
      </c>
      <c r="L5751" s="17">
        <v>0.54166666666666663</v>
      </c>
      <c r="M5751" s="14">
        <v>752</v>
      </c>
      <c r="N5751" s="14">
        <v>0</v>
      </c>
      <c r="O5751" s="14">
        <v>-1200</v>
      </c>
      <c r="P5751" s="14">
        <v>-448</v>
      </c>
      <c r="Q5751">
        <v>10031</v>
      </c>
      <c r="R5751">
        <v>3810</v>
      </c>
      <c r="S5751">
        <v>1887</v>
      </c>
    </row>
    <row r="5752" spans="11:19" x14ac:dyDescent="0.3">
      <c r="K5752" s="16">
        <f t="shared" si="89"/>
        <v>44255</v>
      </c>
      <c r="L5752" s="17">
        <v>0.58333333333333337</v>
      </c>
      <c r="M5752" s="14">
        <v>752</v>
      </c>
      <c r="N5752" s="14">
        <v>0</v>
      </c>
      <c r="O5752" s="14">
        <v>-1200</v>
      </c>
      <c r="P5752" s="14">
        <v>-448</v>
      </c>
      <c r="Q5752">
        <v>9466</v>
      </c>
      <c r="R5752">
        <v>3985</v>
      </c>
      <c r="S5752">
        <v>1757</v>
      </c>
    </row>
    <row r="5753" spans="11:19" x14ac:dyDescent="0.3">
      <c r="K5753" s="16">
        <f t="shared" si="89"/>
        <v>44255</v>
      </c>
      <c r="L5753" s="17">
        <v>0.625</v>
      </c>
      <c r="M5753" s="14">
        <v>752</v>
      </c>
      <c r="N5753" s="14">
        <v>0</v>
      </c>
      <c r="O5753" s="14">
        <v>-1200</v>
      </c>
      <c r="P5753" s="14">
        <v>-448</v>
      </c>
      <c r="Q5753">
        <v>9113</v>
      </c>
      <c r="R5753">
        <v>4060</v>
      </c>
      <c r="S5753">
        <v>1421</v>
      </c>
    </row>
    <row r="5754" spans="11:19" x14ac:dyDescent="0.3">
      <c r="K5754" s="16">
        <f t="shared" si="89"/>
        <v>44255</v>
      </c>
      <c r="L5754" s="17">
        <v>0.66666666666666663</v>
      </c>
      <c r="M5754" s="14">
        <v>752</v>
      </c>
      <c r="N5754" s="14">
        <v>0</v>
      </c>
      <c r="O5754" s="14">
        <v>-1200</v>
      </c>
      <c r="P5754" s="14">
        <v>-448</v>
      </c>
      <c r="Q5754">
        <v>8949</v>
      </c>
      <c r="R5754">
        <v>4016</v>
      </c>
      <c r="S5754">
        <v>882</v>
      </c>
    </row>
    <row r="5755" spans="11:19" x14ac:dyDescent="0.3">
      <c r="K5755" s="16">
        <f t="shared" si="89"/>
        <v>44255</v>
      </c>
      <c r="L5755" s="17">
        <v>0.70833333333333337</v>
      </c>
      <c r="M5755" s="14">
        <v>752</v>
      </c>
      <c r="N5755" s="14">
        <v>0</v>
      </c>
      <c r="O5755" s="14">
        <v>-1200</v>
      </c>
      <c r="P5755" s="14">
        <v>-448</v>
      </c>
      <c r="Q5755">
        <v>9168</v>
      </c>
      <c r="R5755">
        <v>4181</v>
      </c>
      <c r="S5755">
        <v>298</v>
      </c>
    </row>
    <row r="5756" spans="11:19" x14ac:dyDescent="0.3">
      <c r="K5756" s="16">
        <f t="shared" si="89"/>
        <v>44255</v>
      </c>
      <c r="L5756" s="17">
        <v>0.75</v>
      </c>
      <c r="M5756" s="14">
        <v>752</v>
      </c>
      <c r="N5756" s="14">
        <v>0</v>
      </c>
      <c r="O5756" s="14">
        <v>-508</v>
      </c>
      <c r="P5756" s="14">
        <v>244</v>
      </c>
      <c r="Q5756">
        <v>10165</v>
      </c>
      <c r="R5756">
        <v>4466</v>
      </c>
      <c r="S5756">
        <v>19</v>
      </c>
    </row>
    <row r="5757" spans="11:19" x14ac:dyDescent="0.3">
      <c r="K5757" s="16">
        <f t="shared" si="89"/>
        <v>44255</v>
      </c>
      <c r="L5757" s="17">
        <v>0.79166666666666663</v>
      </c>
      <c r="M5757" s="14">
        <v>752</v>
      </c>
      <c r="N5757" s="14">
        <v>0</v>
      </c>
      <c r="O5757" s="14">
        <v>130</v>
      </c>
      <c r="P5757" s="14">
        <v>882</v>
      </c>
      <c r="Q5757">
        <v>10902</v>
      </c>
      <c r="R5757">
        <v>4585</v>
      </c>
      <c r="S5757">
        <v>0</v>
      </c>
    </row>
    <row r="5758" spans="11:19" x14ac:dyDescent="0.3">
      <c r="K5758" s="16">
        <f t="shared" si="89"/>
        <v>44255</v>
      </c>
      <c r="L5758" s="17">
        <v>0.83333333333333337</v>
      </c>
      <c r="M5758" s="14">
        <v>752</v>
      </c>
      <c r="N5758" s="14">
        <v>0</v>
      </c>
      <c r="O5758" s="14">
        <v>-179</v>
      </c>
      <c r="P5758" s="14">
        <v>573</v>
      </c>
      <c r="Q5758">
        <v>10535</v>
      </c>
      <c r="R5758">
        <v>4534</v>
      </c>
      <c r="S5758">
        <v>0</v>
      </c>
    </row>
    <row r="5759" spans="11:19" x14ac:dyDescent="0.3">
      <c r="K5759" s="16">
        <f t="shared" si="89"/>
        <v>44255</v>
      </c>
      <c r="L5759" s="17">
        <v>0.875</v>
      </c>
      <c r="M5759" s="14">
        <v>752</v>
      </c>
      <c r="N5759" s="14">
        <v>0</v>
      </c>
      <c r="O5759" s="14">
        <v>-303</v>
      </c>
      <c r="P5759" s="14">
        <v>449</v>
      </c>
      <c r="Q5759">
        <v>10082</v>
      </c>
      <c r="R5759">
        <v>4210</v>
      </c>
      <c r="S5759">
        <v>0</v>
      </c>
    </row>
    <row r="5760" spans="11:19" x14ac:dyDescent="0.3">
      <c r="K5760" s="16">
        <f t="shared" si="89"/>
        <v>44255</v>
      </c>
      <c r="L5760" s="17">
        <v>0.91666666666666663</v>
      </c>
      <c r="M5760" s="14">
        <v>752</v>
      </c>
      <c r="N5760" s="14">
        <v>0</v>
      </c>
      <c r="O5760" s="14">
        <v>140</v>
      </c>
      <c r="P5760" s="14">
        <v>892</v>
      </c>
      <c r="Q5760">
        <v>10342</v>
      </c>
      <c r="R5760">
        <v>4031</v>
      </c>
      <c r="S5760">
        <v>0</v>
      </c>
    </row>
    <row r="5761" spans="11:19" x14ac:dyDescent="0.3">
      <c r="K5761" s="16">
        <f t="shared" si="89"/>
        <v>44255</v>
      </c>
      <c r="L5761" s="17">
        <v>0.95833333333333337</v>
      </c>
      <c r="M5761" s="14">
        <v>752</v>
      </c>
      <c r="N5761" s="14">
        <v>0</v>
      </c>
      <c r="O5761" s="14">
        <v>374</v>
      </c>
      <c r="P5761" s="14">
        <v>1126</v>
      </c>
      <c r="Q5761">
        <v>10589</v>
      </c>
      <c r="R5761">
        <v>4041</v>
      </c>
      <c r="S5761">
        <v>0</v>
      </c>
    </row>
    <row r="5762" spans="11:19" x14ac:dyDescent="0.3">
      <c r="K5762" s="16">
        <f t="shared" si="89"/>
        <v>44256</v>
      </c>
      <c r="L5762" s="17">
        <v>0</v>
      </c>
      <c r="M5762" s="14">
        <v>752</v>
      </c>
      <c r="N5762" s="14">
        <v>329</v>
      </c>
      <c r="O5762" s="14">
        <v>0</v>
      </c>
      <c r="P5762" s="14">
        <v>1081</v>
      </c>
      <c r="Q5762">
        <v>10230</v>
      </c>
      <c r="R5762">
        <v>3725</v>
      </c>
      <c r="S5762">
        <v>0</v>
      </c>
    </row>
    <row r="5763" spans="11:19" x14ac:dyDescent="0.3">
      <c r="K5763" s="16">
        <f t="shared" si="89"/>
        <v>44256</v>
      </c>
      <c r="L5763" s="17">
        <v>4.1666666666666664E-2</v>
      </c>
      <c r="M5763" s="14">
        <v>752</v>
      </c>
      <c r="N5763" s="14">
        <v>111</v>
      </c>
      <c r="O5763" s="14">
        <v>0</v>
      </c>
      <c r="P5763" s="14">
        <v>863</v>
      </c>
      <c r="Q5763">
        <v>9986</v>
      </c>
      <c r="R5763">
        <v>3702</v>
      </c>
      <c r="S5763">
        <v>0</v>
      </c>
    </row>
    <row r="5764" spans="11:19" x14ac:dyDescent="0.3">
      <c r="K5764" s="16">
        <f t="shared" si="89"/>
        <v>44256</v>
      </c>
      <c r="L5764" s="17">
        <v>8.3333333333333329E-2</v>
      </c>
      <c r="M5764" s="14">
        <v>752</v>
      </c>
      <c r="N5764" s="14">
        <v>45</v>
      </c>
      <c r="O5764" s="14">
        <v>0</v>
      </c>
      <c r="P5764" s="14">
        <v>797</v>
      </c>
      <c r="Q5764">
        <v>9749</v>
      </c>
      <c r="R5764">
        <v>3533</v>
      </c>
      <c r="S5764">
        <v>0</v>
      </c>
    </row>
    <row r="5765" spans="11:19" x14ac:dyDescent="0.3">
      <c r="K5765" s="16">
        <f t="shared" si="89"/>
        <v>44256</v>
      </c>
      <c r="L5765" s="17">
        <v>0.125</v>
      </c>
      <c r="M5765" s="14">
        <v>752</v>
      </c>
      <c r="N5765" s="14">
        <v>0</v>
      </c>
      <c r="O5765" s="14">
        <v>-258</v>
      </c>
      <c r="P5765" s="14">
        <v>494</v>
      </c>
      <c r="Q5765">
        <v>9326</v>
      </c>
      <c r="R5765">
        <v>3413</v>
      </c>
      <c r="S5765">
        <v>0</v>
      </c>
    </row>
    <row r="5766" spans="11:19" x14ac:dyDescent="0.3">
      <c r="K5766" s="16">
        <f t="shared" si="89"/>
        <v>44256</v>
      </c>
      <c r="L5766" s="17">
        <v>0.16666666666666666</v>
      </c>
      <c r="M5766" s="14">
        <v>752</v>
      </c>
      <c r="N5766" s="14">
        <v>0</v>
      </c>
      <c r="O5766" s="14">
        <v>-122</v>
      </c>
      <c r="P5766" s="14">
        <v>630</v>
      </c>
      <c r="Q5766">
        <v>9293</v>
      </c>
      <c r="R5766">
        <v>3246</v>
      </c>
      <c r="S5766">
        <v>0</v>
      </c>
    </row>
    <row r="5767" spans="11:19" x14ac:dyDescent="0.3">
      <c r="K5767" s="16">
        <f t="shared" si="89"/>
        <v>44256</v>
      </c>
      <c r="L5767" s="17">
        <v>0.20833333333333334</v>
      </c>
      <c r="M5767" s="14">
        <v>752</v>
      </c>
      <c r="N5767" s="14">
        <v>630</v>
      </c>
      <c r="O5767" s="14">
        <v>0</v>
      </c>
      <c r="P5767" s="14">
        <v>1382</v>
      </c>
      <c r="Q5767">
        <v>9867</v>
      </c>
      <c r="R5767">
        <v>3066</v>
      </c>
      <c r="S5767">
        <v>0</v>
      </c>
    </row>
    <row r="5768" spans="11:19" x14ac:dyDescent="0.3">
      <c r="K5768" s="16">
        <f t="shared" si="89"/>
        <v>44256</v>
      </c>
      <c r="L5768" s="17">
        <v>0.25</v>
      </c>
      <c r="M5768" s="14">
        <v>752</v>
      </c>
      <c r="N5768" s="14">
        <v>1829</v>
      </c>
      <c r="O5768" s="14">
        <v>0</v>
      </c>
      <c r="P5768" s="14">
        <v>2581</v>
      </c>
      <c r="Q5768">
        <v>10983</v>
      </c>
      <c r="R5768">
        <v>2969</v>
      </c>
      <c r="S5768">
        <v>0</v>
      </c>
    </row>
    <row r="5769" spans="11:19" x14ac:dyDescent="0.3">
      <c r="K5769" s="16">
        <f t="shared" si="89"/>
        <v>44256</v>
      </c>
      <c r="L5769" s="17">
        <v>0.29166666666666669</v>
      </c>
      <c r="M5769" s="14">
        <v>752</v>
      </c>
      <c r="N5769" s="14">
        <v>2605</v>
      </c>
      <c r="O5769" s="14">
        <v>0</v>
      </c>
      <c r="P5769" s="14">
        <v>3357</v>
      </c>
      <c r="Q5769">
        <v>11707</v>
      </c>
      <c r="R5769">
        <v>2890</v>
      </c>
      <c r="S5769">
        <v>11</v>
      </c>
    </row>
    <row r="5770" spans="11:19" x14ac:dyDescent="0.3">
      <c r="K5770" s="16">
        <f t="shared" si="89"/>
        <v>44256</v>
      </c>
      <c r="L5770" s="17">
        <v>0.33333333333333331</v>
      </c>
      <c r="M5770" s="14">
        <v>752</v>
      </c>
      <c r="N5770" s="14">
        <v>2620</v>
      </c>
      <c r="O5770" s="14">
        <v>0</v>
      </c>
      <c r="P5770" s="14">
        <v>3372</v>
      </c>
      <c r="Q5770">
        <v>11948</v>
      </c>
      <c r="R5770">
        <v>2779</v>
      </c>
      <c r="S5770">
        <v>264</v>
      </c>
    </row>
    <row r="5771" spans="11:19" x14ac:dyDescent="0.3">
      <c r="K5771" s="16">
        <f t="shared" si="89"/>
        <v>44256</v>
      </c>
      <c r="L5771" s="17">
        <v>0.375</v>
      </c>
      <c r="M5771" s="14">
        <v>752</v>
      </c>
      <c r="N5771" s="14">
        <v>1993</v>
      </c>
      <c r="O5771" s="14">
        <v>0</v>
      </c>
      <c r="P5771" s="14">
        <v>2745</v>
      </c>
      <c r="Q5771">
        <v>11938</v>
      </c>
      <c r="R5771">
        <v>2795</v>
      </c>
      <c r="S5771">
        <v>869</v>
      </c>
    </row>
    <row r="5772" spans="11:19" x14ac:dyDescent="0.3">
      <c r="K5772" s="16">
        <f t="shared" si="89"/>
        <v>44256</v>
      </c>
      <c r="L5772" s="17">
        <v>0.41666666666666669</v>
      </c>
      <c r="M5772" s="14">
        <v>752</v>
      </c>
      <c r="N5772" s="14">
        <v>1312</v>
      </c>
      <c r="O5772" s="14">
        <v>0</v>
      </c>
      <c r="P5772" s="14">
        <v>2064</v>
      </c>
      <c r="Q5772">
        <v>11710</v>
      </c>
      <c r="R5772">
        <v>2640</v>
      </c>
      <c r="S5772">
        <v>1477</v>
      </c>
    </row>
    <row r="5773" spans="11:19" x14ac:dyDescent="0.3">
      <c r="K5773" s="16">
        <f t="shared" si="89"/>
        <v>44256</v>
      </c>
      <c r="L5773" s="17">
        <v>0.45833333333333331</v>
      </c>
      <c r="M5773" s="14">
        <v>752</v>
      </c>
      <c r="N5773" s="14">
        <v>829</v>
      </c>
      <c r="O5773" s="14">
        <v>0</v>
      </c>
      <c r="P5773" s="14">
        <v>1581</v>
      </c>
      <c r="Q5773">
        <v>11630</v>
      </c>
      <c r="R5773">
        <v>2597</v>
      </c>
      <c r="S5773">
        <v>1922</v>
      </c>
    </row>
    <row r="5774" spans="11:19" x14ac:dyDescent="0.3">
      <c r="K5774" s="16">
        <f t="shared" si="89"/>
        <v>44256</v>
      </c>
      <c r="L5774" s="17">
        <v>0.5</v>
      </c>
      <c r="M5774" s="14">
        <v>752</v>
      </c>
      <c r="N5774" s="14">
        <v>0</v>
      </c>
      <c r="O5774" s="14">
        <v>476</v>
      </c>
      <c r="P5774" s="14">
        <v>1228</v>
      </c>
      <c r="Q5774">
        <v>11514</v>
      </c>
      <c r="R5774">
        <v>2602</v>
      </c>
      <c r="S5774">
        <v>2154</v>
      </c>
    </row>
    <row r="5775" spans="11:19" x14ac:dyDescent="0.3">
      <c r="K5775" s="16">
        <f t="shared" si="89"/>
        <v>44256</v>
      </c>
      <c r="L5775" s="17">
        <v>0.54166666666666663</v>
      </c>
      <c r="M5775" s="14">
        <v>752</v>
      </c>
      <c r="N5775" s="14">
        <v>0</v>
      </c>
      <c r="O5775" s="14">
        <v>-108</v>
      </c>
      <c r="P5775" s="14">
        <v>644</v>
      </c>
      <c r="Q5775">
        <v>11144</v>
      </c>
      <c r="R5775">
        <v>2840</v>
      </c>
      <c r="S5775">
        <v>2209</v>
      </c>
    </row>
    <row r="5776" spans="11:19" x14ac:dyDescent="0.3">
      <c r="K5776" s="16">
        <f t="shared" si="89"/>
        <v>44256</v>
      </c>
      <c r="L5776" s="17">
        <v>0.58333333333333337</v>
      </c>
      <c r="M5776" s="14">
        <v>752</v>
      </c>
      <c r="N5776" s="14">
        <v>0</v>
      </c>
      <c r="O5776" s="14">
        <v>-252</v>
      </c>
      <c r="P5776" s="14">
        <v>500</v>
      </c>
      <c r="Q5776">
        <v>10782</v>
      </c>
      <c r="R5776">
        <v>2797</v>
      </c>
      <c r="S5776">
        <v>2033</v>
      </c>
    </row>
    <row r="5777" spans="11:19" x14ac:dyDescent="0.3">
      <c r="K5777" s="16">
        <f t="shared" si="89"/>
        <v>44256</v>
      </c>
      <c r="L5777" s="17">
        <v>0.625</v>
      </c>
      <c r="M5777" s="14">
        <v>752</v>
      </c>
      <c r="N5777" s="14">
        <v>0</v>
      </c>
      <c r="O5777" s="14">
        <v>-289</v>
      </c>
      <c r="P5777" s="14">
        <v>463</v>
      </c>
      <c r="Q5777">
        <v>10419</v>
      </c>
      <c r="R5777">
        <v>2852</v>
      </c>
      <c r="S5777">
        <v>1652</v>
      </c>
    </row>
    <row r="5778" spans="11:19" x14ac:dyDescent="0.3">
      <c r="K5778" s="16">
        <f t="shared" si="89"/>
        <v>44256</v>
      </c>
      <c r="L5778" s="17">
        <v>0.66666666666666663</v>
      </c>
      <c r="M5778" s="14">
        <v>752</v>
      </c>
      <c r="N5778" s="14">
        <v>141</v>
      </c>
      <c r="O5778" s="14">
        <v>0</v>
      </c>
      <c r="P5778" s="14">
        <v>893</v>
      </c>
      <c r="Q5778">
        <v>10206</v>
      </c>
      <c r="R5778">
        <v>2834</v>
      </c>
      <c r="S5778">
        <v>1027</v>
      </c>
    </row>
    <row r="5779" spans="11:19" x14ac:dyDescent="0.3">
      <c r="K5779" s="16">
        <f t="shared" si="89"/>
        <v>44256</v>
      </c>
      <c r="L5779" s="17">
        <v>0.70833333333333337</v>
      </c>
      <c r="M5779" s="14">
        <v>752</v>
      </c>
      <c r="N5779" s="14">
        <v>814</v>
      </c>
      <c r="O5779" s="14">
        <v>0</v>
      </c>
      <c r="P5779" s="14">
        <v>1566</v>
      </c>
      <c r="Q5779">
        <v>10303</v>
      </c>
      <c r="R5779">
        <v>2928</v>
      </c>
      <c r="S5779">
        <v>358</v>
      </c>
    </row>
    <row r="5780" spans="11:19" x14ac:dyDescent="0.3">
      <c r="K5780" s="16">
        <f t="shared" si="89"/>
        <v>44256</v>
      </c>
      <c r="L5780" s="17">
        <v>0.75</v>
      </c>
      <c r="M5780" s="14">
        <v>752</v>
      </c>
      <c r="N5780" s="14">
        <v>1615</v>
      </c>
      <c r="O5780" s="14">
        <v>0</v>
      </c>
      <c r="P5780" s="14">
        <v>2367</v>
      </c>
      <c r="Q5780">
        <v>11229</v>
      </c>
      <c r="R5780">
        <v>2987</v>
      </c>
      <c r="S5780">
        <v>29</v>
      </c>
    </row>
    <row r="5781" spans="11:19" x14ac:dyDescent="0.3">
      <c r="K5781" s="16">
        <f t="shared" si="89"/>
        <v>44256</v>
      </c>
      <c r="L5781" s="17">
        <v>0.79166666666666663</v>
      </c>
      <c r="M5781" s="14">
        <v>752</v>
      </c>
      <c r="N5781" s="14">
        <v>2467</v>
      </c>
      <c r="O5781" s="14">
        <v>0</v>
      </c>
      <c r="P5781" s="14">
        <v>3219</v>
      </c>
      <c r="Q5781">
        <v>11671</v>
      </c>
      <c r="R5781">
        <v>2606</v>
      </c>
      <c r="S5781">
        <v>0</v>
      </c>
    </row>
    <row r="5782" spans="11:19" x14ac:dyDescent="0.3">
      <c r="K5782" s="16">
        <f t="shared" si="89"/>
        <v>44256</v>
      </c>
      <c r="L5782" s="17">
        <v>0.83333333333333337</v>
      </c>
      <c r="M5782" s="14">
        <v>752</v>
      </c>
      <c r="N5782" s="14">
        <v>0</v>
      </c>
      <c r="O5782" s="14">
        <v>313</v>
      </c>
      <c r="P5782" s="14">
        <v>1065</v>
      </c>
      <c r="Q5782">
        <v>10951</v>
      </c>
      <c r="R5782">
        <v>2274</v>
      </c>
      <c r="S5782">
        <v>0</v>
      </c>
    </row>
    <row r="5783" spans="11:19" x14ac:dyDescent="0.3">
      <c r="K5783" s="16">
        <f t="shared" si="89"/>
        <v>44256</v>
      </c>
      <c r="L5783" s="17">
        <v>0.875</v>
      </c>
      <c r="M5783" s="14">
        <v>752</v>
      </c>
      <c r="N5783" s="14">
        <v>0</v>
      </c>
      <c r="O5783" s="14">
        <v>0</v>
      </c>
      <c r="P5783" s="14">
        <v>752</v>
      </c>
      <c r="Q5783">
        <v>10369</v>
      </c>
      <c r="R5783">
        <v>1885</v>
      </c>
      <c r="S5783">
        <v>0</v>
      </c>
    </row>
    <row r="5784" spans="11:19" x14ac:dyDescent="0.3">
      <c r="K5784" s="16">
        <f t="shared" si="89"/>
        <v>44256</v>
      </c>
      <c r="L5784" s="17">
        <v>0.91666666666666663</v>
      </c>
      <c r="M5784" s="14">
        <v>752</v>
      </c>
      <c r="N5784" s="14">
        <v>2434</v>
      </c>
      <c r="O5784" s="14">
        <v>0</v>
      </c>
      <c r="P5784" s="14">
        <v>3186</v>
      </c>
      <c r="Q5784">
        <v>10592</v>
      </c>
      <c r="R5784">
        <v>1573</v>
      </c>
      <c r="S5784">
        <v>0</v>
      </c>
    </row>
    <row r="5785" spans="11:19" x14ac:dyDescent="0.3">
      <c r="K5785" s="16">
        <f t="shared" si="89"/>
        <v>44256</v>
      </c>
      <c r="L5785" s="17">
        <v>0.95833333333333337</v>
      </c>
      <c r="M5785" s="14">
        <v>752</v>
      </c>
      <c r="N5785" s="14">
        <v>2674</v>
      </c>
      <c r="O5785" s="14">
        <v>35</v>
      </c>
      <c r="P5785" s="14">
        <v>3461</v>
      </c>
      <c r="Q5785">
        <v>10806</v>
      </c>
      <c r="R5785">
        <v>1589</v>
      </c>
      <c r="S5785">
        <v>0</v>
      </c>
    </row>
    <row r="5786" spans="11:19" x14ac:dyDescent="0.3">
      <c r="K5786" s="16">
        <f t="shared" si="89"/>
        <v>44257</v>
      </c>
      <c r="L5786" s="17">
        <v>0</v>
      </c>
      <c r="M5786" s="14">
        <v>752</v>
      </c>
      <c r="N5786" s="14">
        <v>2230</v>
      </c>
      <c r="O5786" s="14">
        <v>0</v>
      </c>
      <c r="P5786" s="14">
        <v>2982</v>
      </c>
      <c r="Q5786">
        <v>10399</v>
      </c>
      <c r="R5786">
        <v>1672</v>
      </c>
      <c r="S5786">
        <v>0</v>
      </c>
    </row>
    <row r="5787" spans="11:19" x14ac:dyDescent="0.3">
      <c r="K5787" s="16">
        <f t="shared" ref="K5787:K5850" si="90">K5763+1</f>
        <v>44257</v>
      </c>
      <c r="L5787" s="17">
        <v>4.1666666666666664E-2</v>
      </c>
      <c r="M5787" s="14">
        <v>752</v>
      </c>
      <c r="N5787" s="14">
        <v>2112</v>
      </c>
      <c r="O5787" s="14">
        <v>0</v>
      </c>
      <c r="P5787" s="14">
        <v>2864</v>
      </c>
      <c r="Q5787">
        <v>10129</v>
      </c>
      <c r="R5787">
        <v>1523</v>
      </c>
      <c r="S5787">
        <v>0</v>
      </c>
    </row>
    <row r="5788" spans="11:19" x14ac:dyDescent="0.3">
      <c r="K5788" s="16">
        <f t="shared" si="90"/>
        <v>44257</v>
      </c>
      <c r="L5788" s="17">
        <v>8.3333333333333329E-2</v>
      </c>
      <c r="M5788" s="14">
        <v>752</v>
      </c>
      <c r="N5788" s="14">
        <v>1817</v>
      </c>
      <c r="O5788" s="14">
        <v>0</v>
      </c>
      <c r="P5788" s="14">
        <v>2569</v>
      </c>
      <c r="Q5788">
        <v>9890</v>
      </c>
      <c r="R5788">
        <v>1582</v>
      </c>
      <c r="S5788">
        <v>0</v>
      </c>
    </row>
    <row r="5789" spans="11:19" x14ac:dyDescent="0.3">
      <c r="K5789" s="16">
        <f t="shared" si="90"/>
        <v>44257</v>
      </c>
      <c r="L5789" s="17">
        <v>0.125</v>
      </c>
      <c r="M5789" s="14">
        <v>752</v>
      </c>
      <c r="N5789" s="14">
        <v>1538</v>
      </c>
      <c r="O5789" s="14">
        <v>0</v>
      </c>
      <c r="P5789" s="14">
        <v>2290</v>
      </c>
      <c r="Q5789">
        <v>9510</v>
      </c>
      <c r="R5789">
        <v>1481</v>
      </c>
      <c r="S5789">
        <v>0</v>
      </c>
    </row>
    <row r="5790" spans="11:19" x14ac:dyDescent="0.3">
      <c r="K5790" s="16">
        <f t="shared" si="90"/>
        <v>44257</v>
      </c>
      <c r="L5790" s="17">
        <v>0.16666666666666666</v>
      </c>
      <c r="M5790" s="14">
        <v>752</v>
      </c>
      <c r="N5790" s="14">
        <v>1632</v>
      </c>
      <c r="O5790" s="14">
        <v>0</v>
      </c>
      <c r="P5790" s="14">
        <v>2384</v>
      </c>
      <c r="Q5790">
        <v>9494</v>
      </c>
      <c r="R5790">
        <v>1292</v>
      </c>
      <c r="S5790">
        <v>0</v>
      </c>
    </row>
    <row r="5791" spans="11:19" x14ac:dyDescent="0.3">
      <c r="K5791" s="16">
        <f t="shared" si="90"/>
        <v>44257</v>
      </c>
      <c r="L5791" s="17">
        <v>0.20833333333333334</v>
      </c>
      <c r="M5791" s="14">
        <v>752</v>
      </c>
      <c r="N5791" s="14">
        <v>0</v>
      </c>
      <c r="O5791" s="14">
        <v>0</v>
      </c>
      <c r="P5791" s="14">
        <v>752</v>
      </c>
      <c r="Q5791">
        <v>10034</v>
      </c>
      <c r="R5791">
        <v>1264</v>
      </c>
      <c r="S5791">
        <v>0</v>
      </c>
    </row>
    <row r="5792" spans="11:19" x14ac:dyDescent="0.3">
      <c r="K5792" s="16">
        <f t="shared" si="90"/>
        <v>44257</v>
      </c>
      <c r="L5792" s="17">
        <v>0.25</v>
      </c>
      <c r="M5792" s="14">
        <v>752</v>
      </c>
      <c r="N5792" s="14">
        <v>736</v>
      </c>
      <c r="O5792" s="14">
        <v>0</v>
      </c>
      <c r="P5792" s="14">
        <v>1488</v>
      </c>
      <c r="Q5792">
        <v>11196</v>
      </c>
      <c r="R5792">
        <v>1335</v>
      </c>
      <c r="S5792">
        <v>0</v>
      </c>
    </row>
    <row r="5793" spans="11:19" x14ac:dyDescent="0.3">
      <c r="K5793" s="16">
        <f t="shared" si="90"/>
        <v>44257</v>
      </c>
      <c r="L5793" s="17">
        <v>0.29166666666666669</v>
      </c>
      <c r="M5793" s="14">
        <v>752</v>
      </c>
      <c r="N5793" s="14">
        <v>3414</v>
      </c>
      <c r="O5793" s="14">
        <v>0</v>
      </c>
      <c r="P5793" s="14">
        <v>4166</v>
      </c>
      <c r="Q5793">
        <v>11965</v>
      </c>
      <c r="R5793">
        <v>1294</v>
      </c>
      <c r="S5793">
        <v>20</v>
      </c>
    </row>
    <row r="5794" spans="11:19" x14ac:dyDescent="0.3">
      <c r="K5794" s="16">
        <f t="shared" si="90"/>
        <v>44257</v>
      </c>
      <c r="L5794" s="17">
        <v>0.33333333333333331</v>
      </c>
      <c r="M5794" s="14">
        <v>752</v>
      </c>
      <c r="N5794" s="14">
        <v>1706</v>
      </c>
      <c r="O5794" s="14">
        <v>0</v>
      </c>
      <c r="P5794" s="14">
        <v>2458</v>
      </c>
      <c r="Q5794">
        <v>12268</v>
      </c>
      <c r="R5794">
        <v>1107</v>
      </c>
      <c r="S5794">
        <v>310</v>
      </c>
    </row>
    <row r="5795" spans="11:19" x14ac:dyDescent="0.3">
      <c r="K5795" s="16">
        <f t="shared" si="90"/>
        <v>44257</v>
      </c>
      <c r="L5795" s="17">
        <v>0.375</v>
      </c>
      <c r="M5795" s="14">
        <v>752</v>
      </c>
      <c r="N5795" s="14">
        <v>3414</v>
      </c>
      <c r="O5795" s="14">
        <v>0</v>
      </c>
      <c r="P5795" s="14">
        <v>4166</v>
      </c>
      <c r="Q5795">
        <v>12321</v>
      </c>
      <c r="R5795">
        <v>1224</v>
      </c>
      <c r="S5795">
        <v>986</v>
      </c>
    </row>
    <row r="5796" spans="11:19" x14ac:dyDescent="0.3">
      <c r="K5796" s="16">
        <f t="shared" si="90"/>
        <v>44257</v>
      </c>
      <c r="L5796" s="17">
        <v>0.41666666666666669</v>
      </c>
      <c r="M5796" s="14">
        <v>752</v>
      </c>
      <c r="N5796" s="14">
        <v>55</v>
      </c>
      <c r="O5796" s="14">
        <v>0</v>
      </c>
      <c r="P5796" s="14">
        <v>807</v>
      </c>
      <c r="Q5796">
        <v>12179</v>
      </c>
      <c r="R5796">
        <v>1381</v>
      </c>
      <c r="S5796">
        <v>1601</v>
      </c>
    </row>
    <row r="5797" spans="11:19" x14ac:dyDescent="0.3">
      <c r="K5797" s="16">
        <f t="shared" si="90"/>
        <v>44257</v>
      </c>
      <c r="L5797" s="17">
        <v>0.45833333333333331</v>
      </c>
      <c r="M5797" s="14">
        <v>752</v>
      </c>
      <c r="N5797" s="14">
        <v>0</v>
      </c>
      <c r="O5797" s="14">
        <v>0</v>
      </c>
      <c r="P5797" s="14">
        <v>752</v>
      </c>
      <c r="Q5797">
        <v>12139</v>
      </c>
      <c r="R5797">
        <v>1401</v>
      </c>
      <c r="S5797">
        <v>1997</v>
      </c>
    </row>
    <row r="5798" spans="11:19" x14ac:dyDescent="0.3">
      <c r="K5798" s="16">
        <f t="shared" si="90"/>
        <v>44257</v>
      </c>
      <c r="L5798" s="17">
        <v>0.5</v>
      </c>
      <c r="M5798" s="14">
        <v>752</v>
      </c>
      <c r="N5798" s="14">
        <v>1845</v>
      </c>
      <c r="O5798" s="14">
        <v>0</v>
      </c>
      <c r="P5798" s="14">
        <v>2597</v>
      </c>
      <c r="Q5798">
        <v>12018</v>
      </c>
      <c r="R5798">
        <v>1391</v>
      </c>
      <c r="S5798">
        <v>2179</v>
      </c>
    </row>
    <row r="5799" spans="11:19" x14ac:dyDescent="0.3">
      <c r="K5799" s="16">
        <f t="shared" si="90"/>
        <v>44257</v>
      </c>
      <c r="L5799" s="17">
        <v>0.54166666666666663</v>
      </c>
      <c r="M5799" s="14">
        <v>752</v>
      </c>
      <c r="N5799" s="14">
        <v>1427</v>
      </c>
      <c r="O5799" s="14">
        <v>0</v>
      </c>
      <c r="P5799" s="14">
        <v>2179</v>
      </c>
      <c r="Q5799">
        <v>11651</v>
      </c>
      <c r="R5799">
        <v>1458</v>
      </c>
      <c r="S5799">
        <v>2163</v>
      </c>
    </row>
    <row r="5800" spans="11:19" x14ac:dyDescent="0.3">
      <c r="K5800" s="16">
        <f t="shared" si="90"/>
        <v>44257</v>
      </c>
      <c r="L5800" s="17">
        <v>0.58333333333333337</v>
      </c>
      <c r="M5800" s="14">
        <v>752</v>
      </c>
      <c r="N5800" s="14">
        <v>0</v>
      </c>
      <c r="O5800" s="14">
        <v>0</v>
      </c>
      <c r="P5800" s="14">
        <v>752</v>
      </c>
      <c r="Q5800">
        <v>11295</v>
      </c>
      <c r="R5800">
        <v>1627</v>
      </c>
      <c r="S5800">
        <v>1999</v>
      </c>
    </row>
    <row r="5801" spans="11:19" x14ac:dyDescent="0.3">
      <c r="K5801" s="16">
        <f t="shared" si="90"/>
        <v>44257</v>
      </c>
      <c r="L5801" s="17">
        <v>0.625</v>
      </c>
      <c r="M5801" s="14">
        <v>752</v>
      </c>
      <c r="N5801" s="14">
        <v>0</v>
      </c>
      <c r="O5801" s="14">
        <v>0</v>
      </c>
      <c r="P5801" s="14">
        <v>752</v>
      </c>
      <c r="Q5801">
        <v>10942</v>
      </c>
      <c r="R5801">
        <v>1792</v>
      </c>
      <c r="S5801">
        <v>1612</v>
      </c>
    </row>
    <row r="5802" spans="11:19" x14ac:dyDescent="0.3">
      <c r="K5802" s="16">
        <f t="shared" si="90"/>
        <v>44257</v>
      </c>
      <c r="L5802" s="17">
        <v>0.66666666666666663</v>
      </c>
      <c r="M5802" s="14">
        <v>752</v>
      </c>
      <c r="N5802" s="14">
        <v>0</v>
      </c>
      <c r="O5802" s="14">
        <v>0</v>
      </c>
      <c r="P5802" s="14">
        <v>752</v>
      </c>
      <c r="Q5802">
        <v>10782</v>
      </c>
      <c r="R5802">
        <v>1982</v>
      </c>
      <c r="S5802">
        <v>1042</v>
      </c>
    </row>
    <row r="5803" spans="11:19" x14ac:dyDescent="0.3">
      <c r="K5803" s="16">
        <f t="shared" si="90"/>
        <v>44257</v>
      </c>
      <c r="L5803" s="17">
        <v>0.70833333333333337</v>
      </c>
      <c r="M5803" s="14">
        <v>752</v>
      </c>
      <c r="N5803" s="14">
        <v>0</v>
      </c>
      <c r="O5803" s="14">
        <v>0</v>
      </c>
      <c r="P5803" s="14">
        <v>752</v>
      </c>
      <c r="Q5803">
        <v>10904</v>
      </c>
      <c r="R5803">
        <v>1846</v>
      </c>
      <c r="S5803">
        <v>367</v>
      </c>
    </row>
    <row r="5804" spans="11:19" x14ac:dyDescent="0.3">
      <c r="K5804" s="16">
        <f t="shared" si="90"/>
        <v>44257</v>
      </c>
      <c r="L5804" s="17">
        <v>0.75</v>
      </c>
      <c r="M5804" s="14">
        <v>752</v>
      </c>
      <c r="N5804" s="14">
        <v>905</v>
      </c>
      <c r="O5804" s="14">
        <v>0</v>
      </c>
      <c r="P5804" s="14">
        <v>1657</v>
      </c>
      <c r="Q5804">
        <v>11739</v>
      </c>
      <c r="R5804">
        <v>1664</v>
      </c>
      <c r="S5804">
        <v>31</v>
      </c>
    </row>
    <row r="5805" spans="11:19" x14ac:dyDescent="0.3">
      <c r="K5805" s="16">
        <f t="shared" si="90"/>
        <v>44257</v>
      </c>
      <c r="L5805" s="17">
        <v>0.79166666666666663</v>
      </c>
      <c r="M5805" s="14">
        <v>752</v>
      </c>
      <c r="N5805" s="14">
        <v>3414</v>
      </c>
      <c r="O5805" s="14">
        <v>0</v>
      </c>
      <c r="P5805" s="14">
        <v>4166</v>
      </c>
      <c r="Q5805">
        <v>12144</v>
      </c>
      <c r="R5805">
        <v>1592</v>
      </c>
      <c r="S5805">
        <v>0</v>
      </c>
    </row>
    <row r="5806" spans="11:19" x14ac:dyDescent="0.3">
      <c r="K5806" s="16">
        <f t="shared" si="90"/>
        <v>44257</v>
      </c>
      <c r="L5806" s="17">
        <v>0.83333333333333337</v>
      </c>
      <c r="M5806" s="14">
        <v>752</v>
      </c>
      <c r="N5806" s="14">
        <v>820</v>
      </c>
      <c r="O5806" s="14">
        <v>0</v>
      </c>
      <c r="P5806" s="14">
        <v>1572</v>
      </c>
      <c r="Q5806">
        <v>11356</v>
      </c>
      <c r="R5806">
        <v>1405</v>
      </c>
      <c r="S5806">
        <v>0</v>
      </c>
    </row>
    <row r="5807" spans="11:19" x14ac:dyDescent="0.3">
      <c r="K5807" s="16">
        <f t="shared" si="90"/>
        <v>44257</v>
      </c>
      <c r="L5807" s="17">
        <v>0.875</v>
      </c>
      <c r="M5807" s="14">
        <v>752</v>
      </c>
      <c r="N5807" s="14">
        <v>509</v>
      </c>
      <c r="O5807" s="14">
        <v>0</v>
      </c>
      <c r="P5807" s="14">
        <v>1261</v>
      </c>
      <c r="Q5807">
        <v>10718</v>
      </c>
      <c r="R5807">
        <v>1175</v>
      </c>
      <c r="S5807">
        <v>0</v>
      </c>
    </row>
    <row r="5808" spans="11:19" x14ac:dyDescent="0.3">
      <c r="K5808" s="16">
        <f t="shared" si="90"/>
        <v>44257</v>
      </c>
      <c r="L5808" s="17">
        <v>0.91666666666666663</v>
      </c>
      <c r="M5808" s="14">
        <v>752</v>
      </c>
      <c r="N5808" s="14">
        <v>756</v>
      </c>
      <c r="O5808" s="14">
        <v>0</v>
      </c>
      <c r="P5808" s="14">
        <v>1508</v>
      </c>
      <c r="Q5808">
        <v>10927</v>
      </c>
      <c r="R5808">
        <v>1046</v>
      </c>
      <c r="S5808">
        <v>0</v>
      </c>
    </row>
    <row r="5809" spans="11:19" x14ac:dyDescent="0.3">
      <c r="K5809" s="16">
        <f t="shared" si="90"/>
        <v>44257</v>
      </c>
      <c r="L5809" s="17">
        <v>0.95833333333333337</v>
      </c>
      <c r="M5809" s="14">
        <v>752</v>
      </c>
      <c r="N5809" s="14">
        <v>3414</v>
      </c>
      <c r="O5809" s="14">
        <v>0</v>
      </c>
      <c r="P5809" s="14">
        <v>4166</v>
      </c>
      <c r="Q5809">
        <v>11134</v>
      </c>
      <c r="R5809">
        <v>999</v>
      </c>
      <c r="S5809">
        <v>0</v>
      </c>
    </row>
    <row r="5810" spans="11:19" x14ac:dyDescent="0.3">
      <c r="K5810" s="16">
        <f t="shared" si="90"/>
        <v>44258</v>
      </c>
      <c r="L5810" s="17">
        <v>0</v>
      </c>
      <c r="M5810" s="14">
        <v>752</v>
      </c>
      <c r="N5810" s="14">
        <v>3093</v>
      </c>
      <c r="O5810" s="14">
        <v>0</v>
      </c>
      <c r="P5810" s="14">
        <v>3845</v>
      </c>
      <c r="Q5810">
        <v>10687</v>
      </c>
      <c r="R5810">
        <v>1019</v>
      </c>
      <c r="S5810">
        <v>0</v>
      </c>
    </row>
    <row r="5811" spans="11:19" x14ac:dyDescent="0.3">
      <c r="K5811" s="16">
        <f t="shared" si="90"/>
        <v>44258</v>
      </c>
      <c r="L5811" s="17">
        <v>4.1666666666666664E-2</v>
      </c>
      <c r="M5811" s="14">
        <v>752</v>
      </c>
      <c r="N5811" s="14">
        <v>296</v>
      </c>
      <c r="O5811" s="14">
        <v>0</v>
      </c>
      <c r="P5811" s="14">
        <v>1048</v>
      </c>
      <c r="Q5811">
        <v>10416</v>
      </c>
      <c r="R5811">
        <v>1008</v>
      </c>
      <c r="S5811">
        <v>0</v>
      </c>
    </row>
    <row r="5812" spans="11:19" x14ac:dyDescent="0.3">
      <c r="K5812" s="16">
        <f t="shared" si="90"/>
        <v>44258</v>
      </c>
      <c r="L5812" s="17">
        <v>8.3333333333333329E-2</v>
      </c>
      <c r="M5812" s="14">
        <v>752</v>
      </c>
      <c r="N5812" s="14">
        <v>240</v>
      </c>
      <c r="O5812" s="14">
        <v>0</v>
      </c>
      <c r="P5812" s="14">
        <v>992</v>
      </c>
      <c r="Q5812">
        <v>10174</v>
      </c>
      <c r="R5812">
        <v>824</v>
      </c>
      <c r="S5812">
        <v>0</v>
      </c>
    </row>
    <row r="5813" spans="11:19" x14ac:dyDescent="0.3">
      <c r="K5813" s="16">
        <f t="shared" si="90"/>
        <v>44258</v>
      </c>
      <c r="L5813" s="17">
        <v>0.125</v>
      </c>
      <c r="M5813" s="14">
        <v>752</v>
      </c>
      <c r="N5813" s="14">
        <v>2419</v>
      </c>
      <c r="O5813" s="14">
        <v>0</v>
      </c>
      <c r="P5813" s="14">
        <v>3171</v>
      </c>
      <c r="Q5813">
        <v>9788</v>
      </c>
      <c r="R5813">
        <v>799</v>
      </c>
      <c r="S5813">
        <v>0</v>
      </c>
    </row>
    <row r="5814" spans="11:19" x14ac:dyDescent="0.3">
      <c r="K5814" s="16">
        <f t="shared" si="90"/>
        <v>44258</v>
      </c>
      <c r="L5814" s="17">
        <v>0.16666666666666666</v>
      </c>
      <c r="M5814" s="14">
        <v>752</v>
      </c>
      <c r="N5814" s="14">
        <v>0</v>
      </c>
      <c r="O5814" s="14">
        <v>0</v>
      </c>
      <c r="P5814" s="14">
        <v>752</v>
      </c>
      <c r="Q5814">
        <v>9757</v>
      </c>
      <c r="R5814">
        <v>740</v>
      </c>
      <c r="S5814">
        <v>0</v>
      </c>
    </row>
    <row r="5815" spans="11:19" x14ac:dyDescent="0.3">
      <c r="K5815" s="16">
        <f t="shared" si="90"/>
        <v>44258</v>
      </c>
      <c r="L5815" s="17">
        <v>0.20833333333333334</v>
      </c>
      <c r="M5815" s="14">
        <v>752</v>
      </c>
      <c r="N5815" s="14">
        <v>398</v>
      </c>
      <c r="O5815" s="14">
        <v>0</v>
      </c>
      <c r="P5815" s="14">
        <v>1150</v>
      </c>
      <c r="Q5815">
        <v>10285</v>
      </c>
      <c r="R5815">
        <v>777</v>
      </c>
      <c r="S5815">
        <v>0</v>
      </c>
    </row>
    <row r="5816" spans="11:19" x14ac:dyDescent="0.3">
      <c r="K5816" s="16">
        <f t="shared" si="90"/>
        <v>44258</v>
      </c>
      <c r="L5816" s="17">
        <v>0.25</v>
      </c>
      <c r="M5816" s="14">
        <v>752</v>
      </c>
      <c r="N5816" s="14">
        <v>3889</v>
      </c>
      <c r="O5816" s="14">
        <v>0</v>
      </c>
      <c r="P5816" s="14">
        <v>4641</v>
      </c>
      <c r="Q5816">
        <v>11433</v>
      </c>
      <c r="R5816">
        <v>799</v>
      </c>
      <c r="S5816">
        <v>0</v>
      </c>
    </row>
    <row r="5817" spans="11:19" x14ac:dyDescent="0.3">
      <c r="K5817" s="16">
        <f t="shared" si="90"/>
        <v>44258</v>
      </c>
      <c r="L5817" s="17">
        <v>0.29166666666666669</v>
      </c>
      <c r="M5817" s="14">
        <v>752</v>
      </c>
      <c r="N5817" s="14">
        <v>2100</v>
      </c>
      <c r="O5817" s="14">
        <v>0</v>
      </c>
      <c r="P5817" s="14">
        <v>2852</v>
      </c>
      <c r="Q5817">
        <v>12188</v>
      </c>
      <c r="R5817">
        <v>925</v>
      </c>
      <c r="S5817">
        <v>23</v>
      </c>
    </row>
    <row r="5818" spans="11:19" x14ac:dyDescent="0.3">
      <c r="K5818" s="16">
        <f t="shared" si="90"/>
        <v>44258</v>
      </c>
      <c r="L5818" s="17">
        <v>0.33333333333333331</v>
      </c>
      <c r="M5818" s="14">
        <v>752</v>
      </c>
      <c r="N5818" s="14">
        <v>3889</v>
      </c>
      <c r="O5818" s="14">
        <v>0</v>
      </c>
      <c r="P5818" s="14">
        <v>4641</v>
      </c>
      <c r="Q5818">
        <v>12497</v>
      </c>
      <c r="R5818">
        <v>909</v>
      </c>
      <c r="S5818">
        <v>311</v>
      </c>
    </row>
    <row r="5819" spans="11:19" x14ac:dyDescent="0.3">
      <c r="K5819" s="16">
        <f t="shared" si="90"/>
        <v>44258</v>
      </c>
      <c r="L5819" s="17">
        <v>0.375</v>
      </c>
      <c r="M5819" s="14">
        <v>752</v>
      </c>
      <c r="N5819" s="14">
        <v>1429</v>
      </c>
      <c r="O5819" s="14">
        <v>0</v>
      </c>
      <c r="P5819" s="14">
        <v>2181</v>
      </c>
      <c r="Q5819">
        <v>12578</v>
      </c>
      <c r="R5819">
        <v>1074</v>
      </c>
      <c r="S5819">
        <v>935</v>
      </c>
    </row>
    <row r="5820" spans="11:19" x14ac:dyDescent="0.3">
      <c r="K5820" s="16">
        <f t="shared" si="90"/>
        <v>44258</v>
      </c>
      <c r="L5820" s="17">
        <v>0.41666666666666669</v>
      </c>
      <c r="M5820" s="14">
        <v>752</v>
      </c>
      <c r="N5820" s="14">
        <v>3291</v>
      </c>
      <c r="O5820" s="14">
        <v>0</v>
      </c>
      <c r="P5820" s="14">
        <v>4043</v>
      </c>
      <c r="Q5820">
        <v>12447</v>
      </c>
      <c r="R5820">
        <v>1005</v>
      </c>
      <c r="S5820">
        <v>1551</v>
      </c>
    </row>
    <row r="5821" spans="11:19" x14ac:dyDescent="0.3">
      <c r="K5821" s="16">
        <f t="shared" si="90"/>
        <v>44258</v>
      </c>
      <c r="L5821" s="17">
        <v>0.45833333333333331</v>
      </c>
      <c r="M5821" s="14">
        <v>752</v>
      </c>
      <c r="N5821" s="14">
        <v>187</v>
      </c>
      <c r="O5821" s="14">
        <v>0</v>
      </c>
      <c r="P5821" s="14">
        <v>939</v>
      </c>
      <c r="Q5821">
        <v>12385</v>
      </c>
      <c r="R5821">
        <v>1034</v>
      </c>
      <c r="S5821">
        <v>2023</v>
      </c>
    </row>
    <row r="5822" spans="11:19" x14ac:dyDescent="0.3">
      <c r="K5822" s="16">
        <f t="shared" si="90"/>
        <v>44258</v>
      </c>
      <c r="L5822" s="17">
        <v>0.5</v>
      </c>
      <c r="M5822" s="14">
        <v>752</v>
      </c>
      <c r="N5822" s="14">
        <v>0</v>
      </c>
      <c r="O5822" s="14">
        <v>0</v>
      </c>
      <c r="P5822" s="14">
        <v>752</v>
      </c>
      <c r="Q5822">
        <v>12221</v>
      </c>
      <c r="R5822">
        <v>875</v>
      </c>
      <c r="S5822">
        <v>2231</v>
      </c>
    </row>
    <row r="5823" spans="11:19" x14ac:dyDescent="0.3">
      <c r="K5823" s="16">
        <f t="shared" si="90"/>
        <v>44258</v>
      </c>
      <c r="L5823" s="17">
        <v>0.54166666666666663</v>
      </c>
      <c r="M5823" s="14">
        <v>752</v>
      </c>
      <c r="N5823" s="14">
        <v>2031</v>
      </c>
      <c r="O5823" s="14">
        <v>0</v>
      </c>
      <c r="P5823" s="14">
        <v>2783</v>
      </c>
      <c r="Q5823">
        <v>11803</v>
      </c>
      <c r="R5823">
        <v>853</v>
      </c>
      <c r="S5823">
        <v>2317</v>
      </c>
    </row>
    <row r="5824" spans="11:19" x14ac:dyDescent="0.3">
      <c r="K5824" s="16">
        <f t="shared" si="90"/>
        <v>44258</v>
      </c>
      <c r="L5824" s="17">
        <v>0.58333333333333337</v>
      </c>
      <c r="M5824" s="14">
        <v>752</v>
      </c>
      <c r="N5824" s="14">
        <v>1784</v>
      </c>
      <c r="O5824" s="14">
        <v>0</v>
      </c>
      <c r="P5824" s="14">
        <v>2536</v>
      </c>
      <c r="Q5824">
        <v>11381</v>
      </c>
      <c r="R5824">
        <v>806</v>
      </c>
      <c r="S5824">
        <v>2188</v>
      </c>
    </row>
    <row r="5825" spans="11:19" x14ac:dyDescent="0.3">
      <c r="K5825" s="16">
        <f t="shared" si="90"/>
        <v>44258</v>
      </c>
      <c r="L5825" s="17">
        <v>0.625</v>
      </c>
      <c r="M5825" s="14">
        <v>752</v>
      </c>
      <c r="N5825" s="14">
        <v>0</v>
      </c>
      <c r="O5825" s="14">
        <v>0</v>
      </c>
      <c r="P5825" s="14">
        <v>752</v>
      </c>
      <c r="Q5825">
        <v>10960</v>
      </c>
      <c r="R5825">
        <v>777</v>
      </c>
      <c r="S5825">
        <v>1794</v>
      </c>
    </row>
    <row r="5826" spans="11:19" x14ac:dyDescent="0.3">
      <c r="K5826" s="16">
        <f t="shared" si="90"/>
        <v>44258</v>
      </c>
      <c r="L5826" s="17">
        <v>0.66666666666666663</v>
      </c>
      <c r="M5826" s="14">
        <v>752</v>
      </c>
      <c r="N5826" s="14">
        <v>2227</v>
      </c>
      <c r="O5826" s="14">
        <v>0</v>
      </c>
      <c r="P5826" s="14">
        <v>2979</v>
      </c>
      <c r="Q5826">
        <v>10765</v>
      </c>
      <c r="R5826">
        <v>756</v>
      </c>
      <c r="S5826">
        <v>1179</v>
      </c>
    </row>
    <row r="5827" spans="11:19" x14ac:dyDescent="0.3">
      <c r="K5827" s="16">
        <f t="shared" si="90"/>
        <v>44258</v>
      </c>
      <c r="L5827" s="17">
        <v>0.70833333333333337</v>
      </c>
      <c r="M5827" s="14">
        <v>752</v>
      </c>
      <c r="N5827" s="14">
        <v>530</v>
      </c>
      <c r="O5827" s="14">
        <v>0</v>
      </c>
      <c r="P5827" s="14">
        <v>1282</v>
      </c>
      <c r="Q5827">
        <v>10886</v>
      </c>
      <c r="R5827">
        <v>798</v>
      </c>
      <c r="S5827">
        <v>416</v>
      </c>
    </row>
    <row r="5828" spans="11:19" x14ac:dyDescent="0.3">
      <c r="K5828" s="16">
        <f t="shared" si="90"/>
        <v>44258</v>
      </c>
      <c r="L5828" s="17">
        <v>0.75</v>
      </c>
      <c r="M5828" s="14">
        <v>752</v>
      </c>
      <c r="N5828" s="14">
        <v>1847</v>
      </c>
      <c r="O5828" s="14">
        <v>0</v>
      </c>
      <c r="P5828" s="14">
        <v>2599</v>
      </c>
      <c r="Q5828">
        <v>11810</v>
      </c>
      <c r="R5828">
        <v>791</v>
      </c>
      <c r="S5828">
        <v>35</v>
      </c>
    </row>
    <row r="5829" spans="11:19" x14ac:dyDescent="0.3">
      <c r="K5829" s="16">
        <f t="shared" si="90"/>
        <v>44258</v>
      </c>
      <c r="L5829" s="17">
        <v>0.79166666666666663</v>
      </c>
      <c r="M5829" s="14">
        <v>752</v>
      </c>
      <c r="N5829" s="14">
        <v>2317</v>
      </c>
      <c r="O5829" s="14">
        <v>0</v>
      </c>
      <c r="P5829" s="14">
        <v>3069</v>
      </c>
      <c r="Q5829">
        <v>12355</v>
      </c>
      <c r="R5829">
        <v>901</v>
      </c>
      <c r="S5829">
        <v>0</v>
      </c>
    </row>
    <row r="5830" spans="11:19" x14ac:dyDescent="0.3">
      <c r="K5830" s="16">
        <f t="shared" si="90"/>
        <v>44258</v>
      </c>
      <c r="L5830" s="17">
        <v>0.83333333333333337</v>
      </c>
      <c r="M5830" s="14">
        <v>752</v>
      </c>
      <c r="N5830" s="14">
        <v>3889</v>
      </c>
      <c r="O5830" s="14">
        <v>0</v>
      </c>
      <c r="P5830" s="14">
        <v>4641</v>
      </c>
      <c r="Q5830">
        <v>11599</v>
      </c>
      <c r="R5830">
        <v>664</v>
      </c>
      <c r="S5830">
        <v>0</v>
      </c>
    </row>
    <row r="5831" spans="11:19" x14ac:dyDescent="0.3">
      <c r="K5831" s="16">
        <f t="shared" si="90"/>
        <v>44258</v>
      </c>
      <c r="L5831" s="17">
        <v>0.875</v>
      </c>
      <c r="M5831" s="14">
        <v>752</v>
      </c>
      <c r="N5831" s="14">
        <v>3889</v>
      </c>
      <c r="O5831" s="14">
        <v>0</v>
      </c>
      <c r="P5831" s="14">
        <v>4641</v>
      </c>
      <c r="Q5831">
        <v>10969</v>
      </c>
      <c r="R5831">
        <v>507</v>
      </c>
      <c r="S5831">
        <v>0</v>
      </c>
    </row>
    <row r="5832" spans="11:19" x14ac:dyDescent="0.3">
      <c r="K5832" s="16">
        <f t="shared" si="90"/>
        <v>44258</v>
      </c>
      <c r="L5832" s="17">
        <v>0.91666666666666663</v>
      </c>
      <c r="M5832" s="14">
        <v>752</v>
      </c>
      <c r="N5832" s="14">
        <v>3889</v>
      </c>
      <c r="O5832" s="14">
        <v>0</v>
      </c>
      <c r="P5832" s="14">
        <v>4641</v>
      </c>
      <c r="Q5832">
        <v>11204</v>
      </c>
      <c r="R5832">
        <v>467</v>
      </c>
      <c r="S5832">
        <v>0</v>
      </c>
    </row>
    <row r="5833" spans="11:19" x14ac:dyDescent="0.3">
      <c r="K5833" s="16">
        <f t="shared" si="90"/>
        <v>44258</v>
      </c>
      <c r="L5833" s="17">
        <v>0.95833333333333337</v>
      </c>
      <c r="M5833" s="14">
        <v>752</v>
      </c>
      <c r="N5833" s="14">
        <v>3889</v>
      </c>
      <c r="O5833" s="14">
        <v>0</v>
      </c>
      <c r="P5833" s="14">
        <v>4641</v>
      </c>
      <c r="Q5833">
        <v>11418</v>
      </c>
      <c r="R5833">
        <v>421</v>
      </c>
      <c r="S5833">
        <v>0</v>
      </c>
    </row>
    <row r="5834" spans="11:19" x14ac:dyDescent="0.3">
      <c r="K5834" s="16">
        <f t="shared" si="90"/>
        <v>44259</v>
      </c>
      <c r="L5834" s="17">
        <v>0</v>
      </c>
      <c r="M5834" s="14">
        <v>880</v>
      </c>
      <c r="N5834" s="14">
        <v>1992</v>
      </c>
      <c r="O5834" s="14">
        <v>0</v>
      </c>
      <c r="P5834" s="14">
        <v>2872</v>
      </c>
      <c r="Q5834">
        <v>10931</v>
      </c>
      <c r="R5834">
        <v>1211</v>
      </c>
      <c r="S5834">
        <v>0</v>
      </c>
    </row>
    <row r="5835" spans="11:19" x14ac:dyDescent="0.3">
      <c r="K5835" s="16">
        <f t="shared" si="90"/>
        <v>44259</v>
      </c>
      <c r="L5835" s="17">
        <v>4.1666666666666664E-2</v>
      </c>
      <c r="M5835" s="14">
        <v>880</v>
      </c>
      <c r="N5835" s="14">
        <v>288</v>
      </c>
      <c r="O5835" s="14">
        <v>0</v>
      </c>
      <c r="P5835" s="14">
        <v>1168</v>
      </c>
      <c r="Q5835">
        <v>10621</v>
      </c>
      <c r="R5835">
        <v>1099</v>
      </c>
      <c r="S5835">
        <v>0</v>
      </c>
    </row>
    <row r="5836" spans="11:19" x14ac:dyDescent="0.3">
      <c r="K5836" s="16">
        <f t="shared" si="90"/>
        <v>44259</v>
      </c>
      <c r="L5836" s="17">
        <v>8.3333333333333329E-2</v>
      </c>
      <c r="M5836" s="14">
        <v>880</v>
      </c>
      <c r="N5836" s="14">
        <v>1992</v>
      </c>
      <c r="O5836" s="14">
        <v>0</v>
      </c>
      <c r="P5836" s="14">
        <v>2872</v>
      </c>
      <c r="Q5836">
        <v>10346</v>
      </c>
      <c r="R5836">
        <v>1203</v>
      </c>
      <c r="S5836">
        <v>0</v>
      </c>
    </row>
    <row r="5837" spans="11:19" x14ac:dyDescent="0.3">
      <c r="K5837" s="16">
        <f t="shared" si="90"/>
        <v>44259</v>
      </c>
      <c r="L5837" s="17">
        <v>0.125</v>
      </c>
      <c r="M5837" s="14">
        <v>880</v>
      </c>
      <c r="N5837" s="14">
        <v>1666</v>
      </c>
      <c r="O5837" s="14">
        <v>0</v>
      </c>
      <c r="P5837" s="14">
        <v>2546</v>
      </c>
      <c r="Q5837">
        <v>9925</v>
      </c>
      <c r="R5837">
        <v>1561</v>
      </c>
      <c r="S5837">
        <v>0</v>
      </c>
    </row>
    <row r="5838" spans="11:19" x14ac:dyDescent="0.3">
      <c r="K5838" s="16">
        <f t="shared" si="90"/>
        <v>44259</v>
      </c>
      <c r="L5838" s="17">
        <v>0.16666666666666666</v>
      </c>
      <c r="M5838" s="14">
        <v>880</v>
      </c>
      <c r="N5838" s="14">
        <v>0</v>
      </c>
      <c r="O5838" s="14">
        <v>0</v>
      </c>
      <c r="P5838" s="14">
        <v>880</v>
      </c>
      <c r="Q5838">
        <v>9864</v>
      </c>
      <c r="R5838">
        <v>1674</v>
      </c>
      <c r="S5838">
        <v>0</v>
      </c>
    </row>
    <row r="5839" spans="11:19" x14ac:dyDescent="0.3">
      <c r="K5839" s="16">
        <f t="shared" si="90"/>
        <v>44259</v>
      </c>
      <c r="L5839" s="17">
        <v>0.20833333333333334</v>
      </c>
      <c r="M5839" s="14">
        <v>880</v>
      </c>
      <c r="N5839" s="14">
        <v>0</v>
      </c>
      <c r="O5839" s="14">
        <v>0</v>
      </c>
      <c r="P5839" s="14">
        <v>880</v>
      </c>
      <c r="Q5839">
        <v>10360</v>
      </c>
      <c r="R5839">
        <v>1590</v>
      </c>
      <c r="S5839">
        <v>0</v>
      </c>
    </row>
    <row r="5840" spans="11:19" x14ac:dyDescent="0.3">
      <c r="K5840" s="16">
        <f t="shared" si="90"/>
        <v>44259</v>
      </c>
      <c r="L5840" s="17">
        <v>0.25</v>
      </c>
      <c r="M5840" s="14">
        <v>880</v>
      </c>
      <c r="N5840" s="14">
        <v>1992</v>
      </c>
      <c r="O5840" s="14">
        <v>0</v>
      </c>
      <c r="P5840" s="14">
        <v>2872</v>
      </c>
      <c r="Q5840">
        <v>11445</v>
      </c>
      <c r="R5840">
        <v>1387</v>
      </c>
      <c r="S5840">
        <v>0</v>
      </c>
    </row>
    <row r="5841" spans="11:19" x14ac:dyDescent="0.3">
      <c r="K5841" s="16">
        <f t="shared" si="90"/>
        <v>44259</v>
      </c>
      <c r="L5841" s="17">
        <v>0.29166666666666669</v>
      </c>
      <c r="M5841" s="14">
        <v>880</v>
      </c>
      <c r="N5841" s="14">
        <v>1486</v>
      </c>
      <c r="O5841" s="14">
        <v>0</v>
      </c>
      <c r="P5841" s="14">
        <v>2366</v>
      </c>
      <c r="Q5841">
        <v>12055</v>
      </c>
      <c r="R5841">
        <v>1266</v>
      </c>
      <c r="S5841">
        <v>17</v>
      </c>
    </row>
    <row r="5842" spans="11:19" x14ac:dyDescent="0.3">
      <c r="K5842" s="16">
        <f t="shared" si="90"/>
        <v>44259</v>
      </c>
      <c r="L5842" s="17">
        <v>0.33333333333333331</v>
      </c>
      <c r="M5842" s="14">
        <v>880</v>
      </c>
      <c r="N5842" s="14">
        <v>1992</v>
      </c>
      <c r="O5842" s="14">
        <v>0</v>
      </c>
      <c r="P5842" s="14">
        <v>2872</v>
      </c>
      <c r="Q5842">
        <v>12100</v>
      </c>
      <c r="R5842">
        <v>1281</v>
      </c>
      <c r="S5842">
        <v>255</v>
      </c>
    </row>
    <row r="5843" spans="11:19" x14ac:dyDescent="0.3">
      <c r="K5843" s="16">
        <f t="shared" si="90"/>
        <v>44259</v>
      </c>
      <c r="L5843" s="17">
        <v>0.375</v>
      </c>
      <c r="M5843" s="14">
        <v>880</v>
      </c>
      <c r="N5843" s="14">
        <v>1992</v>
      </c>
      <c r="O5843" s="14">
        <v>0</v>
      </c>
      <c r="P5843" s="14">
        <v>2872</v>
      </c>
      <c r="Q5843">
        <v>11896</v>
      </c>
      <c r="R5843">
        <v>1421</v>
      </c>
      <c r="S5843">
        <v>845</v>
      </c>
    </row>
    <row r="5844" spans="11:19" x14ac:dyDescent="0.3">
      <c r="K5844" s="16">
        <f t="shared" si="90"/>
        <v>44259</v>
      </c>
      <c r="L5844" s="17">
        <v>0.41666666666666669</v>
      </c>
      <c r="M5844" s="14">
        <v>880</v>
      </c>
      <c r="N5844" s="14">
        <v>0</v>
      </c>
      <c r="O5844" s="14">
        <v>0</v>
      </c>
      <c r="P5844" s="14">
        <v>880</v>
      </c>
      <c r="Q5844">
        <v>11559</v>
      </c>
      <c r="R5844">
        <v>1632</v>
      </c>
      <c r="S5844">
        <v>1432</v>
      </c>
    </row>
    <row r="5845" spans="11:19" x14ac:dyDescent="0.3">
      <c r="K5845" s="16">
        <f t="shared" si="90"/>
        <v>44259</v>
      </c>
      <c r="L5845" s="17">
        <v>0.45833333333333331</v>
      </c>
      <c r="M5845" s="14">
        <v>880</v>
      </c>
      <c r="N5845" s="14">
        <v>0</v>
      </c>
      <c r="O5845" s="14">
        <v>0</v>
      </c>
      <c r="P5845" s="14">
        <v>880</v>
      </c>
      <c r="Q5845">
        <v>11397</v>
      </c>
      <c r="R5845">
        <v>1762</v>
      </c>
      <c r="S5845">
        <v>1769</v>
      </c>
    </row>
    <row r="5846" spans="11:19" x14ac:dyDescent="0.3">
      <c r="K5846" s="16">
        <f t="shared" si="90"/>
        <v>44259</v>
      </c>
      <c r="L5846" s="17">
        <v>0.5</v>
      </c>
      <c r="M5846" s="14">
        <v>880</v>
      </c>
      <c r="N5846" s="14">
        <v>0</v>
      </c>
      <c r="O5846" s="14">
        <v>0</v>
      </c>
      <c r="P5846" s="14">
        <v>880</v>
      </c>
      <c r="Q5846">
        <v>11234</v>
      </c>
      <c r="R5846">
        <v>1793</v>
      </c>
      <c r="S5846">
        <v>1911</v>
      </c>
    </row>
    <row r="5847" spans="11:19" x14ac:dyDescent="0.3">
      <c r="K5847" s="16">
        <f t="shared" si="90"/>
        <v>44259</v>
      </c>
      <c r="L5847" s="17">
        <v>0.54166666666666663</v>
      </c>
      <c r="M5847" s="14">
        <v>880</v>
      </c>
      <c r="N5847" s="14">
        <v>723</v>
      </c>
      <c r="O5847" s="14">
        <v>0</v>
      </c>
      <c r="P5847" s="14">
        <v>1603</v>
      </c>
      <c r="Q5847">
        <v>10901</v>
      </c>
      <c r="R5847">
        <v>1703</v>
      </c>
      <c r="S5847">
        <v>1900</v>
      </c>
    </row>
    <row r="5848" spans="11:19" x14ac:dyDescent="0.3">
      <c r="K5848" s="16">
        <f t="shared" si="90"/>
        <v>44259</v>
      </c>
      <c r="L5848" s="17">
        <v>0.58333333333333337</v>
      </c>
      <c r="M5848" s="14">
        <v>880</v>
      </c>
      <c r="N5848" s="14">
        <v>0</v>
      </c>
      <c r="O5848" s="14">
        <v>0</v>
      </c>
      <c r="P5848" s="14">
        <v>880</v>
      </c>
      <c r="Q5848">
        <v>10627</v>
      </c>
      <c r="R5848">
        <v>1660</v>
      </c>
      <c r="S5848">
        <v>1746</v>
      </c>
    </row>
    <row r="5849" spans="11:19" x14ac:dyDescent="0.3">
      <c r="K5849" s="16">
        <f t="shared" si="90"/>
        <v>44259</v>
      </c>
      <c r="L5849" s="17">
        <v>0.625</v>
      </c>
      <c r="M5849" s="14">
        <v>880</v>
      </c>
      <c r="N5849" s="14">
        <v>0</v>
      </c>
      <c r="O5849" s="14">
        <v>0</v>
      </c>
      <c r="P5849" s="14">
        <v>880</v>
      </c>
      <c r="Q5849">
        <v>10334</v>
      </c>
      <c r="R5849">
        <v>1584</v>
      </c>
      <c r="S5849">
        <v>1367</v>
      </c>
    </row>
    <row r="5850" spans="11:19" x14ac:dyDescent="0.3">
      <c r="K5850" s="16">
        <f t="shared" si="90"/>
        <v>44259</v>
      </c>
      <c r="L5850" s="17">
        <v>0.66666666666666663</v>
      </c>
      <c r="M5850" s="14">
        <v>880</v>
      </c>
      <c r="N5850" s="14">
        <v>0</v>
      </c>
      <c r="O5850" s="14">
        <v>0</v>
      </c>
      <c r="P5850" s="14">
        <v>880</v>
      </c>
      <c r="Q5850">
        <v>10197</v>
      </c>
      <c r="R5850">
        <v>1700</v>
      </c>
      <c r="S5850">
        <v>818</v>
      </c>
    </row>
    <row r="5851" spans="11:19" x14ac:dyDescent="0.3">
      <c r="K5851" s="16">
        <f t="shared" ref="K5851:K5914" si="91">K5827+1</f>
        <v>44259</v>
      </c>
      <c r="L5851" s="17">
        <v>0.70833333333333337</v>
      </c>
      <c r="M5851" s="14">
        <v>880</v>
      </c>
      <c r="N5851" s="14">
        <v>0</v>
      </c>
      <c r="O5851" s="14">
        <v>0</v>
      </c>
      <c r="P5851" s="14">
        <v>880</v>
      </c>
      <c r="Q5851">
        <v>10347</v>
      </c>
      <c r="R5851">
        <v>1838</v>
      </c>
      <c r="S5851">
        <v>256</v>
      </c>
    </row>
    <row r="5852" spans="11:19" x14ac:dyDescent="0.3">
      <c r="K5852" s="16">
        <f t="shared" si="91"/>
        <v>44259</v>
      </c>
      <c r="L5852" s="17">
        <v>0.75</v>
      </c>
      <c r="M5852" s="14">
        <v>880</v>
      </c>
      <c r="N5852" s="14">
        <v>1992</v>
      </c>
      <c r="O5852" s="14">
        <v>0</v>
      </c>
      <c r="P5852" s="14">
        <v>2872</v>
      </c>
      <c r="Q5852">
        <v>11205</v>
      </c>
      <c r="R5852">
        <v>2035</v>
      </c>
      <c r="S5852">
        <v>21</v>
      </c>
    </row>
    <row r="5853" spans="11:19" x14ac:dyDescent="0.3">
      <c r="K5853" s="16">
        <f t="shared" si="91"/>
        <v>44259</v>
      </c>
      <c r="L5853" s="17">
        <v>0.79166666666666663</v>
      </c>
      <c r="M5853" s="14">
        <v>880</v>
      </c>
      <c r="N5853" s="14">
        <v>1992</v>
      </c>
      <c r="O5853" s="14">
        <v>0</v>
      </c>
      <c r="P5853" s="14">
        <v>2872</v>
      </c>
      <c r="Q5853">
        <v>11429</v>
      </c>
      <c r="R5853">
        <v>2047</v>
      </c>
      <c r="S5853">
        <v>0</v>
      </c>
    </row>
    <row r="5854" spans="11:19" x14ac:dyDescent="0.3">
      <c r="K5854" s="16">
        <f t="shared" si="91"/>
        <v>44259</v>
      </c>
      <c r="L5854" s="17">
        <v>0.83333333333333337</v>
      </c>
      <c r="M5854" s="14">
        <v>880</v>
      </c>
      <c r="N5854" s="14">
        <v>1909</v>
      </c>
      <c r="O5854" s="14">
        <v>0</v>
      </c>
      <c r="P5854" s="14">
        <v>2789</v>
      </c>
      <c r="Q5854">
        <v>10583</v>
      </c>
      <c r="R5854">
        <v>1948</v>
      </c>
      <c r="S5854">
        <v>0</v>
      </c>
    </row>
    <row r="5855" spans="11:19" x14ac:dyDescent="0.3">
      <c r="K5855" s="16">
        <f t="shared" si="91"/>
        <v>44259</v>
      </c>
      <c r="L5855" s="17">
        <v>0.875</v>
      </c>
      <c r="M5855" s="14">
        <v>880</v>
      </c>
      <c r="N5855" s="14">
        <v>0</v>
      </c>
      <c r="O5855" s="14">
        <v>0</v>
      </c>
      <c r="P5855" s="14">
        <v>880</v>
      </c>
      <c r="Q5855">
        <v>9982</v>
      </c>
      <c r="R5855">
        <v>2040</v>
      </c>
      <c r="S5855">
        <v>0</v>
      </c>
    </row>
    <row r="5856" spans="11:19" x14ac:dyDescent="0.3">
      <c r="K5856" s="16">
        <f t="shared" si="91"/>
        <v>44259</v>
      </c>
      <c r="L5856" s="17">
        <v>0.91666666666666663</v>
      </c>
      <c r="M5856" s="14">
        <v>880</v>
      </c>
      <c r="N5856" s="14">
        <v>0</v>
      </c>
      <c r="O5856" s="14">
        <v>0</v>
      </c>
      <c r="P5856" s="14">
        <v>880</v>
      </c>
      <c r="Q5856">
        <v>10152</v>
      </c>
      <c r="R5856">
        <v>2197</v>
      </c>
      <c r="S5856">
        <v>0</v>
      </c>
    </row>
    <row r="5857" spans="11:19" x14ac:dyDescent="0.3">
      <c r="K5857" s="16">
        <f t="shared" si="91"/>
        <v>44259</v>
      </c>
      <c r="L5857" s="17">
        <v>0.95833333333333337</v>
      </c>
      <c r="M5857" s="14">
        <v>880</v>
      </c>
      <c r="N5857" s="14">
        <v>0</v>
      </c>
      <c r="O5857" s="14">
        <v>0</v>
      </c>
      <c r="P5857" s="14">
        <v>880</v>
      </c>
      <c r="Q5857">
        <v>10337</v>
      </c>
      <c r="R5857">
        <v>2403</v>
      </c>
      <c r="S5857">
        <v>0</v>
      </c>
    </row>
    <row r="5858" spans="11:19" x14ac:dyDescent="0.3">
      <c r="K5858" s="16">
        <f t="shared" si="91"/>
        <v>44260</v>
      </c>
      <c r="L5858" s="17">
        <v>0</v>
      </c>
      <c r="M5858" s="14">
        <v>880</v>
      </c>
      <c r="N5858" s="14">
        <v>915</v>
      </c>
      <c r="O5858" s="14">
        <v>0</v>
      </c>
      <c r="P5858" s="14">
        <v>1795</v>
      </c>
      <c r="Q5858">
        <v>9790</v>
      </c>
      <c r="R5858">
        <v>2334</v>
      </c>
      <c r="S5858">
        <v>0</v>
      </c>
    </row>
    <row r="5859" spans="11:19" x14ac:dyDescent="0.3">
      <c r="K5859" s="16">
        <f t="shared" si="91"/>
        <v>44260</v>
      </c>
      <c r="L5859" s="17">
        <v>4.1666666666666664E-2</v>
      </c>
      <c r="M5859" s="14">
        <v>880</v>
      </c>
      <c r="N5859" s="14">
        <v>581</v>
      </c>
      <c r="O5859" s="14">
        <v>0</v>
      </c>
      <c r="P5859" s="14">
        <v>1461</v>
      </c>
      <c r="Q5859">
        <v>9475</v>
      </c>
      <c r="R5859">
        <v>2359</v>
      </c>
      <c r="S5859">
        <v>0</v>
      </c>
    </row>
    <row r="5860" spans="11:19" x14ac:dyDescent="0.3">
      <c r="K5860" s="16">
        <f t="shared" si="91"/>
        <v>44260</v>
      </c>
      <c r="L5860" s="17">
        <v>8.3333333333333329E-2</v>
      </c>
      <c r="M5860" s="14">
        <v>880</v>
      </c>
      <c r="N5860" s="14">
        <v>249</v>
      </c>
      <c r="O5860" s="14">
        <v>0</v>
      </c>
      <c r="P5860" s="14">
        <v>1129</v>
      </c>
      <c r="Q5860">
        <v>9181</v>
      </c>
      <c r="R5860">
        <v>2557</v>
      </c>
      <c r="S5860">
        <v>0</v>
      </c>
    </row>
    <row r="5861" spans="11:19" x14ac:dyDescent="0.3">
      <c r="K5861" s="16">
        <f t="shared" si="91"/>
        <v>44260</v>
      </c>
      <c r="L5861" s="17">
        <v>0.125</v>
      </c>
      <c r="M5861" s="14">
        <v>880</v>
      </c>
      <c r="N5861" s="14">
        <v>0</v>
      </c>
      <c r="O5861" s="14">
        <v>-217</v>
      </c>
      <c r="P5861" s="14">
        <v>663</v>
      </c>
      <c r="Q5861">
        <v>8788</v>
      </c>
      <c r="R5861">
        <v>2625</v>
      </c>
      <c r="S5861">
        <v>0</v>
      </c>
    </row>
    <row r="5862" spans="11:19" x14ac:dyDescent="0.3">
      <c r="K5862" s="16">
        <f t="shared" si="91"/>
        <v>44260</v>
      </c>
      <c r="L5862" s="17">
        <v>0.16666666666666666</v>
      </c>
      <c r="M5862" s="14">
        <v>880</v>
      </c>
      <c r="N5862" s="14">
        <v>0</v>
      </c>
      <c r="O5862" s="14">
        <v>-454</v>
      </c>
      <c r="P5862" s="14">
        <v>426</v>
      </c>
      <c r="Q5862">
        <v>8747</v>
      </c>
      <c r="R5862">
        <v>2818</v>
      </c>
      <c r="S5862">
        <v>0</v>
      </c>
    </row>
    <row r="5863" spans="11:19" x14ac:dyDescent="0.3">
      <c r="K5863" s="16">
        <f t="shared" si="91"/>
        <v>44260</v>
      </c>
      <c r="L5863" s="17">
        <v>0.20833333333333334</v>
      </c>
      <c r="M5863" s="14">
        <v>880</v>
      </c>
      <c r="N5863" s="14">
        <v>0</v>
      </c>
      <c r="O5863" s="14">
        <v>-15</v>
      </c>
      <c r="P5863" s="14">
        <v>865</v>
      </c>
      <c r="Q5863">
        <v>9241</v>
      </c>
      <c r="R5863">
        <v>2864</v>
      </c>
      <c r="S5863">
        <v>0</v>
      </c>
    </row>
    <row r="5864" spans="11:19" x14ac:dyDescent="0.3">
      <c r="K5864" s="16">
        <f t="shared" si="91"/>
        <v>44260</v>
      </c>
      <c r="L5864" s="17">
        <v>0.25</v>
      </c>
      <c r="M5864" s="14">
        <v>880</v>
      </c>
      <c r="N5864" s="14">
        <v>1178</v>
      </c>
      <c r="O5864" s="14">
        <v>0</v>
      </c>
      <c r="P5864" s="14">
        <v>2058</v>
      </c>
      <c r="Q5864">
        <v>10326</v>
      </c>
      <c r="R5864">
        <v>2738</v>
      </c>
      <c r="S5864">
        <v>0</v>
      </c>
    </row>
    <row r="5865" spans="11:19" x14ac:dyDescent="0.3">
      <c r="K5865" s="16">
        <f t="shared" si="91"/>
        <v>44260</v>
      </c>
      <c r="L5865" s="17">
        <v>0.29166666666666669</v>
      </c>
      <c r="M5865" s="14">
        <v>880</v>
      </c>
      <c r="N5865" s="14">
        <v>1196</v>
      </c>
      <c r="O5865" s="14">
        <v>0</v>
      </c>
      <c r="P5865" s="14">
        <v>2076</v>
      </c>
      <c r="Q5865">
        <v>11010</v>
      </c>
      <c r="R5865">
        <v>2872</v>
      </c>
      <c r="S5865">
        <v>16</v>
      </c>
    </row>
    <row r="5866" spans="11:19" x14ac:dyDescent="0.3">
      <c r="K5866" s="16">
        <f t="shared" si="91"/>
        <v>44260</v>
      </c>
      <c r="L5866" s="17">
        <v>0.33333333333333331</v>
      </c>
      <c r="M5866" s="14">
        <v>880</v>
      </c>
      <c r="N5866" s="14">
        <v>0</v>
      </c>
      <c r="O5866" s="14">
        <v>0</v>
      </c>
      <c r="P5866" s="14">
        <v>880</v>
      </c>
      <c r="Q5866">
        <v>11280</v>
      </c>
      <c r="R5866">
        <v>2757</v>
      </c>
      <c r="S5866">
        <v>248</v>
      </c>
    </row>
    <row r="5867" spans="11:19" x14ac:dyDescent="0.3">
      <c r="K5867" s="16">
        <f t="shared" si="91"/>
        <v>44260</v>
      </c>
      <c r="L5867" s="17">
        <v>0.375</v>
      </c>
      <c r="M5867" s="14">
        <v>880</v>
      </c>
      <c r="N5867" s="14">
        <v>1196</v>
      </c>
      <c r="O5867" s="14">
        <v>0</v>
      </c>
      <c r="P5867" s="14">
        <v>2076</v>
      </c>
      <c r="Q5867">
        <v>11241</v>
      </c>
      <c r="R5867">
        <v>2640</v>
      </c>
      <c r="S5867">
        <v>729</v>
      </c>
    </row>
    <row r="5868" spans="11:19" x14ac:dyDescent="0.3">
      <c r="K5868" s="16">
        <f t="shared" si="91"/>
        <v>44260</v>
      </c>
      <c r="L5868" s="17">
        <v>0.41666666666666669</v>
      </c>
      <c r="M5868" s="14">
        <v>880</v>
      </c>
      <c r="N5868" s="14">
        <v>549</v>
      </c>
      <c r="O5868" s="14">
        <v>0</v>
      </c>
      <c r="P5868" s="14">
        <v>1429</v>
      </c>
      <c r="Q5868">
        <v>11027</v>
      </c>
      <c r="R5868">
        <v>2616</v>
      </c>
      <c r="S5868">
        <v>1203</v>
      </c>
    </row>
    <row r="5869" spans="11:19" x14ac:dyDescent="0.3">
      <c r="K5869" s="16">
        <f t="shared" si="91"/>
        <v>44260</v>
      </c>
      <c r="L5869" s="17">
        <v>0.45833333333333331</v>
      </c>
      <c r="M5869" s="14">
        <v>880</v>
      </c>
      <c r="N5869" s="14">
        <v>263</v>
      </c>
      <c r="O5869" s="14">
        <v>0</v>
      </c>
      <c r="P5869" s="14">
        <v>1143</v>
      </c>
      <c r="Q5869">
        <v>10919</v>
      </c>
      <c r="R5869">
        <v>2516</v>
      </c>
      <c r="S5869">
        <v>1483</v>
      </c>
    </row>
    <row r="5870" spans="11:19" x14ac:dyDescent="0.3">
      <c r="K5870" s="16">
        <f t="shared" si="91"/>
        <v>44260</v>
      </c>
      <c r="L5870" s="17">
        <v>0.5</v>
      </c>
      <c r="M5870" s="14">
        <v>880</v>
      </c>
      <c r="N5870" s="14">
        <v>325</v>
      </c>
      <c r="O5870" s="14">
        <v>0</v>
      </c>
      <c r="P5870" s="14">
        <v>1205</v>
      </c>
      <c r="Q5870">
        <v>10818</v>
      </c>
      <c r="R5870">
        <v>2505</v>
      </c>
      <c r="S5870">
        <v>1651</v>
      </c>
    </row>
    <row r="5871" spans="11:19" x14ac:dyDescent="0.3">
      <c r="K5871" s="16">
        <f t="shared" si="91"/>
        <v>44260</v>
      </c>
      <c r="L5871" s="17">
        <v>0.54166666666666663</v>
      </c>
      <c r="M5871" s="14">
        <v>880</v>
      </c>
      <c r="N5871" s="14">
        <v>0</v>
      </c>
      <c r="O5871" s="14">
        <v>-234</v>
      </c>
      <c r="P5871" s="14">
        <v>646</v>
      </c>
      <c r="Q5871">
        <v>10402</v>
      </c>
      <c r="R5871">
        <v>2592</v>
      </c>
      <c r="S5871">
        <v>1707</v>
      </c>
    </row>
    <row r="5872" spans="11:19" x14ac:dyDescent="0.3">
      <c r="K5872" s="16">
        <f t="shared" si="91"/>
        <v>44260</v>
      </c>
      <c r="L5872" s="17">
        <v>0.58333333333333337</v>
      </c>
      <c r="M5872" s="14">
        <v>880</v>
      </c>
      <c r="N5872" s="14">
        <v>0</v>
      </c>
      <c r="O5872" s="14">
        <v>-263</v>
      </c>
      <c r="P5872" s="14">
        <v>617</v>
      </c>
      <c r="Q5872">
        <v>10048</v>
      </c>
      <c r="R5872">
        <v>2379</v>
      </c>
      <c r="S5872">
        <v>1596</v>
      </c>
    </row>
    <row r="5873" spans="11:19" x14ac:dyDescent="0.3">
      <c r="K5873" s="16">
        <f t="shared" si="91"/>
        <v>44260</v>
      </c>
      <c r="L5873" s="17">
        <v>0.625</v>
      </c>
      <c r="M5873" s="14">
        <v>880</v>
      </c>
      <c r="N5873" s="14">
        <v>0</v>
      </c>
      <c r="O5873" s="14">
        <v>-257</v>
      </c>
      <c r="P5873" s="14">
        <v>623</v>
      </c>
      <c r="Q5873">
        <v>9679</v>
      </c>
      <c r="R5873">
        <v>2295</v>
      </c>
      <c r="S5873">
        <v>1306</v>
      </c>
    </row>
    <row r="5874" spans="11:19" x14ac:dyDescent="0.3">
      <c r="K5874" s="16">
        <f t="shared" si="91"/>
        <v>44260</v>
      </c>
      <c r="L5874" s="17">
        <v>0.66666666666666663</v>
      </c>
      <c r="M5874" s="14">
        <v>880</v>
      </c>
      <c r="N5874" s="14">
        <v>0</v>
      </c>
      <c r="O5874" s="14">
        <v>-169</v>
      </c>
      <c r="P5874" s="14">
        <v>711</v>
      </c>
      <c r="Q5874">
        <v>9415</v>
      </c>
      <c r="R5874">
        <v>2455</v>
      </c>
      <c r="S5874">
        <v>794</v>
      </c>
    </row>
    <row r="5875" spans="11:19" x14ac:dyDescent="0.3">
      <c r="K5875" s="16">
        <f t="shared" si="91"/>
        <v>44260</v>
      </c>
      <c r="L5875" s="17">
        <v>0.70833333333333337</v>
      </c>
      <c r="M5875" s="14">
        <v>880</v>
      </c>
      <c r="N5875" s="14">
        <v>0</v>
      </c>
      <c r="O5875" s="14">
        <v>-272</v>
      </c>
      <c r="P5875" s="14">
        <v>608</v>
      </c>
      <c r="Q5875">
        <v>9453</v>
      </c>
      <c r="R5875">
        <v>2961</v>
      </c>
      <c r="S5875">
        <v>267</v>
      </c>
    </row>
    <row r="5876" spans="11:19" x14ac:dyDescent="0.3">
      <c r="K5876" s="16">
        <f t="shared" si="91"/>
        <v>44260</v>
      </c>
      <c r="L5876" s="17">
        <v>0.75</v>
      </c>
      <c r="M5876" s="14">
        <v>880</v>
      </c>
      <c r="N5876" s="14">
        <v>596</v>
      </c>
      <c r="O5876" s="14">
        <v>0</v>
      </c>
      <c r="P5876" s="14">
        <v>1476</v>
      </c>
      <c r="Q5876">
        <v>10110</v>
      </c>
      <c r="R5876">
        <v>2991</v>
      </c>
      <c r="S5876">
        <v>27</v>
      </c>
    </row>
    <row r="5877" spans="11:19" x14ac:dyDescent="0.3">
      <c r="K5877" s="16">
        <f t="shared" si="91"/>
        <v>44260</v>
      </c>
      <c r="L5877" s="17">
        <v>0.79166666666666663</v>
      </c>
      <c r="M5877" s="14">
        <v>880</v>
      </c>
      <c r="N5877" s="14">
        <v>0</v>
      </c>
      <c r="O5877" s="14">
        <v>514</v>
      </c>
      <c r="P5877" s="14">
        <v>1394</v>
      </c>
      <c r="Q5877">
        <v>10470</v>
      </c>
      <c r="R5877">
        <v>3117</v>
      </c>
      <c r="S5877">
        <v>0</v>
      </c>
    </row>
    <row r="5878" spans="11:19" x14ac:dyDescent="0.3">
      <c r="K5878" s="16">
        <f t="shared" si="91"/>
        <v>44260</v>
      </c>
      <c r="L5878" s="17">
        <v>0.83333333333333337</v>
      </c>
      <c r="M5878" s="14">
        <v>880</v>
      </c>
      <c r="N5878" s="14">
        <v>0</v>
      </c>
      <c r="O5878" s="14">
        <v>695</v>
      </c>
      <c r="P5878" s="14">
        <v>1575</v>
      </c>
      <c r="Q5878">
        <v>9897</v>
      </c>
      <c r="R5878">
        <v>2794</v>
      </c>
      <c r="S5878">
        <v>0</v>
      </c>
    </row>
    <row r="5879" spans="11:19" x14ac:dyDescent="0.3">
      <c r="K5879" s="16">
        <f t="shared" si="91"/>
        <v>44260</v>
      </c>
      <c r="L5879" s="17">
        <v>0.875</v>
      </c>
      <c r="M5879" s="14">
        <v>880</v>
      </c>
      <c r="N5879" s="14">
        <v>0</v>
      </c>
      <c r="O5879" s="14">
        <v>297</v>
      </c>
      <c r="P5879" s="14">
        <v>1177</v>
      </c>
      <c r="Q5879">
        <v>9463</v>
      </c>
      <c r="R5879">
        <v>2767</v>
      </c>
      <c r="S5879">
        <v>0</v>
      </c>
    </row>
    <row r="5880" spans="11:19" x14ac:dyDescent="0.3">
      <c r="K5880" s="16">
        <f t="shared" si="91"/>
        <v>44260</v>
      </c>
      <c r="L5880" s="17">
        <v>0.91666666666666663</v>
      </c>
      <c r="M5880" s="14">
        <v>880</v>
      </c>
      <c r="N5880" s="14">
        <v>765</v>
      </c>
      <c r="O5880" s="14">
        <v>0</v>
      </c>
      <c r="P5880" s="14">
        <v>1645</v>
      </c>
      <c r="Q5880">
        <v>9743</v>
      </c>
      <c r="R5880">
        <v>2585</v>
      </c>
      <c r="S5880">
        <v>0</v>
      </c>
    </row>
    <row r="5881" spans="11:19" x14ac:dyDescent="0.3">
      <c r="K5881" s="16">
        <f t="shared" si="91"/>
        <v>44260</v>
      </c>
      <c r="L5881" s="17">
        <v>0.95833333333333337</v>
      </c>
      <c r="M5881" s="14">
        <v>880</v>
      </c>
      <c r="N5881" s="14">
        <v>1196</v>
      </c>
      <c r="O5881" s="14">
        <v>0</v>
      </c>
      <c r="P5881" s="14">
        <v>2076</v>
      </c>
      <c r="Q5881">
        <v>9969</v>
      </c>
      <c r="R5881">
        <v>2103</v>
      </c>
      <c r="S5881">
        <v>0</v>
      </c>
    </row>
    <row r="5882" spans="11:19" x14ac:dyDescent="0.3">
      <c r="K5882" s="16">
        <f t="shared" si="91"/>
        <v>44261</v>
      </c>
      <c r="L5882" s="17">
        <v>0</v>
      </c>
      <c r="M5882" s="14">
        <v>880</v>
      </c>
      <c r="N5882" s="14">
        <v>726</v>
      </c>
      <c r="O5882" s="14">
        <v>337</v>
      </c>
      <c r="P5882" s="14">
        <v>1943</v>
      </c>
      <c r="Q5882">
        <v>9378</v>
      </c>
      <c r="R5882">
        <v>2026</v>
      </c>
      <c r="S5882">
        <v>0</v>
      </c>
    </row>
    <row r="5883" spans="11:19" x14ac:dyDescent="0.3">
      <c r="K5883" s="16">
        <f t="shared" si="91"/>
        <v>44261</v>
      </c>
      <c r="L5883" s="17">
        <v>4.1666666666666664E-2</v>
      </c>
      <c r="M5883" s="14">
        <v>880</v>
      </c>
      <c r="N5883" s="14">
        <v>0</v>
      </c>
      <c r="O5883" s="14">
        <v>508</v>
      </c>
      <c r="P5883" s="14">
        <v>1388</v>
      </c>
      <c r="Q5883">
        <v>8990</v>
      </c>
      <c r="R5883">
        <v>2195</v>
      </c>
      <c r="S5883">
        <v>0</v>
      </c>
    </row>
    <row r="5884" spans="11:19" x14ac:dyDescent="0.3">
      <c r="K5884" s="16">
        <f t="shared" si="91"/>
        <v>44261</v>
      </c>
      <c r="L5884" s="17">
        <v>8.3333333333333329E-2</v>
      </c>
      <c r="M5884" s="14">
        <v>880</v>
      </c>
      <c r="N5884" s="14">
        <v>0</v>
      </c>
      <c r="O5884" s="14">
        <v>73</v>
      </c>
      <c r="P5884" s="14">
        <v>953</v>
      </c>
      <c r="Q5884">
        <v>8641</v>
      </c>
      <c r="R5884">
        <v>2278</v>
      </c>
      <c r="S5884">
        <v>0</v>
      </c>
    </row>
    <row r="5885" spans="11:19" x14ac:dyDescent="0.3">
      <c r="K5885" s="16">
        <f t="shared" si="91"/>
        <v>44261</v>
      </c>
      <c r="L5885" s="17">
        <v>0.125</v>
      </c>
      <c r="M5885" s="14">
        <v>880</v>
      </c>
      <c r="N5885" s="14">
        <v>0</v>
      </c>
      <c r="O5885" s="14">
        <v>-300</v>
      </c>
      <c r="P5885" s="14">
        <v>580</v>
      </c>
      <c r="Q5885">
        <v>8171</v>
      </c>
      <c r="R5885">
        <v>2178</v>
      </c>
      <c r="S5885">
        <v>0</v>
      </c>
    </row>
    <row r="5886" spans="11:19" x14ac:dyDescent="0.3">
      <c r="K5886" s="16">
        <f t="shared" si="91"/>
        <v>44261</v>
      </c>
      <c r="L5886" s="17">
        <v>0.16666666666666666</v>
      </c>
      <c r="M5886" s="14">
        <v>880</v>
      </c>
      <c r="N5886" s="14">
        <v>0</v>
      </c>
      <c r="O5886" s="14">
        <v>-783</v>
      </c>
      <c r="P5886" s="14">
        <v>97</v>
      </c>
      <c r="Q5886">
        <v>8011</v>
      </c>
      <c r="R5886">
        <v>2499</v>
      </c>
      <c r="S5886">
        <v>0</v>
      </c>
    </row>
    <row r="5887" spans="11:19" x14ac:dyDescent="0.3">
      <c r="K5887" s="16">
        <f t="shared" si="91"/>
        <v>44261</v>
      </c>
      <c r="L5887" s="17">
        <v>0.20833333333333334</v>
      </c>
      <c r="M5887" s="14">
        <v>880</v>
      </c>
      <c r="N5887" s="14">
        <v>0</v>
      </c>
      <c r="O5887" s="14">
        <v>-392</v>
      </c>
      <c r="P5887" s="14">
        <v>488</v>
      </c>
      <c r="Q5887">
        <v>8151</v>
      </c>
      <c r="R5887">
        <v>2241</v>
      </c>
      <c r="S5887">
        <v>0</v>
      </c>
    </row>
    <row r="5888" spans="11:19" x14ac:dyDescent="0.3">
      <c r="K5888" s="16">
        <f t="shared" si="91"/>
        <v>44261</v>
      </c>
      <c r="L5888" s="17">
        <v>0.25</v>
      </c>
      <c r="M5888" s="14">
        <v>880</v>
      </c>
      <c r="N5888" s="14">
        <v>0</v>
      </c>
      <c r="O5888" s="14">
        <v>-61</v>
      </c>
      <c r="P5888" s="14">
        <v>819</v>
      </c>
      <c r="Q5888">
        <v>8538</v>
      </c>
      <c r="R5888">
        <v>2288</v>
      </c>
      <c r="S5888">
        <v>0</v>
      </c>
    </row>
    <row r="5889" spans="11:19" x14ac:dyDescent="0.3">
      <c r="K5889" s="16">
        <f t="shared" si="91"/>
        <v>44261</v>
      </c>
      <c r="L5889" s="17">
        <v>0.29166666666666669</v>
      </c>
      <c r="M5889" s="14">
        <v>880</v>
      </c>
      <c r="N5889" s="14">
        <v>83</v>
      </c>
      <c r="O5889" s="14">
        <v>0</v>
      </c>
      <c r="P5889" s="14">
        <v>963</v>
      </c>
      <c r="Q5889">
        <v>8732</v>
      </c>
      <c r="R5889">
        <v>2306</v>
      </c>
      <c r="S5889">
        <v>17</v>
      </c>
    </row>
    <row r="5890" spans="11:19" x14ac:dyDescent="0.3">
      <c r="K5890" s="16">
        <f t="shared" si="91"/>
        <v>44261</v>
      </c>
      <c r="L5890" s="17">
        <v>0.33333333333333331</v>
      </c>
      <c r="M5890" s="14">
        <v>880</v>
      </c>
      <c r="N5890" s="14">
        <v>0</v>
      </c>
      <c r="O5890" s="14">
        <v>202</v>
      </c>
      <c r="P5890" s="14">
        <v>1082</v>
      </c>
      <c r="Q5890">
        <v>9166</v>
      </c>
      <c r="R5890">
        <v>2392</v>
      </c>
      <c r="S5890">
        <v>238</v>
      </c>
    </row>
    <row r="5891" spans="11:19" x14ac:dyDescent="0.3">
      <c r="K5891" s="16">
        <f t="shared" si="91"/>
        <v>44261</v>
      </c>
      <c r="L5891" s="17">
        <v>0.375</v>
      </c>
      <c r="M5891" s="14">
        <v>880</v>
      </c>
      <c r="N5891" s="14">
        <v>0</v>
      </c>
      <c r="O5891" s="14">
        <v>-9</v>
      </c>
      <c r="P5891" s="14">
        <v>871</v>
      </c>
      <c r="Q5891">
        <v>9427</v>
      </c>
      <c r="R5891">
        <v>2427</v>
      </c>
      <c r="S5891">
        <v>674</v>
      </c>
    </row>
    <row r="5892" spans="11:19" x14ac:dyDescent="0.3">
      <c r="K5892" s="16">
        <f t="shared" si="91"/>
        <v>44261</v>
      </c>
      <c r="L5892" s="17">
        <v>0.41666666666666669</v>
      </c>
      <c r="M5892" s="14">
        <v>880</v>
      </c>
      <c r="N5892" s="14">
        <v>0</v>
      </c>
      <c r="O5892" s="14">
        <v>-505</v>
      </c>
      <c r="P5892" s="14">
        <v>375</v>
      </c>
      <c r="Q5892">
        <v>9350</v>
      </c>
      <c r="R5892">
        <v>2433</v>
      </c>
      <c r="S5892">
        <v>1088</v>
      </c>
    </row>
    <row r="5893" spans="11:19" x14ac:dyDescent="0.3">
      <c r="K5893" s="16">
        <f t="shared" si="91"/>
        <v>44261</v>
      </c>
      <c r="L5893" s="17">
        <v>0.45833333333333331</v>
      </c>
      <c r="M5893" s="14">
        <v>880</v>
      </c>
      <c r="N5893" s="14">
        <v>0</v>
      </c>
      <c r="O5893" s="14">
        <v>-830</v>
      </c>
      <c r="P5893" s="14">
        <v>50</v>
      </c>
      <c r="Q5893">
        <v>9340</v>
      </c>
      <c r="R5893">
        <v>2548</v>
      </c>
      <c r="S5893">
        <v>1291</v>
      </c>
    </row>
    <row r="5894" spans="11:19" x14ac:dyDescent="0.3">
      <c r="K5894" s="16">
        <f t="shared" si="91"/>
        <v>44261</v>
      </c>
      <c r="L5894" s="17">
        <v>0.5</v>
      </c>
      <c r="M5894" s="14">
        <v>880</v>
      </c>
      <c r="N5894" s="14">
        <v>0</v>
      </c>
      <c r="O5894" s="14">
        <v>-789</v>
      </c>
      <c r="P5894" s="14">
        <v>91</v>
      </c>
      <c r="Q5894">
        <v>9566</v>
      </c>
      <c r="R5894">
        <v>2641</v>
      </c>
      <c r="S5894">
        <v>1383</v>
      </c>
    </row>
    <row r="5895" spans="11:19" x14ac:dyDescent="0.3">
      <c r="K5895" s="16">
        <f t="shared" si="91"/>
        <v>44261</v>
      </c>
      <c r="L5895" s="17">
        <v>0.54166666666666663</v>
      </c>
      <c r="M5895" s="14">
        <v>880</v>
      </c>
      <c r="N5895" s="14">
        <v>0</v>
      </c>
      <c r="O5895" s="14">
        <v>-1047</v>
      </c>
      <c r="P5895" s="14">
        <v>-167</v>
      </c>
      <c r="Q5895">
        <v>9124</v>
      </c>
      <c r="R5895">
        <v>2443</v>
      </c>
      <c r="S5895">
        <v>1396</v>
      </c>
    </row>
    <row r="5896" spans="11:19" x14ac:dyDescent="0.3">
      <c r="K5896" s="16">
        <f t="shared" si="91"/>
        <v>44261</v>
      </c>
      <c r="L5896" s="17">
        <v>0.58333333333333337</v>
      </c>
      <c r="M5896" s="14">
        <v>880</v>
      </c>
      <c r="N5896" s="14">
        <v>0</v>
      </c>
      <c r="O5896" s="14">
        <v>-1200</v>
      </c>
      <c r="P5896" s="14">
        <v>-320</v>
      </c>
      <c r="Q5896">
        <v>8757</v>
      </c>
      <c r="R5896">
        <v>2479</v>
      </c>
      <c r="S5896">
        <v>1323</v>
      </c>
    </row>
    <row r="5897" spans="11:19" x14ac:dyDescent="0.3">
      <c r="K5897" s="16">
        <f t="shared" si="91"/>
        <v>44261</v>
      </c>
      <c r="L5897" s="17">
        <v>0.625</v>
      </c>
      <c r="M5897" s="14">
        <v>880</v>
      </c>
      <c r="N5897" s="14">
        <v>0</v>
      </c>
      <c r="O5897" s="14">
        <v>-1200</v>
      </c>
      <c r="P5897" s="14">
        <v>-320</v>
      </c>
      <c r="Q5897">
        <v>8502</v>
      </c>
      <c r="R5897">
        <v>2375</v>
      </c>
      <c r="S5897">
        <v>1057</v>
      </c>
    </row>
    <row r="5898" spans="11:19" x14ac:dyDescent="0.3">
      <c r="K5898" s="16">
        <f t="shared" si="91"/>
        <v>44261</v>
      </c>
      <c r="L5898" s="17">
        <v>0.66666666666666663</v>
      </c>
      <c r="M5898" s="14">
        <v>880</v>
      </c>
      <c r="N5898" s="14">
        <v>0</v>
      </c>
      <c r="O5898" s="14">
        <v>-933</v>
      </c>
      <c r="P5898" s="14">
        <v>-53</v>
      </c>
      <c r="Q5898">
        <v>8345</v>
      </c>
      <c r="R5898">
        <v>2250</v>
      </c>
      <c r="S5898">
        <v>631</v>
      </c>
    </row>
    <row r="5899" spans="11:19" x14ac:dyDescent="0.3">
      <c r="K5899" s="16">
        <f t="shared" si="91"/>
        <v>44261</v>
      </c>
      <c r="L5899" s="17">
        <v>0.70833333333333337</v>
      </c>
      <c r="M5899" s="14">
        <v>880</v>
      </c>
      <c r="N5899" s="14">
        <v>0</v>
      </c>
      <c r="O5899" s="14">
        <v>-87</v>
      </c>
      <c r="P5899" s="14">
        <v>793</v>
      </c>
      <c r="Q5899">
        <v>8574</v>
      </c>
      <c r="R5899">
        <v>2051</v>
      </c>
      <c r="S5899">
        <v>210</v>
      </c>
    </row>
    <row r="5900" spans="11:19" x14ac:dyDescent="0.3">
      <c r="K5900" s="16">
        <f t="shared" si="91"/>
        <v>44261</v>
      </c>
      <c r="L5900" s="17">
        <v>0.75</v>
      </c>
      <c r="M5900" s="14">
        <v>880</v>
      </c>
      <c r="N5900" s="14">
        <v>0</v>
      </c>
      <c r="O5900" s="14">
        <v>915</v>
      </c>
      <c r="P5900" s="14">
        <v>1795</v>
      </c>
      <c r="Q5900">
        <v>9323</v>
      </c>
      <c r="R5900">
        <v>1984</v>
      </c>
      <c r="S5900">
        <v>23</v>
      </c>
    </row>
    <row r="5901" spans="11:19" x14ac:dyDescent="0.3">
      <c r="K5901" s="16">
        <f t="shared" si="91"/>
        <v>44261</v>
      </c>
      <c r="L5901" s="17">
        <v>0.79166666666666663</v>
      </c>
      <c r="M5901" s="14">
        <v>880</v>
      </c>
      <c r="N5901" s="14">
        <v>0</v>
      </c>
      <c r="O5901" s="14">
        <v>1200</v>
      </c>
      <c r="P5901" s="14">
        <v>2080</v>
      </c>
      <c r="Q5901">
        <v>9766</v>
      </c>
      <c r="R5901">
        <v>1762</v>
      </c>
      <c r="S5901">
        <v>0</v>
      </c>
    </row>
    <row r="5902" spans="11:19" x14ac:dyDescent="0.3">
      <c r="K5902" s="16">
        <f t="shared" si="91"/>
        <v>44261</v>
      </c>
      <c r="L5902" s="17">
        <v>0.83333333333333337</v>
      </c>
      <c r="M5902" s="14">
        <v>880</v>
      </c>
      <c r="N5902" s="14">
        <v>897</v>
      </c>
      <c r="O5902" s="14">
        <v>169</v>
      </c>
      <c r="P5902" s="14">
        <v>1946</v>
      </c>
      <c r="Q5902">
        <v>9267</v>
      </c>
      <c r="R5902">
        <v>1724</v>
      </c>
      <c r="S5902">
        <v>0</v>
      </c>
    </row>
    <row r="5903" spans="11:19" x14ac:dyDescent="0.3">
      <c r="K5903" s="16">
        <f t="shared" si="91"/>
        <v>44261</v>
      </c>
      <c r="L5903" s="17">
        <v>0.875</v>
      </c>
      <c r="M5903" s="14">
        <v>880</v>
      </c>
      <c r="N5903" s="14">
        <v>0</v>
      </c>
      <c r="O5903" s="14">
        <v>708</v>
      </c>
      <c r="P5903" s="14">
        <v>1588</v>
      </c>
      <c r="Q5903">
        <v>8888</v>
      </c>
      <c r="R5903">
        <v>1713</v>
      </c>
      <c r="S5903">
        <v>0</v>
      </c>
    </row>
    <row r="5904" spans="11:19" x14ac:dyDescent="0.3">
      <c r="K5904" s="16">
        <f t="shared" si="91"/>
        <v>44261</v>
      </c>
      <c r="L5904" s="17">
        <v>0.91666666666666663</v>
      </c>
      <c r="M5904" s="14">
        <v>880</v>
      </c>
      <c r="N5904" s="14">
        <v>55</v>
      </c>
      <c r="O5904" s="14">
        <v>1200</v>
      </c>
      <c r="P5904" s="14">
        <v>2135</v>
      </c>
      <c r="Q5904">
        <v>9278</v>
      </c>
      <c r="R5904">
        <v>1556</v>
      </c>
      <c r="S5904">
        <v>0</v>
      </c>
    </row>
    <row r="5905" spans="11:19" x14ac:dyDescent="0.3">
      <c r="K5905" s="16">
        <f t="shared" si="91"/>
        <v>44261</v>
      </c>
      <c r="L5905" s="17">
        <v>0.95833333333333337</v>
      </c>
      <c r="M5905" s="14">
        <v>880</v>
      </c>
      <c r="N5905" s="14">
        <v>0</v>
      </c>
      <c r="O5905" s="14">
        <v>1200</v>
      </c>
      <c r="P5905" s="14">
        <v>2080</v>
      </c>
      <c r="Q5905">
        <v>9631</v>
      </c>
      <c r="R5905">
        <v>1530</v>
      </c>
      <c r="S5905">
        <v>0</v>
      </c>
    </row>
    <row r="5906" spans="11:19" x14ac:dyDescent="0.3">
      <c r="K5906" s="16">
        <f t="shared" si="91"/>
        <v>44262</v>
      </c>
      <c r="L5906" s="17">
        <v>0</v>
      </c>
      <c r="M5906" s="14">
        <v>880</v>
      </c>
      <c r="N5906" s="14">
        <v>1424</v>
      </c>
      <c r="O5906" s="14">
        <v>0</v>
      </c>
      <c r="P5906" s="14">
        <v>2304</v>
      </c>
      <c r="Q5906">
        <v>9276</v>
      </c>
      <c r="R5906">
        <v>1404</v>
      </c>
      <c r="S5906">
        <v>0</v>
      </c>
    </row>
    <row r="5907" spans="11:19" x14ac:dyDescent="0.3">
      <c r="K5907" s="16">
        <f t="shared" si="91"/>
        <v>44262</v>
      </c>
      <c r="L5907" s="17">
        <v>4.1666666666666664E-2</v>
      </c>
      <c r="M5907" s="14">
        <v>880</v>
      </c>
      <c r="N5907" s="14">
        <v>1054</v>
      </c>
      <c r="O5907" s="14">
        <v>0</v>
      </c>
      <c r="P5907" s="14">
        <v>1934</v>
      </c>
      <c r="Q5907">
        <v>8915</v>
      </c>
      <c r="R5907">
        <v>1334</v>
      </c>
      <c r="S5907">
        <v>0</v>
      </c>
    </row>
    <row r="5908" spans="11:19" x14ac:dyDescent="0.3">
      <c r="K5908" s="16">
        <f t="shared" si="91"/>
        <v>44262</v>
      </c>
      <c r="L5908" s="17">
        <v>8.3333333333333329E-2</v>
      </c>
      <c r="M5908" s="14">
        <v>880</v>
      </c>
      <c r="N5908" s="14">
        <v>735</v>
      </c>
      <c r="O5908" s="14">
        <v>0</v>
      </c>
      <c r="P5908" s="14">
        <v>1615</v>
      </c>
      <c r="Q5908">
        <v>8534</v>
      </c>
      <c r="R5908">
        <v>1270</v>
      </c>
      <c r="S5908">
        <v>0</v>
      </c>
    </row>
    <row r="5909" spans="11:19" x14ac:dyDescent="0.3">
      <c r="K5909" s="16">
        <f t="shared" si="91"/>
        <v>44262</v>
      </c>
      <c r="L5909" s="17">
        <v>0.125</v>
      </c>
      <c r="M5909" s="14">
        <v>880</v>
      </c>
      <c r="N5909" s="14">
        <v>203</v>
      </c>
      <c r="O5909" s="14">
        <v>0</v>
      </c>
      <c r="P5909" s="14">
        <v>1083</v>
      </c>
      <c r="Q5909">
        <v>8014</v>
      </c>
      <c r="R5909">
        <v>1279</v>
      </c>
      <c r="S5909">
        <v>0</v>
      </c>
    </row>
    <row r="5910" spans="11:19" x14ac:dyDescent="0.3">
      <c r="K5910" s="16">
        <f t="shared" si="91"/>
        <v>44262</v>
      </c>
      <c r="L5910" s="17">
        <v>0.16666666666666666</v>
      </c>
      <c r="M5910" s="14">
        <v>880</v>
      </c>
      <c r="N5910" s="14">
        <v>0</v>
      </c>
      <c r="O5910" s="14">
        <v>-87</v>
      </c>
      <c r="P5910" s="14">
        <v>793</v>
      </c>
      <c r="Q5910">
        <v>7774</v>
      </c>
      <c r="R5910">
        <v>1327</v>
      </c>
      <c r="S5910">
        <v>0</v>
      </c>
    </row>
    <row r="5911" spans="11:19" x14ac:dyDescent="0.3">
      <c r="K5911" s="16">
        <f t="shared" si="91"/>
        <v>44262</v>
      </c>
      <c r="L5911" s="17">
        <v>0.20833333333333334</v>
      </c>
      <c r="M5911" s="14">
        <v>880</v>
      </c>
      <c r="N5911" s="14">
        <v>0</v>
      </c>
      <c r="O5911" s="14">
        <v>-62</v>
      </c>
      <c r="P5911" s="14">
        <v>818</v>
      </c>
      <c r="Q5911">
        <v>7791</v>
      </c>
      <c r="R5911">
        <v>1311</v>
      </c>
      <c r="S5911">
        <v>0</v>
      </c>
    </row>
    <row r="5912" spans="11:19" x14ac:dyDescent="0.3">
      <c r="K5912" s="16">
        <f t="shared" si="91"/>
        <v>44262</v>
      </c>
      <c r="L5912" s="17">
        <v>0.25</v>
      </c>
      <c r="M5912" s="14">
        <v>880</v>
      </c>
      <c r="N5912" s="14">
        <v>265</v>
      </c>
      <c r="O5912" s="14">
        <v>0</v>
      </c>
      <c r="P5912" s="14">
        <v>1145</v>
      </c>
      <c r="Q5912">
        <v>7994</v>
      </c>
      <c r="R5912">
        <v>1339</v>
      </c>
      <c r="S5912">
        <v>0</v>
      </c>
    </row>
    <row r="5913" spans="11:19" x14ac:dyDescent="0.3">
      <c r="K5913" s="16">
        <f t="shared" si="91"/>
        <v>44262</v>
      </c>
      <c r="L5913" s="17">
        <v>0.29166666666666669</v>
      </c>
      <c r="M5913" s="14">
        <v>880</v>
      </c>
      <c r="N5913" s="14">
        <v>0</v>
      </c>
      <c r="O5913" s="14">
        <v>0</v>
      </c>
      <c r="P5913" s="14">
        <v>880</v>
      </c>
      <c r="Q5913">
        <v>8074</v>
      </c>
      <c r="R5913">
        <v>1369</v>
      </c>
      <c r="S5913">
        <v>10</v>
      </c>
    </row>
    <row r="5914" spans="11:19" x14ac:dyDescent="0.3">
      <c r="K5914" s="16">
        <f t="shared" si="91"/>
        <v>44262</v>
      </c>
      <c r="L5914" s="17">
        <v>0.33333333333333331</v>
      </c>
      <c r="M5914" s="14">
        <v>880</v>
      </c>
      <c r="N5914" s="14">
        <v>812</v>
      </c>
      <c r="O5914" s="14">
        <v>0</v>
      </c>
      <c r="P5914" s="14">
        <v>1692</v>
      </c>
      <c r="Q5914">
        <v>8623</v>
      </c>
      <c r="R5914">
        <v>1250</v>
      </c>
      <c r="S5914">
        <v>148</v>
      </c>
    </row>
    <row r="5915" spans="11:19" x14ac:dyDescent="0.3">
      <c r="K5915" s="16">
        <f t="shared" ref="K5915:K5978" si="92">K5891+1</f>
        <v>44262</v>
      </c>
      <c r="L5915" s="17">
        <v>0.375</v>
      </c>
      <c r="M5915" s="14">
        <v>880</v>
      </c>
      <c r="N5915" s="14">
        <v>1087</v>
      </c>
      <c r="O5915" s="14">
        <v>0</v>
      </c>
      <c r="P5915" s="14">
        <v>1967</v>
      </c>
      <c r="Q5915">
        <v>9193</v>
      </c>
      <c r="R5915">
        <v>1259</v>
      </c>
      <c r="S5915">
        <v>432</v>
      </c>
    </row>
    <row r="5916" spans="11:19" x14ac:dyDescent="0.3">
      <c r="K5916" s="16">
        <f t="shared" si="92"/>
        <v>44262</v>
      </c>
      <c r="L5916" s="17">
        <v>0.41666666666666669</v>
      </c>
      <c r="M5916" s="14">
        <v>880</v>
      </c>
      <c r="N5916" s="14">
        <v>1000</v>
      </c>
      <c r="O5916" s="14">
        <v>0</v>
      </c>
      <c r="P5916" s="14">
        <v>1880</v>
      </c>
      <c r="Q5916">
        <v>9468</v>
      </c>
      <c r="R5916">
        <v>1405</v>
      </c>
      <c r="S5916">
        <v>650</v>
      </c>
    </row>
    <row r="5917" spans="11:19" x14ac:dyDescent="0.3">
      <c r="K5917" s="16">
        <f t="shared" si="92"/>
        <v>44262</v>
      </c>
      <c r="L5917" s="17">
        <v>0.45833333333333331</v>
      </c>
      <c r="M5917" s="14">
        <v>880</v>
      </c>
      <c r="N5917" s="14">
        <v>890</v>
      </c>
      <c r="O5917" s="14">
        <v>0</v>
      </c>
      <c r="P5917" s="14">
        <v>1770</v>
      </c>
      <c r="Q5917">
        <v>9689</v>
      </c>
      <c r="R5917">
        <v>1611</v>
      </c>
      <c r="S5917">
        <v>698</v>
      </c>
    </row>
    <row r="5918" spans="11:19" x14ac:dyDescent="0.3">
      <c r="K5918" s="16">
        <f t="shared" si="92"/>
        <v>44262</v>
      </c>
      <c r="L5918" s="17">
        <v>0.5</v>
      </c>
      <c r="M5918" s="14">
        <v>880</v>
      </c>
      <c r="N5918" s="14">
        <v>913</v>
      </c>
      <c r="O5918" s="14">
        <v>0</v>
      </c>
      <c r="P5918" s="14">
        <v>1793</v>
      </c>
      <c r="Q5918">
        <v>9962</v>
      </c>
      <c r="R5918">
        <v>1808</v>
      </c>
      <c r="S5918">
        <v>751</v>
      </c>
    </row>
    <row r="5919" spans="11:19" x14ac:dyDescent="0.3">
      <c r="K5919" s="16">
        <f t="shared" si="92"/>
        <v>44262</v>
      </c>
      <c r="L5919" s="17">
        <v>0.54166666666666663</v>
      </c>
      <c r="M5919" s="14">
        <v>880</v>
      </c>
      <c r="N5919" s="14">
        <v>420</v>
      </c>
      <c r="O5919" s="14">
        <v>0</v>
      </c>
      <c r="P5919" s="14">
        <v>1300</v>
      </c>
      <c r="Q5919">
        <v>9431</v>
      </c>
      <c r="R5919">
        <v>1750</v>
      </c>
      <c r="S5919">
        <v>770</v>
      </c>
    </row>
    <row r="5920" spans="11:19" x14ac:dyDescent="0.3">
      <c r="K5920" s="16">
        <f t="shared" si="92"/>
        <v>44262</v>
      </c>
      <c r="L5920" s="17">
        <v>0.58333333333333337</v>
      </c>
      <c r="M5920" s="14">
        <v>880</v>
      </c>
      <c r="N5920" s="14">
        <v>17</v>
      </c>
      <c r="O5920" s="14">
        <v>0</v>
      </c>
      <c r="P5920" s="14">
        <v>897</v>
      </c>
      <c r="Q5920">
        <v>8920</v>
      </c>
      <c r="R5920">
        <v>1701</v>
      </c>
      <c r="S5920">
        <v>718</v>
      </c>
    </row>
    <row r="5921" spans="11:19" x14ac:dyDescent="0.3">
      <c r="K5921" s="16">
        <f t="shared" si="92"/>
        <v>44262</v>
      </c>
      <c r="L5921" s="17">
        <v>0.625</v>
      </c>
      <c r="M5921" s="14">
        <v>880</v>
      </c>
      <c r="N5921" s="14">
        <v>0</v>
      </c>
      <c r="O5921" s="14">
        <v>-54</v>
      </c>
      <c r="P5921" s="14">
        <v>826</v>
      </c>
      <c r="Q5921">
        <v>8632</v>
      </c>
      <c r="R5921">
        <v>1608</v>
      </c>
      <c r="S5921">
        <v>602</v>
      </c>
    </row>
    <row r="5922" spans="11:19" x14ac:dyDescent="0.3">
      <c r="K5922" s="16">
        <f t="shared" si="92"/>
        <v>44262</v>
      </c>
      <c r="L5922" s="17">
        <v>0.66666666666666663</v>
      </c>
      <c r="M5922" s="14">
        <v>880</v>
      </c>
      <c r="N5922" s="14">
        <v>0</v>
      </c>
      <c r="O5922" s="14">
        <v>-69</v>
      </c>
      <c r="P5922" s="14">
        <v>811</v>
      </c>
      <c r="Q5922">
        <v>8477</v>
      </c>
      <c r="R5922">
        <v>1589</v>
      </c>
      <c r="S5922">
        <v>401</v>
      </c>
    </row>
    <row r="5923" spans="11:19" x14ac:dyDescent="0.3">
      <c r="K5923" s="16">
        <f t="shared" si="92"/>
        <v>44262</v>
      </c>
      <c r="L5923" s="17">
        <v>0.70833333333333337</v>
      </c>
      <c r="M5923" s="14">
        <v>880</v>
      </c>
      <c r="N5923" s="14">
        <v>319</v>
      </c>
      <c r="O5923" s="14">
        <v>0</v>
      </c>
      <c r="P5923" s="14">
        <v>1199</v>
      </c>
      <c r="Q5923">
        <v>8687</v>
      </c>
      <c r="R5923">
        <v>1657</v>
      </c>
      <c r="S5923">
        <v>152</v>
      </c>
    </row>
    <row r="5924" spans="11:19" x14ac:dyDescent="0.3">
      <c r="K5924" s="16">
        <f t="shared" si="92"/>
        <v>44262</v>
      </c>
      <c r="L5924" s="17">
        <v>0.75</v>
      </c>
      <c r="M5924" s="14">
        <v>880</v>
      </c>
      <c r="N5924" s="14">
        <v>0</v>
      </c>
      <c r="O5924" s="14">
        <v>218</v>
      </c>
      <c r="P5924" s="14">
        <v>1098</v>
      </c>
      <c r="Q5924">
        <v>9506</v>
      </c>
      <c r="R5924">
        <v>1540</v>
      </c>
      <c r="S5924">
        <v>9</v>
      </c>
    </row>
    <row r="5925" spans="11:19" x14ac:dyDescent="0.3">
      <c r="K5925" s="16">
        <f t="shared" si="92"/>
        <v>44262</v>
      </c>
      <c r="L5925" s="17">
        <v>0.79166666666666663</v>
      </c>
      <c r="M5925" s="14">
        <v>880</v>
      </c>
      <c r="N5925" s="14">
        <v>1479</v>
      </c>
      <c r="O5925" s="14">
        <v>0</v>
      </c>
      <c r="P5925" s="14">
        <v>2359</v>
      </c>
      <c r="Q5925">
        <v>10383</v>
      </c>
      <c r="R5925">
        <v>1481</v>
      </c>
      <c r="S5925">
        <v>0</v>
      </c>
    </row>
    <row r="5926" spans="11:19" x14ac:dyDescent="0.3">
      <c r="K5926" s="16">
        <f t="shared" si="92"/>
        <v>44262</v>
      </c>
      <c r="L5926" s="17">
        <v>0.83333333333333337</v>
      </c>
      <c r="M5926" s="14">
        <v>880</v>
      </c>
      <c r="N5926" s="14">
        <v>1479</v>
      </c>
      <c r="O5926" s="14">
        <v>0</v>
      </c>
      <c r="P5926" s="14">
        <v>2359</v>
      </c>
      <c r="Q5926">
        <v>9994</v>
      </c>
      <c r="R5926">
        <v>1458</v>
      </c>
      <c r="S5926">
        <v>0</v>
      </c>
    </row>
    <row r="5927" spans="11:19" x14ac:dyDescent="0.3">
      <c r="K5927" s="16">
        <f t="shared" si="92"/>
        <v>44262</v>
      </c>
      <c r="L5927" s="17">
        <v>0.875</v>
      </c>
      <c r="M5927" s="14">
        <v>880</v>
      </c>
      <c r="N5927" s="14">
        <v>0</v>
      </c>
      <c r="O5927" s="14">
        <v>0</v>
      </c>
      <c r="P5927" s="14">
        <v>880</v>
      </c>
      <c r="Q5927">
        <v>9509</v>
      </c>
      <c r="R5927">
        <v>1297</v>
      </c>
      <c r="S5927">
        <v>0</v>
      </c>
    </row>
    <row r="5928" spans="11:19" x14ac:dyDescent="0.3">
      <c r="K5928" s="16">
        <f t="shared" si="92"/>
        <v>44262</v>
      </c>
      <c r="L5928" s="17">
        <v>0.91666666666666663</v>
      </c>
      <c r="M5928" s="14">
        <v>880</v>
      </c>
      <c r="N5928" s="14">
        <v>0</v>
      </c>
      <c r="O5928" s="14">
        <v>0</v>
      </c>
      <c r="P5928" s="14">
        <v>880</v>
      </c>
      <c r="Q5928">
        <v>9769</v>
      </c>
      <c r="R5928">
        <v>1418</v>
      </c>
      <c r="S5928">
        <v>0</v>
      </c>
    </row>
    <row r="5929" spans="11:19" x14ac:dyDescent="0.3">
      <c r="K5929" s="16">
        <f t="shared" si="92"/>
        <v>44262</v>
      </c>
      <c r="L5929" s="17">
        <v>0.95833333333333337</v>
      </c>
      <c r="M5929" s="14">
        <v>880</v>
      </c>
      <c r="N5929" s="14">
        <v>0</v>
      </c>
      <c r="O5929" s="14">
        <v>0</v>
      </c>
      <c r="P5929" s="14">
        <v>880</v>
      </c>
      <c r="Q5929">
        <v>10034</v>
      </c>
      <c r="R5929">
        <v>1724</v>
      </c>
      <c r="S5929">
        <v>0</v>
      </c>
    </row>
    <row r="5930" spans="11:19" x14ac:dyDescent="0.3">
      <c r="K5930" s="16">
        <f t="shared" si="92"/>
        <v>44263</v>
      </c>
      <c r="L5930" s="17">
        <v>0</v>
      </c>
      <c r="M5930" s="14">
        <v>880</v>
      </c>
      <c r="N5930" s="14">
        <v>1542</v>
      </c>
      <c r="O5930" s="14">
        <v>0</v>
      </c>
      <c r="P5930" s="14">
        <v>2422</v>
      </c>
      <c r="Q5930">
        <v>9681</v>
      </c>
      <c r="R5930">
        <v>1520</v>
      </c>
      <c r="S5930">
        <v>0</v>
      </c>
    </row>
    <row r="5931" spans="11:19" x14ac:dyDescent="0.3">
      <c r="K5931" s="16">
        <f t="shared" si="92"/>
        <v>44263</v>
      </c>
      <c r="L5931" s="17">
        <v>4.1666666666666664E-2</v>
      </c>
      <c r="M5931" s="14">
        <v>880</v>
      </c>
      <c r="N5931" s="14">
        <v>0</v>
      </c>
      <c r="O5931" s="14">
        <v>0</v>
      </c>
      <c r="P5931" s="14">
        <v>880</v>
      </c>
      <c r="Q5931">
        <v>9422</v>
      </c>
      <c r="R5931">
        <v>1466</v>
      </c>
      <c r="S5931">
        <v>0</v>
      </c>
    </row>
    <row r="5932" spans="11:19" x14ac:dyDescent="0.3">
      <c r="K5932" s="16">
        <f t="shared" si="92"/>
        <v>44263</v>
      </c>
      <c r="L5932" s="17">
        <v>8.3333333333333329E-2</v>
      </c>
      <c r="M5932" s="14">
        <v>880</v>
      </c>
      <c r="N5932" s="14">
        <v>0</v>
      </c>
      <c r="O5932" s="14">
        <v>0</v>
      </c>
      <c r="P5932" s="14">
        <v>880</v>
      </c>
      <c r="Q5932">
        <v>9176</v>
      </c>
      <c r="R5932">
        <v>1392</v>
      </c>
      <c r="S5932">
        <v>0</v>
      </c>
    </row>
    <row r="5933" spans="11:19" x14ac:dyDescent="0.3">
      <c r="K5933" s="16">
        <f t="shared" si="92"/>
        <v>44263</v>
      </c>
      <c r="L5933" s="17">
        <v>0.125</v>
      </c>
      <c r="M5933" s="14">
        <v>880</v>
      </c>
      <c r="N5933" s="14">
        <v>908</v>
      </c>
      <c r="O5933" s="14">
        <v>0</v>
      </c>
      <c r="P5933" s="14">
        <v>1788</v>
      </c>
      <c r="Q5933">
        <v>8806</v>
      </c>
      <c r="R5933">
        <v>1360</v>
      </c>
      <c r="S5933">
        <v>0</v>
      </c>
    </row>
    <row r="5934" spans="11:19" x14ac:dyDescent="0.3">
      <c r="K5934" s="16">
        <f t="shared" si="92"/>
        <v>44263</v>
      </c>
      <c r="L5934" s="17">
        <v>0.16666666666666666</v>
      </c>
      <c r="M5934" s="14">
        <v>880</v>
      </c>
      <c r="N5934" s="14">
        <v>0</v>
      </c>
      <c r="O5934" s="14">
        <v>0</v>
      </c>
      <c r="P5934" s="14">
        <v>880</v>
      </c>
      <c r="Q5934">
        <v>8813</v>
      </c>
      <c r="R5934">
        <v>1555</v>
      </c>
      <c r="S5934">
        <v>0</v>
      </c>
    </row>
    <row r="5935" spans="11:19" x14ac:dyDescent="0.3">
      <c r="K5935" s="16">
        <f t="shared" si="92"/>
        <v>44263</v>
      </c>
      <c r="L5935" s="17">
        <v>0.20833333333333334</v>
      </c>
      <c r="M5935" s="14">
        <v>880</v>
      </c>
      <c r="N5935" s="14">
        <v>0</v>
      </c>
      <c r="O5935" s="14">
        <v>0</v>
      </c>
      <c r="P5935" s="14">
        <v>880</v>
      </c>
      <c r="Q5935">
        <v>9422</v>
      </c>
      <c r="R5935">
        <v>1620</v>
      </c>
      <c r="S5935">
        <v>0</v>
      </c>
    </row>
    <row r="5936" spans="11:19" x14ac:dyDescent="0.3">
      <c r="K5936" s="16">
        <f t="shared" si="92"/>
        <v>44263</v>
      </c>
      <c r="L5936" s="17">
        <v>0.25</v>
      </c>
      <c r="M5936" s="14">
        <v>880</v>
      </c>
      <c r="N5936" s="14">
        <v>2435</v>
      </c>
      <c r="O5936" s="14">
        <v>0</v>
      </c>
      <c r="P5936" s="14">
        <v>3315</v>
      </c>
      <c r="Q5936">
        <v>10639</v>
      </c>
      <c r="R5936">
        <v>1635</v>
      </c>
      <c r="S5936">
        <v>0</v>
      </c>
    </row>
    <row r="5937" spans="11:19" x14ac:dyDescent="0.3">
      <c r="K5937" s="16">
        <f t="shared" si="92"/>
        <v>44263</v>
      </c>
      <c r="L5937" s="17">
        <v>0.29166666666666669</v>
      </c>
      <c r="M5937" s="14">
        <v>880</v>
      </c>
      <c r="N5937" s="14">
        <v>413</v>
      </c>
      <c r="O5937" s="14">
        <v>0</v>
      </c>
      <c r="P5937" s="14">
        <v>1293</v>
      </c>
      <c r="Q5937">
        <v>11388</v>
      </c>
      <c r="R5937">
        <v>1676</v>
      </c>
      <c r="S5937">
        <v>13</v>
      </c>
    </row>
    <row r="5938" spans="11:19" x14ac:dyDescent="0.3">
      <c r="K5938" s="16">
        <f t="shared" si="92"/>
        <v>44263</v>
      </c>
      <c r="L5938" s="17">
        <v>0.33333333333333331</v>
      </c>
      <c r="M5938" s="14">
        <v>880</v>
      </c>
      <c r="N5938" s="14">
        <v>676</v>
      </c>
      <c r="O5938" s="14">
        <v>0</v>
      </c>
      <c r="P5938" s="14">
        <v>1556</v>
      </c>
      <c r="Q5938">
        <v>11759</v>
      </c>
      <c r="R5938">
        <v>1561</v>
      </c>
      <c r="S5938">
        <v>237</v>
      </c>
    </row>
    <row r="5939" spans="11:19" x14ac:dyDescent="0.3">
      <c r="K5939" s="16">
        <f t="shared" si="92"/>
        <v>44263</v>
      </c>
      <c r="L5939" s="17">
        <v>0.375</v>
      </c>
      <c r="M5939" s="14">
        <v>880</v>
      </c>
      <c r="N5939" s="14">
        <v>2633</v>
      </c>
      <c r="O5939" s="14">
        <v>0</v>
      </c>
      <c r="P5939" s="14">
        <v>3513</v>
      </c>
      <c r="Q5939">
        <v>11937</v>
      </c>
      <c r="R5939">
        <v>1890</v>
      </c>
      <c r="S5939">
        <v>674</v>
      </c>
    </row>
    <row r="5940" spans="11:19" x14ac:dyDescent="0.3">
      <c r="K5940" s="16">
        <f t="shared" si="92"/>
        <v>44263</v>
      </c>
      <c r="L5940" s="17">
        <v>0.41666666666666669</v>
      </c>
      <c r="M5940" s="14">
        <v>880</v>
      </c>
      <c r="N5940" s="14">
        <v>0</v>
      </c>
      <c r="O5940" s="14">
        <v>0</v>
      </c>
      <c r="P5940" s="14">
        <v>880</v>
      </c>
      <c r="Q5940">
        <v>11912</v>
      </c>
      <c r="R5940">
        <v>2130</v>
      </c>
      <c r="S5940">
        <v>1073</v>
      </c>
    </row>
    <row r="5941" spans="11:19" x14ac:dyDescent="0.3">
      <c r="K5941" s="16">
        <f t="shared" si="92"/>
        <v>44263</v>
      </c>
      <c r="L5941" s="17">
        <v>0.45833333333333331</v>
      </c>
      <c r="M5941" s="14">
        <v>880</v>
      </c>
      <c r="N5941" s="14">
        <v>1968</v>
      </c>
      <c r="O5941" s="14">
        <v>0</v>
      </c>
      <c r="P5941" s="14">
        <v>2848</v>
      </c>
      <c r="Q5941">
        <v>11950</v>
      </c>
      <c r="R5941">
        <v>2083</v>
      </c>
      <c r="S5941">
        <v>1164</v>
      </c>
    </row>
    <row r="5942" spans="11:19" x14ac:dyDescent="0.3">
      <c r="K5942" s="16">
        <f t="shared" si="92"/>
        <v>44263</v>
      </c>
      <c r="L5942" s="17">
        <v>0.5</v>
      </c>
      <c r="M5942" s="14">
        <v>880</v>
      </c>
      <c r="N5942" s="14">
        <v>0</v>
      </c>
      <c r="O5942" s="14">
        <v>0</v>
      </c>
      <c r="P5942" s="14">
        <v>880</v>
      </c>
      <c r="Q5942">
        <v>11974</v>
      </c>
      <c r="R5942">
        <v>2117</v>
      </c>
      <c r="S5942">
        <v>1295</v>
      </c>
    </row>
    <row r="5943" spans="11:19" x14ac:dyDescent="0.3">
      <c r="K5943" s="16">
        <f t="shared" si="92"/>
        <v>44263</v>
      </c>
      <c r="L5943" s="17">
        <v>0.54166666666666663</v>
      </c>
      <c r="M5943" s="14">
        <v>880</v>
      </c>
      <c r="N5943" s="14">
        <v>1697</v>
      </c>
      <c r="O5943" s="14">
        <v>0</v>
      </c>
      <c r="P5943" s="14">
        <v>2577</v>
      </c>
      <c r="Q5943">
        <v>11659</v>
      </c>
      <c r="R5943">
        <v>1929</v>
      </c>
      <c r="S5943">
        <v>1378</v>
      </c>
    </row>
    <row r="5944" spans="11:19" x14ac:dyDescent="0.3">
      <c r="K5944" s="16">
        <f t="shared" si="92"/>
        <v>44263</v>
      </c>
      <c r="L5944" s="17">
        <v>0.58333333333333337</v>
      </c>
      <c r="M5944" s="14">
        <v>880</v>
      </c>
      <c r="N5944" s="14">
        <v>1449</v>
      </c>
      <c r="O5944" s="14">
        <v>0</v>
      </c>
      <c r="P5944" s="14">
        <v>2329</v>
      </c>
      <c r="Q5944">
        <v>11352</v>
      </c>
      <c r="R5944">
        <v>1927</v>
      </c>
      <c r="S5944">
        <v>1322</v>
      </c>
    </row>
    <row r="5945" spans="11:19" x14ac:dyDescent="0.3">
      <c r="K5945" s="16">
        <f t="shared" si="92"/>
        <v>44263</v>
      </c>
      <c r="L5945" s="17">
        <v>0.625</v>
      </c>
      <c r="M5945" s="14">
        <v>880</v>
      </c>
      <c r="N5945" s="14">
        <v>1217</v>
      </c>
      <c r="O5945" s="14">
        <v>0</v>
      </c>
      <c r="P5945" s="14">
        <v>2097</v>
      </c>
      <c r="Q5945">
        <v>11011</v>
      </c>
      <c r="R5945">
        <v>1948</v>
      </c>
      <c r="S5945">
        <v>1192</v>
      </c>
    </row>
    <row r="5946" spans="11:19" x14ac:dyDescent="0.3">
      <c r="K5946" s="16">
        <f t="shared" si="92"/>
        <v>44263</v>
      </c>
      <c r="L5946" s="17">
        <v>0.66666666666666663</v>
      </c>
      <c r="M5946" s="14">
        <v>880</v>
      </c>
      <c r="N5946" s="14">
        <v>1568</v>
      </c>
      <c r="O5946" s="14">
        <v>0</v>
      </c>
      <c r="P5946" s="14">
        <v>2448</v>
      </c>
      <c r="Q5946">
        <v>10813</v>
      </c>
      <c r="R5946">
        <v>1817</v>
      </c>
      <c r="S5946">
        <v>774</v>
      </c>
    </row>
    <row r="5947" spans="11:19" x14ac:dyDescent="0.3">
      <c r="K5947" s="16">
        <f t="shared" si="92"/>
        <v>44263</v>
      </c>
      <c r="L5947" s="17">
        <v>0.70833333333333337</v>
      </c>
      <c r="M5947" s="14">
        <v>880</v>
      </c>
      <c r="N5947" s="14">
        <v>179</v>
      </c>
      <c r="O5947" s="14">
        <v>0</v>
      </c>
      <c r="P5947" s="14">
        <v>1059</v>
      </c>
      <c r="Q5947">
        <v>10918</v>
      </c>
      <c r="R5947">
        <v>1157</v>
      </c>
      <c r="S5947">
        <v>307</v>
      </c>
    </row>
    <row r="5948" spans="11:19" x14ac:dyDescent="0.3">
      <c r="K5948" s="16">
        <f t="shared" si="92"/>
        <v>44263</v>
      </c>
      <c r="L5948" s="17">
        <v>0.75</v>
      </c>
      <c r="M5948" s="14">
        <v>880</v>
      </c>
      <c r="N5948" s="14">
        <v>1087</v>
      </c>
      <c r="O5948" s="14">
        <v>0</v>
      </c>
      <c r="P5948" s="14">
        <v>1967</v>
      </c>
      <c r="Q5948">
        <v>11752</v>
      </c>
      <c r="R5948">
        <v>1356</v>
      </c>
      <c r="S5948">
        <v>35</v>
      </c>
    </row>
    <row r="5949" spans="11:19" x14ac:dyDescent="0.3">
      <c r="K5949" s="16">
        <f t="shared" si="92"/>
        <v>44263</v>
      </c>
      <c r="L5949" s="17">
        <v>0.79166666666666663</v>
      </c>
      <c r="M5949" s="14">
        <v>880</v>
      </c>
      <c r="N5949" s="14">
        <v>2886</v>
      </c>
      <c r="O5949" s="14">
        <v>0</v>
      </c>
      <c r="P5949" s="14">
        <v>3766</v>
      </c>
      <c r="Q5949">
        <v>12469</v>
      </c>
      <c r="R5949">
        <v>1425</v>
      </c>
      <c r="S5949">
        <v>0</v>
      </c>
    </row>
    <row r="5950" spans="11:19" x14ac:dyDescent="0.3">
      <c r="K5950" s="16">
        <f t="shared" si="92"/>
        <v>44263</v>
      </c>
      <c r="L5950" s="17">
        <v>0.83333333333333337</v>
      </c>
      <c r="M5950" s="14">
        <v>880</v>
      </c>
      <c r="N5950" s="14">
        <v>2886</v>
      </c>
      <c r="O5950" s="14">
        <v>0</v>
      </c>
      <c r="P5950" s="14">
        <v>3766</v>
      </c>
      <c r="Q5950">
        <v>11555</v>
      </c>
      <c r="R5950">
        <v>1434</v>
      </c>
      <c r="S5950">
        <v>0</v>
      </c>
    </row>
    <row r="5951" spans="11:19" x14ac:dyDescent="0.3">
      <c r="K5951" s="16">
        <f t="shared" si="92"/>
        <v>44263</v>
      </c>
      <c r="L5951" s="17">
        <v>0.875</v>
      </c>
      <c r="M5951" s="14">
        <v>880</v>
      </c>
      <c r="N5951" s="14">
        <v>290</v>
      </c>
      <c r="O5951" s="14">
        <v>0</v>
      </c>
      <c r="P5951" s="14">
        <v>1170</v>
      </c>
      <c r="Q5951">
        <v>10807</v>
      </c>
      <c r="R5951">
        <v>1260</v>
      </c>
      <c r="S5951">
        <v>0</v>
      </c>
    </row>
    <row r="5952" spans="11:19" x14ac:dyDescent="0.3">
      <c r="K5952" s="16">
        <f t="shared" si="92"/>
        <v>44263</v>
      </c>
      <c r="L5952" s="17">
        <v>0.91666666666666663</v>
      </c>
      <c r="M5952" s="14">
        <v>880</v>
      </c>
      <c r="N5952" s="14">
        <v>2886</v>
      </c>
      <c r="O5952" s="14">
        <v>0</v>
      </c>
      <c r="P5952" s="14">
        <v>3766</v>
      </c>
      <c r="Q5952">
        <v>11019</v>
      </c>
      <c r="R5952">
        <v>1124</v>
      </c>
      <c r="S5952">
        <v>0</v>
      </c>
    </row>
    <row r="5953" spans="11:19" x14ac:dyDescent="0.3">
      <c r="K5953" s="16">
        <f t="shared" si="92"/>
        <v>44263</v>
      </c>
      <c r="L5953" s="17">
        <v>0.95833333333333337</v>
      </c>
      <c r="M5953" s="14">
        <v>880</v>
      </c>
      <c r="N5953" s="14">
        <v>2886</v>
      </c>
      <c r="O5953" s="14">
        <v>0</v>
      </c>
      <c r="P5953" s="14">
        <v>3766</v>
      </c>
      <c r="Q5953">
        <v>11187</v>
      </c>
      <c r="R5953">
        <v>1076</v>
      </c>
      <c r="S5953">
        <v>0</v>
      </c>
    </row>
    <row r="5954" spans="11:19" x14ac:dyDescent="0.3">
      <c r="K5954" s="16">
        <f t="shared" si="92"/>
        <v>44264</v>
      </c>
      <c r="L5954" s="17">
        <v>0</v>
      </c>
      <c r="M5954" s="14">
        <v>880</v>
      </c>
      <c r="N5954" s="14">
        <v>404</v>
      </c>
      <c r="O5954" s="14">
        <v>0</v>
      </c>
      <c r="P5954" s="14">
        <v>1284</v>
      </c>
      <c r="Q5954">
        <v>10734</v>
      </c>
      <c r="R5954">
        <v>1093</v>
      </c>
      <c r="S5954">
        <v>0</v>
      </c>
    </row>
    <row r="5955" spans="11:19" x14ac:dyDescent="0.3">
      <c r="K5955" s="16">
        <f t="shared" si="92"/>
        <v>44264</v>
      </c>
      <c r="L5955" s="17">
        <v>4.1666666666666664E-2</v>
      </c>
      <c r="M5955" s="14">
        <v>880</v>
      </c>
      <c r="N5955" s="14">
        <v>284</v>
      </c>
      <c r="O5955" s="14">
        <v>0</v>
      </c>
      <c r="P5955" s="14">
        <v>1164</v>
      </c>
      <c r="Q5955">
        <v>10479</v>
      </c>
      <c r="R5955">
        <v>963</v>
      </c>
      <c r="S5955">
        <v>0</v>
      </c>
    </row>
    <row r="5956" spans="11:19" x14ac:dyDescent="0.3">
      <c r="K5956" s="16">
        <f t="shared" si="92"/>
        <v>44264</v>
      </c>
      <c r="L5956" s="17">
        <v>8.3333333333333329E-2</v>
      </c>
      <c r="M5956" s="14">
        <v>880</v>
      </c>
      <c r="N5956" s="14">
        <v>2453</v>
      </c>
      <c r="O5956" s="14">
        <v>0</v>
      </c>
      <c r="P5956" s="14">
        <v>3333</v>
      </c>
      <c r="Q5956">
        <v>10244</v>
      </c>
      <c r="R5956">
        <v>1099</v>
      </c>
      <c r="S5956">
        <v>0</v>
      </c>
    </row>
    <row r="5957" spans="11:19" x14ac:dyDescent="0.3">
      <c r="K5957" s="16">
        <f t="shared" si="92"/>
        <v>44264</v>
      </c>
      <c r="L5957" s="17">
        <v>0.125</v>
      </c>
      <c r="M5957" s="14">
        <v>880</v>
      </c>
      <c r="N5957" s="14">
        <v>0</v>
      </c>
      <c r="O5957" s="14">
        <v>0</v>
      </c>
      <c r="P5957" s="14">
        <v>880</v>
      </c>
      <c r="Q5957">
        <v>9870</v>
      </c>
      <c r="R5957">
        <v>1120</v>
      </c>
      <c r="S5957">
        <v>0</v>
      </c>
    </row>
    <row r="5958" spans="11:19" x14ac:dyDescent="0.3">
      <c r="K5958" s="16">
        <f t="shared" si="92"/>
        <v>44264</v>
      </c>
      <c r="L5958" s="17">
        <v>0.16666666666666666</v>
      </c>
      <c r="M5958" s="14">
        <v>880</v>
      </c>
      <c r="N5958" s="14">
        <v>0</v>
      </c>
      <c r="O5958" s="14">
        <v>0</v>
      </c>
      <c r="P5958" s="14">
        <v>880</v>
      </c>
      <c r="Q5958">
        <v>9845</v>
      </c>
      <c r="R5958">
        <v>1330</v>
      </c>
      <c r="S5958">
        <v>0</v>
      </c>
    </row>
    <row r="5959" spans="11:19" x14ac:dyDescent="0.3">
      <c r="K5959" s="16">
        <f t="shared" si="92"/>
        <v>44264</v>
      </c>
      <c r="L5959" s="17">
        <v>0.20833333333333334</v>
      </c>
      <c r="M5959" s="14">
        <v>880</v>
      </c>
      <c r="N5959" s="14">
        <v>0</v>
      </c>
      <c r="O5959" s="14">
        <v>0</v>
      </c>
      <c r="P5959" s="14">
        <v>880</v>
      </c>
      <c r="Q5959">
        <v>10408</v>
      </c>
      <c r="R5959">
        <v>1327</v>
      </c>
      <c r="S5959">
        <v>0</v>
      </c>
    </row>
    <row r="5960" spans="11:19" x14ac:dyDescent="0.3">
      <c r="K5960" s="16">
        <f t="shared" si="92"/>
        <v>44264</v>
      </c>
      <c r="L5960" s="17">
        <v>0.25</v>
      </c>
      <c r="M5960" s="14">
        <v>880</v>
      </c>
      <c r="N5960" s="14">
        <v>2883</v>
      </c>
      <c r="O5960" s="14">
        <v>0</v>
      </c>
      <c r="P5960" s="14">
        <v>3763</v>
      </c>
      <c r="Q5960">
        <v>11610</v>
      </c>
      <c r="R5960">
        <v>1358</v>
      </c>
      <c r="S5960">
        <v>0</v>
      </c>
    </row>
    <row r="5961" spans="11:19" x14ac:dyDescent="0.3">
      <c r="K5961" s="16">
        <f t="shared" si="92"/>
        <v>44264</v>
      </c>
      <c r="L5961" s="17">
        <v>0.29166666666666669</v>
      </c>
      <c r="M5961" s="14">
        <v>880</v>
      </c>
      <c r="N5961" s="14">
        <v>1518</v>
      </c>
      <c r="O5961" s="14">
        <v>0</v>
      </c>
      <c r="P5961" s="14">
        <v>2398</v>
      </c>
      <c r="Q5961">
        <v>12308</v>
      </c>
      <c r="R5961">
        <v>1487</v>
      </c>
      <c r="S5961">
        <v>20</v>
      </c>
    </row>
    <row r="5962" spans="11:19" x14ac:dyDescent="0.3">
      <c r="K5962" s="16">
        <f t="shared" si="92"/>
        <v>44264</v>
      </c>
      <c r="L5962" s="17">
        <v>0.33333333333333331</v>
      </c>
      <c r="M5962" s="14">
        <v>880</v>
      </c>
      <c r="N5962" s="14">
        <v>2883</v>
      </c>
      <c r="O5962" s="14">
        <v>0</v>
      </c>
      <c r="P5962" s="14">
        <v>3763</v>
      </c>
      <c r="Q5962">
        <v>12554</v>
      </c>
      <c r="R5962">
        <v>1628</v>
      </c>
      <c r="S5962">
        <v>321</v>
      </c>
    </row>
    <row r="5963" spans="11:19" x14ac:dyDescent="0.3">
      <c r="K5963" s="16">
        <f t="shared" si="92"/>
        <v>44264</v>
      </c>
      <c r="L5963" s="17">
        <v>0.375</v>
      </c>
      <c r="M5963" s="14">
        <v>880</v>
      </c>
      <c r="N5963" s="14">
        <v>2883</v>
      </c>
      <c r="O5963" s="14">
        <v>0</v>
      </c>
      <c r="P5963" s="14">
        <v>3763</v>
      </c>
      <c r="Q5963">
        <v>12519</v>
      </c>
      <c r="R5963">
        <v>1582</v>
      </c>
      <c r="S5963">
        <v>849</v>
      </c>
    </row>
    <row r="5964" spans="11:19" x14ac:dyDescent="0.3">
      <c r="K5964" s="16">
        <f t="shared" si="92"/>
        <v>44264</v>
      </c>
      <c r="L5964" s="17">
        <v>0.41666666666666669</v>
      </c>
      <c r="M5964" s="14">
        <v>880</v>
      </c>
      <c r="N5964" s="14">
        <v>2768</v>
      </c>
      <c r="O5964" s="14">
        <v>0</v>
      </c>
      <c r="P5964" s="14">
        <v>3648</v>
      </c>
      <c r="Q5964">
        <v>12276</v>
      </c>
      <c r="R5964">
        <v>1650</v>
      </c>
      <c r="S5964">
        <v>1283</v>
      </c>
    </row>
    <row r="5965" spans="11:19" x14ac:dyDescent="0.3">
      <c r="K5965" s="16">
        <f t="shared" si="92"/>
        <v>44264</v>
      </c>
      <c r="L5965" s="17">
        <v>0.45833333333333331</v>
      </c>
      <c r="M5965" s="14">
        <v>880</v>
      </c>
      <c r="N5965" s="14">
        <v>2399</v>
      </c>
      <c r="O5965" s="14">
        <v>0</v>
      </c>
      <c r="P5965" s="14">
        <v>3279</v>
      </c>
      <c r="Q5965">
        <v>12184</v>
      </c>
      <c r="R5965">
        <v>1829</v>
      </c>
      <c r="S5965">
        <v>1383</v>
      </c>
    </row>
    <row r="5966" spans="11:19" x14ac:dyDescent="0.3">
      <c r="K5966" s="16">
        <f t="shared" si="92"/>
        <v>44264</v>
      </c>
      <c r="L5966" s="17">
        <v>0.5</v>
      </c>
      <c r="M5966" s="14">
        <v>880</v>
      </c>
      <c r="N5966" s="14">
        <v>2093</v>
      </c>
      <c r="O5966" s="14">
        <v>0</v>
      </c>
      <c r="P5966" s="14">
        <v>2973</v>
      </c>
      <c r="Q5966">
        <v>12099</v>
      </c>
      <c r="R5966">
        <v>1918</v>
      </c>
      <c r="S5966">
        <v>1515</v>
      </c>
    </row>
    <row r="5967" spans="11:19" x14ac:dyDescent="0.3">
      <c r="K5967" s="16">
        <f t="shared" si="92"/>
        <v>44264</v>
      </c>
      <c r="L5967" s="17">
        <v>0.54166666666666663</v>
      </c>
      <c r="M5967" s="14">
        <v>880</v>
      </c>
      <c r="N5967" s="14">
        <v>0</v>
      </c>
      <c r="O5967" s="14">
        <v>0</v>
      </c>
      <c r="P5967" s="14">
        <v>880</v>
      </c>
      <c r="Q5967">
        <v>11819</v>
      </c>
      <c r="R5967">
        <v>2016</v>
      </c>
      <c r="S5967">
        <v>1335</v>
      </c>
    </row>
    <row r="5968" spans="11:19" x14ac:dyDescent="0.3">
      <c r="K5968" s="16">
        <f t="shared" si="92"/>
        <v>44264</v>
      </c>
      <c r="L5968" s="17">
        <v>0.58333333333333337</v>
      </c>
      <c r="M5968" s="14">
        <v>880</v>
      </c>
      <c r="N5968" s="14">
        <v>1312</v>
      </c>
      <c r="O5968" s="14">
        <v>0</v>
      </c>
      <c r="P5968" s="14">
        <v>2192</v>
      </c>
      <c r="Q5968">
        <v>11531</v>
      </c>
      <c r="R5968">
        <v>2336</v>
      </c>
      <c r="S5968">
        <v>1231</v>
      </c>
    </row>
    <row r="5969" spans="11:19" x14ac:dyDescent="0.3">
      <c r="K5969" s="16">
        <f t="shared" si="92"/>
        <v>44264</v>
      </c>
      <c r="L5969" s="17">
        <v>0.625</v>
      </c>
      <c r="M5969" s="14">
        <v>880</v>
      </c>
      <c r="N5969" s="14">
        <v>1496</v>
      </c>
      <c r="O5969" s="14">
        <v>0</v>
      </c>
      <c r="P5969" s="14">
        <v>2376</v>
      </c>
      <c r="Q5969">
        <v>11269</v>
      </c>
      <c r="R5969">
        <v>2289</v>
      </c>
      <c r="S5969">
        <v>833</v>
      </c>
    </row>
    <row r="5970" spans="11:19" x14ac:dyDescent="0.3">
      <c r="K5970" s="16">
        <f t="shared" si="92"/>
        <v>44264</v>
      </c>
      <c r="L5970" s="17">
        <v>0.66666666666666663</v>
      </c>
      <c r="M5970" s="14">
        <v>880</v>
      </c>
      <c r="N5970" s="14">
        <v>1382</v>
      </c>
      <c r="O5970" s="14">
        <v>0</v>
      </c>
      <c r="P5970" s="14">
        <v>2262</v>
      </c>
      <c r="Q5970">
        <v>11170</v>
      </c>
      <c r="R5970">
        <v>2614</v>
      </c>
      <c r="S5970">
        <v>523</v>
      </c>
    </row>
    <row r="5971" spans="11:19" x14ac:dyDescent="0.3">
      <c r="K5971" s="16">
        <f t="shared" si="92"/>
        <v>44264</v>
      </c>
      <c r="L5971" s="17">
        <v>0.70833333333333337</v>
      </c>
      <c r="M5971" s="14">
        <v>880</v>
      </c>
      <c r="N5971" s="14">
        <v>1673</v>
      </c>
      <c r="O5971" s="14">
        <v>0</v>
      </c>
      <c r="P5971" s="14">
        <v>2553</v>
      </c>
      <c r="Q5971">
        <v>11282</v>
      </c>
      <c r="R5971">
        <v>2772</v>
      </c>
      <c r="S5971">
        <v>184</v>
      </c>
    </row>
    <row r="5972" spans="11:19" x14ac:dyDescent="0.3">
      <c r="K5972" s="16">
        <f t="shared" si="92"/>
        <v>44264</v>
      </c>
      <c r="L5972" s="17">
        <v>0.75</v>
      </c>
      <c r="M5972" s="14">
        <v>880</v>
      </c>
      <c r="N5972" s="14">
        <v>0</v>
      </c>
      <c r="O5972" s="14">
        <v>0</v>
      </c>
      <c r="P5972" s="14">
        <v>880</v>
      </c>
      <c r="Q5972">
        <v>12018</v>
      </c>
      <c r="R5972">
        <v>3016</v>
      </c>
      <c r="S5972">
        <v>13</v>
      </c>
    </row>
    <row r="5973" spans="11:19" x14ac:dyDescent="0.3">
      <c r="K5973" s="16">
        <f t="shared" si="92"/>
        <v>44264</v>
      </c>
      <c r="L5973" s="17">
        <v>0.79166666666666663</v>
      </c>
      <c r="M5973" s="14">
        <v>880</v>
      </c>
      <c r="N5973" s="14">
        <v>2564</v>
      </c>
      <c r="O5973" s="14">
        <v>0</v>
      </c>
      <c r="P5973" s="14">
        <v>3444</v>
      </c>
      <c r="Q5973">
        <v>12457</v>
      </c>
      <c r="R5973">
        <v>3164</v>
      </c>
      <c r="S5973">
        <v>0</v>
      </c>
    </row>
    <row r="5974" spans="11:19" x14ac:dyDescent="0.3">
      <c r="K5974" s="16">
        <f t="shared" si="92"/>
        <v>44264</v>
      </c>
      <c r="L5974" s="17">
        <v>0.83333333333333337</v>
      </c>
      <c r="M5974" s="14">
        <v>880</v>
      </c>
      <c r="N5974" s="14">
        <v>1480</v>
      </c>
      <c r="O5974" s="14">
        <v>0</v>
      </c>
      <c r="P5974" s="14">
        <v>2360</v>
      </c>
      <c r="Q5974">
        <v>11433</v>
      </c>
      <c r="R5974">
        <v>3229</v>
      </c>
      <c r="S5974">
        <v>0</v>
      </c>
    </row>
    <row r="5975" spans="11:19" x14ac:dyDescent="0.3">
      <c r="K5975" s="16">
        <f t="shared" si="92"/>
        <v>44264</v>
      </c>
      <c r="L5975" s="17">
        <v>0.875</v>
      </c>
      <c r="M5975" s="14">
        <v>880</v>
      </c>
      <c r="N5975" s="14">
        <v>642</v>
      </c>
      <c r="O5975" s="14">
        <v>0</v>
      </c>
      <c r="P5975" s="14">
        <v>1522</v>
      </c>
      <c r="Q5975">
        <v>10667</v>
      </c>
      <c r="R5975">
        <v>3311</v>
      </c>
      <c r="S5975">
        <v>0</v>
      </c>
    </row>
    <row r="5976" spans="11:19" x14ac:dyDescent="0.3">
      <c r="K5976" s="16">
        <f t="shared" si="92"/>
        <v>44264</v>
      </c>
      <c r="L5976" s="17">
        <v>0.91666666666666663</v>
      </c>
      <c r="M5976" s="14">
        <v>880</v>
      </c>
      <c r="N5976" s="14">
        <v>653</v>
      </c>
      <c r="O5976" s="14">
        <v>0</v>
      </c>
      <c r="P5976" s="14">
        <v>1533</v>
      </c>
      <c r="Q5976">
        <v>10792</v>
      </c>
      <c r="R5976">
        <v>3270</v>
      </c>
      <c r="S5976">
        <v>0</v>
      </c>
    </row>
    <row r="5977" spans="11:19" x14ac:dyDescent="0.3">
      <c r="K5977" s="16">
        <f t="shared" si="92"/>
        <v>44264</v>
      </c>
      <c r="L5977" s="17">
        <v>0.95833333333333337</v>
      </c>
      <c r="M5977" s="14">
        <v>880</v>
      </c>
      <c r="N5977" s="14">
        <v>1223</v>
      </c>
      <c r="O5977" s="14">
        <v>0</v>
      </c>
      <c r="P5977" s="14">
        <v>2103</v>
      </c>
      <c r="Q5977">
        <v>10919</v>
      </c>
      <c r="R5977">
        <v>3230</v>
      </c>
      <c r="S5977">
        <v>0</v>
      </c>
    </row>
    <row r="5978" spans="11:19" x14ac:dyDescent="0.3">
      <c r="K5978" s="16">
        <f t="shared" si="92"/>
        <v>44265</v>
      </c>
      <c r="L5978" s="17">
        <v>0</v>
      </c>
      <c r="M5978" s="14">
        <v>880</v>
      </c>
      <c r="N5978" s="14">
        <v>888</v>
      </c>
      <c r="O5978" s="14">
        <v>0</v>
      </c>
      <c r="P5978" s="14">
        <v>1768</v>
      </c>
      <c r="Q5978">
        <v>10402</v>
      </c>
      <c r="R5978">
        <v>3059</v>
      </c>
      <c r="S5978">
        <v>0</v>
      </c>
    </row>
    <row r="5979" spans="11:19" x14ac:dyDescent="0.3">
      <c r="K5979" s="16">
        <f t="shared" ref="K5979:K6042" si="93">K5955+1</f>
        <v>44265</v>
      </c>
      <c r="L5979" s="17">
        <v>4.1666666666666664E-2</v>
      </c>
      <c r="M5979" s="14">
        <v>880</v>
      </c>
      <c r="N5979" s="14">
        <v>742</v>
      </c>
      <c r="O5979" s="14">
        <v>0</v>
      </c>
      <c r="P5979" s="14">
        <v>1622</v>
      </c>
      <c r="Q5979">
        <v>10078</v>
      </c>
      <c r="R5979">
        <v>2886</v>
      </c>
      <c r="S5979">
        <v>0</v>
      </c>
    </row>
    <row r="5980" spans="11:19" x14ac:dyDescent="0.3">
      <c r="K5980" s="16">
        <f t="shared" si="93"/>
        <v>44265</v>
      </c>
      <c r="L5980" s="17">
        <v>8.3333333333333329E-2</v>
      </c>
      <c r="M5980" s="14">
        <v>880</v>
      </c>
      <c r="N5980" s="14">
        <v>0</v>
      </c>
      <c r="O5980" s="14">
        <v>0</v>
      </c>
      <c r="P5980" s="14">
        <v>880</v>
      </c>
      <c r="Q5980">
        <v>9770</v>
      </c>
      <c r="R5980">
        <v>2843</v>
      </c>
      <c r="S5980">
        <v>0</v>
      </c>
    </row>
    <row r="5981" spans="11:19" x14ac:dyDescent="0.3">
      <c r="K5981" s="16">
        <f t="shared" si="93"/>
        <v>44265</v>
      </c>
      <c r="L5981" s="17">
        <v>0.125</v>
      </c>
      <c r="M5981" s="14">
        <v>880</v>
      </c>
      <c r="N5981" s="14">
        <v>58</v>
      </c>
      <c r="O5981" s="14">
        <v>0</v>
      </c>
      <c r="P5981" s="14">
        <v>938</v>
      </c>
      <c r="Q5981">
        <v>9331</v>
      </c>
      <c r="R5981">
        <v>2819</v>
      </c>
      <c r="S5981">
        <v>0</v>
      </c>
    </row>
    <row r="5982" spans="11:19" x14ac:dyDescent="0.3">
      <c r="K5982" s="16">
        <f t="shared" si="93"/>
        <v>44265</v>
      </c>
      <c r="L5982" s="17">
        <v>0.16666666666666666</v>
      </c>
      <c r="M5982" s="14">
        <v>880</v>
      </c>
      <c r="N5982" s="14">
        <v>0</v>
      </c>
      <c r="O5982" s="14">
        <v>-321</v>
      </c>
      <c r="P5982" s="14">
        <v>559</v>
      </c>
      <c r="Q5982">
        <v>9245</v>
      </c>
      <c r="R5982">
        <v>2869</v>
      </c>
      <c r="S5982">
        <v>0</v>
      </c>
    </row>
    <row r="5983" spans="11:19" x14ac:dyDescent="0.3">
      <c r="K5983" s="16">
        <f t="shared" si="93"/>
        <v>44265</v>
      </c>
      <c r="L5983" s="17">
        <v>0.20833333333333334</v>
      </c>
      <c r="M5983" s="14">
        <v>880</v>
      </c>
      <c r="N5983" s="14">
        <v>32</v>
      </c>
      <c r="O5983" s="14">
        <v>0</v>
      </c>
      <c r="P5983" s="14">
        <v>912</v>
      </c>
      <c r="Q5983">
        <v>9758</v>
      </c>
      <c r="R5983">
        <v>3020</v>
      </c>
      <c r="S5983">
        <v>0</v>
      </c>
    </row>
    <row r="5984" spans="11:19" x14ac:dyDescent="0.3">
      <c r="K5984" s="16">
        <f t="shared" si="93"/>
        <v>44265</v>
      </c>
      <c r="L5984" s="17">
        <v>0.25</v>
      </c>
      <c r="M5984" s="14">
        <v>880</v>
      </c>
      <c r="N5984" s="14">
        <v>999</v>
      </c>
      <c r="O5984" s="14">
        <v>0</v>
      </c>
      <c r="P5984" s="14">
        <v>1879</v>
      </c>
      <c r="Q5984">
        <v>10935</v>
      </c>
      <c r="R5984">
        <v>3212</v>
      </c>
      <c r="S5984">
        <v>0</v>
      </c>
    </row>
    <row r="5985" spans="11:19" x14ac:dyDescent="0.3">
      <c r="K5985" s="16">
        <f t="shared" si="93"/>
        <v>44265</v>
      </c>
      <c r="L5985" s="17">
        <v>0.29166666666666669</v>
      </c>
      <c r="M5985" s="14">
        <v>880</v>
      </c>
      <c r="N5985" s="14">
        <v>0</v>
      </c>
      <c r="O5985" s="14">
        <v>0</v>
      </c>
      <c r="P5985" s="14">
        <v>880</v>
      </c>
      <c r="Q5985">
        <v>11649</v>
      </c>
      <c r="R5985">
        <v>3161</v>
      </c>
      <c r="S5985">
        <v>8</v>
      </c>
    </row>
    <row r="5986" spans="11:19" x14ac:dyDescent="0.3">
      <c r="K5986" s="16">
        <f t="shared" si="93"/>
        <v>44265</v>
      </c>
      <c r="L5986" s="17">
        <v>0.33333333333333331</v>
      </c>
      <c r="M5986" s="14">
        <v>880</v>
      </c>
      <c r="N5986" s="14">
        <v>0</v>
      </c>
      <c r="O5986" s="14">
        <v>0</v>
      </c>
      <c r="P5986" s="14">
        <v>880</v>
      </c>
      <c r="Q5986">
        <v>11961</v>
      </c>
      <c r="R5986">
        <v>3008</v>
      </c>
      <c r="S5986">
        <v>162</v>
      </c>
    </row>
    <row r="5987" spans="11:19" x14ac:dyDescent="0.3">
      <c r="K5987" s="16">
        <f t="shared" si="93"/>
        <v>44265</v>
      </c>
      <c r="L5987" s="17">
        <v>0.375</v>
      </c>
      <c r="M5987" s="14">
        <v>880</v>
      </c>
      <c r="N5987" s="14">
        <v>0</v>
      </c>
      <c r="O5987" s="14">
        <v>0</v>
      </c>
      <c r="P5987" s="14">
        <v>880</v>
      </c>
      <c r="Q5987">
        <v>11992</v>
      </c>
      <c r="R5987">
        <v>2859</v>
      </c>
      <c r="S5987">
        <v>554</v>
      </c>
    </row>
    <row r="5988" spans="11:19" x14ac:dyDescent="0.3">
      <c r="K5988" s="16">
        <f t="shared" si="93"/>
        <v>44265</v>
      </c>
      <c r="L5988" s="17">
        <v>0.41666666666666669</v>
      </c>
      <c r="M5988" s="14">
        <v>880</v>
      </c>
      <c r="N5988" s="14">
        <v>0</v>
      </c>
      <c r="O5988" s="14">
        <v>296</v>
      </c>
      <c r="P5988" s="14">
        <v>1176</v>
      </c>
      <c r="Q5988">
        <v>11838</v>
      </c>
      <c r="R5988">
        <v>2929</v>
      </c>
      <c r="S5988">
        <v>874</v>
      </c>
    </row>
    <row r="5989" spans="11:19" x14ac:dyDescent="0.3">
      <c r="K5989" s="16">
        <f t="shared" si="93"/>
        <v>44265</v>
      </c>
      <c r="L5989" s="17">
        <v>0.45833333333333331</v>
      </c>
      <c r="M5989" s="14">
        <v>880</v>
      </c>
      <c r="N5989" s="14">
        <v>1173</v>
      </c>
      <c r="O5989" s="14">
        <v>0</v>
      </c>
      <c r="P5989" s="14">
        <v>2053</v>
      </c>
      <c r="Q5989">
        <v>11856</v>
      </c>
      <c r="R5989">
        <v>3003</v>
      </c>
      <c r="S5989">
        <v>1030</v>
      </c>
    </row>
    <row r="5990" spans="11:19" x14ac:dyDescent="0.3">
      <c r="K5990" s="16">
        <f t="shared" si="93"/>
        <v>44265</v>
      </c>
      <c r="L5990" s="17">
        <v>0.5</v>
      </c>
      <c r="M5990" s="14">
        <v>880</v>
      </c>
      <c r="N5990" s="14">
        <v>737</v>
      </c>
      <c r="O5990" s="14">
        <v>0</v>
      </c>
      <c r="P5990" s="14">
        <v>1617</v>
      </c>
      <c r="Q5990">
        <v>11861</v>
      </c>
      <c r="R5990">
        <v>3378</v>
      </c>
      <c r="S5990">
        <v>1096</v>
      </c>
    </row>
    <row r="5991" spans="11:19" x14ac:dyDescent="0.3">
      <c r="K5991" s="16">
        <f t="shared" si="93"/>
        <v>44265</v>
      </c>
      <c r="L5991" s="17">
        <v>0.54166666666666663</v>
      </c>
      <c r="M5991" s="14">
        <v>880</v>
      </c>
      <c r="N5991" s="14">
        <v>503</v>
      </c>
      <c r="O5991" s="14">
        <v>0</v>
      </c>
      <c r="P5991" s="14">
        <v>1383</v>
      </c>
      <c r="Q5991">
        <v>11608</v>
      </c>
      <c r="R5991">
        <v>3372</v>
      </c>
      <c r="S5991">
        <v>1083</v>
      </c>
    </row>
    <row r="5992" spans="11:19" x14ac:dyDescent="0.3">
      <c r="K5992" s="16">
        <f t="shared" si="93"/>
        <v>44265</v>
      </c>
      <c r="L5992" s="17">
        <v>0.58333333333333337</v>
      </c>
      <c r="M5992" s="14">
        <v>880</v>
      </c>
      <c r="N5992" s="14">
        <v>460</v>
      </c>
      <c r="O5992" s="14">
        <v>0</v>
      </c>
      <c r="P5992" s="14">
        <v>1340</v>
      </c>
      <c r="Q5992">
        <v>11315</v>
      </c>
      <c r="R5992">
        <v>3434</v>
      </c>
      <c r="S5992">
        <v>1012</v>
      </c>
    </row>
    <row r="5993" spans="11:19" x14ac:dyDescent="0.3">
      <c r="K5993" s="16">
        <f t="shared" si="93"/>
        <v>44265</v>
      </c>
      <c r="L5993" s="17">
        <v>0.625</v>
      </c>
      <c r="M5993" s="14">
        <v>880</v>
      </c>
      <c r="N5993" s="14">
        <v>256</v>
      </c>
      <c r="O5993" s="14">
        <v>0</v>
      </c>
      <c r="P5993" s="14">
        <v>1136</v>
      </c>
      <c r="Q5993">
        <v>11029</v>
      </c>
      <c r="R5993">
        <v>3503</v>
      </c>
      <c r="S5993">
        <v>861</v>
      </c>
    </row>
    <row r="5994" spans="11:19" x14ac:dyDescent="0.3">
      <c r="K5994" s="16">
        <f t="shared" si="93"/>
        <v>44265</v>
      </c>
      <c r="L5994" s="17">
        <v>0.66666666666666663</v>
      </c>
      <c r="M5994" s="14">
        <v>880</v>
      </c>
      <c r="N5994" s="14">
        <v>0</v>
      </c>
      <c r="O5994" s="14">
        <v>0</v>
      </c>
      <c r="P5994" s="14">
        <v>880</v>
      </c>
      <c r="Q5994">
        <v>10874</v>
      </c>
      <c r="R5994">
        <v>3457</v>
      </c>
      <c r="S5994">
        <v>532</v>
      </c>
    </row>
    <row r="5995" spans="11:19" x14ac:dyDescent="0.3">
      <c r="K5995" s="16">
        <f t="shared" si="93"/>
        <v>44265</v>
      </c>
      <c r="L5995" s="17">
        <v>0.70833333333333337</v>
      </c>
      <c r="M5995" s="14">
        <v>880</v>
      </c>
      <c r="N5995" s="14">
        <v>612</v>
      </c>
      <c r="O5995" s="14">
        <v>0</v>
      </c>
      <c r="P5995" s="14">
        <v>1492</v>
      </c>
      <c r="Q5995">
        <v>10936</v>
      </c>
      <c r="R5995">
        <v>3707</v>
      </c>
      <c r="S5995">
        <v>207</v>
      </c>
    </row>
    <row r="5996" spans="11:19" x14ac:dyDescent="0.3">
      <c r="K5996" s="16">
        <f t="shared" si="93"/>
        <v>44265</v>
      </c>
      <c r="L5996" s="17">
        <v>0.75</v>
      </c>
      <c r="M5996" s="14">
        <v>880</v>
      </c>
      <c r="N5996" s="14">
        <v>1317</v>
      </c>
      <c r="O5996" s="14">
        <v>0</v>
      </c>
      <c r="P5996" s="14">
        <v>2197</v>
      </c>
      <c r="Q5996">
        <v>11632</v>
      </c>
      <c r="R5996">
        <v>3878</v>
      </c>
      <c r="S5996">
        <v>28</v>
      </c>
    </row>
    <row r="5997" spans="11:19" x14ac:dyDescent="0.3">
      <c r="K5997" s="16">
        <f t="shared" si="93"/>
        <v>44265</v>
      </c>
      <c r="L5997" s="17">
        <v>0.79166666666666663</v>
      </c>
      <c r="M5997" s="14">
        <v>880</v>
      </c>
      <c r="N5997" s="14">
        <v>1442</v>
      </c>
      <c r="O5997" s="14">
        <v>0</v>
      </c>
      <c r="P5997" s="14">
        <v>2322</v>
      </c>
      <c r="Q5997">
        <v>11921</v>
      </c>
      <c r="R5997">
        <v>3820</v>
      </c>
      <c r="S5997">
        <v>0</v>
      </c>
    </row>
    <row r="5998" spans="11:19" x14ac:dyDescent="0.3">
      <c r="K5998" s="16">
        <f t="shared" si="93"/>
        <v>44265</v>
      </c>
      <c r="L5998" s="17">
        <v>0.83333333333333337</v>
      </c>
      <c r="M5998" s="14">
        <v>880</v>
      </c>
      <c r="N5998" s="14">
        <v>577</v>
      </c>
      <c r="O5998" s="14">
        <v>0</v>
      </c>
      <c r="P5998" s="14">
        <v>1457</v>
      </c>
      <c r="Q5998">
        <v>11017</v>
      </c>
      <c r="R5998">
        <v>4039</v>
      </c>
      <c r="S5998">
        <v>0</v>
      </c>
    </row>
    <row r="5999" spans="11:19" x14ac:dyDescent="0.3">
      <c r="K5999" s="16">
        <f t="shared" si="93"/>
        <v>44265</v>
      </c>
      <c r="L5999" s="17">
        <v>0.875</v>
      </c>
      <c r="M5999" s="14">
        <v>880</v>
      </c>
      <c r="N5999" s="14">
        <v>0</v>
      </c>
      <c r="O5999" s="14">
        <v>-49</v>
      </c>
      <c r="P5999" s="14">
        <v>831</v>
      </c>
      <c r="Q5999">
        <v>10335</v>
      </c>
      <c r="R5999">
        <v>3992</v>
      </c>
      <c r="S5999">
        <v>0</v>
      </c>
    </row>
    <row r="6000" spans="11:19" x14ac:dyDescent="0.3">
      <c r="K6000" s="16">
        <f t="shared" si="93"/>
        <v>44265</v>
      </c>
      <c r="L6000" s="17">
        <v>0.91666666666666663</v>
      </c>
      <c r="M6000" s="14">
        <v>880</v>
      </c>
      <c r="N6000" s="14">
        <v>0</v>
      </c>
      <c r="O6000" s="14">
        <v>0</v>
      </c>
      <c r="P6000" s="14">
        <v>880</v>
      </c>
      <c r="Q6000">
        <v>10457</v>
      </c>
      <c r="R6000">
        <v>3938</v>
      </c>
      <c r="S6000">
        <v>0</v>
      </c>
    </row>
    <row r="6001" spans="11:19" x14ac:dyDescent="0.3">
      <c r="K6001" s="16">
        <f t="shared" si="93"/>
        <v>44265</v>
      </c>
      <c r="L6001" s="17">
        <v>0.95833333333333337</v>
      </c>
      <c r="M6001" s="14">
        <v>880</v>
      </c>
      <c r="N6001" s="14">
        <v>0</v>
      </c>
      <c r="O6001" s="14">
        <v>0</v>
      </c>
      <c r="P6001" s="14">
        <v>880</v>
      </c>
      <c r="Q6001">
        <v>10584</v>
      </c>
      <c r="R6001">
        <v>3785</v>
      </c>
      <c r="S6001">
        <v>0</v>
      </c>
    </row>
    <row r="6002" spans="11:19" x14ac:dyDescent="0.3">
      <c r="K6002" s="16">
        <f t="shared" si="93"/>
        <v>44266</v>
      </c>
      <c r="L6002" s="17">
        <v>0</v>
      </c>
      <c r="M6002" s="14">
        <v>880</v>
      </c>
      <c r="N6002" s="14">
        <v>0</v>
      </c>
      <c r="O6002" s="14">
        <v>-50</v>
      </c>
      <c r="P6002" s="14">
        <v>830</v>
      </c>
      <c r="Q6002">
        <v>10059</v>
      </c>
      <c r="R6002">
        <v>3815</v>
      </c>
      <c r="S6002">
        <v>0</v>
      </c>
    </row>
    <row r="6003" spans="11:19" x14ac:dyDescent="0.3">
      <c r="K6003" s="16">
        <f t="shared" si="93"/>
        <v>44266</v>
      </c>
      <c r="L6003" s="17">
        <v>4.1666666666666664E-2</v>
      </c>
      <c r="M6003" s="14">
        <v>880</v>
      </c>
      <c r="N6003" s="14">
        <v>0</v>
      </c>
      <c r="O6003" s="14">
        <v>-566</v>
      </c>
      <c r="P6003" s="14">
        <v>314</v>
      </c>
      <c r="Q6003">
        <v>9737</v>
      </c>
      <c r="R6003">
        <v>4014</v>
      </c>
      <c r="S6003">
        <v>0</v>
      </c>
    </row>
    <row r="6004" spans="11:19" x14ac:dyDescent="0.3">
      <c r="K6004" s="16">
        <f t="shared" si="93"/>
        <v>44266</v>
      </c>
      <c r="L6004" s="17">
        <v>8.3333333333333329E-2</v>
      </c>
      <c r="M6004" s="14">
        <v>880</v>
      </c>
      <c r="N6004" s="14">
        <v>0</v>
      </c>
      <c r="O6004" s="14">
        <v>-301</v>
      </c>
      <c r="P6004" s="14">
        <v>579</v>
      </c>
      <c r="Q6004">
        <v>9445</v>
      </c>
      <c r="R6004">
        <v>4072</v>
      </c>
      <c r="S6004">
        <v>0</v>
      </c>
    </row>
    <row r="6005" spans="11:19" x14ac:dyDescent="0.3">
      <c r="K6005" s="16">
        <f t="shared" si="93"/>
        <v>44266</v>
      </c>
      <c r="L6005" s="17">
        <v>0.125</v>
      </c>
      <c r="M6005" s="14">
        <v>880</v>
      </c>
      <c r="N6005" s="14">
        <v>0</v>
      </c>
      <c r="O6005" s="14">
        <v>-724</v>
      </c>
      <c r="P6005" s="14">
        <v>156</v>
      </c>
      <c r="Q6005">
        <v>9032</v>
      </c>
      <c r="R6005">
        <v>4078</v>
      </c>
      <c r="S6005">
        <v>0</v>
      </c>
    </row>
    <row r="6006" spans="11:19" x14ac:dyDescent="0.3">
      <c r="K6006" s="16">
        <f t="shared" si="93"/>
        <v>44266</v>
      </c>
      <c r="L6006" s="17">
        <v>0.16666666666666666</v>
      </c>
      <c r="M6006" s="14">
        <v>880</v>
      </c>
      <c r="N6006" s="14">
        <v>0</v>
      </c>
      <c r="O6006" s="14">
        <v>-733</v>
      </c>
      <c r="P6006" s="14">
        <v>147</v>
      </c>
      <c r="Q6006">
        <v>8975</v>
      </c>
      <c r="R6006">
        <v>4026</v>
      </c>
      <c r="S6006">
        <v>0</v>
      </c>
    </row>
    <row r="6007" spans="11:19" x14ac:dyDescent="0.3">
      <c r="K6007" s="16">
        <f t="shared" si="93"/>
        <v>44266</v>
      </c>
      <c r="L6007" s="17">
        <v>0.20833333333333334</v>
      </c>
      <c r="M6007" s="14">
        <v>880</v>
      </c>
      <c r="N6007" s="14">
        <v>0</v>
      </c>
      <c r="O6007" s="14">
        <v>-880</v>
      </c>
      <c r="P6007" s="14">
        <v>0</v>
      </c>
      <c r="Q6007">
        <v>9510</v>
      </c>
      <c r="R6007">
        <v>4084</v>
      </c>
      <c r="S6007">
        <v>0</v>
      </c>
    </row>
    <row r="6008" spans="11:19" x14ac:dyDescent="0.3">
      <c r="K6008" s="16">
        <f t="shared" si="93"/>
        <v>44266</v>
      </c>
      <c r="L6008" s="17">
        <v>0.25</v>
      </c>
      <c r="M6008" s="14">
        <v>880</v>
      </c>
      <c r="N6008" s="14">
        <v>0</v>
      </c>
      <c r="O6008" s="14">
        <v>160</v>
      </c>
      <c r="P6008" s="14">
        <v>1040</v>
      </c>
      <c r="Q6008">
        <v>10705</v>
      </c>
      <c r="R6008">
        <v>4222</v>
      </c>
      <c r="S6008">
        <v>0</v>
      </c>
    </row>
    <row r="6009" spans="11:19" x14ac:dyDescent="0.3">
      <c r="K6009" s="16">
        <f t="shared" si="93"/>
        <v>44266</v>
      </c>
      <c r="L6009" s="17">
        <v>0.29166666666666669</v>
      </c>
      <c r="M6009" s="14">
        <v>880</v>
      </c>
      <c r="N6009" s="14">
        <v>0</v>
      </c>
      <c r="O6009" s="14">
        <v>841</v>
      </c>
      <c r="P6009" s="14">
        <v>1721</v>
      </c>
      <c r="Q6009">
        <v>11410</v>
      </c>
      <c r="R6009">
        <v>4198</v>
      </c>
      <c r="S6009">
        <v>31</v>
      </c>
    </row>
    <row r="6010" spans="11:19" x14ac:dyDescent="0.3">
      <c r="K6010" s="16">
        <f t="shared" si="93"/>
        <v>44266</v>
      </c>
      <c r="L6010" s="17">
        <v>0.33333333333333331</v>
      </c>
      <c r="M6010" s="14">
        <v>880</v>
      </c>
      <c r="N6010" s="14">
        <v>0</v>
      </c>
      <c r="O6010" s="14">
        <v>744</v>
      </c>
      <c r="P6010" s="14">
        <v>1624</v>
      </c>
      <c r="Q6010">
        <v>11689</v>
      </c>
      <c r="R6010">
        <v>4257</v>
      </c>
      <c r="S6010">
        <v>349</v>
      </c>
    </row>
    <row r="6011" spans="11:19" x14ac:dyDescent="0.3">
      <c r="K6011" s="16">
        <f t="shared" si="93"/>
        <v>44266</v>
      </c>
      <c r="L6011" s="17">
        <v>0.375</v>
      </c>
      <c r="M6011" s="14">
        <v>880</v>
      </c>
      <c r="N6011" s="14">
        <v>0</v>
      </c>
      <c r="O6011" s="14">
        <v>346</v>
      </c>
      <c r="P6011" s="14">
        <v>1226</v>
      </c>
      <c r="Q6011">
        <v>11656</v>
      </c>
      <c r="R6011">
        <v>4044</v>
      </c>
      <c r="S6011">
        <v>931</v>
      </c>
    </row>
    <row r="6012" spans="11:19" x14ac:dyDescent="0.3">
      <c r="K6012" s="16">
        <f t="shared" si="93"/>
        <v>44266</v>
      </c>
      <c r="L6012" s="17">
        <v>0.41666666666666669</v>
      </c>
      <c r="M6012" s="14">
        <v>880</v>
      </c>
      <c r="N6012" s="14">
        <v>0</v>
      </c>
      <c r="O6012" s="14">
        <v>-484</v>
      </c>
      <c r="P6012" s="14">
        <v>396</v>
      </c>
      <c r="Q6012">
        <v>11400</v>
      </c>
      <c r="R6012">
        <v>4139</v>
      </c>
      <c r="S6012">
        <v>1413</v>
      </c>
    </row>
    <row r="6013" spans="11:19" x14ac:dyDescent="0.3">
      <c r="K6013" s="16">
        <f t="shared" si="93"/>
        <v>44266</v>
      </c>
      <c r="L6013" s="17">
        <v>0.45833333333333331</v>
      </c>
      <c r="M6013" s="14">
        <v>880</v>
      </c>
      <c r="N6013" s="14">
        <v>0</v>
      </c>
      <c r="O6013" s="14">
        <v>-574</v>
      </c>
      <c r="P6013" s="14">
        <v>306</v>
      </c>
      <c r="Q6013">
        <v>11293</v>
      </c>
      <c r="R6013">
        <v>4111</v>
      </c>
      <c r="S6013">
        <v>1631</v>
      </c>
    </row>
    <row r="6014" spans="11:19" x14ac:dyDescent="0.3">
      <c r="K6014" s="16">
        <f t="shared" si="93"/>
        <v>44266</v>
      </c>
      <c r="L6014" s="17">
        <v>0.5</v>
      </c>
      <c r="M6014" s="14">
        <v>880</v>
      </c>
      <c r="N6014" s="14">
        <v>0</v>
      </c>
      <c r="O6014" s="14">
        <v>-143</v>
      </c>
      <c r="P6014" s="14">
        <v>737</v>
      </c>
      <c r="Q6014">
        <v>11180</v>
      </c>
      <c r="R6014">
        <v>3848</v>
      </c>
      <c r="S6014">
        <v>1760</v>
      </c>
    </row>
    <row r="6015" spans="11:19" x14ac:dyDescent="0.3">
      <c r="K6015" s="16">
        <f t="shared" si="93"/>
        <v>44266</v>
      </c>
      <c r="L6015" s="17">
        <v>0.54166666666666663</v>
      </c>
      <c r="M6015" s="14">
        <v>880</v>
      </c>
      <c r="N6015" s="14">
        <v>0</v>
      </c>
      <c r="O6015" s="14">
        <v>-34</v>
      </c>
      <c r="P6015" s="14">
        <v>846</v>
      </c>
      <c r="Q6015">
        <v>10901</v>
      </c>
      <c r="R6015">
        <v>3531</v>
      </c>
      <c r="S6015">
        <v>1689</v>
      </c>
    </row>
    <row r="6016" spans="11:19" x14ac:dyDescent="0.3">
      <c r="K6016" s="16">
        <f t="shared" si="93"/>
        <v>44266</v>
      </c>
      <c r="L6016" s="17">
        <v>0.58333333333333337</v>
      </c>
      <c r="M6016" s="14">
        <v>880</v>
      </c>
      <c r="N6016" s="14">
        <v>0</v>
      </c>
      <c r="O6016" s="14">
        <v>-145</v>
      </c>
      <c r="P6016" s="14">
        <v>735</v>
      </c>
      <c r="Q6016">
        <v>10640</v>
      </c>
      <c r="R6016">
        <v>3507</v>
      </c>
      <c r="S6016">
        <v>1564</v>
      </c>
    </row>
    <row r="6017" spans="11:19" x14ac:dyDescent="0.3">
      <c r="K6017" s="16">
        <f t="shared" si="93"/>
        <v>44266</v>
      </c>
      <c r="L6017" s="17">
        <v>0.625</v>
      </c>
      <c r="M6017" s="14">
        <v>880</v>
      </c>
      <c r="N6017" s="14">
        <v>0</v>
      </c>
      <c r="O6017" s="14">
        <v>-49</v>
      </c>
      <c r="P6017" s="14">
        <v>831</v>
      </c>
      <c r="Q6017">
        <v>10345</v>
      </c>
      <c r="R6017">
        <v>3527</v>
      </c>
      <c r="S6017">
        <v>1153</v>
      </c>
    </row>
    <row r="6018" spans="11:19" x14ac:dyDescent="0.3">
      <c r="K6018" s="16">
        <f t="shared" si="93"/>
        <v>44266</v>
      </c>
      <c r="L6018" s="17">
        <v>0.66666666666666663</v>
      </c>
      <c r="M6018" s="14">
        <v>880</v>
      </c>
      <c r="N6018" s="14">
        <v>0</v>
      </c>
      <c r="O6018" s="14">
        <v>0</v>
      </c>
      <c r="P6018" s="14">
        <v>880</v>
      </c>
      <c r="Q6018">
        <v>10171</v>
      </c>
      <c r="R6018">
        <v>3520</v>
      </c>
      <c r="S6018">
        <v>695</v>
      </c>
    </row>
    <row r="6019" spans="11:19" x14ac:dyDescent="0.3">
      <c r="K6019" s="16">
        <f t="shared" si="93"/>
        <v>44266</v>
      </c>
      <c r="L6019" s="17">
        <v>0.70833333333333337</v>
      </c>
      <c r="M6019" s="14">
        <v>880</v>
      </c>
      <c r="N6019" s="14">
        <v>0</v>
      </c>
      <c r="O6019" s="14">
        <v>67</v>
      </c>
      <c r="P6019" s="14">
        <v>947</v>
      </c>
      <c r="Q6019">
        <v>10251</v>
      </c>
      <c r="R6019">
        <v>3574</v>
      </c>
      <c r="S6019">
        <v>280</v>
      </c>
    </row>
    <row r="6020" spans="11:19" x14ac:dyDescent="0.3">
      <c r="K6020" s="16">
        <f t="shared" si="93"/>
        <v>44266</v>
      </c>
      <c r="L6020" s="17">
        <v>0.75</v>
      </c>
      <c r="M6020" s="14">
        <v>880</v>
      </c>
      <c r="N6020" s="14">
        <v>0</v>
      </c>
      <c r="O6020" s="14">
        <v>540</v>
      </c>
      <c r="P6020" s="14">
        <v>1420</v>
      </c>
      <c r="Q6020">
        <v>10994</v>
      </c>
      <c r="R6020">
        <v>4095</v>
      </c>
      <c r="S6020">
        <v>30</v>
      </c>
    </row>
    <row r="6021" spans="11:19" x14ac:dyDescent="0.3">
      <c r="K6021" s="16">
        <f t="shared" si="93"/>
        <v>44266</v>
      </c>
      <c r="L6021" s="17">
        <v>0.79166666666666663</v>
      </c>
      <c r="M6021" s="14">
        <v>880</v>
      </c>
      <c r="N6021" s="14">
        <v>0</v>
      </c>
      <c r="O6021" s="14">
        <v>922</v>
      </c>
      <c r="P6021" s="14">
        <v>1802</v>
      </c>
      <c r="Q6021">
        <v>11354</v>
      </c>
      <c r="R6021">
        <v>4107</v>
      </c>
      <c r="S6021">
        <v>0</v>
      </c>
    </row>
    <row r="6022" spans="11:19" x14ac:dyDescent="0.3">
      <c r="K6022" s="16">
        <f t="shared" si="93"/>
        <v>44266</v>
      </c>
      <c r="L6022" s="17">
        <v>0.83333333333333337</v>
      </c>
      <c r="M6022" s="14">
        <v>880</v>
      </c>
      <c r="N6022" s="14">
        <v>0</v>
      </c>
      <c r="O6022" s="14">
        <v>198</v>
      </c>
      <c r="P6022" s="14">
        <v>1078</v>
      </c>
      <c r="Q6022">
        <v>10515</v>
      </c>
      <c r="R6022">
        <v>3996</v>
      </c>
      <c r="S6022">
        <v>0</v>
      </c>
    </row>
    <row r="6023" spans="11:19" x14ac:dyDescent="0.3">
      <c r="K6023" s="16">
        <f t="shared" si="93"/>
        <v>44266</v>
      </c>
      <c r="L6023" s="17">
        <v>0.875</v>
      </c>
      <c r="M6023" s="14">
        <v>880</v>
      </c>
      <c r="N6023" s="14">
        <v>0</v>
      </c>
      <c r="O6023" s="14">
        <v>0</v>
      </c>
      <c r="P6023" s="14">
        <v>880</v>
      </c>
      <c r="Q6023">
        <v>9887</v>
      </c>
      <c r="R6023">
        <v>3758</v>
      </c>
      <c r="S6023">
        <v>0</v>
      </c>
    </row>
    <row r="6024" spans="11:19" x14ac:dyDescent="0.3">
      <c r="K6024" s="16">
        <f t="shared" si="93"/>
        <v>44266</v>
      </c>
      <c r="L6024" s="17">
        <v>0.91666666666666663</v>
      </c>
      <c r="M6024" s="14">
        <v>880</v>
      </c>
      <c r="N6024" s="14">
        <v>0</v>
      </c>
      <c r="O6024" s="14">
        <v>-138</v>
      </c>
      <c r="P6024" s="14">
        <v>742</v>
      </c>
      <c r="Q6024">
        <v>10033</v>
      </c>
      <c r="R6024">
        <v>3864</v>
      </c>
      <c r="S6024">
        <v>0</v>
      </c>
    </row>
    <row r="6025" spans="11:19" x14ac:dyDescent="0.3">
      <c r="K6025" s="16">
        <f t="shared" si="93"/>
        <v>44266</v>
      </c>
      <c r="L6025" s="17">
        <v>0.95833333333333337</v>
      </c>
      <c r="M6025" s="14">
        <v>880</v>
      </c>
      <c r="N6025" s="14">
        <v>0</v>
      </c>
      <c r="O6025" s="14">
        <v>44</v>
      </c>
      <c r="P6025" s="14">
        <v>924</v>
      </c>
      <c r="Q6025">
        <v>10182</v>
      </c>
      <c r="R6025">
        <v>3835</v>
      </c>
      <c r="S6025">
        <v>0</v>
      </c>
    </row>
    <row r="6026" spans="11:19" x14ac:dyDescent="0.3">
      <c r="K6026" s="16">
        <f t="shared" si="93"/>
        <v>44267</v>
      </c>
      <c r="L6026" s="17">
        <v>0</v>
      </c>
      <c r="M6026" s="14">
        <v>880</v>
      </c>
      <c r="N6026" s="14">
        <v>0</v>
      </c>
      <c r="O6026" s="14">
        <v>-578</v>
      </c>
      <c r="P6026" s="14">
        <v>302</v>
      </c>
      <c r="Q6026">
        <v>9624</v>
      </c>
      <c r="R6026">
        <v>3908</v>
      </c>
      <c r="S6026">
        <v>0</v>
      </c>
    </row>
    <row r="6027" spans="11:19" x14ac:dyDescent="0.3">
      <c r="K6027" s="16">
        <f t="shared" si="93"/>
        <v>44267</v>
      </c>
      <c r="L6027" s="17">
        <v>4.1666666666666664E-2</v>
      </c>
      <c r="M6027" s="14">
        <v>880</v>
      </c>
      <c r="N6027" s="14">
        <v>0</v>
      </c>
      <c r="O6027" s="14">
        <v>-1057</v>
      </c>
      <c r="P6027" s="14">
        <v>-177</v>
      </c>
      <c r="Q6027">
        <v>9277</v>
      </c>
      <c r="R6027">
        <v>4045</v>
      </c>
      <c r="S6027">
        <v>0</v>
      </c>
    </row>
    <row r="6028" spans="11:19" x14ac:dyDescent="0.3">
      <c r="K6028" s="16">
        <f t="shared" si="93"/>
        <v>44267</v>
      </c>
      <c r="L6028" s="17">
        <v>8.3333333333333329E-2</v>
      </c>
      <c r="M6028" s="14">
        <v>880</v>
      </c>
      <c r="N6028" s="14">
        <v>0</v>
      </c>
      <c r="O6028" s="14">
        <v>-1200</v>
      </c>
      <c r="P6028" s="14">
        <v>-320</v>
      </c>
      <c r="Q6028">
        <v>8956</v>
      </c>
      <c r="R6028">
        <v>3918</v>
      </c>
      <c r="S6028">
        <v>0</v>
      </c>
    </row>
    <row r="6029" spans="11:19" x14ac:dyDescent="0.3">
      <c r="K6029" s="16">
        <f t="shared" si="93"/>
        <v>44267</v>
      </c>
      <c r="L6029" s="17">
        <v>0.125</v>
      </c>
      <c r="M6029" s="14">
        <v>880</v>
      </c>
      <c r="N6029" s="14">
        <v>0</v>
      </c>
      <c r="O6029" s="14">
        <v>-1200</v>
      </c>
      <c r="P6029" s="14">
        <v>-320</v>
      </c>
      <c r="Q6029">
        <v>8550</v>
      </c>
      <c r="R6029">
        <v>3749</v>
      </c>
      <c r="S6029">
        <v>0</v>
      </c>
    </row>
    <row r="6030" spans="11:19" x14ac:dyDescent="0.3">
      <c r="K6030" s="16">
        <f t="shared" si="93"/>
        <v>44267</v>
      </c>
      <c r="L6030" s="17">
        <v>0.16666666666666666</v>
      </c>
      <c r="M6030" s="14">
        <v>880</v>
      </c>
      <c r="N6030" s="14">
        <v>0</v>
      </c>
      <c r="O6030" s="14">
        <v>-1200</v>
      </c>
      <c r="P6030" s="14">
        <v>-320</v>
      </c>
      <c r="Q6030">
        <v>8481</v>
      </c>
      <c r="R6030">
        <v>3814</v>
      </c>
      <c r="S6030">
        <v>0</v>
      </c>
    </row>
    <row r="6031" spans="11:19" x14ac:dyDescent="0.3">
      <c r="K6031" s="16">
        <f t="shared" si="93"/>
        <v>44267</v>
      </c>
      <c r="L6031" s="17">
        <v>0.20833333333333334</v>
      </c>
      <c r="M6031" s="14">
        <v>880</v>
      </c>
      <c r="N6031" s="14">
        <v>0</v>
      </c>
      <c r="O6031" s="14">
        <v>-1168</v>
      </c>
      <c r="P6031" s="14">
        <v>-288</v>
      </c>
      <c r="Q6031">
        <v>8974</v>
      </c>
      <c r="R6031">
        <v>3836</v>
      </c>
      <c r="S6031">
        <v>0</v>
      </c>
    </row>
    <row r="6032" spans="11:19" x14ac:dyDescent="0.3">
      <c r="K6032" s="16">
        <f t="shared" si="93"/>
        <v>44267</v>
      </c>
      <c r="L6032" s="17">
        <v>0.25</v>
      </c>
      <c r="M6032" s="14">
        <v>880</v>
      </c>
      <c r="N6032" s="14">
        <v>0</v>
      </c>
      <c r="O6032" s="14">
        <v>-245</v>
      </c>
      <c r="P6032" s="14">
        <v>635</v>
      </c>
      <c r="Q6032">
        <v>10065</v>
      </c>
      <c r="R6032">
        <v>3987</v>
      </c>
      <c r="S6032">
        <v>0</v>
      </c>
    </row>
    <row r="6033" spans="11:19" x14ac:dyDescent="0.3">
      <c r="K6033" s="16">
        <f t="shared" si="93"/>
        <v>44267</v>
      </c>
      <c r="L6033" s="17">
        <v>0.29166666666666669</v>
      </c>
      <c r="M6033" s="14">
        <v>880</v>
      </c>
      <c r="N6033" s="14">
        <v>623</v>
      </c>
      <c r="O6033" s="14">
        <v>0</v>
      </c>
      <c r="P6033" s="14">
        <v>1503</v>
      </c>
      <c r="Q6033">
        <v>10824</v>
      </c>
      <c r="R6033">
        <v>3833</v>
      </c>
      <c r="S6033">
        <v>28</v>
      </c>
    </row>
    <row r="6034" spans="11:19" x14ac:dyDescent="0.3">
      <c r="K6034" s="16">
        <f t="shared" si="93"/>
        <v>44267</v>
      </c>
      <c r="L6034" s="17">
        <v>0.33333333333333331</v>
      </c>
      <c r="M6034" s="14">
        <v>880</v>
      </c>
      <c r="N6034" s="14">
        <v>887</v>
      </c>
      <c r="O6034" s="14">
        <v>125</v>
      </c>
      <c r="P6034" s="14">
        <v>1892</v>
      </c>
      <c r="Q6034">
        <v>11187</v>
      </c>
      <c r="R6034">
        <v>3570</v>
      </c>
      <c r="S6034">
        <v>266</v>
      </c>
    </row>
    <row r="6035" spans="11:19" x14ac:dyDescent="0.3">
      <c r="K6035" s="16">
        <f t="shared" si="93"/>
        <v>44267</v>
      </c>
      <c r="L6035" s="17">
        <v>0.375</v>
      </c>
      <c r="M6035" s="14">
        <v>880</v>
      </c>
      <c r="N6035" s="14">
        <v>887</v>
      </c>
      <c r="O6035" s="14">
        <v>152</v>
      </c>
      <c r="P6035" s="14">
        <v>1919</v>
      </c>
      <c r="Q6035">
        <v>11260</v>
      </c>
      <c r="R6035">
        <v>3310</v>
      </c>
      <c r="S6035">
        <v>576</v>
      </c>
    </row>
    <row r="6036" spans="11:19" x14ac:dyDescent="0.3">
      <c r="K6036" s="16">
        <f t="shared" si="93"/>
        <v>44267</v>
      </c>
      <c r="L6036" s="17">
        <v>0.41666666666666669</v>
      </c>
      <c r="M6036" s="14">
        <v>880</v>
      </c>
      <c r="N6036" s="14">
        <v>0</v>
      </c>
      <c r="O6036" s="14">
        <v>576</v>
      </c>
      <c r="P6036" s="14">
        <v>1456</v>
      </c>
      <c r="Q6036">
        <v>11127</v>
      </c>
      <c r="R6036">
        <v>3398</v>
      </c>
      <c r="S6036">
        <v>821</v>
      </c>
    </row>
    <row r="6037" spans="11:19" x14ac:dyDescent="0.3">
      <c r="K6037" s="16">
        <f t="shared" si="93"/>
        <v>44267</v>
      </c>
      <c r="L6037" s="17">
        <v>0.45833333333333331</v>
      </c>
      <c r="M6037" s="14">
        <v>880</v>
      </c>
      <c r="N6037" s="14">
        <v>0</v>
      </c>
      <c r="O6037" s="14">
        <v>761</v>
      </c>
      <c r="P6037" s="14">
        <v>1641</v>
      </c>
      <c r="Q6037">
        <v>11094</v>
      </c>
      <c r="R6037">
        <v>3275</v>
      </c>
      <c r="S6037">
        <v>728</v>
      </c>
    </row>
    <row r="6038" spans="11:19" x14ac:dyDescent="0.3">
      <c r="K6038" s="16">
        <f t="shared" si="93"/>
        <v>44267</v>
      </c>
      <c r="L6038" s="17">
        <v>0.5</v>
      </c>
      <c r="M6038" s="14">
        <v>880</v>
      </c>
      <c r="N6038" s="14">
        <v>0</v>
      </c>
      <c r="O6038" s="14">
        <v>693</v>
      </c>
      <c r="P6038" s="14">
        <v>1573</v>
      </c>
      <c r="Q6038">
        <v>11097</v>
      </c>
      <c r="R6038">
        <v>3279</v>
      </c>
      <c r="S6038">
        <v>795</v>
      </c>
    </row>
    <row r="6039" spans="11:19" x14ac:dyDescent="0.3">
      <c r="K6039" s="16">
        <f t="shared" si="93"/>
        <v>44267</v>
      </c>
      <c r="L6039" s="17">
        <v>0.54166666666666663</v>
      </c>
      <c r="M6039" s="14">
        <v>880</v>
      </c>
      <c r="N6039" s="14">
        <v>0</v>
      </c>
      <c r="O6039" s="14">
        <v>480</v>
      </c>
      <c r="P6039" s="14">
        <v>1360</v>
      </c>
      <c r="Q6039">
        <v>10732</v>
      </c>
      <c r="R6039">
        <v>3137</v>
      </c>
      <c r="S6039">
        <v>785</v>
      </c>
    </row>
    <row r="6040" spans="11:19" x14ac:dyDescent="0.3">
      <c r="K6040" s="16">
        <f t="shared" si="93"/>
        <v>44267</v>
      </c>
      <c r="L6040" s="17">
        <v>0.58333333333333337</v>
      </c>
      <c r="M6040" s="14">
        <v>880</v>
      </c>
      <c r="N6040" s="14">
        <v>95</v>
      </c>
      <c r="O6040" s="14">
        <v>0</v>
      </c>
      <c r="P6040" s="14">
        <v>975</v>
      </c>
      <c r="Q6040">
        <v>10369</v>
      </c>
      <c r="R6040">
        <v>3201</v>
      </c>
      <c r="S6040">
        <v>744</v>
      </c>
    </row>
    <row r="6041" spans="11:19" x14ac:dyDescent="0.3">
      <c r="K6041" s="16">
        <f t="shared" si="93"/>
        <v>44267</v>
      </c>
      <c r="L6041" s="17">
        <v>0.625</v>
      </c>
      <c r="M6041" s="14">
        <v>880</v>
      </c>
      <c r="N6041" s="14">
        <v>0</v>
      </c>
      <c r="O6041" s="14">
        <v>-330</v>
      </c>
      <c r="P6041" s="14">
        <v>550</v>
      </c>
      <c r="Q6041">
        <v>9998</v>
      </c>
      <c r="R6041">
        <v>3237</v>
      </c>
      <c r="S6041">
        <v>762</v>
      </c>
    </row>
    <row r="6042" spans="11:19" x14ac:dyDescent="0.3">
      <c r="K6042" s="16">
        <f t="shared" si="93"/>
        <v>44267</v>
      </c>
      <c r="L6042" s="17">
        <v>0.66666666666666663</v>
      </c>
      <c r="M6042" s="14">
        <v>880</v>
      </c>
      <c r="N6042" s="14">
        <v>0</v>
      </c>
      <c r="O6042" s="14">
        <v>-301</v>
      </c>
      <c r="P6042" s="14">
        <v>579</v>
      </c>
      <c r="Q6042">
        <v>9660</v>
      </c>
      <c r="R6042">
        <v>3125</v>
      </c>
      <c r="S6042">
        <v>507</v>
      </c>
    </row>
    <row r="6043" spans="11:19" x14ac:dyDescent="0.3">
      <c r="K6043" s="16">
        <f t="shared" ref="K6043:K6106" si="94">K6019+1</f>
        <v>44267</v>
      </c>
      <c r="L6043" s="17">
        <v>0.70833333333333337</v>
      </c>
      <c r="M6043" s="14">
        <v>880</v>
      </c>
      <c r="N6043" s="14">
        <v>0</v>
      </c>
      <c r="O6043" s="14">
        <v>-100</v>
      </c>
      <c r="P6043" s="14">
        <v>780</v>
      </c>
      <c r="Q6043">
        <v>9626</v>
      </c>
      <c r="R6043">
        <v>3171</v>
      </c>
      <c r="S6043">
        <v>225</v>
      </c>
    </row>
    <row r="6044" spans="11:19" x14ac:dyDescent="0.3">
      <c r="K6044" s="16">
        <f t="shared" si="94"/>
        <v>44267</v>
      </c>
      <c r="L6044" s="17">
        <v>0.75</v>
      </c>
      <c r="M6044" s="14">
        <v>880</v>
      </c>
      <c r="N6044" s="14">
        <v>0</v>
      </c>
      <c r="O6044" s="14">
        <v>575</v>
      </c>
      <c r="P6044" s="14">
        <v>1455</v>
      </c>
      <c r="Q6044">
        <v>10141</v>
      </c>
      <c r="R6044">
        <v>3214</v>
      </c>
      <c r="S6044">
        <v>23</v>
      </c>
    </row>
    <row r="6045" spans="11:19" x14ac:dyDescent="0.3">
      <c r="K6045" s="16">
        <f t="shared" si="94"/>
        <v>44267</v>
      </c>
      <c r="L6045" s="17">
        <v>0.79166666666666663</v>
      </c>
      <c r="M6045" s="14">
        <v>880</v>
      </c>
      <c r="N6045" s="14">
        <v>246</v>
      </c>
      <c r="O6045" s="14">
        <v>921</v>
      </c>
      <c r="P6045" s="14">
        <v>2047</v>
      </c>
      <c r="Q6045">
        <v>10636</v>
      </c>
      <c r="R6045">
        <v>3143</v>
      </c>
      <c r="S6045">
        <v>0</v>
      </c>
    </row>
    <row r="6046" spans="11:19" x14ac:dyDescent="0.3">
      <c r="K6046" s="16">
        <f t="shared" si="94"/>
        <v>44267</v>
      </c>
      <c r="L6046" s="17">
        <v>0.83333333333333337</v>
      </c>
      <c r="M6046" s="14">
        <v>880</v>
      </c>
      <c r="N6046" s="14">
        <v>0</v>
      </c>
      <c r="O6046" s="14">
        <v>658</v>
      </c>
      <c r="P6046" s="14">
        <v>1538</v>
      </c>
      <c r="Q6046">
        <v>9920</v>
      </c>
      <c r="R6046">
        <v>2941</v>
      </c>
      <c r="S6046">
        <v>0</v>
      </c>
    </row>
    <row r="6047" spans="11:19" x14ac:dyDescent="0.3">
      <c r="K6047" s="16">
        <f t="shared" si="94"/>
        <v>44267</v>
      </c>
      <c r="L6047" s="17">
        <v>0.875</v>
      </c>
      <c r="M6047" s="14">
        <v>880</v>
      </c>
      <c r="N6047" s="14">
        <v>0</v>
      </c>
      <c r="O6047" s="14">
        <v>310</v>
      </c>
      <c r="P6047" s="14">
        <v>1190</v>
      </c>
      <c r="Q6047">
        <v>9376</v>
      </c>
      <c r="R6047">
        <v>2754</v>
      </c>
      <c r="S6047">
        <v>0</v>
      </c>
    </row>
    <row r="6048" spans="11:19" x14ac:dyDescent="0.3">
      <c r="K6048" s="16">
        <f t="shared" si="94"/>
        <v>44267</v>
      </c>
      <c r="L6048" s="17">
        <v>0.91666666666666663</v>
      </c>
      <c r="M6048" s="14">
        <v>880</v>
      </c>
      <c r="N6048" s="14">
        <v>0</v>
      </c>
      <c r="O6048" s="14">
        <v>654</v>
      </c>
      <c r="P6048" s="14">
        <v>1534</v>
      </c>
      <c r="Q6048">
        <v>9583</v>
      </c>
      <c r="R6048">
        <v>2622</v>
      </c>
      <c r="S6048">
        <v>0</v>
      </c>
    </row>
    <row r="6049" spans="11:19" x14ac:dyDescent="0.3">
      <c r="K6049" s="16">
        <f t="shared" si="94"/>
        <v>44267</v>
      </c>
      <c r="L6049" s="17">
        <v>0.95833333333333337</v>
      </c>
      <c r="M6049" s="14">
        <v>880</v>
      </c>
      <c r="N6049" s="14">
        <v>742</v>
      </c>
      <c r="O6049" s="14">
        <v>0</v>
      </c>
      <c r="P6049" s="14">
        <v>1622</v>
      </c>
      <c r="Q6049">
        <v>9769</v>
      </c>
      <c r="R6049">
        <v>2724</v>
      </c>
      <c r="S6049">
        <v>0</v>
      </c>
    </row>
    <row r="6050" spans="11:19" x14ac:dyDescent="0.3">
      <c r="K6050" s="16">
        <f t="shared" si="94"/>
        <v>44268</v>
      </c>
      <c r="L6050" s="17">
        <v>0</v>
      </c>
      <c r="M6050" s="14">
        <v>880</v>
      </c>
      <c r="N6050" s="14">
        <v>119</v>
      </c>
      <c r="O6050" s="14">
        <v>0</v>
      </c>
      <c r="P6050" s="14">
        <v>999</v>
      </c>
      <c r="Q6050">
        <v>9171</v>
      </c>
      <c r="R6050">
        <v>2771</v>
      </c>
      <c r="S6050">
        <v>0</v>
      </c>
    </row>
    <row r="6051" spans="11:19" x14ac:dyDescent="0.3">
      <c r="K6051" s="16">
        <f t="shared" si="94"/>
        <v>44268</v>
      </c>
      <c r="L6051" s="17">
        <v>4.1666666666666664E-2</v>
      </c>
      <c r="M6051" s="14">
        <v>880</v>
      </c>
      <c r="N6051" s="14">
        <v>0</v>
      </c>
      <c r="O6051" s="14">
        <v>-75</v>
      </c>
      <c r="P6051" s="14">
        <v>805</v>
      </c>
      <c r="Q6051">
        <v>8771</v>
      </c>
      <c r="R6051">
        <v>2566</v>
      </c>
      <c r="S6051">
        <v>0</v>
      </c>
    </row>
    <row r="6052" spans="11:19" x14ac:dyDescent="0.3">
      <c r="K6052" s="16">
        <f t="shared" si="94"/>
        <v>44268</v>
      </c>
      <c r="L6052" s="17">
        <v>8.3333333333333329E-2</v>
      </c>
      <c r="M6052" s="14">
        <v>880</v>
      </c>
      <c r="N6052" s="14">
        <v>0</v>
      </c>
      <c r="O6052" s="14">
        <v>-294</v>
      </c>
      <c r="P6052" s="14">
        <v>586</v>
      </c>
      <c r="Q6052">
        <v>8416</v>
      </c>
      <c r="R6052">
        <v>2428</v>
      </c>
      <c r="S6052">
        <v>0</v>
      </c>
    </row>
    <row r="6053" spans="11:19" x14ac:dyDescent="0.3">
      <c r="K6053" s="16">
        <f t="shared" si="94"/>
        <v>44268</v>
      </c>
      <c r="L6053" s="17">
        <v>0.125</v>
      </c>
      <c r="M6053" s="14">
        <v>880</v>
      </c>
      <c r="N6053" s="14">
        <v>0</v>
      </c>
      <c r="O6053" s="14">
        <v>-662</v>
      </c>
      <c r="P6053" s="14">
        <v>218</v>
      </c>
      <c r="Q6053">
        <v>7966</v>
      </c>
      <c r="R6053">
        <v>2343</v>
      </c>
      <c r="S6053">
        <v>0</v>
      </c>
    </row>
    <row r="6054" spans="11:19" x14ac:dyDescent="0.3">
      <c r="K6054" s="16">
        <f t="shared" si="94"/>
        <v>44268</v>
      </c>
      <c r="L6054" s="17">
        <v>0.16666666666666666</v>
      </c>
      <c r="M6054" s="14">
        <v>880</v>
      </c>
      <c r="N6054" s="14">
        <v>0</v>
      </c>
      <c r="O6054" s="14">
        <v>-775</v>
      </c>
      <c r="P6054" s="14">
        <v>105</v>
      </c>
      <c r="Q6054">
        <v>7789</v>
      </c>
      <c r="R6054">
        <v>2277</v>
      </c>
      <c r="S6054">
        <v>0</v>
      </c>
    </row>
    <row r="6055" spans="11:19" x14ac:dyDescent="0.3">
      <c r="K6055" s="16">
        <f t="shared" si="94"/>
        <v>44268</v>
      </c>
      <c r="L6055" s="17">
        <v>0.20833333333333334</v>
      </c>
      <c r="M6055" s="14">
        <v>880</v>
      </c>
      <c r="N6055" s="14">
        <v>0</v>
      </c>
      <c r="O6055" s="14">
        <v>-665</v>
      </c>
      <c r="P6055" s="14">
        <v>215</v>
      </c>
      <c r="Q6055">
        <v>7960</v>
      </c>
      <c r="R6055">
        <v>2171</v>
      </c>
      <c r="S6055">
        <v>0</v>
      </c>
    </row>
    <row r="6056" spans="11:19" x14ac:dyDescent="0.3">
      <c r="K6056" s="16">
        <f t="shared" si="94"/>
        <v>44268</v>
      </c>
      <c r="L6056" s="17">
        <v>0.25</v>
      </c>
      <c r="M6056" s="14">
        <v>880</v>
      </c>
      <c r="N6056" s="14">
        <v>0</v>
      </c>
      <c r="O6056" s="14">
        <v>0</v>
      </c>
      <c r="P6056" s="14">
        <v>880</v>
      </c>
      <c r="Q6056">
        <v>8321</v>
      </c>
      <c r="R6056">
        <v>1785</v>
      </c>
      <c r="S6056">
        <v>0</v>
      </c>
    </row>
    <row r="6057" spans="11:19" x14ac:dyDescent="0.3">
      <c r="K6057" s="16">
        <f t="shared" si="94"/>
        <v>44268</v>
      </c>
      <c r="L6057" s="17">
        <v>0.29166666666666669</v>
      </c>
      <c r="M6057" s="14">
        <v>880</v>
      </c>
      <c r="N6057" s="14">
        <v>0</v>
      </c>
      <c r="O6057" s="14">
        <v>0</v>
      </c>
      <c r="P6057" s="14">
        <v>880</v>
      </c>
      <c r="Q6057">
        <v>8608</v>
      </c>
      <c r="R6057">
        <v>1539</v>
      </c>
      <c r="S6057">
        <v>21</v>
      </c>
    </row>
    <row r="6058" spans="11:19" x14ac:dyDescent="0.3">
      <c r="K6058" s="16">
        <f t="shared" si="94"/>
        <v>44268</v>
      </c>
      <c r="L6058" s="17">
        <v>0.33333333333333331</v>
      </c>
      <c r="M6058" s="14">
        <v>880</v>
      </c>
      <c r="N6058" s="14">
        <v>842</v>
      </c>
      <c r="O6058" s="14">
        <v>0</v>
      </c>
      <c r="P6058" s="14">
        <v>1722</v>
      </c>
      <c r="Q6058">
        <v>9112</v>
      </c>
      <c r="R6058">
        <v>1574</v>
      </c>
      <c r="S6058">
        <v>212</v>
      </c>
    </row>
    <row r="6059" spans="11:19" x14ac:dyDescent="0.3">
      <c r="K6059" s="16">
        <f t="shared" si="94"/>
        <v>44268</v>
      </c>
      <c r="L6059" s="17">
        <v>0.375</v>
      </c>
      <c r="M6059" s="14">
        <v>880</v>
      </c>
      <c r="N6059" s="14">
        <v>603</v>
      </c>
      <c r="O6059" s="14">
        <v>0</v>
      </c>
      <c r="P6059" s="14">
        <v>1483</v>
      </c>
      <c r="Q6059">
        <v>9355</v>
      </c>
      <c r="R6059">
        <v>1716</v>
      </c>
      <c r="S6059">
        <v>550</v>
      </c>
    </row>
    <row r="6060" spans="11:19" x14ac:dyDescent="0.3">
      <c r="K6060" s="16">
        <f t="shared" si="94"/>
        <v>44268</v>
      </c>
      <c r="L6060" s="17">
        <v>0.41666666666666669</v>
      </c>
      <c r="M6060" s="14">
        <v>880</v>
      </c>
      <c r="N6060" s="14">
        <v>521</v>
      </c>
      <c r="O6060" s="14">
        <v>0</v>
      </c>
      <c r="P6060" s="14">
        <v>1401</v>
      </c>
      <c r="Q6060">
        <v>9240</v>
      </c>
      <c r="R6060">
        <v>1508</v>
      </c>
      <c r="S6060">
        <v>807</v>
      </c>
    </row>
    <row r="6061" spans="11:19" x14ac:dyDescent="0.3">
      <c r="K6061" s="16">
        <f t="shared" si="94"/>
        <v>44268</v>
      </c>
      <c r="L6061" s="17">
        <v>0.45833333333333331</v>
      </c>
      <c r="M6061" s="14">
        <v>880</v>
      </c>
      <c r="N6061" s="14">
        <v>0</v>
      </c>
      <c r="O6061" s="14">
        <v>0</v>
      </c>
      <c r="P6061" s="14">
        <v>880</v>
      </c>
      <c r="Q6061">
        <v>9209</v>
      </c>
      <c r="R6061">
        <v>1455</v>
      </c>
      <c r="S6061">
        <v>952</v>
      </c>
    </row>
    <row r="6062" spans="11:19" x14ac:dyDescent="0.3">
      <c r="K6062" s="16">
        <f t="shared" si="94"/>
        <v>44268</v>
      </c>
      <c r="L6062" s="17">
        <v>0.5</v>
      </c>
      <c r="M6062" s="14">
        <v>880</v>
      </c>
      <c r="N6062" s="14">
        <v>757</v>
      </c>
      <c r="O6062" s="14">
        <v>0</v>
      </c>
      <c r="P6062" s="14">
        <v>1637</v>
      </c>
      <c r="Q6062">
        <v>9455</v>
      </c>
      <c r="R6062">
        <v>1243</v>
      </c>
      <c r="S6062">
        <v>1053</v>
      </c>
    </row>
    <row r="6063" spans="11:19" x14ac:dyDescent="0.3">
      <c r="K6063" s="16">
        <f t="shared" si="94"/>
        <v>44268</v>
      </c>
      <c r="L6063" s="17">
        <v>0.54166666666666663</v>
      </c>
      <c r="M6063" s="14">
        <v>880</v>
      </c>
      <c r="N6063" s="14">
        <v>0</v>
      </c>
      <c r="O6063" s="14">
        <v>0</v>
      </c>
      <c r="P6063" s="14">
        <v>880</v>
      </c>
      <c r="Q6063">
        <v>8999</v>
      </c>
      <c r="R6063">
        <v>1147</v>
      </c>
      <c r="S6063">
        <v>1084</v>
      </c>
    </row>
    <row r="6064" spans="11:19" x14ac:dyDescent="0.3">
      <c r="K6064" s="16">
        <f t="shared" si="94"/>
        <v>44268</v>
      </c>
      <c r="L6064" s="17">
        <v>0.58333333333333337</v>
      </c>
      <c r="M6064" s="14">
        <v>880</v>
      </c>
      <c r="N6064" s="14">
        <v>0</v>
      </c>
      <c r="O6064" s="14">
        <v>-76</v>
      </c>
      <c r="P6064" s="14">
        <v>804</v>
      </c>
      <c r="Q6064">
        <v>8614</v>
      </c>
      <c r="R6064">
        <v>1264</v>
      </c>
      <c r="S6064">
        <v>1031</v>
      </c>
    </row>
    <row r="6065" spans="11:19" x14ac:dyDescent="0.3">
      <c r="K6065" s="16">
        <f t="shared" si="94"/>
        <v>44268</v>
      </c>
      <c r="L6065" s="17">
        <v>0.625</v>
      </c>
      <c r="M6065" s="14">
        <v>880</v>
      </c>
      <c r="N6065" s="14">
        <v>0</v>
      </c>
      <c r="O6065" s="14">
        <v>-181</v>
      </c>
      <c r="P6065" s="14">
        <v>699</v>
      </c>
      <c r="Q6065">
        <v>8328</v>
      </c>
      <c r="R6065">
        <v>1094</v>
      </c>
      <c r="S6065">
        <v>947</v>
      </c>
    </row>
    <row r="6066" spans="11:19" x14ac:dyDescent="0.3">
      <c r="K6066" s="16">
        <f t="shared" si="94"/>
        <v>44268</v>
      </c>
      <c r="L6066" s="17">
        <v>0.66666666666666663</v>
      </c>
      <c r="M6066" s="14">
        <v>880</v>
      </c>
      <c r="N6066" s="14">
        <v>0</v>
      </c>
      <c r="O6066" s="14">
        <v>-5</v>
      </c>
      <c r="P6066" s="14">
        <v>875</v>
      </c>
      <c r="Q6066">
        <v>8036</v>
      </c>
      <c r="R6066">
        <v>923</v>
      </c>
      <c r="S6066">
        <v>650</v>
      </c>
    </row>
    <row r="6067" spans="11:19" x14ac:dyDescent="0.3">
      <c r="K6067" s="16">
        <f t="shared" si="94"/>
        <v>44268</v>
      </c>
      <c r="L6067" s="17">
        <v>0.70833333333333337</v>
      </c>
      <c r="M6067" s="14">
        <v>880</v>
      </c>
      <c r="N6067" s="14">
        <v>0</v>
      </c>
      <c r="O6067" s="14">
        <v>0</v>
      </c>
      <c r="P6067" s="14">
        <v>880</v>
      </c>
      <c r="Q6067">
        <v>8086</v>
      </c>
      <c r="R6067">
        <v>849</v>
      </c>
      <c r="S6067">
        <v>266</v>
      </c>
    </row>
    <row r="6068" spans="11:19" x14ac:dyDescent="0.3">
      <c r="K6068" s="16">
        <f t="shared" si="94"/>
        <v>44268</v>
      </c>
      <c r="L6068" s="17">
        <v>0.75</v>
      </c>
      <c r="M6068" s="14">
        <v>880</v>
      </c>
      <c r="N6068" s="14">
        <v>0</v>
      </c>
      <c r="O6068" s="14">
        <v>1200</v>
      </c>
      <c r="P6068" s="14">
        <v>2080</v>
      </c>
      <c r="Q6068">
        <v>8712</v>
      </c>
      <c r="R6068">
        <v>900</v>
      </c>
      <c r="S6068">
        <v>34</v>
      </c>
    </row>
    <row r="6069" spans="11:19" x14ac:dyDescent="0.3">
      <c r="K6069" s="16">
        <f t="shared" si="94"/>
        <v>44268</v>
      </c>
      <c r="L6069" s="17">
        <v>0.79166666666666663</v>
      </c>
      <c r="M6069" s="14">
        <v>880</v>
      </c>
      <c r="N6069" s="14">
        <v>1192</v>
      </c>
      <c r="O6069" s="14">
        <v>664</v>
      </c>
      <c r="P6069" s="14">
        <v>2736</v>
      </c>
      <c r="Q6069">
        <v>9405</v>
      </c>
      <c r="R6069">
        <v>727</v>
      </c>
      <c r="S6069">
        <v>0</v>
      </c>
    </row>
    <row r="6070" spans="11:19" x14ac:dyDescent="0.3">
      <c r="K6070" s="16">
        <f t="shared" si="94"/>
        <v>44268</v>
      </c>
      <c r="L6070" s="17">
        <v>0.83333333333333337</v>
      </c>
      <c r="M6070" s="14">
        <v>880</v>
      </c>
      <c r="N6070" s="14">
        <v>1192</v>
      </c>
      <c r="O6070" s="14">
        <v>324</v>
      </c>
      <c r="P6070" s="14">
        <v>2396</v>
      </c>
      <c r="Q6070">
        <v>8893</v>
      </c>
      <c r="R6070">
        <v>749</v>
      </c>
      <c r="S6070">
        <v>0</v>
      </c>
    </row>
    <row r="6071" spans="11:19" x14ac:dyDescent="0.3">
      <c r="K6071" s="16">
        <f t="shared" si="94"/>
        <v>44268</v>
      </c>
      <c r="L6071" s="17">
        <v>0.875</v>
      </c>
      <c r="M6071" s="14">
        <v>880</v>
      </c>
      <c r="N6071" s="14">
        <v>979</v>
      </c>
      <c r="O6071" s="14">
        <v>0</v>
      </c>
      <c r="P6071" s="14">
        <v>1859</v>
      </c>
      <c r="Q6071">
        <v>8494</v>
      </c>
      <c r="R6071">
        <v>897</v>
      </c>
      <c r="S6071">
        <v>0</v>
      </c>
    </row>
    <row r="6072" spans="11:19" x14ac:dyDescent="0.3">
      <c r="K6072" s="16">
        <f t="shared" si="94"/>
        <v>44268</v>
      </c>
      <c r="L6072" s="17">
        <v>0.91666666666666663</v>
      </c>
      <c r="M6072" s="14">
        <v>880</v>
      </c>
      <c r="N6072" s="14">
        <v>0</v>
      </c>
      <c r="O6072" s="14">
        <v>0</v>
      </c>
      <c r="P6072" s="14">
        <v>880</v>
      </c>
      <c r="Q6072">
        <v>8865</v>
      </c>
      <c r="R6072">
        <v>932</v>
      </c>
      <c r="S6072">
        <v>0</v>
      </c>
    </row>
    <row r="6073" spans="11:19" x14ac:dyDescent="0.3">
      <c r="K6073" s="16">
        <f t="shared" si="94"/>
        <v>44268</v>
      </c>
      <c r="L6073" s="17">
        <v>0.95833333333333337</v>
      </c>
      <c r="M6073" s="14">
        <v>880</v>
      </c>
      <c r="N6073" s="14">
        <v>0</v>
      </c>
      <c r="O6073" s="14">
        <v>0</v>
      </c>
      <c r="P6073" s="14">
        <v>880</v>
      </c>
      <c r="Q6073">
        <v>9221</v>
      </c>
      <c r="R6073">
        <v>983</v>
      </c>
      <c r="S6073">
        <v>0</v>
      </c>
    </row>
    <row r="6074" spans="11:19" x14ac:dyDescent="0.3">
      <c r="K6074" s="16">
        <f t="shared" si="94"/>
        <v>44269</v>
      </c>
      <c r="L6074" s="17">
        <v>0</v>
      </c>
      <c r="M6074" s="14">
        <v>880</v>
      </c>
      <c r="N6074" s="14">
        <v>72</v>
      </c>
      <c r="O6074" s="14">
        <v>1200</v>
      </c>
      <c r="P6074" s="14">
        <v>2152</v>
      </c>
      <c r="Q6074">
        <v>8811</v>
      </c>
      <c r="R6074">
        <v>938</v>
      </c>
      <c r="S6074">
        <v>0</v>
      </c>
    </row>
    <row r="6075" spans="11:19" x14ac:dyDescent="0.3">
      <c r="K6075" s="16">
        <f t="shared" si="94"/>
        <v>44269</v>
      </c>
      <c r="L6075" s="17">
        <v>4.1666666666666664E-2</v>
      </c>
      <c r="M6075" s="14">
        <v>880</v>
      </c>
      <c r="N6075" s="14">
        <v>0</v>
      </c>
      <c r="O6075" s="14">
        <v>909</v>
      </c>
      <c r="P6075" s="14">
        <v>1789</v>
      </c>
      <c r="Q6075">
        <v>8478</v>
      </c>
      <c r="R6075">
        <v>1289</v>
      </c>
      <c r="S6075">
        <v>0</v>
      </c>
    </row>
    <row r="6076" spans="11:19" x14ac:dyDescent="0.3">
      <c r="K6076" s="16">
        <f t="shared" si="94"/>
        <v>44269</v>
      </c>
      <c r="L6076" s="17">
        <v>8.3333333333333329E-2</v>
      </c>
      <c r="M6076" s="14">
        <v>880</v>
      </c>
      <c r="N6076" s="14">
        <v>0</v>
      </c>
      <c r="O6076" s="14">
        <v>174</v>
      </c>
      <c r="P6076" s="14">
        <v>1054</v>
      </c>
      <c r="Q6076">
        <v>8129</v>
      </c>
      <c r="R6076">
        <v>1673</v>
      </c>
      <c r="S6076">
        <v>0</v>
      </c>
    </row>
    <row r="6077" spans="11:19" x14ac:dyDescent="0.3">
      <c r="K6077" s="16">
        <f t="shared" si="94"/>
        <v>44269</v>
      </c>
      <c r="L6077" s="17">
        <v>0.125</v>
      </c>
      <c r="M6077" s="14">
        <v>880</v>
      </c>
      <c r="N6077" s="14">
        <v>0</v>
      </c>
      <c r="O6077" s="14">
        <v>0</v>
      </c>
      <c r="P6077" s="14">
        <v>880</v>
      </c>
      <c r="Q6077">
        <v>7620</v>
      </c>
      <c r="R6077">
        <v>2006</v>
      </c>
      <c r="S6077">
        <v>0</v>
      </c>
    </row>
    <row r="6078" spans="11:19" x14ac:dyDescent="0.3">
      <c r="K6078" s="16">
        <f t="shared" si="94"/>
        <v>44269</v>
      </c>
      <c r="L6078" s="17">
        <v>0.16666666666666666</v>
      </c>
      <c r="M6078" s="14">
        <v>880</v>
      </c>
      <c r="N6078" s="14">
        <v>0</v>
      </c>
      <c r="O6078" s="14">
        <v>-756</v>
      </c>
      <c r="P6078" s="14">
        <v>124</v>
      </c>
      <c r="Q6078">
        <v>7352</v>
      </c>
      <c r="R6078">
        <v>2435</v>
      </c>
      <c r="S6078">
        <v>0</v>
      </c>
    </row>
    <row r="6079" spans="11:19" x14ac:dyDescent="0.3">
      <c r="K6079" s="16">
        <f t="shared" si="94"/>
        <v>44269</v>
      </c>
      <c r="L6079" s="17">
        <v>0.20833333333333334</v>
      </c>
      <c r="M6079" s="14">
        <v>880</v>
      </c>
      <c r="N6079" s="14">
        <v>0</v>
      </c>
      <c r="O6079" s="14">
        <v>-17</v>
      </c>
      <c r="P6079" s="14">
        <v>863</v>
      </c>
      <c r="Q6079">
        <v>7360</v>
      </c>
      <c r="R6079">
        <v>2832</v>
      </c>
      <c r="S6079">
        <v>0</v>
      </c>
    </row>
    <row r="6080" spans="11:19" x14ac:dyDescent="0.3">
      <c r="K6080" s="16">
        <f t="shared" si="94"/>
        <v>44269</v>
      </c>
      <c r="L6080" s="17">
        <v>0.25</v>
      </c>
      <c r="M6080" s="14">
        <v>880</v>
      </c>
      <c r="N6080" s="14">
        <v>0</v>
      </c>
      <c r="O6080" s="14">
        <v>-121</v>
      </c>
      <c r="P6080" s="14">
        <v>759</v>
      </c>
      <c r="Q6080">
        <v>7494</v>
      </c>
      <c r="R6080">
        <v>3061</v>
      </c>
      <c r="S6080">
        <v>0</v>
      </c>
    </row>
    <row r="6081" spans="11:19" x14ac:dyDescent="0.3">
      <c r="K6081" s="16">
        <f t="shared" si="94"/>
        <v>44269</v>
      </c>
      <c r="L6081" s="17">
        <v>0.29166666666666669</v>
      </c>
      <c r="M6081" s="14">
        <v>880</v>
      </c>
      <c r="N6081" s="14">
        <v>0</v>
      </c>
      <c r="O6081" s="14">
        <v>-1200</v>
      </c>
      <c r="P6081" s="14">
        <v>-320</v>
      </c>
      <c r="Q6081">
        <v>7571</v>
      </c>
      <c r="R6081">
        <v>3273</v>
      </c>
      <c r="S6081">
        <v>30</v>
      </c>
    </row>
    <row r="6082" spans="11:19" x14ac:dyDescent="0.3">
      <c r="K6082" s="16">
        <f t="shared" si="94"/>
        <v>44269</v>
      </c>
      <c r="L6082" s="17">
        <v>0.33333333333333331</v>
      </c>
      <c r="M6082" s="14">
        <v>880</v>
      </c>
      <c r="N6082" s="14">
        <v>0</v>
      </c>
      <c r="O6082" s="14">
        <v>-632</v>
      </c>
      <c r="P6082" s="14">
        <v>248</v>
      </c>
      <c r="Q6082">
        <v>8060</v>
      </c>
      <c r="R6082">
        <v>3819</v>
      </c>
      <c r="S6082">
        <v>297</v>
      </c>
    </row>
    <row r="6083" spans="11:19" x14ac:dyDescent="0.3">
      <c r="K6083" s="16">
        <f t="shared" si="94"/>
        <v>44269</v>
      </c>
      <c r="L6083" s="17">
        <v>0.375</v>
      </c>
      <c r="M6083" s="14">
        <v>880</v>
      </c>
      <c r="N6083" s="14">
        <v>0</v>
      </c>
      <c r="O6083" s="14">
        <v>-1200</v>
      </c>
      <c r="P6083" s="14">
        <v>-320</v>
      </c>
      <c r="Q6083">
        <v>8529</v>
      </c>
      <c r="R6083">
        <v>3803</v>
      </c>
      <c r="S6083">
        <v>662</v>
      </c>
    </row>
    <row r="6084" spans="11:19" x14ac:dyDescent="0.3">
      <c r="K6084" s="16">
        <f t="shared" si="94"/>
        <v>44269</v>
      </c>
      <c r="L6084" s="17">
        <v>0.41666666666666669</v>
      </c>
      <c r="M6084" s="14">
        <v>880</v>
      </c>
      <c r="N6084" s="14">
        <v>0</v>
      </c>
      <c r="O6084" s="14">
        <v>-742</v>
      </c>
      <c r="P6084" s="14">
        <v>138</v>
      </c>
      <c r="Q6084">
        <v>8802</v>
      </c>
      <c r="R6084">
        <v>3804</v>
      </c>
      <c r="S6084">
        <v>896</v>
      </c>
    </row>
    <row r="6085" spans="11:19" x14ac:dyDescent="0.3">
      <c r="K6085" s="16">
        <f t="shared" si="94"/>
        <v>44269</v>
      </c>
      <c r="L6085" s="17">
        <v>0.45833333333333331</v>
      </c>
      <c r="M6085" s="14">
        <v>880</v>
      </c>
      <c r="N6085" s="14">
        <v>0</v>
      </c>
      <c r="O6085" s="14">
        <v>0</v>
      </c>
      <c r="P6085" s="14">
        <v>880</v>
      </c>
      <c r="Q6085">
        <v>9104</v>
      </c>
      <c r="R6085">
        <v>3497</v>
      </c>
      <c r="S6085">
        <v>862</v>
      </c>
    </row>
    <row r="6086" spans="11:19" x14ac:dyDescent="0.3">
      <c r="K6086" s="16">
        <f t="shared" si="94"/>
        <v>44269</v>
      </c>
      <c r="L6086" s="17">
        <v>0.5</v>
      </c>
      <c r="M6086" s="14">
        <v>880</v>
      </c>
      <c r="N6086" s="14">
        <v>0</v>
      </c>
      <c r="O6086" s="14">
        <v>0</v>
      </c>
      <c r="P6086" s="14">
        <v>880</v>
      </c>
      <c r="Q6086">
        <v>9508</v>
      </c>
      <c r="R6086">
        <v>3363</v>
      </c>
      <c r="S6086">
        <v>881</v>
      </c>
    </row>
    <row r="6087" spans="11:19" x14ac:dyDescent="0.3">
      <c r="K6087" s="16">
        <f t="shared" si="94"/>
        <v>44269</v>
      </c>
      <c r="L6087" s="17">
        <v>0.54166666666666663</v>
      </c>
      <c r="M6087" s="14">
        <v>880</v>
      </c>
      <c r="N6087" s="14">
        <v>0</v>
      </c>
      <c r="O6087" s="14">
        <v>0</v>
      </c>
      <c r="P6087" s="14">
        <v>880</v>
      </c>
      <c r="Q6087">
        <v>8985</v>
      </c>
      <c r="R6087">
        <v>3336</v>
      </c>
      <c r="S6087">
        <v>784</v>
      </c>
    </row>
    <row r="6088" spans="11:19" x14ac:dyDescent="0.3">
      <c r="K6088" s="16">
        <f t="shared" si="94"/>
        <v>44269</v>
      </c>
      <c r="L6088" s="17">
        <v>0.58333333333333337</v>
      </c>
      <c r="M6088" s="14">
        <v>880</v>
      </c>
      <c r="N6088" s="14">
        <v>0</v>
      </c>
      <c r="O6088" s="14">
        <v>-187</v>
      </c>
      <c r="P6088" s="14">
        <v>693</v>
      </c>
      <c r="Q6088">
        <v>8536</v>
      </c>
      <c r="R6088">
        <v>3403</v>
      </c>
      <c r="S6088">
        <v>753</v>
      </c>
    </row>
    <row r="6089" spans="11:19" x14ac:dyDescent="0.3">
      <c r="K6089" s="16">
        <f t="shared" si="94"/>
        <v>44269</v>
      </c>
      <c r="L6089" s="17">
        <v>0.625</v>
      </c>
      <c r="M6089" s="14">
        <v>880</v>
      </c>
      <c r="N6089" s="14">
        <v>0</v>
      </c>
      <c r="O6089" s="14">
        <v>-91</v>
      </c>
      <c r="P6089" s="14">
        <v>789</v>
      </c>
      <c r="Q6089">
        <v>8287</v>
      </c>
      <c r="R6089">
        <v>3196</v>
      </c>
      <c r="S6089">
        <v>622</v>
      </c>
    </row>
    <row r="6090" spans="11:19" x14ac:dyDescent="0.3">
      <c r="K6090" s="16">
        <f t="shared" si="94"/>
        <v>44269</v>
      </c>
      <c r="L6090" s="17">
        <v>0.66666666666666663</v>
      </c>
      <c r="M6090" s="14">
        <v>880</v>
      </c>
      <c r="N6090" s="14">
        <v>0</v>
      </c>
      <c r="O6090" s="14">
        <v>-63</v>
      </c>
      <c r="P6090" s="14">
        <v>817</v>
      </c>
      <c r="Q6090">
        <v>8040</v>
      </c>
      <c r="R6090">
        <v>3093</v>
      </c>
      <c r="S6090">
        <v>451</v>
      </c>
    </row>
    <row r="6091" spans="11:19" x14ac:dyDescent="0.3">
      <c r="K6091" s="16">
        <f t="shared" si="94"/>
        <v>44269</v>
      </c>
      <c r="L6091" s="17">
        <v>0.70833333333333337</v>
      </c>
      <c r="M6091" s="14">
        <v>880</v>
      </c>
      <c r="N6091" s="14">
        <v>0</v>
      </c>
      <c r="O6091" s="14">
        <v>0</v>
      </c>
      <c r="P6091" s="14">
        <v>880</v>
      </c>
      <c r="Q6091">
        <v>8181</v>
      </c>
      <c r="R6091">
        <v>3170</v>
      </c>
      <c r="S6091">
        <v>212</v>
      </c>
    </row>
    <row r="6092" spans="11:19" x14ac:dyDescent="0.3">
      <c r="K6092" s="16">
        <f t="shared" si="94"/>
        <v>44269</v>
      </c>
      <c r="L6092" s="17">
        <v>0.75</v>
      </c>
      <c r="M6092" s="14">
        <v>880</v>
      </c>
      <c r="N6092" s="14">
        <v>0</v>
      </c>
      <c r="O6092" s="14">
        <v>0</v>
      </c>
      <c r="P6092" s="14">
        <v>880</v>
      </c>
      <c r="Q6092">
        <v>8881</v>
      </c>
      <c r="R6092">
        <v>3179</v>
      </c>
      <c r="S6092">
        <v>29</v>
      </c>
    </row>
    <row r="6093" spans="11:19" x14ac:dyDescent="0.3">
      <c r="K6093" s="16">
        <f t="shared" si="94"/>
        <v>44269</v>
      </c>
      <c r="L6093" s="17">
        <v>0.79166666666666663</v>
      </c>
      <c r="M6093" s="14">
        <v>880</v>
      </c>
      <c r="N6093" s="14">
        <v>0</v>
      </c>
      <c r="O6093" s="14">
        <v>490</v>
      </c>
      <c r="P6093" s="14">
        <v>1370</v>
      </c>
      <c r="Q6093">
        <v>9767</v>
      </c>
      <c r="R6093">
        <v>2964</v>
      </c>
      <c r="S6093">
        <v>0</v>
      </c>
    </row>
    <row r="6094" spans="11:19" x14ac:dyDescent="0.3">
      <c r="K6094" s="16">
        <f t="shared" si="94"/>
        <v>44269</v>
      </c>
      <c r="L6094" s="17">
        <v>0.83333333333333337</v>
      </c>
      <c r="M6094" s="14">
        <v>880</v>
      </c>
      <c r="N6094" s="14">
        <v>0</v>
      </c>
      <c r="O6094" s="14">
        <v>204</v>
      </c>
      <c r="P6094" s="14">
        <v>1084</v>
      </c>
      <c r="Q6094">
        <v>9371</v>
      </c>
      <c r="R6094">
        <v>2859</v>
      </c>
      <c r="S6094">
        <v>0</v>
      </c>
    </row>
    <row r="6095" spans="11:19" x14ac:dyDescent="0.3">
      <c r="K6095" s="16">
        <f t="shared" si="94"/>
        <v>44269</v>
      </c>
      <c r="L6095" s="17">
        <v>0.875</v>
      </c>
      <c r="M6095" s="14">
        <v>880</v>
      </c>
      <c r="N6095" s="14">
        <v>0</v>
      </c>
      <c r="O6095" s="14">
        <v>0</v>
      </c>
      <c r="P6095" s="14">
        <v>880</v>
      </c>
      <c r="Q6095">
        <v>8880</v>
      </c>
      <c r="R6095">
        <v>2646</v>
      </c>
      <c r="S6095">
        <v>0</v>
      </c>
    </row>
    <row r="6096" spans="11:19" x14ac:dyDescent="0.3">
      <c r="K6096" s="16">
        <f t="shared" si="94"/>
        <v>44269</v>
      </c>
      <c r="L6096" s="17">
        <v>0.91666666666666663</v>
      </c>
      <c r="M6096" s="14">
        <v>880</v>
      </c>
      <c r="N6096" s="14">
        <v>0</v>
      </c>
      <c r="O6096" s="14">
        <v>397</v>
      </c>
      <c r="P6096" s="14">
        <v>1277</v>
      </c>
      <c r="Q6096">
        <v>9108</v>
      </c>
      <c r="R6096">
        <v>2412</v>
      </c>
      <c r="S6096">
        <v>0</v>
      </c>
    </row>
    <row r="6097" spans="11:19" x14ac:dyDescent="0.3">
      <c r="K6097" s="16">
        <f t="shared" si="94"/>
        <v>44269</v>
      </c>
      <c r="L6097" s="17">
        <v>0.95833333333333337</v>
      </c>
      <c r="M6097" s="14">
        <v>880</v>
      </c>
      <c r="N6097" s="14">
        <v>0</v>
      </c>
      <c r="O6097" s="14">
        <v>634</v>
      </c>
      <c r="P6097" s="14">
        <v>1514</v>
      </c>
      <c r="Q6097">
        <v>9361</v>
      </c>
      <c r="R6097">
        <v>2429</v>
      </c>
      <c r="S6097">
        <v>0</v>
      </c>
    </row>
    <row r="6098" spans="11:19" x14ac:dyDescent="0.3">
      <c r="K6098" s="16">
        <f t="shared" si="94"/>
        <v>44270</v>
      </c>
      <c r="L6098" s="17">
        <v>0</v>
      </c>
      <c r="M6098" s="14">
        <v>880</v>
      </c>
      <c r="N6098" s="14">
        <v>438</v>
      </c>
      <c r="O6098" s="14">
        <v>0</v>
      </c>
      <c r="P6098" s="14">
        <v>1318</v>
      </c>
      <c r="Q6098">
        <v>8986</v>
      </c>
      <c r="R6098">
        <v>2253</v>
      </c>
      <c r="S6098">
        <v>0</v>
      </c>
    </row>
    <row r="6099" spans="11:19" x14ac:dyDescent="0.3">
      <c r="K6099" s="16">
        <f t="shared" si="94"/>
        <v>44270</v>
      </c>
      <c r="L6099" s="17">
        <v>4.1666666666666664E-2</v>
      </c>
      <c r="M6099" s="14">
        <v>880</v>
      </c>
      <c r="N6099" s="14">
        <v>427</v>
      </c>
      <c r="O6099" s="14">
        <v>0</v>
      </c>
      <c r="P6099" s="14">
        <v>1307</v>
      </c>
      <c r="Q6099">
        <v>8730</v>
      </c>
      <c r="R6099">
        <v>2013</v>
      </c>
      <c r="S6099">
        <v>0</v>
      </c>
    </row>
    <row r="6100" spans="11:19" x14ac:dyDescent="0.3">
      <c r="K6100" s="16">
        <f t="shared" si="94"/>
        <v>44270</v>
      </c>
      <c r="L6100" s="17">
        <v>8.3333333333333329E-2</v>
      </c>
      <c r="M6100" s="14">
        <v>880</v>
      </c>
      <c r="N6100" s="14">
        <v>294</v>
      </c>
      <c r="O6100" s="14">
        <v>0</v>
      </c>
      <c r="P6100" s="14">
        <v>1174</v>
      </c>
      <c r="Q6100">
        <v>8500</v>
      </c>
      <c r="R6100">
        <v>1676</v>
      </c>
      <c r="S6100">
        <v>0</v>
      </c>
    </row>
    <row r="6101" spans="11:19" x14ac:dyDescent="0.3">
      <c r="K6101" s="16">
        <f t="shared" si="94"/>
        <v>44270</v>
      </c>
      <c r="L6101" s="17">
        <v>0.125</v>
      </c>
      <c r="M6101" s="14">
        <v>880</v>
      </c>
      <c r="N6101" s="14">
        <v>139</v>
      </c>
      <c r="O6101" s="14">
        <v>0</v>
      </c>
      <c r="P6101" s="14">
        <v>1019</v>
      </c>
      <c r="Q6101">
        <v>8149</v>
      </c>
      <c r="R6101">
        <v>1476</v>
      </c>
      <c r="S6101">
        <v>0</v>
      </c>
    </row>
    <row r="6102" spans="11:19" x14ac:dyDescent="0.3">
      <c r="K6102" s="16">
        <f t="shared" si="94"/>
        <v>44270</v>
      </c>
      <c r="L6102" s="17">
        <v>0.16666666666666666</v>
      </c>
      <c r="M6102" s="14">
        <v>880</v>
      </c>
      <c r="N6102" s="14">
        <v>174</v>
      </c>
      <c r="O6102" s="14">
        <v>0</v>
      </c>
      <c r="P6102" s="14">
        <v>1054</v>
      </c>
      <c r="Q6102">
        <v>8162</v>
      </c>
      <c r="R6102">
        <v>1450</v>
      </c>
      <c r="S6102">
        <v>0</v>
      </c>
    </row>
    <row r="6103" spans="11:19" x14ac:dyDescent="0.3">
      <c r="K6103" s="16">
        <f t="shared" si="94"/>
        <v>44270</v>
      </c>
      <c r="L6103" s="17">
        <v>0.20833333333333334</v>
      </c>
      <c r="M6103" s="14">
        <v>880</v>
      </c>
      <c r="N6103" s="14">
        <v>0</v>
      </c>
      <c r="O6103" s="14">
        <v>0</v>
      </c>
      <c r="P6103" s="14">
        <v>880</v>
      </c>
      <c r="Q6103">
        <v>8808</v>
      </c>
      <c r="R6103">
        <v>1187</v>
      </c>
      <c r="S6103">
        <v>0</v>
      </c>
    </row>
    <row r="6104" spans="11:19" x14ac:dyDescent="0.3">
      <c r="K6104" s="16">
        <f t="shared" si="94"/>
        <v>44270</v>
      </c>
      <c r="L6104" s="17">
        <v>0.25</v>
      </c>
      <c r="M6104" s="14">
        <v>880</v>
      </c>
      <c r="N6104" s="14">
        <v>2076</v>
      </c>
      <c r="O6104" s="14">
        <v>0</v>
      </c>
      <c r="P6104" s="14">
        <v>2956</v>
      </c>
      <c r="Q6104">
        <v>10051</v>
      </c>
      <c r="R6104">
        <v>1164</v>
      </c>
      <c r="S6104">
        <v>2</v>
      </c>
    </row>
    <row r="6105" spans="11:19" x14ac:dyDescent="0.3">
      <c r="K6105" s="16">
        <f t="shared" si="94"/>
        <v>44270</v>
      </c>
      <c r="L6105" s="17">
        <v>0.29166666666666669</v>
      </c>
      <c r="M6105" s="14">
        <v>880</v>
      </c>
      <c r="N6105" s="14">
        <v>572</v>
      </c>
      <c r="O6105" s="14">
        <v>0</v>
      </c>
      <c r="P6105" s="14">
        <v>1452</v>
      </c>
      <c r="Q6105">
        <v>10842</v>
      </c>
      <c r="R6105">
        <v>940</v>
      </c>
      <c r="S6105">
        <v>49</v>
      </c>
    </row>
    <row r="6106" spans="11:19" x14ac:dyDescent="0.3">
      <c r="K6106" s="16">
        <f t="shared" si="94"/>
        <v>44270</v>
      </c>
      <c r="L6106" s="17">
        <v>0.33333333333333331</v>
      </c>
      <c r="M6106" s="14">
        <v>880</v>
      </c>
      <c r="N6106" s="14">
        <v>646</v>
      </c>
      <c r="O6106" s="14">
        <v>0</v>
      </c>
      <c r="P6106" s="14">
        <v>1526</v>
      </c>
      <c r="Q6106">
        <v>11177</v>
      </c>
      <c r="R6106">
        <v>871</v>
      </c>
      <c r="S6106">
        <v>380</v>
      </c>
    </row>
    <row r="6107" spans="11:19" x14ac:dyDescent="0.3">
      <c r="K6107" s="16">
        <f t="shared" ref="K6107:K6170" si="95">K6083+1</f>
        <v>44270</v>
      </c>
      <c r="L6107" s="17">
        <v>0.375</v>
      </c>
      <c r="M6107" s="14">
        <v>880</v>
      </c>
      <c r="N6107" s="14">
        <v>2076</v>
      </c>
      <c r="O6107" s="14">
        <v>0</v>
      </c>
      <c r="P6107" s="14">
        <v>2956</v>
      </c>
      <c r="Q6107">
        <v>11246</v>
      </c>
      <c r="R6107">
        <v>1105</v>
      </c>
      <c r="S6107">
        <v>944</v>
      </c>
    </row>
    <row r="6108" spans="11:19" x14ac:dyDescent="0.3">
      <c r="K6108" s="16">
        <f t="shared" si="95"/>
        <v>44270</v>
      </c>
      <c r="L6108" s="17">
        <v>0.41666666666666669</v>
      </c>
      <c r="M6108" s="14">
        <v>880</v>
      </c>
      <c r="N6108" s="14">
        <v>1698</v>
      </c>
      <c r="O6108" s="14">
        <v>0</v>
      </c>
      <c r="P6108" s="14">
        <v>2578</v>
      </c>
      <c r="Q6108">
        <v>11122</v>
      </c>
      <c r="R6108">
        <v>1306</v>
      </c>
      <c r="S6108">
        <v>1385</v>
      </c>
    </row>
    <row r="6109" spans="11:19" x14ac:dyDescent="0.3">
      <c r="K6109" s="16">
        <f t="shared" si="95"/>
        <v>44270</v>
      </c>
      <c r="L6109" s="17">
        <v>0.45833333333333331</v>
      </c>
      <c r="M6109" s="14">
        <v>880</v>
      </c>
      <c r="N6109" s="14">
        <v>0</v>
      </c>
      <c r="O6109" s="14">
        <v>0</v>
      </c>
      <c r="P6109" s="14">
        <v>880</v>
      </c>
      <c r="Q6109">
        <v>11108</v>
      </c>
      <c r="R6109">
        <v>1533</v>
      </c>
      <c r="S6109">
        <v>1601</v>
      </c>
    </row>
    <row r="6110" spans="11:19" x14ac:dyDescent="0.3">
      <c r="K6110" s="16">
        <f t="shared" si="95"/>
        <v>44270</v>
      </c>
      <c r="L6110" s="17">
        <v>0.5</v>
      </c>
      <c r="M6110" s="14">
        <v>880</v>
      </c>
      <c r="N6110" s="14">
        <v>1087</v>
      </c>
      <c r="O6110" s="14">
        <v>0</v>
      </c>
      <c r="P6110" s="14">
        <v>1967</v>
      </c>
      <c r="Q6110">
        <v>11085</v>
      </c>
      <c r="R6110">
        <v>1760</v>
      </c>
      <c r="S6110">
        <v>1747</v>
      </c>
    </row>
    <row r="6111" spans="11:19" x14ac:dyDescent="0.3">
      <c r="K6111" s="16">
        <f t="shared" si="95"/>
        <v>44270</v>
      </c>
      <c r="L6111" s="17">
        <v>0.54166666666666663</v>
      </c>
      <c r="M6111" s="14">
        <v>880</v>
      </c>
      <c r="N6111" s="14">
        <v>0</v>
      </c>
      <c r="O6111" s="14">
        <v>0</v>
      </c>
      <c r="P6111" s="14">
        <v>880</v>
      </c>
      <c r="Q6111">
        <v>10812</v>
      </c>
      <c r="R6111">
        <v>1919</v>
      </c>
      <c r="S6111">
        <v>1857</v>
      </c>
    </row>
    <row r="6112" spans="11:19" x14ac:dyDescent="0.3">
      <c r="K6112" s="16">
        <f t="shared" si="95"/>
        <v>44270</v>
      </c>
      <c r="L6112" s="17">
        <v>0.58333333333333337</v>
      </c>
      <c r="M6112" s="14">
        <v>880</v>
      </c>
      <c r="N6112" s="14">
        <v>342</v>
      </c>
      <c r="O6112" s="14">
        <v>0</v>
      </c>
      <c r="P6112" s="14">
        <v>1222</v>
      </c>
      <c r="Q6112">
        <v>10514</v>
      </c>
      <c r="R6112">
        <v>1910</v>
      </c>
      <c r="S6112">
        <v>1772</v>
      </c>
    </row>
    <row r="6113" spans="11:19" x14ac:dyDescent="0.3">
      <c r="K6113" s="16">
        <f t="shared" si="95"/>
        <v>44270</v>
      </c>
      <c r="L6113" s="17">
        <v>0.625</v>
      </c>
      <c r="M6113" s="14">
        <v>880</v>
      </c>
      <c r="N6113" s="14">
        <v>0</v>
      </c>
      <c r="O6113" s="14">
        <v>0</v>
      </c>
      <c r="P6113" s="14">
        <v>880</v>
      </c>
      <c r="Q6113">
        <v>10211</v>
      </c>
      <c r="R6113">
        <v>1841</v>
      </c>
      <c r="S6113">
        <v>1549</v>
      </c>
    </row>
    <row r="6114" spans="11:19" x14ac:dyDescent="0.3">
      <c r="K6114" s="16">
        <f t="shared" si="95"/>
        <v>44270</v>
      </c>
      <c r="L6114" s="17">
        <v>0.66666666666666663</v>
      </c>
      <c r="M6114" s="14">
        <v>880</v>
      </c>
      <c r="N6114" s="14">
        <v>160</v>
      </c>
      <c r="O6114" s="14">
        <v>0</v>
      </c>
      <c r="P6114" s="14">
        <v>1040</v>
      </c>
      <c r="Q6114">
        <v>10024</v>
      </c>
      <c r="R6114">
        <v>1956</v>
      </c>
      <c r="S6114">
        <v>1066</v>
      </c>
    </row>
    <row r="6115" spans="11:19" x14ac:dyDescent="0.3">
      <c r="K6115" s="16">
        <f t="shared" si="95"/>
        <v>44270</v>
      </c>
      <c r="L6115" s="17">
        <v>0.70833333333333337</v>
      </c>
      <c r="M6115" s="14">
        <v>880</v>
      </c>
      <c r="N6115" s="14">
        <v>1012</v>
      </c>
      <c r="O6115" s="14">
        <v>0</v>
      </c>
      <c r="P6115" s="14">
        <v>1892</v>
      </c>
      <c r="Q6115">
        <v>10152</v>
      </c>
      <c r="R6115">
        <v>1951</v>
      </c>
      <c r="S6115">
        <v>458</v>
      </c>
    </row>
    <row r="6116" spans="11:19" x14ac:dyDescent="0.3">
      <c r="K6116" s="16">
        <f t="shared" si="95"/>
        <v>44270</v>
      </c>
      <c r="L6116" s="17">
        <v>0.75</v>
      </c>
      <c r="M6116" s="14">
        <v>880</v>
      </c>
      <c r="N6116" s="14">
        <v>0</v>
      </c>
      <c r="O6116" s="14">
        <v>0</v>
      </c>
      <c r="P6116" s="14">
        <v>880</v>
      </c>
      <c r="Q6116">
        <v>10947</v>
      </c>
      <c r="R6116">
        <v>1943</v>
      </c>
      <c r="S6116">
        <v>78</v>
      </c>
    </row>
    <row r="6117" spans="11:19" x14ac:dyDescent="0.3">
      <c r="K6117" s="16">
        <f t="shared" si="95"/>
        <v>44270</v>
      </c>
      <c r="L6117" s="17">
        <v>0.79166666666666663</v>
      </c>
      <c r="M6117" s="14">
        <v>880</v>
      </c>
      <c r="N6117" s="14">
        <v>751</v>
      </c>
      <c r="O6117" s="14">
        <v>0</v>
      </c>
      <c r="P6117" s="14">
        <v>1631</v>
      </c>
      <c r="Q6117">
        <v>11743</v>
      </c>
      <c r="R6117">
        <v>1725</v>
      </c>
      <c r="S6117">
        <v>0</v>
      </c>
    </row>
    <row r="6118" spans="11:19" x14ac:dyDescent="0.3">
      <c r="K6118" s="16">
        <f t="shared" si="95"/>
        <v>44270</v>
      </c>
      <c r="L6118" s="17">
        <v>0.83333333333333337</v>
      </c>
      <c r="M6118" s="14">
        <v>880</v>
      </c>
      <c r="N6118" s="14">
        <v>2076</v>
      </c>
      <c r="O6118" s="14">
        <v>0</v>
      </c>
      <c r="P6118" s="14">
        <v>2956</v>
      </c>
      <c r="Q6118">
        <v>10904</v>
      </c>
      <c r="R6118">
        <v>1544</v>
      </c>
      <c r="S6118">
        <v>0</v>
      </c>
    </row>
    <row r="6119" spans="11:19" x14ac:dyDescent="0.3">
      <c r="K6119" s="16">
        <f t="shared" si="95"/>
        <v>44270</v>
      </c>
      <c r="L6119" s="17">
        <v>0.875</v>
      </c>
      <c r="M6119" s="14">
        <v>880</v>
      </c>
      <c r="N6119" s="14">
        <v>0</v>
      </c>
      <c r="O6119" s="14">
        <v>0</v>
      </c>
      <c r="P6119" s="14">
        <v>880</v>
      </c>
      <c r="Q6119">
        <v>10192</v>
      </c>
      <c r="R6119">
        <v>1405</v>
      </c>
      <c r="S6119">
        <v>0</v>
      </c>
    </row>
    <row r="6120" spans="11:19" x14ac:dyDescent="0.3">
      <c r="K6120" s="16">
        <f t="shared" si="95"/>
        <v>44270</v>
      </c>
      <c r="L6120" s="17">
        <v>0.91666666666666663</v>
      </c>
      <c r="M6120" s="14">
        <v>880</v>
      </c>
      <c r="N6120" s="14">
        <v>2076</v>
      </c>
      <c r="O6120" s="14">
        <v>0</v>
      </c>
      <c r="P6120" s="14">
        <v>2956</v>
      </c>
      <c r="Q6120">
        <v>10365</v>
      </c>
      <c r="R6120">
        <v>1287</v>
      </c>
      <c r="S6120">
        <v>0</v>
      </c>
    </row>
    <row r="6121" spans="11:19" x14ac:dyDescent="0.3">
      <c r="K6121" s="16">
        <f t="shared" si="95"/>
        <v>44270</v>
      </c>
      <c r="L6121" s="17">
        <v>0.95833333333333337</v>
      </c>
      <c r="M6121" s="14">
        <v>880</v>
      </c>
      <c r="N6121" s="14">
        <v>2076</v>
      </c>
      <c r="O6121" s="14">
        <v>0</v>
      </c>
      <c r="P6121" s="14">
        <v>2956</v>
      </c>
      <c r="Q6121">
        <v>10533</v>
      </c>
      <c r="R6121">
        <v>1218</v>
      </c>
      <c r="S6121">
        <v>0</v>
      </c>
    </row>
    <row r="6122" spans="11:19" x14ac:dyDescent="0.3">
      <c r="K6122" s="16">
        <f t="shared" si="95"/>
        <v>44271</v>
      </c>
      <c r="L6122" s="17">
        <v>0</v>
      </c>
      <c r="M6122" s="14">
        <v>880</v>
      </c>
      <c r="N6122" s="14">
        <v>0</v>
      </c>
      <c r="O6122" s="14">
        <v>0</v>
      </c>
      <c r="P6122" s="14">
        <v>880</v>
      </c>
      <c r="Q6122">
        <v>10069</v>
      </c>
      <c r="R6122">
        <v>1109</v>
      </c>
      <c r="S6122">
        <v>0</v>
      </c>
    </row>
    <row r="6123" spans="11:19" x14ac:dyDescent="0.3">
      <c r="K6123" s="16">
        <f t="shared" si="95"/>
        <v>44271</v>
      </c>
      <c r="L6123" s="17">
        <v>4.1666666666666664E-2</v>
      </c>
      <c r="M6123" s="14">
        <v>880</v>
      </c>
      <c r="N6123" s="14">
        <v>0</v>
      </c>
      <c r="O6123" s="14">
        <v>0</v>
      </c>
      <c r="P6123" s="14">
        <v>880</v>
      </c>
      <c r="Q6123">
        <v>9750</v>
      </c>
      <c r="R6123">
        <v>1049</v>
      </c>
      <c r="S6123">
        <v>0</v>
      </c>
    </row>
    <row r="6124" spans="11:19" x14ac:dyDescent="0.3">
      <c r="K6124" s="16">
        <f t="shared" si="95"/>
        <v>44271</v>
      </c>
      <c r="L6124" s="17">
        <v>8.3333333333333329E-2</v>
      </c>
      <c r="M6124" s="14">
        <v>880</v>
      </c>
      <c r="N6124" s="14">
        <v>1780</v>
      </c>
      <c r="O6124" s="14">
        <v>0</v>
      </c>
      <c r="P6124" s="14">
        <v>2660</v>
      </c>
      <c r="Q6124">
        <v>9493</v>
      </c>
      <c r="R6124">
        <v>1023</v>
      </c>
      <c r="S6124">
        <v>0</v>
      </c>
    </row>
    <row r="6125" spans="11:19" x14ac:dyDescent="0.3">
      <c r="K6125" s="16">
        <f t="shared" si="95"/>
        <v>44271</v>
      </c>
      <c r="L6125" s="17">
        <v>0.125</v>
      </c>
      <c r="M6125" s="14">
        <v>880</v>
      </c>
      <c r="N6125" s="14">
        <v>1493</v>
      </c>
      <c r="O6125" s="14">
        <v>0</v>
      </c>
      <c r="P6125" s="14">
        <v>2373</v>
      </c>
      <c r="Q6125">
        <v>9121</v>
      </c>
      <c r="R6125">
        <v>934</v>
      </c>
      <c r="S6125">
        <v>0</v>
      </c>
    </row>
    <row r="6126" spans="11:19" x14ac:dyDescent="0.3">
      <c r="K6126" s="16">
        <f t="shared" si="95"/>
        <v>44271</v>
      </c>
      <c r="L6126" s="17">
        <v>0.16666666666666666</v>
      </c>
      <c r="M6126" s="14">
        <v>880</v>
      </c>
      <c r="N6126" s="14">
        <v>1481</v>
      </c>
      <c r="O6126" s="14">
        <v>0</v>
      </c>
      <c r="P6126" s="14">
        <v>2361</v>
      </c>
      <c r="Q6126">
        <v>9091</v>
      </c>
      <c r="R6126">
        <v>912</v>
      </c>
      <c r="S6126">
        <v>0</v>
      </c>
    </row>
    <row r="6127" spans="11:19" x14ac:dyDescent="0.3">
      <c r="K6127" s="16">
        <f t="shared" si="95"/>
        <v>44271</v>
      </c>
      <c r="L6127" s="17">
        <v>0.20833333333333334</v>
      </c>
      <c r="M6127" s="14">
        <v>880</v>
      </c>
      <c r="N6127" s="14">
        <v>2053</v>
      </c>
      <c r="O6127" s="14">
        <v>0</v>
      </c>
      <c r="P6127" s="14">
        <v>2933</v>
      </c>
      <c r="Q6127">
        <v>9652</v>
      </c>
      <c r="R6127">
        <v>892</v>
      </c>
      <c r="S6127">
        <v>0</v>
      </c>
    </row>
    <row r="6128" spans="11:19" x14ac:dyDescent="0.3">
      <c r="K6128" s="16">
        <f t="shared" si="95"/>
        <v>44271</v>
      </c>
      <c r="L6128" s="17">
        <v>0.25</v>
      </c>
      <c r="M6128" s="14">
        <v>880</v>
      </c>
      <c r="N6128" s="14">
        <v>2784</v>
      </c>
      <c r="O6128" s="14">
        <v>0</v>
      </c>
      <c r="P6128" s="14">
        <v>3664</v>
      </c>
      <c r="Q6128">
        <v>10797</v>
      </c>
      <c r="R6128">
        <v>898</v>
      </c>
      <c r="S6128">
        <v>0</v>
      </c>
    </row>
    <row r="6129" spans="11:19" x14ac:dyDescent="0.3">
      <c r="K6129" s="16">
        <f t="shared" si="95"/>
        <v>44271</v>
      </c>
      <c r="L6129" s="17">
        <v>0.29166666666666669</v>
      </c>
      <c r="M6129" s="14">
        <v>880</v>
      </c>
      <c r="N6129" s="14">
        <v>2784</v>
      </c>
      <c r="O6129" s="14">
        <v>0</v>
      </c>
      <c r="P6129" s="14">
        <v>3664</v>
      </c>
      <c r="Q6129">
        <v>11536</v>
      </c>
      <c r="R6129">
        <v>980</v>
      </c>
      <c r="S6129">
        <v>55</v>
      </c>
    </row>
    <row r="6130" spans="11:19" x14ac:dyDescent="0.3">
      <c r="K6130" s="16">
        <f t="shared" si="95"/>
        <v>44271</v>
      </c>
      <c r="L6130" s="17">
        <v>0.33333333333333331</v>
      </c>
      <c r="M6130" s="14">
        <v>880</v>
      </c>
      <c r="N6130" s="14">
        <v>1034</v>
      </c>
      <c r="O6130" s="14">
        <v>0</v>
      </c>
      <c r="P6130" s="14">
        <v>1914</v>
      </c>
      <c r="Q6130">
        <v>11773</v>
      </c>
      <c r="R6130">
        <v>1056</v>
      </c>
      <c r="S6130">
        <v>403</v>
      </c>
    </row>
    <row r="6131" spans="11:19" x14ac:dyDescent="0.3">
      <c r="K6131" s="16">
        <f t="shared" si="95"/>
        <v>44271</v>
      </c>
      <c r="L6131" s="17">
        <v>0.375</v>
      </c>
      <c r="M6131" s="14">
        <v>880</v>
      </c>
      <c r="N6131" s="14">
        <v>499</v>
      </c>
      <c r="O6131" s="14">
        <v>0</v>
      </c>
      <c r="P6131" s="14">
        <v>1379</v>
      </c>
      <c r="Q6131">
        <v>11764</v>
      </c>
      <c r="R6131">
        <v>1094</v>
      </c>
      <c r="S6131">
        <v>896</v>
      </c>
    </row>
    <row r="6132" spans="11:19" x14ac:dyDescent="0.3">
      <c r="K6132" s="16">
        <f t="shared" si="95"/>
        <v>44271</v>
      </c>
      <c r="L6132" s="17">
        <v>0.41666666666666669</v>
      </c>
      <c r="M6132" s="14">
        <v>880</v>
      </c>
      <c r="N6132" s="14">
        <v>2512</v>
      </c>
      <c r="O6132" s="14">
        <v>0</v>
      </c>
      <c r="P6132" s="14">
        <v>3392</v>
      </c>
      <c r="Q6132">
        <v>11599</v>
      </c>
      <c r="R6132">
        <v>1105</v>
      </c>
      <c r="S6132">
        <v>1249</v>
      </c>
    </row>
    <row r="6133" spans="11:19" x14ac:dyDescent="0.3">
      <c r="K6133" s="16">
        <f t="shared" si="95"/>
        <v>44271</v>
      </c>
      <c r="L6133" s="17">
        <v>0.45833333333333331</v>
      </c>
      <c r="M6133" s="14">
        <v>880</v>
      </c>
      <c r="N6133" s="14">
        <v>1835</v>
      </c>
      <c r="O6133" s="14">
        <v>0</v>
      </c>
      <c r="P6133" s="14">
        <v>2715</v>
      </c>
      <c r="Q6133">
        <v>11591</v>
      </c>
      <c r="R6133">
        <v>1647</v>
      </c>
      <c r="S6133">
        <v>1378</v>
      </c>
    </row>
    <row r="6134" spans="11:19" x14ac:dyDescent="0.3">
      <c r="K6134" s="16">
        <f t="shared" si="95"/>
        <v>44271</v>
      </c>
      <c r="L6134" s="17">
        <v>0.5</v>
      </c>
      <c r="M6134" s="14">
        <v>880</v>
      </c>
      <c r="N6134" s="14">
        <v>0</v>
      </c>
      <c r="O6134" s="14">
        <v>0</v>
      </c>
      <c r="P6134" s="14">
        <v>880</v>
      </c>
      <c r="Q6134">
        <v>11564</v>
      </c>
      <c r="R6134">
        <v>1635</v>
      </c>
      <c r="S6134">
        <v>1473</v>
      </c>
    </row>
    <row r="6135" spans="11:19" x14ac:dyDescent="0.3">
      <c r="K6135" s="16">
        <f t="shared" si="95"/>
        <v>44271</v>
      </c>
      <c r="L6135" s="17">
        <v>0.54166666666666663</v>
      </c>
      <c r="M6135" s="14">
        <v>880</v>
      </c>
      <c r="N6135" s="14">
        <v>1581</v>
      </c>
      <c r="O6135" s="14">
        <v>0</v>
      </c>
      <c r="P6135" s="14">
        <v>2461</v>
      </c>
      <c r="Q6135">
        <v>11276</v>
      </c>
      <c r="R6135">
        <v>1660</v>
      </c>
      <c r="S6135">
        <v>1464</v>
      </c>
    </row>
    <row r="6136" spans="11:19" x14ac:dyDescent="0.3">
      <c r="K6136" s="16">
        <f t="shared" si="95"/>
        <v>44271</v>
      </c>
      <c r="L6136" s="17">
        <v>0.58333333333333337</v>
      </c>
      <c r="M6136" s="14">
        <v>880</v>
      </c>
      <c r="N6136" s="14">
        <v>1106</v>
      </c>
      <c r="O6136" s="14">
        <v>0</v>
      </c>
      <c r="P6136" s="14">
        <v>1986</v>
      </c>
      <c r="Q6136">
        <v>10992</v>
      </c>
      <c r="R6136">
        <v>1890</v>
      </c>
      <c r="S6136">
        <v>1426</v>
      </c>
    </row>
    <row r="6137" spans="11:19" x14ac:dyDescent="0.3">
      <c r="K6137" s="16">
        <f t="shared" si="95"/>
        <v>44271</v>
      </c>
      <c r="L6137" s="17">
        <v>0.625</v>
      </c>
      <c r="M6137" s="14">
        <v>880</v>
      </c>
      <c r="N6137" s="14">
        <v>1102</v>
      </c>
      <c r="O6137" s="14">
        <v>0</v>
      </c>
      <c r="P6137" s="14">
        <v>1982</v>
      </c>
      <c r="Q6137">
        <v>10698</v>
      </c>
      <c r="R6137">
        <v>1762</v>
      </c>
      <c r="S6137">
        <v>1264</v>
      </c>
    </row>
    <row r="6138" spans="11:19" x14ac:dyDescent="0.3">
      <c r="K6138" s="16">
        <f t="shared" si="95"/>
        <v>44271</v>
      </c>
      <c r="L6138" s="17">
        <v>0.66666666666666663</v>
      </c>
      <c r="M6138" s="14">
        <v>880</v>
      </c>
      <c r="N6138" s="14">
        <v>0</v>
      </c>
      <c r="O6138" s="14">
        <v>0</v>
      </c>
      <c r="P6138" s="14">
        <v>880</v>
      </c>
      <c r="Q6138">
        <v>10475</v>
      </c>
      <c r="R6138">
        <v>1904</v>
      </c>
      <c r="S6138">
        <v>825</v>
      </c>
    </row>
    <row r="6139" spans="11:19" x14ac:dyDescent="0.3">
      <c r="K6139" s="16">
        <f t="shared" si="95"/>
        <v>44271</v>
      </c>
      <c r="L6139" s="17">
        <v>0.70833333333333337</v>
      </c>
      <c r="M6139" s="14">
        <v>880</v>
      </c>
      <c r="N6139" s="14">
        <v>1855</v>
      </c>
      <c r="O6139" s="14">
        <v>0</v>
      </c>
      <c r="P6139" s="14">
        <v>2735</v>
      </c>
      <c r="Q6139">
        <v>10511</v>
      </c>
      <c r="R6139">
        <v>1744</v>
      </c>
      <c r="S6139">
        <v>341</v>
      </c>
    </row>
    <row r="6140" spans="11:19" x14ac:dyDescent="0.3">
      <c r="K6140" s="16">
        <f t="shared" si="95"/>
        <v>44271</v>
      </c>
      <c r="L6140" s="17">
        <v>0.75</v>
      </c>
      <c r="M6140" s="14">
        <v>880</v>
      </c>
      <c r="N6140" s="14">
        <v>13</v>
      </c>
      <c r="O6140" s="14">
        <v>0</v>
      </c>
      <c r="P6140" s="14">
        <v>893</v>
      </c>
      <c r="Q6140">
        <v>11138</v>
      </c>
      <c r="R6140">
        <v>1811</v>
      </c>
      <c r="S6140">
        <v>44</v>
      </c>
    </row>
    <row r="6141" spans="11:19" x14ac:dyDescent="0.3">
      <c r="K6141" s="16">
        <f t="shared" si="95"/>
        <v>44271</v>
      </c>
      <c r="L6141" s="17">
        <v>0.79166666666666663</v>
      </c>
      <c r="M6141" s="14">
        <v>880</v>
      </c>
      <c r="N6141" s="14">
        <v>710</v>
      </c>
      <c r="O6141" s="14">
        <v>0</v>
      </c>
      <c r="P6141" s="14">
        <v>1590</v>
      </c>
      <c r="Q6141">
        <v>11771</v>
      </c>
      <c r="R6141">
        <v>1794</v>
      </c>
      <c r="S6141">
        <v>0</v>
      </c>
    </row>
    <row r="6142" spans="11:19" x14ac:dyDescent="0.3">
      <c r="K6142" s="16">
        <f t="shared" si="95"/>
        <v>44271</v>
      </c>
      <c r="L6142" s="17">
        <v>0.83333333333333337</v>
      </c>
      <c r="M6142" s="14">
        <v>880</v>
      </c>
      <c r="N6142" s="14">
        <v>0</v>
      </c>
      <c r="O6142" s="14">
        <v>0</v>
      </c>
      <c r="P6142" s="14">
        <v>880</v>
      </c>
      <c r="Q6142">
        <v>10892</v>
      </c>
      <c r="R6142">
        <v>1852</v>
      </c>
      <c r="S6142">
        <v>0</v>
      </c>
    </row>
    <row r="6143" spans="11:19" x14ac:dyDescent="0.3">
      <c r="K6143" s="16">
        <f t="shared" si="95"/>
        <v>44271</v>
      </c>
      <c r="L6143" s="17">
        <v>0.875</v>
      </c>
      <c r="M6143" s="14">
        <v>880</v>
      </c>
      <c r="N6143" s="14">
        <v>1555</v>
      </c>
      <c r="O6143" s="14">
        <v>0</v>
      </c>
      <c r="P6143" s="14">
        <v>2435</v>
      </c>
      <c r="Q6143">
        <v>10184</v>
      </c>
      <c r="R6143">
        <v>1916</v>
      </c>
      <c r="S6143">
        <v>0</v>
      </c>
    </row>
    <row r="6144" spans="11:19" x14ac:dyDescent="0.3">
      <c r="K6144" s="16">
        <f t="shared" si="95"/>
        <v>44271</v>
      </c>
      <c r="L6144" s="17">
        <v>0.91666666666666663</v>
      </c>
      <c r="M6144" s="14">
        <v>880</v>
      </c>
      <c r="N6144" s="14">
        <v>1587</v>
      </c>
      <c r="O6144" s="14">
        <v>0</v>
      </c>
      <c r="P6144" s="14">
        <v>2467</v>
      </c>
      <c r="Q6144">
        <v>10310</v>
      </c>
      <c r="R6144">
        <v>2015</v>
      </c>
      <c r="S6144">
        <v>0</v>
      </c>
    </row>
    <row r="6145" spans="11:19" x14ac:dyDescent="0.3">
      <c r="K6145" s="16">
        <f t="shared" si="95"/>
        <v>44271</v>
      </c>
      <c r="L6145" s="17">
        <v>0.95833333333333337</v>
      </c>
      <c r="M6145" s="14">
        <v>880</v>
      </c>
      <c r="N6145" s="14">
        <v>2003</v>
      </c>
      <c r="O6145" s="14">
        <v>0</v>
      </c>
      <c r="P6145" s="14">
        <v>2883</v>
      </c>
      <c r="Q6145">
        <v>10459</v>
      </c>
      <c r="R6145">
        <v>1832</v>
      </c>
      <c r="S6145">
        <v>0</v>
      </c>
    </row>
    <row r="6146" spans="11:19" x14ac:dyDescent="0.3">
      <c r="K6146" s="16">
        <f t="shared" si="95"/>
        <v>44272</v>
      </c>
      <c r="L6146" s="17">
        <v>0</v>
      </c>
      <c r="M6146" s="14">
        <v>880</v>
      </c>
      <c r="N6146" s="14">
        <v>0</v>
      </c>
      <c r="O6146" s="14">
        <v>0</v>
      </c>
      <c r="P6146" s="14">
        <v>880</v>
      </c>
      <c r="Q6146">
        <v>9936</v>
      </c>
      <c r="R6146">
        <v>1600</v>
      </c>
      <c r="S6146">
        <v>0</v>
      </c>
    </row>
    <row r="6147" spans="11:19" x14ac:dyDescent="0.3">
      <c r="K6147" s="16">
        <f t="shared" si="95"/>
        <v>44272</v>
      </c>
      <c r="L6147" s="17">
        <v>4.1666666666666664E-2</v>
      </c>
      <c r="M6147" s="14">
        <v>880</v>
      </c>
      <c r="N6147" s="14">
        <v>0</v>
      </c>
      <c r="O6147" s="14">
        <v>0</v>
      </c>
      <c r="P6147" s="14">
        <v>880</v>
      </c>
      <c r="Q6147">
        <v>9599</v>
      </c>
      <c r="R6147">
        <v>1732</v>
      </c>
      <c r="S6147">
        <v>0</v>
      </c>
    </row>
    <row r="6148" spans="11:19" x14ac:dyDescent="0.3">
      <c r="K6148" s="16">
        <f t="shared" si="95"/>
        <v>44272</v>
      </c>
      <c r="L6148" s="17">
        <v>8.3333333333333329E-2</v>
      </c>
      <c r="M6148" s="14">
        <v>880</v>
      </c>
      <c r="N6148" s="14">
        <v>739</v>
      </c>
      <c r="O6148" s="14">
        <v>0</v>
      </c>
      <c r="P6148" s="14">
        <v>1619</v>
      </c>
      <c r="Q6148">
        <v>9312</v>
      </c>
      <c r="R6148">
        <v>1964</v>
      </c>
      <c r="S6148">
        <v>0</v>
      </c>
    </row>
    <row r="6149" spans="11:19" x14ac:dyDescent="0.3">
      <c r="K6149" s="16">
        <f t="shared" si="95"/>
        <v>44272</v>
      </c>
      <c r="L6149" s="17">
        <v>0.125</v>
      </c>
      <c r="M6149" s="14">
        <v>880</v>
      </c>
      <c r="N6149" s="14">
        <v>108</v>
      </c>
      <c r="O6149" s="14">
        <v>0</v>
      </c>
      <c r="P6149" s="14">
        <v>988</v>
      </c>
      <c r="Q6149">
        <v>8906</v>
      </c>
      <c r="R6149">
        <v>2185</v>
      </c>
      <c r="S6149">
        <v>0</v>
      </c>
    </row>
    <row r="6150" spans="11:19" x14ac:dyDescent="0.3">
      <c r="K6150" s="16">
        <f t="shared" si="95"/>
        <v>44272</v>
      </c>
      <c r="L6150" s="17">
        <v>0.16666666666666666</v>
      </c>
      <c r="M6150" s="14">
        <v>880</v>
      </c>
      <c r="N6150" s="14">
        <v>0</v>
      </c>
      <c r="O6150" s="14">
        <v>-69</v>
      </c>
      <c r="P6150" s="14">
        <v>811</v>
      </c>
      <c r="Q6150">
        <v>8838</v>
      </c>
      <c r="R6150">
        <v>2370</v>
      </c>
      <c r="S6150">
        <v>0</v>
      </c>
    </row>
    <row r="6151" spans="11:19" x14ac:dyDescent="0.3">
      <c r="K6151" s="16">
        <f t="shared" si="95"/>
        <v>44272</v>
      </c>
      <c r="L6151" s="17">
        <v>0.20833333333333334</v>
      </c>
      <c r="M6151" s="14">
        <v>880</v>
      </c>
      <c r="N6151" s="14">
        <v>184</v>
      </c>
      <c r="O6151" s="14">
        <v>0</v>
      </c>
      <c r="P6151" s="14">
        <v>1064</v>
      </c>
      <c r="Q6151">
        <v>9359</v>
      </c>
      <c r="R6151">
        <v>2630</v>
      </c>
      <c r="S6151">
        <v>0</v>
      </c>
    </row>
    <row r="6152" spans="11:19" x14ac:dyDescent="0.3">
      <c r="K6152" s="16">
        <f t="shared" si="95"/>
        <v>44272</v>
      </c>
      <c r="L6152" s="17">
        <v>0.25</v>
      </c>
      <c r="M6152" s="14">
        <v>880</v>
      </c>
      <c r="N6152" s="14">
        <v>0</v>
      </c>
      <c r="O6152" s="14">
        <v>10</v>
      </c>
      <c r="P6152" s="14">
        <v>890</v>
      </c>
      <c r="Q6152">
        <v>10464</v>
      </c>
      <c r="R6152">
        <v>2679</v>
      </c>
      <c r="S6152">
        <v>1</v>
      </c>
    </row>
    <row r="6153" spans="11:19" x14ac:dyDescent="0.3">
      <c r="K6153" s="16">
        <f t="shared" si="95"/>
        <v>44272</v>
      </c>
      <c r="L6153" s="17">
        <v>0.29166666666666669</v>
      </c>
      <c r="M6153" s="14">
        <v>880</v>
      </c>
      <c r="N6153" s="14">
        <v>1577</v>
      </c>
      <c r="O6153" s="14">
        <v>45</v>
      </c>
      <c r="P6153" s="14">
        <v>2502</v>
      </c>
      <c r="Q6153">
        <v>11174</v>
      </c>
      <c r="R6153">
        <v>2898</v>
      </c>
      <c r="S6153">
        <v>74</v>
      </c>
    </row>
    <row r="6154" spans="11:19" x14ac:dyDescent="0.3">
      <c r="K6154" s="16">
        <f t="shared" si="95"/>
        <v>44272</v>
      </c>
      <c r="L6154" s="17">
        <v>0.33333333333333331</v>
      </c>
      <c r="M6154" s="14">
        <v>880</v>
      </c>
      <c r="N6154" s="14">
        <v>1392</v>
      </c>
      <c r="O6154" s="14">
        <v>0</v>
      </c>
      <c r="P6154" s="14">
        <v>2272</v>
      </c>
      <c r="Q6154">
        <v>11409</v>
      </c>
      <c r="R6154">
        <v>3021</v>
      </c>
      <c r="S6154">
        <v>417</v>
      </c>
    </row>
    <row r="6155" spans="11:19" x14ac:dyDescent="0.3">
      <c r="K6155" s="16">
        <f t="shared" si="95"/>
        <v>44272</v>
      </c>
      <c r="L6155" s="17">
        <v>0.375</v>
      </c>
      <c r="M6155" s="14">
        <v>880</v>
      </c>
      <c r="N6155" s="14">
        <v>1360</v>
      </c>
      <c r="O6155" s="14">
        <v>0</v>
      </c>
      <c r="P6155" s="14">
        <v>2240</v>
      </c>
      <c r="Q6155">
        <v>11401</v>
      </c>
      <c r="R6155">
        <v>2669</v>
      </c>
      <c r="S6155">
        <v>878</v>
      </c>
    </row>
    <row r="6156" spans="11:19" x14ac:dyDescent="0.3">
      <c r="K6156" s="16">
        <f t="shared" si="95"/>
        <v>44272</v>
      </c>
      <c r="L6156" s="17">
        <v>0.41666666666666669</v>
      </c>
      <c r="M6156" s="14">
        <v>880</v>
      </c>
      <c r="N6156" s="14">
        <v>989</v>
      </c>
      <c r="O6156" s="14">
        <v>0</v>
      </c>
      <c r="P6156" s="14">
        <v>1869</v>
      </c>
      <c r="Q6156">
        <v>11265</v>
      </c>
      <c r="R6156">
        <v>2567</v>
      </c>
      <c r="S6156">
        <v>1218</v>
      </c>
    </row>
    <row r="6157" spans="11:19" x14ac:dyDescent="0.3">
      <c r="K6157" s="16">
        <f t="shared" si="95"/>
        <v>44272</v>
      </c>
      <c r="L6157" s="17">
        <v>0.45833333333333331</v>
      </c>
      <c r="M6157" s="14">
        <v>880</v>
      </c>
      <c r="N6157" s="14">
        <v>893</v>
      </c>
      <c r="O6157" s="14">
        <v>0</v>
      </c>
      <c r="P6157" s="14">
        <v>1773</v>
      </c>
      <c r="Q6157">
        <v>11286</v>
      </c>
      <c r="R6157">
        <v>2561</v>
      </c>
      <c r="S6157">
        <v>1342</v>
      </c>
    </row>
    <row r="6158" spans="11:19" x14ac:dyDescent="0.3">
      <c r="K6158" s="16">
        <f t="shared" si="95"/>
        <v>44272</v>
      </c>
      <c r="L6158" s="17">
        <v>0.5</v>
      </c>
      <c r="M6158" s="14">
        <v>880</v>
      </c>
      <c r="N6158" s="14">
        <v>596</v>
      </c>
      <c r="O6158" s="14">
        <v>0</v>
      </c>
      <c r="P6158" s="14">
        <v>1476</v>
      </c>
      <c r="Q6158">
        <v>11300</v>
      </c>
      <c r="R6158">
        <v>2790</v>
      </c>
      <c r="S6158">
        <v>1424</v>
      </c>
    </row>
    <row r="6159" spans="11:19" x14ac:dyDescent="0.3">
      <c r="K6159" s="16">
        <f t="shared" si="95"/>
        <v>44272</v>
      </c>
      <c r="L6159" s="17">
        <v>0.54166666666666663</v>
      </c>
      <c r="M6159" s="14">
        <v>880</v>
      </c>
      <c r="N6159" s="14">
        <v>0</v>
      </c>
      <c r="O6159" s="14">
        <v>0</v>
      </c>
      <c r="P6159" s="14">
        <v>880</v>
      </c>
      <c r="Q6159">
        <v>11047</v>
      </c>
      <c r="R6159">
        <v>2778</v>
      </c>
      <c r="S6159">
        <v>1318</v>
      </c>
    </row>
    <row r="6160" spans="11:19" x14ac:dyDescent="0.3">
      <c r="K6160" s="16">
        <f t="shared" si="95"/>
        <v>44272</v>
      </c>
      <c r="L6160" s="17">
        <v>0.58333333333333337</v>
      </c>
      <c r="M6160" s="14">
        <v>880</v>
      </c>
      <c r="N6160" s="14">
        <v>108</v>
      </c>
      <c r="O6160" s="14">
        <v>0</v>
      </c>
      <c r="P6160" s="14">
        <v>988</v>
      </c>
      <c r="Q6160">
        <v>10796</v>
      </c>
      <c r="R6160">
        <v>2956</v>
      </c>
      <c r="S6160">
        <v>1163</v>
      </c>
    </row>
    <row r="6161" spans="11:19" x14ac:dyDescent="0.3">
      <c r="K6161" s="16">
        <f t="shared" si="95"/>
        <v>44272</v>
      </c>
      <c r="L6161" s="17">
        <v>0.625</v>
      </c>
      <c r="M6161" s="14">
        <v>880</v>
      </c>
      <c r="N6161" s="14">
        <v>147</v>
      </c>
      <c r="O6161" s="14">
        <v>0</v>
      </c>
      <c r="P6161" s="14">
        <v>1027</v>
      </c>
      <c r="Q6161">
        <v>10512</v>
      </c>
      <c r="R6161">
        <v>2878</v>
      </c>
      <c r="S6161">
        <v>919</v>
      </c>
    </row>
    <row r="6162" spans="11:19" x14ac:dyDescent="0.3">
      <c r="K6162" s="16">
        <f t="shared" si="95"/>
        <v>44272</v>
      </c>
      <c r="L6162" s="17">
        <v>0.66666666666666663</v>
      </c>
      <c r="M6162" s="14">
        <v>880</v>
      </c>
      <c r="N6162" s="14">
        <v>0</v>
      </c>
      <c r="O6162" s="14">
        <v>0</v>
      </c>
      <c r="P6162" s="14">
        <v>880</v>
      </c>
      <c r="Q6162">
        <v>10285</v>
      </c>
      <c r="R6162">
        <v>3068</v>
      </c>
      <c r="S6162">
        <v>594</v>
      </c>
    </row>
    <row r="6163" spans="11:19" x14ac:dyDescent="0.3">
      <c r="K6163" s="16">
        <f t="shared" si="95"/>
        <v>44272</v>
      </c>
      <c r="L6163" s="17">
        <v>0.70833333333333337</v>
      </c>
      <c r="M6163" s="14">
        <v>880</v>
      </c>
      <c r="N6163" s="14">
        <v>556</v>
      </c>
      <c r="O6163" s="14">
        <v>0</v>
      </c>
      <c r="P6163" s="14">
        <v>1436</v>
      </c>
      <c r="Q6163">
        <v>10297</v>
      </c>
      <c r="R6163">
        <v>2902</v>
      </c>
      <c r="S6163">
        <v>269</v>
      </c>
    </row>
    <row r="6164" spans="11:19" x14ac:dyDescent="0.3">
      <c r="K6164" s="16">
        <f t="shared" si="95"/>
        <v>44272</v>
      </c>
      <c r="L6164" s="17">
        <v>0.75</v>
      </c>
      <c r="M6164" s="14">
        <v>880</v>
      </c>
      <c r="N6164" s="14">
        <v>0</v>
      </c>
      <c r="O6164" s="14">
        <v>0</v>
      </c>
      <c r="P6164" s="14">
        <v>880</v>
      </c>
      <c r="Q6164">
        <v>10886</v>
      </c>
      <c r="R6164">
        <v>2761</v>
      </c>
      <c r="S6164">
        <v>35</v>
      </c>
    </row>
    <row r="6165" spans="11:19" x14ac:dyDescent="0.3">
      <c r="K6165" s="16">
        <f t="shared" si="95"/>
        <v>44272</v>
      </c>
      <c r="L6165" s="17">
        <v>0.79166666666666663</v>
      </c>
      <c r="M6165" s="14">
        <v>880</v>
      </c>
      <c r="N6165" s="14">
        <v>1577</v>
      </c>
      <c r="O6165" s="14">
        <v>0</v>
      </c>
      <c r="P6165" s="14">
        <v>2457</v>
      </c>
      <c r="Q6165">
        <v>11356</v>
      </c>
      <c r="R6165">
        <v>2654</v>
      </c>
      <c r="S6165">
        <v>0</v>
      </c>
    </row>
    <row r="6166" spans="11:19" x14ac:dyDescent="0.3">
      <c r="K6166" s="16">
        <f t="shared" si="95"/>
        <v>44272</v>
      </c>
      <c r="L6166" s="17">
        <v>0.83333333333333337</v>
      </c>
      <c r="M6166" s="14">
        <v>880</v>
      </c>
      <c r="N6166" s="14">
        <v>1412</v>
      </c>
      <c r="O6166" s="14">
        <v>0</v>
      </c>
      <c r="P6166" s="14">
        <v>2292</v>
      </c>
      <c r="Q6166">
        <v>10508</v>
      </c>
      <c r="R6166">
        <v>2616</v>
      </c>
      <c r="S6166">
        <v>0</v>
      </c>
    </row>
    <row r="6167" spans="11:19" x14ac:dyDescent="0.3">
      <c r="K6167" s="16">
        <f t="shared" si="95"/>
        <v>44272</v>
      </c>
      <c r="L6167" s="17">
        <v>0.875</v>
      </c>
      <c r="M6167" s="14">
        <v>880</v>
      </c>
      <c r="N6167" s="14">
        <v>1152</v>
      </c>
      <c r="O6167" s="14">
        <v>0</v>
      </c>
      <c r="P6167" s="14">
        <v>2032</v>
      </c>
      <c r="Q6167">
        <v>9843</v>
      </c>
      <c r="R6167">
        <v>2219</v>
      </c>
      <c r="S6167">
        <v>0</v>
      </c>
    </row>
    <row r="6168" spans="11:19" x14ac:dyDescent="0.3">
      <c r="K6168" s="16">
        <f t="shared" si="95"/>
        <v>44272</v>
      </c>
      <c r="L6168" s="17">
        <v>0.91666666666666663</v>
      </c>
      <c r="M6168" s="14">
        <v>880</v>
      </c>
      <c r="N6168" s="14">
        <v>1458</v>
      </c>
      <c r="O6168" s="14">
        <v>0</v>
      </c>
      <c r="P6168" s="14">
        <v>2338</v>
      </c>
      <c r="Q6168">
        <v>9941</v>
      </c>
      <c r="R6168">
        <v>2016</v>
      </c>
      <c r="S6168">
        <v>0</v>
      </c>
    </row>
    <row r="6169" spans="11:19" x14ac:dyDescent="0.3">
      <c r="K6169" s="16">
        <f t="shared" si="95"/>
        <v>44272</v>
      </c>
      <c r="L6169" s="17">
        <v>0.95833333333333337</v>
      </c>
      <c r="M6169" s="14">
        <v>880</v>
      </c>
      <c r="N6169" s="14">
        <v>1396</v>
      </c>
      <c r="O6169" s="14">
        <v>0</v>
      </c>
      <c r="P6169" s="14">
        <v>2276</v>
      </c>
      <c r="Q6169">
        <v>10075</v>
      </c>
      <c r="R6169">
        <v>2216</v>
      </c>
      <c r="S6169">
        <v>0</v>
      </c>
    </row>
    <row r="6170" spans="11:19" x14ac:dyDescent="0.3">
      <c r="K6170" s="16">
        <f t="shared" si="95"/>
        <v>44273</v>
      </c>
      <c r="L6170" s="17">
        <v>0</v>
      </c>
      <c r="M6170" s="14">
        <v>880</v>
      </c>
      <c r="N6170" s="14">
        <v>0</v>
      </c>
      <c r="O6170" s="14">
        <v>0</v>
      </c>
      <c r="P6170" s="14">
        <v>880</v>
      </c>
      <c r="Q6170">
        <v>9541</v>
      </c>
      <c r="R6170">
        <v>2000</v>
      </c>
      <c r="S6170">
        <v>0</v>
      </c>
    </row>
    <row r="6171" spans="11:19" x14ac:dyDescent="0.3">
      <c r="K6171" s="16">
        <f t="shared" ref="K6171:K6234" si="96">K6147+1</f>
        <v>44273</v>
      </c>
      <c r="L6171" s="17">
        <v>4.1666666666666664E-2</v>
      </c>
      <c r="M6171" s="14">
        <v>880</v>
      </c>
      <c r="N6171" s="14">
        <v>0</v>
      </c>
      <c r="O6171" s="14">
        <v>0</v>
      </c>
      <c r="P6171" s="14">
        <v>880</v>
      </c>
      <c r="Q6171">
        <v>9199</v>
      </c>
      <c r="R6171">
        <v>1744</v>
      </c>
      <c r="S6171">
        <v>0</v>
      </c>
    </row>
    <row r="6172" spans="11:19" x14ac:dyDescent="0.3">
      <c r="K6172" s="16">
        <f t="shared" si="96"/>
        <v>44273</v>
      </c>
      <c r="L6172" s="17">
        <v>8.3333333333333329E-2</v>
      </c>
      <c r="M6172" s="14">
        <v>880</v>
      </c>
      <c r="N6172" s="14">
        <v>751</v>
      </c>
      <c r="O6172" s="14">
        <v>0</v>
      </c>
      <c r="P6172" s="14">
        <v>1631</v>
      </c>
      <c r="Q6172">
        <v>8921</v>
      </c>
      <c r="R6172">
        <v>1644</v>
      </c>
      <c r="S6172">
        <v>0</v>
      </c>
    </row>
    <row r="6173" spans="11:19" x14ac:dyDescent="0.3">
      <c r="K6173" s="16">
        <f t="shared" si="96"/>
        <v>44273</v>
      </c>
      <c r="L6173" s="17">
        <v>0.125</v>
      </c>
      <c r="M6173" s="14">
        <v>880</v>
      </c>
      <c r="N6173" s="14">
        <v>607</v>
      </c>
      <c r="O6173" s="14">
        <v>0</v>
      </c>
      <c r="P6173" s="14">
        <v>1487</v>
      </c>
      <c r="Q6173">
        <v>8539</v>
      </c>
      <c r="R6173">
        <v>1402</v>
      </c>
      <c r="S6173">
        <v>0</v>
      </c>
    </row>
    <row r="6174" spans="11:19" x14ac:dyDescent="0.3">
      <c r="K6174" s="16">
        <f t="shared" si="96"/>
        <v>44273</v>
      </c>
      <c r="L6174" s="17">
        <v>0.16666666666666666</v>
      </c>
      <c r="M6174" s="14">
        <v>880</v>
      </c>
      <c r="N6174" s="14">
        <v>853</v>
      </c>
      <c r="O6174" s="14">
        <v>0</v>
      </c>
      <c r="P6174" s="14">
        <v>1733</v>
      </c>
      <c r="Q6174">
        <v>8502</v>
      </c>
      <c r="R6174">
        <v>1116</v>
      </c>
      <c r="S6174">
        <v>0</v>
      </c>
    </row>
    <row r="6175" spans="11:19" x14ac:dyDescent="0.3">
      <c r="K6175" s="16">
        <f t="shared" si="96"/>
        <v>44273</v>
      </c>
      <c r="L6175" s="17">
        <v>0.20833333333333334</v>
      </c>
      <c r="M6175" s="14">
        <v>880</v>
      </c>
      <c r="N6175" s="14">
        <v>0</v>
      </c>
      <c r="O6175" s="14">
        <v>1200</v>
      </c>
      <c r="P6175" s="14">
        <v>2080</v>
      </c>
      <c r="Q6175">
        <v>9057</v>
      </c>
      <c r="R6175">
        <v>1016</v>
      </c>
      <c r="S6175">
        <v>0</v>
      </c>
    </row>
    <row r="6176" spans="11:19" x14ac:dyDescent="0.3">
      <c r="K6176" s="16">
        <f t="shared" si="96"/>
        <v>44273</v>
      </c>
      <c r="L6176" s="17">
        <v>0.25</v>
      </c>
      <c r="M6176" s="14">
        <v>880</v>
      </c>
      <c r="N6176" s="14">
        <v>1235</v>
      </c>
      <c r="O6176" s="14">
        <v>1200</v>
      </c>
      <c r="P6176" s="14">
        <v>3315</v>
      </c>
      <c r="Q6176">
        <v>10211</v>
      </c>
      <c r="R6176">
        <v>867</v>
      </c>
      <c r="S6176">
        <v>3</v>
      </c>
    </row>
    <row r="6177" spans="11:19" x14ac:dyDescent="0.3">
      <c r="K6177" s="16">
        <f t="shared" si="96"/>
        <v>44273</v>
      </c>
      <c r="L6177" s="17">
        <v>0.29166666666666669</v>
      </c>
      <c r="M6177" s="14">
        <v>880</v>
      </c>
      <c r="N6177" s="14">
        <v>1235</v>
      </c>
      <c r="O6177" s="14">
        <v>1200</v>
      </c>
      <c r="P6177" s="14">
        <v>3315</v>
      </c>
      <c r="Q6177">
        <v>10977</v>
      </c>
      <c r="R6177">
        <v>945</v>
      </c>
      <c r="S6177">
        <v>64</v>
      </c>
    </row>
    <row r="6178" spans="11:19" x14ac:dyDescent="0.3">
      <c r="K6178" s="16">
        <f t="shared" si="96"/>
        <v>44273</v>
      </c>
      <c r="L6178" s="17">
        <v>0.33333333333333331</v>
      </c>
      <c r="M6178" s="14">
        <v>880</v>
      </c>
      <c r="N6178" s="14">
        <v>1235</v>
      </c>
      <c r="O6178" s="14">
        <v>1200</v>
      </c>
      <c r="P6178" s="14">
        <v>3315</v>
      </c>
      <c r="Q6178">
        <v>11261</v>
      </c>
      <c r="R6178">
        <v>1113</v>
      </c>
      <c r="S6178">
        <v>413</v>
      </c>
    </row>
    <row r="6179" spans="11:19" x14ac:dyDescent="0.3">
      <c r="K6179" s="16">
        <f t="shared" si="96"/>
        <v>44273</v>
      </c>
      <c r="L6179" s="17">
        <v>0.375</v>
      </c>
      <c r="M6179" s="14">
        <v>880</v>
      </c>
      <c r="N6179" s="14">
        <v>1235</v>
      </c>
      <c r="O6179" s="14">
        <v>420</v>
      </c>
      <c r="P6179" s="14">
        <v>2535</v>
      </c>
      <c r="Q6179">
        <v>11248</v>
      </c>
      <c r="R6179">
        <v>1497</v>
      </c>
      <c r="S6179">
        <v>997</v>
      </c>
    </row>
    <row r="6180" spans="11:19" x14ac:dyDescent="0.3">
      <c r="K6180" s="16">
        <f t="shared" si="96"/>
        <v>44273</v>
      </c>
      <c r="L6180" s="17">
        <v>0.41666666666666669</v>
      </c>
      <c r="M6180" s="14">
        <v>880</v>
      </c>
      <c r="N6180" s="14">
        <v>1235</v>
      </c>
      <c r="O6180" s="14">
        <v>0</v>
      </c>
      <c r="P6180" s="14">
        <v>2115</v>
      </c>
      <c r="Q6180">
        <v>11074</v>
      </c>
      <c r="R6180">
        <v>1773</v>
      </c>
      <c r="S6180">
        <v>1450</v>
      </c>
    </row>
    <row r="6181" spans="11:19" x14ac:dyDescent="0.3">
      <c r="K6181" s="16">
        <f t="shared" si="96"/>
        <v>44273</v>
      </c>
      <c r="L6181" s="17">
        <v>0.45833333333333331</v>
      </c>
      <c r="M6181" s="14">
        <v>880</v>
      </c>
      <c r="N6181" s="14">
        <v>0</v>
      </c>
      <c r="O6181" s="14">
        <v>641</v>
      </c>
      <c r="P6181" s="14">
        <v>1521</v>
      </c>
      <c r="Q6181">
        <v>11064</v>
      </c>
      <c r="R6181">
        <v>2219</v>
      </c>
      <c r="S6181">
        <v>1718</v>
      </c>
    </row>
    <row r="6182" spans="11:19" x14ac:dyDescent="0.3">
      <c r="K6182" s="16">
        <f t="shared" si="96"/>
        <v>44273</v>
      </c>
      <c r="L6182" s="17">
        <v>0.5</v>
      </c>
      <c r="M6182" s="14">
        <v>880</v>
      </c>
      <c r="N6182" s="14">
        <v>0</v>
      </c>
      <c r="O6182" s="14">
        <v>0</v>
      </c>
      <c r="P6182" s="14">
        <v>880</v>
      </c>
      <c r="Q6182">
        <v>11029</v>
      </c>
      <c r="R6182">
        <v>2450</v>
      </c>
      <c r="S6182">
        <v>1881</v>
      </c>
    </row>
    <row r="6183" spans="11:19" x14ac:dyDescent="0.3">
      <c r="K6183" s="16">
        <f t="shared" si="96"/>
        <v>44273</v>
      </c>
      <c r="L6183" s="17">
        <v>0.54166666666666663</v>
      </c>
      <c r="M6183" s="14">
        <v>880</v>
      </c>
      <c r="N6183" s="14">
        <v>0</v>
      </c>
      <c r="O6183" s="14">
        <v>-461</v>
      </c>
      <c r="P6183" s="14">
        <v>419</v>
      </c>
      <c r="Q6183">
        <v>10751</v>
      </c>
      <c r="R6183">
        <v>2766</v>
      </c>
      <c r="S6183">
        <v>1961</v>
      </c>
    </row>
    <row r="6184" spans="11:19" x14ac:dyDescent="0.3">
      <c r="K6184" s="16">
        <f t="shared" si="96"/>
        <v>44273</v>
      </c>
      <c r="L6184" s="17">
        <v>0.58333333333333337</v>
      </c>
      <c r="M6184" s="14">
        <v>880</v>
      </c>
      <c r="N6184" s="14">
        <v>0</v>
      </c>
      <c r="O6184" s="14">
        <v>-1062</v>
      </c>
      <c r="P6184" s="14">
        <v>-182</v>
      </c>
      <c r="Q6184">
        <v>10473</v>
      </c>
      <c r="R6184">
        <v>3192</v>
      </c>
      <c r="S6184">
        <v>1859</v>
      </c>
    </row>
    <row r="6185" spans="11:19" x14ac:dyDescent="0.3">
      <c r="K6185" s="16">
        <f t="shared" si="96"/>
        <v>44273</v>
      </c>
      <c r="L6185" s="17">
        <v>0.625</v>
      </c>
      <c r="M6185" s="14">
        <v>880</v>
      </c>
      <c r="N6185" s="14">
        <v>0</v>
      </c>
      <c r="O6185" s="14">
        <v>-1056</v>
      </c>
      <c r="P6185" s="14">
        <v>-176</v>
      </c>
      <c r="Q6185">
        <v>10167</v>
      </c>
      <c r="R6185">
        <v>3321</v>
      </c>
      <c r="S6185">
        <v>1498</v>
      </c>
    </row>
    <row r="6186" spans="11:19" x14ac:dyDescent="0.3">
      <c r="K6186" s="16">
        <f t="shared" si="96"/>
        <v>44273</v>
      </c>
      <c r="L6186" s="17">
        <v>0.66666666666666663</v>
      </c>
      <c r="M6186" s="14">
        <v>880</v>
      </c>
      <c r="N6186" s="14">
        <v>0</v>
      </c>
      <c r="O6186" s="14">
        <v>-1200</v>
      </c>
      <c r="P6186" s="14">
        <v>-320</v>
      </c>
      <c r="Q6186">
        <v>9931</v>
      </c>
      <c r="R6186">
        <v>3753</v>
      </c>
      <c r="S6186">
        <v>1008</v>
      </c>
    </row>
    <row r="6187" spans="11:19" x14ac:dyDescent="0.3">
      <c r="K6187" s="16">
        <f t="shared" si="96"/>
        <v>44273</v>
      </c>
      <c r="L6187" s="17">
        <v>0.70833333333333337</v>
      </c>
      <c r="M6187" s="14">
        <v>880</v>
      </c>
      <c r="N6187" s="14">
        <v>0</v>
      </c>
      <c r="O6187" s="14">
        <v>-828</v>
      </c>
      <c r="P6187" s="14">
        <v>52</v>
      </c>
      <c r="Q6187">
        <v>9946</v>
      </c>
      <c r="R6187">
        <v>3960</v>
      </c>
      <c r="S6187">
        <v>408</v>
      </c>
    </row>
    <row r="6188" spans="11:19" x14ac:dyDescent="0.3">
      <c r="K6188" s="16">
        <f t="shared" si="96"/>
        <v>44273</v>
      </c>
      <c r="L6188" s="17">
        <v>0.75</v>
      </c>
      <c r="M6188" s="14">
        <v>880</v>
      </c>
      <c r="N6188" s="14">
        <v>0</v>
      </c>
      <c r="O6188" s="14">
        <v>0</v>
      </c>
      <c r="P6188" s="14">
        <v>880</v>
      </c>
      <c r="Q6188">
        <v>10561</v>
      </c>
      <c r="R6188">
        <v>4085</v>
      </c>
      <c r="S6188">
        <v>68</v>
      </c>
    </row>
    <row r="6189" spans="11:19" x14ac:dyDescent="0.3">
      <c r="K6189" s="16">
        <f t="shared" si="96"/>
        <v>44273</v>
      </c>
      <c r="L6189" s="17">
        <v>0.79166666666666663</v>
      </c>
      <c r="M6189" s="14">
        <v>880</v>
      </c>
      <c r="N6189" s="14">
        <v>0</v>
      </c>
      <c r="O6189" s="14">
        <v>0</v>
      </c>
      <c r="P6189" s="14">
        <v>880</v>
      </c>
      <c r="Q6189">
        <v>11089</v>
      </c>
      <c r="R6189">
        <v>4412</v>
      </c>
      <c r="S6189">
        <v>0</v>
      </c>
    </row>
    <row r="6190" spans="11:19" x14ac:dyDescent="0.3">
      <c r="K6190" s="16">
        <f t="shared" si="96"/>
        <v>44273</v>
      </c>
      <c r="L6190" s="17">
        <v>0.83333333333333337</v>
      </c>
      <c r="M6190" s="14">
        <v>880</v>
      </c>
      <c r="N6190" s="14">
        <v>0</v>
      </c>
      <c r="O6190" s="14">
        <v>-422</v>
      </c>
      <c r="P6190" s="14">
        <v>458</v>
      </c>
      <c r="Q6190">
        <v>10299</v>
      </c>
      <c r="R6190">
        <v>4404</v>
      </c>
      <c r="S6190">
        <v>0</v>
      </c>
    </row>
    <row r="6191" spans="11:19" x14ac:dyDescent="0.3">
      <c r="K6191" s="16">
        <f t="shared" si="96"/>
        <v>44273</v>
      </c>
      <c r="L6191" s="17">
        <v>0.875</v>
      </c>
      <c r="M6191" s="14">
        <v>880</v>
      </c>
      <c r="N6191" s="14">
        <v>0</v>
      </c>
      <c r="O6191" s="14">
        <v>-977</v>
      </c>
      <c r="P6191" s="14">
        <v>-97</v>
      </c>
      <c r="Q6191">
        <v>9660</v>
      </c>
      <c r="R6191">
        <v>4329</v>
      </c>
      <c r="S6191">
        <v>0</v>
      </c>
    </row>
    <row r="6192" spans="11:19" x14ac:dyDescent="0.3">
      <c r="K6192" s="16">
        <f t="shared" si="96"/>
        <v>44273</v>
      </c>
      <c r="L6192" s="17">
        <v>0.91666666666666663</v>
      </c>
      <c r="M6192" s="14">
        <v>880</v>
      </c>
      <c r="N6192" s="14">
        <v>0</v>
      </c>
      <c r="O6192" s="14">
        <v>-680</v>
      </c>
      <c r="P6192" s="14">
        <v>200</v>
      </c>
      <c r="Q6192">
        <v>9763</v>
      </c>
      <c r="R6192">
        <v>4140</v>
      </c>
      <c r="S6192">
        <v>0</v>
      </c>
    </row>
    <row r="6193" spans="11:19" x14ac:dyDescent="0.3">
      <c r="K6193" s="16">
        <f t="shared" si="96"/>
        <v>44273</v>
      </c>
      <c r="L6193" s="17">
        <v>0.95833333333333337</v>
      </c>
      <c r="M6193" s="14">
        <v>880</v>
      </c>
      <c r="N6193" s="14">
        <v>0</v>
      </c>
      <c r="O6193" s="14">
        <v>-639</v>
      </c>
      <c r="P6193" s="14">
        <v>241</v>
      </c>
      <c r="Q6193">
        <v>9904</v>
      </c>
      <c r="R6193">
        <v>4244</v>
      </c>
      <c r="S6193">
        <v>0</v>
      </c>
    </row>
    <row r="6194" spans="11:19" x14ac:dyDescent="0.3">
      <c r="K6194" s="16">
        <f t="shared" si="96"/>
        <v>44274</v>
      </c>
      <c r="L6194" s="17">
        <v>0</v>
      </c>
      <c r="M6194" s="14">
        <v>880</v>
      </c>
      <c r="N6194" s="14">
        <v>0</v>
      </c>
      <c r="O6194" s="14">
        <v>0</v>
      </c>
      <c r="P6194" s="14">
        <v>880</v>
      </c>
      <c r="Q6194">
        <v>9344</v>
      </c>
      <c r="R6194">
        <v>4041</v>
      </c>
      <c r="S6194">
        <v>0</v>
      </c>
    </row>
    <row r="6195" spans="11:19" x14ac:dyDescent="0.3">
      <c r="K6195" s="16">
        <f t="shared" si="96"/>
        <v>44274</v>
      </c>
      <c r="L6195" s="17">
        <v>4.1666666666666664E-2</v>
      </c>
      <c r="M6195" s="14">
        <v>880</v>
      </c>
      <c r="N6195" s="14">
        <v>0</v>
      </c>
      <c r="O6195" s="14">
        <v>0</v>
      </c>
      <c r="P6195" s="14">
        <v>880</v>
      </c>
      <c r="Q6195">
        <v>8951</v>
      </c>
      <c r="R6195">
        <v>3970</v>
      </c>
      <c r="S6195">
        <v>0</v>
      </c>
    </row>
    <row r="6196" spans="11:19" x14ac:dyDescent="0.3">
      <c r="K6196" s="16">
        <f t="shared" si="96"/>
        <v>44274</v>
      </c>
      <c r="L6196" s="17">
        <v>8.3333333333333329E-2</v>
      </c>
      <c r="M6196" s="14">
        <v>880</v>
      </c>
      <c r="N6196" s="14">
        <v>0</v>
      </c>
      <c r="O6196" s="14">
        <v>0</v>
      </c>
      <c r="P6196" s="14">
        <v>880</v>
      </c>
      <c r="Q6196">
        <v>8640</v>
      </c>
      <c r="R6196">
        <v>3929</v>
      </c>
      <c r="S6196">
        <v>0</v>
      </c>
    </row>
    <row r="6197" spans="11:19" x14ac:dyDescent="0.3">
      <c r="K6197" s="16">
        <f t="shared" si="96"/>
        <v>44274</v>
      </c>
      <c r="L6197" s="17">
        <v>0.125</v>
      </c>
      <c r="M6197" s="14">
        <v>880</v>
      </c>
      <c r="N6197" s="14">
        <v>0</v>
      </c>
      <c r="O6197" s="14">
        <v>-235</v>
      </c>
      <c r="P6197" s="14">
        <v>645</v>
      </c>
      <c r="Q6197">
        <v>8204</v>
      </c>
      <c r="R6197">
        <v>3900</v>
      </c>
      <c r="S6197">
        <v>0</v>
      </c>
    </row>
    <row r="6198" spans="11:19" x14ac:dyDescent="0.3">
      <c r="K6198" s="16">
        <f t="shared" si="96"/>
        <v>44274</v>
      </c>
      <c r="L6198" s="17">
        <v>0.16666666666666666</v>
      </c>
      <c r="M6198" s="14">
        <v>880</v>
      </c>
      <c r="N6198" s="14">
        <v>0</v>
      </c>
      <c r="O6198" s="14">
        <v>-257</v>
      </c>
      <c r="P6198" s="14">
        <v>623</v>
      </c>
      <c r="Q6198">
        <v>8105</v>
      </c>
      <c r="R6198">
        <v>3819</v>
      </c>
      <c r="S6198">
        <v>0</v>
      </c>
    </row>
    <row r="6199" spans="11:19" x14ac:dyDescent="0.3">
      <c r="K6199" s="16">
        <f t="shared" si="96"/>
        <v>44274</v>
      </c>
      <c r="L6199" s="17">
        <v>0.20833333333333334</v>
      </c>
      <c r="M6199" s="14">
        <v>880</v>
      </c>
      <c r="N6199" s="14">
        <v>0</v>
      </c>
      <c r="O6199" s="14">
        <v>0</v>
      </c>
      <c r="P6199" s="14">
        <v>880</v>
      </c>
      <c r="Q6199">
        <v>8590</v>
      </c>
      <c r="R6199">
        <v>3931</v>
      </c>
      <c r="S6199">
        <v>0</v>
      </c>
    </row>
    <row r="6200" spans="11:19" x14ac:dyDescent="0.3">
      <c r="K6200" s="16">
        <f t="shared" si="96"/>
        <v>44274</v>
      </c>
      <c r="L6200" s="17">
        <v>0.25</v>
      </c>
      <c r="M6200" s="14">
        <v>880</v>
      </c>
      <c r="N6200" s="14">
        <v>0</v>
      </c>
      <c r="O6200" s="14">
        <v>135</v>
      </c>
      <c r="P6200" s="14">
        <v>1015</v>
      </c>
      <c r="Q6200">
        <v>9614</v>
      </c>
      <c r="R6200">
        <v>3739</v>
      </c>
      <c r="S6200">
        <v>0</v>
      </c>
    </row>
    <row r="6201" spans="11:19" x14ac:dyDescent="0.3">
      <c r="K6201" s="16">
        <f t="shared" si="96"/>
        <v>44274</v>
      </c>
      <c r="L6201" s="17">
        <v>0.29166666666666669</v>
      </c>
      <c r="M6201" s="14">
        <v>880</v>
      </c>
      <c r="N6201" s="14">
        <v>0</v>
      </c>
      <c r="O6201" s="14">
        <v>789</v>
      </c>
      <c r="P6201" s="14">
        <v>1669</v>
      </c>
      <c r="Q6201">
        <v>10310</v>
      </c>
      <c r="R6201">
        <v>3744</v>
      </c>
      <c r="S6201">
        <v>58</v>
      </c>
    </row>
    <row r="6202" spans="11:19" x14ac:dyDescent="0.3">
      <c r="K6202" s="16">
        <f t="shared" si="96"/>
        <v>44274</v>
      </c>
      <c r="L6202" s="17">
        <v>0.33333333333333331</v>
      </c>
      <c r="M6202" s="14">
        <v>880</v>
      </c>
      <c r="N6202" s="14">
        <v>0</v>
      </c>
      <c r="O6202" s="14">
        <v>0</v>
      </c>
      <c r="P6202" s="14">
        <v>880</v>
      </c>
      <c r="Q6202">
        <v>10570</v>
      </c>
      <c r="R6202">
        <v>3868</v>
      </c>
      <c r="S6202">
        <v>376</v>
      </c>
    </row>
    <row r="6203" spans="11:19" x14ac:dyDescent="0.3">
      <c r="K6203" s="16">
        <f t="shared" si="96"/>
        <v>44274</v>
      </c>
      <c r="L6203" s="17">
        <v>0.375</v>
      </c>
      <c r="M6203" s="14">
        <v>880</v>
      </c>
      <c r="N6203" s="14">
        <v>0</v>
      </c>
      <c r="O6203" s="14">
        <v>0</v>
      </c>
      <c r="P6203" s="14">
        <v>880</v>
      </c>
      <c r="Q6203">
        <v>10650</v>
      </c>
      <c r="R6203">
        <v>4027</v>
      </c>
      <c r="S6203">
        <v>812</v>
      </c>
    </row>
    <row r="6204" spans="11:19" x14ac:dyDescent="0.3">
      <c r="K6204" s="16">
        <f t="shared" si="96"/>
        <v>44274</v>
      </c>
      <c r="L6204" s="17">
        <v>0.41666666666666669</v>
      </c>
      <c r="M6204" s="14">
        <v>880</v>
      </c>
      <c r="N6204" s="14">
        <v>0</v>
      </c>
      <c r="O6204" s="14">
        <v>0</v>
      </c>
      <c r="P6204" s="14">
        <v>880</v>
      </c>
      <c r="Q6204">
        <v>10572</v>
      </c>
      <c r="R6204">
        <v>4173</v>
      </c>
      <c r="S6204">
        <v>1118</v>
      </c>
    </row>
    <row r="6205" spans="11:19" x14ac:dyDescent="0.3">
      <c r="K6205" s="16">
        <f t="shared" si="96"/>
        <v>44274</v>
      </c>
      <c r="L6205" s="17">
        <v>0.45833333333333331</v>
      </c>
      <c r="M6205" s="14">
        <v>880</v>
      </c>
      <c r="N6205" s="14">
        <v>0</v>
      </c>
      <c r="O6205" s="14">
        <v>0</v>
      </c>
      <c r="P6205" s="14">
        <v>880</v>
      </c>
      <c r="Q6205">
        <v>10622</v>
      </c>
      <c r="R6205">
        <v>4112</v>
      </c>
      <c r="S6205">
        <v>1203</v>
      </c>
    </row>
    <row r="6206" spans="11:19" x14ac:dyDescent="0.3">
      <c r="K6206" s="16">
        <f t="shared" si="96"/>
        <v>44274</v>
      </c>
      <c r="L6206" s="17">
        <v>0.5</v>
      </c>
      <c r="M6206" s="14">
        <v>880</v>
      </c>
      <c r="N6206" s="14">
        <v>0</v>
      </c>
      <c r="O6206" s="14">
        <v>0</v>
      </c>
      <c r="P6206" s="14">
        <v>880</v>
      </c>
      <c r="Q6206">
        <v>10682</v>
      </c>
      <c r="R6206">
        <v>4273</v>
      </c>
      <c r="S6206">
        <v>1286</v>
      </c>
    </row>
    <row r="6207" spans="11:19" x14ac:dyDescent="0.3">
      <c r="K6207" s="16">
        <f t="shared" si="96"/>
        <v>44274</v>
      </c>
      <c r="L6207" s="17">
        <v>0.54166666666666663</v>
      </c>
      <c r="M6207" s="14">
        <v>880</v>
      </c>
      <c r="N6207" s="14">
        <v>0</v>
      </c>
      <c r="O6207" s="14">
        <v>0</v>
      </c>
      <c r="P6207" s="14">
        <v>880</v>
      </c>
      <c r="Q6207">
        <v>10352</v>
      </c>
      <c r="R6207">
        <v>4282</v>
      </c>
      <c r="S6207">
        <v>1329</v>
      </c>
    </row>
    <row r="6208" spans="11:19" x14ac:dyDescent="0.3">
      <c r="K6208" s="16">
        <f t="shared" si="96"/>
        <v>44274</v>
      </c>
      <c r="L6208" s="17">
        <v>0.58333333333333337</v>
      </c>
      <c r="M6208" s="14">
        <v>880</v>
      </c>
      <c r="N6208" s="14">
        <v>0</v>
      </c>
      <c r="O6208" s="14">
        <v>-183</v>
      </c>
      <c r="P6208" s="14">
        <v>697</v>
      </c>
      <c r="Q6208">
        <v>10069</v>
      </c>
      <c r="R6208">
        <v>4460</v>
      </c>
      <c r="S6208">
        <v>1219</v>
      </c>
    </row>
    <row r="6209" spans="11:19" x14ac:dyDescent="0.3">
      <c r="K6209" s="16">
        <f t="shared" si="96"/>
        <v>44274</v>
      </c>
      <c r="L6209" s="17">
        <v>0.625</v>
      </c>
      <c r="M6209" s="14">
        <v>880</v>
      </c>
      <c r="N6209" s="14">
        <v>0</v>
      </c>
      <c r="O6209" s="14">
        <v>-408</v>
      </c>
      <c r="P6209" s="14">
        <v>472</v>
      </c>
      <c r="Q6209">
        <v>9724</v>
      </c>
      <c r="R6209">
        <v>4490</v>
      </c>
      <c r="S6209">
        <v>1069</v>
      </c>
    </row>
    <row r="6210" spans="11:19" x14ac:dyDescent="0.3">
      <c r="K6210" s="16">
        <f t="shared" si="96"/>
        <v>44274</v>
      </c>
      <c r="L6210" s="17">
        <v>0.66666666666666663</v>
      </c>
      <c r="M6210" s="14">
        <v>880</v>
      </c>
      <c r="N6210" s="14">
        <v>0</v>
      </c>
      <c r="O6210" s="14">
        <v>-382</v>
      </c>
      <c r="P6210" s="14">
        <v>498</v>
      </c>
      <c r="Q6210">
        <v>9403</v>
      </c>
      <c r="R6210">
        <v>4511</v>
      </c>
      <c r="S6210">
        <v>701</v>
      </c>
    </row>
    <row r="6211" spans="11:19" x14ac:dyDescent="0.3">
      <c r="K6211" s="16">
        <f t="shared" si="96"/>
        <v>44274</v>
      </c>
      <c r="L6211" s="17">
        <v>0.70833333333333337</v>
      </c>
      <c r="M6211" s="14">
        <v>880</v>
      </c>
      <c r="N6211" s="14">
        <v>0</v>
      </c>
      <c r="O6211" s="14">
        <v>0</v>
      </c>
      <c r="P6211" s="14">
        <v>880</v>
      </c>
      <c r="Q6211">
        <v>9388</v>
      </c>
      <c r="R6211">
        <v>4332</v>
      </c>
      <c r="S6211">
        <v>328</v>
      </c>
    </row>
    <row r="6212" spans="11:19" x14ac:dyDescent="0.3">
      <c r="K6212" s="16">
        <f t="shared" si="96"/>
        <v>44274</v>
      </c>
      <c r="L6212" s="17">
        <v>0.75</v>
      </c>
      <c r="M6212" s="14">
        <v>880</v>
      </c>
      <c r="N6212" s="14">
        <v>0</v>
      </c>
      <c r="O6212" s="14">
        <v>0</v>
      </c>
      <c r="P6212" s="14">
        <v>880</v>
      </c>
      <c r="Q6212">
        <v>9844</v>
      </c>
      <c r="R6212">
        <v>4268</v>
      </c>
      <c r="S6212">
        <v>48</v>
      </c>
    </row>
    <row r="6213" spans="11:19" x14ac:dyDescent="0.3">
      <c r="K6213" s="16">
        <f t="shared" si="96"/>
        <v>44274</v>
      </c>
      <c r="L6213" s="17">
        <v>0.79166666666666663</v>
      </c>
      <c r="M6213" s="14">
        <v>880</v>
      </c>
      <c r="N6213" s="14">
        <v>0</v>
      </c>
      <c r="O6213" s="14">
        <v>0</v>
      </c>
      <c r="P6213" s="14">
        <v>880</v>
      </c>
      <c r="Q6213">
        <v>10349</v>
      </c>
      <c r="R6213">
        <v>4192</v>
      </c>
      <c r="S6213">
        <v>0</v>
      </c>
    </row>
    <row r="6214" spans="11:19" x14ac:dyDescent="0.3">
      <c r="K6214" s="16">
        <f t="shared" si="96"/>
        <v>44274</v>
      </c>
      <c r="L6214" s="17">
        <v>0.83333333333333337</v>
      </c>
      <c r="M6214" s="14">
        <v>880</v>
      </c>
      <c r="N6214" s="14">
        <v>0</v>
      </c>
      <c r="O6214" s="14">
        <v>0</v>
      </c>
      <c r="P6214" s="14">
        <v>880</v>
      </c>
      <c r="Q6214">
        <v>9739</v>
      </c>
      <c r="R6214">
        <v>3798</v>
      </c>
      <c r="S6214">
        <v>0</v>
      </c>
    </row>
    <row r="6215" spans="11:19" x14ac:dyDescent="0.3">
      <c r="K6215" s="16">
        <f t="shared" si="96"/>
        <v>44274</v>
      </c>
      <c r="L6215" s="17">
        <v>0.875</v>
      </c>
      <c r="M6215" s="14">
        <v>880</v>
      </c>
      <c r="N6215" s="14">
        <v>0</v>
      </c>
      <c r="O6215" s="14">
        <v>0</v>
      </c>
      <c r="P6215" s="14">
        <v>880</v>
      </c>
      <c r="Q6215">
        <v>9262</v>
      </c>
      <c r="R6215">
        <v>3603</v>
      </c>
      <c r="S6215">
        <v>0</v>
      </c>
    </row>
    <row r="6216" spans="11:19" x14ac:dyDescent="0.3">
      <c r="K6216" s="16">
        <f t="shared" si="96"/>
        <v>44274</v>
      </c>
      <c r="L6216" s="17">
        <v>0.91666666666666663</v>
      </c>
      <c r="M6216" s="14">
        <v>880</v>
      </c>
      <c r="N6216" s="14">
        <v>0</v>
      </c>
      <c r="O6216" s="14">
        <v>248</v>
      </c>
      <c r="P6216" s="14">
        <v>1128</v>
      </c>
      <c r="Q6216">
        <v>9477</v>
      </c>
      <c r="R6216">
        <v>3543</v>
      </c>
      <c r="S6216">
        <v>0</v>
      </c>
    </row>
    <row r="6217" spans="11:19" x14ac:dyDescent="0.3">
      <c r="K6217" s="16">
        <f t="shared" si="96"/>
        <v>44274</v>
      </c>
      <c r="L6217" s="17">
        <v>0.95833333333333337</v>
      </c>
      <c r="M6217" s="14">
        <v>880</v>
      </c>
      <c r="N6217" s="14">
        <v>0</v>
      </c>
      <c r="O6217" s="14">
        <v>0</v>
      </c>
      <c r="P6217" s="14">
        <v>880</v>
      </c>
      <c r="Q6217">
        <v>9659</v>
      </c>
      <c r="R6217">
        <v>3649</v>
      </c>
      <c r="S6217">
        <v>0</v>
      </c>
    </row>
    <row r="6218" spans="11:19" x14ac:dyDescent="0.3">
      <c r="K6218" s="16">
        <f t="shared" si="96"/>
        <v>44275</v>
      </c>
      <c r="L6218" s="17">
        <v>0</v>
      </c>
      <c r="M6218" s="14">
        <v>880</v>
      </c>
      <c r="N6218" s="14">
        <v>0</v>
      </c>
      <c r="O6218" s="14">
        <v>941</v>
      </c>
      <c r="P6218" s="14">
        <v>1821</v>
      </c>
      <c r="Q6218">
        <v>9013</v>
      </c>
      <c r="R6218">
        <v>3545</v>
      </c>
      <c r="S6218">
        <v>0</v>
      </c>
    </row>
    <row r="6219" spans="11:19" x14ac:dyDescent="0.3">
      <c r="K6219" s="16">
        <f t="shared" si="96"/>
        <v>44275</v>
      </c>
      <c r="L6219" s="17">
        <v>4.1666666666666664E-2</v>
      </c>
      <c r="M6219" s="14">
        <v>880</v>
      </c>
      <c r="N6219" s="14">
        <v>0</v>
      </c>
      <c r="O6219" s="14">
        <v>0</v>
      </c>
      <c r="P6219" s="14">
        <v>880</v>
      </c>
      <c r="Q6219">
        <v>8605</v>
      </c>
      <c r="R6219">
        <v>3384</v>
      </c>
      <c r="S6219">
        <v>0</v>
      </c>
    </row>
    <row r="6220" spans="11:19" x14ac:dyDescent="0.3">
      <c r="K6220" s="16">
        <f t="shared" si="96"/>
        <v>44275</v>
      </c>
      <c r="L6220" s="17">
        <v>8.3333333333333329E-2</v>
      </c>
      <c r="M6220" s="14">
        <v>880</v>
      </c>
      <c r="N6220" s="14">
        <v>0</v>
      </c>
      <c r="O6220" s="14">
        <v>158</v>
      </c>
      <c r="P6220" s="14">
        <v>1038</v>
      </c>
      <c r="Q6220">
        <v>8252</v>
      </c>
      <c r="R6220">
        <v>3567</v>
      </c>
      <c r="S6220">
        <v>0</v>
      </c>
    </row>
    <row r="6221" spans="11:19" x14ac:dyDescent="0.3">
      <c r="K6221" s="16">
        <f t="shared" si="96"/>
        <v>44275</v>
      </c>
      <c r="L6221" s="17">
        <v>0.125</v>
      </c>
      <c r="M6221" s="14">
        <v>880</v>
      </c>
      <c r="N6221" s="14">
        <v>0</v>
      </c>
      <c r="O6221" s="14">
        <v>-186</v>
      </c>
      <c r="P6221" s="14">
        <v>694</v>
      </c>
      <c r="Q6221">
        <v>7786</v>
      </c>
      <c r="R6221">
        <v>3442</v>
      </c>
      <c r="S6221">
        <v>0</v>
      </c>
    </row>
    <row r="6222" spans="11:19" x14ac:dyDescent="0.3">
      <c r="K6222" s="16">
        <f t="shared" si="96"/>
        <v>44275</v>
      </c>
      <c r="L6222" s="17">
        <v>0.16666666666666666</v>
      </c>
      <c r="M6222" s="14">
        <v>880</v>
      </c>
      <c r="N6222" s="14">
        <v>0</v>
      </c>
      <c r="O6222" s="14">
        <v>-477</v>
      </c>
      <c r="P6222" s="14">
        <v>403</v>
      </c>
      <c r="Q6222">
        <v>7607</v>
      </c>
      <c r="R6222">
        <v>3552</v>
      </c>
      <c r="S6222">
        <v>0</v>
      </c>
    </row>
    <row r="6223" spans="11:19" x14ac:dyDescent="0.3">
      <c r="K6223" s="16">
        <f t="shared" si="96"/>
        <v>44275</v>
      </c>
      <c r="L6223" s="17">
        <v>0.20833333333333334</v>
      </c>
      <c r="M6223" s="14">
        <v>880</v>
      </c>
      <c r="N6223" s="14">
        <v>0</v>
      </c>
      <c r="O6223" s="14">
        <v>-353</v>
      </c>
      <c r="P6223" s="14">
        <v>527</v>
      </c>
      <c r="Q6223">
        <v>7768</v>
      </c>
      <c r="R6223">
        <v>3582</v>
      </c>
      <c r="S6223">
        <v>0</v>
      </c>
    </row>
    <row r="6224" spans="11:19" x14ac:dyDescent="0.3">
      <c r="K6224" s="16">
        <f t="shared" si="96"/>
        <v>44275</v>
      </c>
      <c r="L6224" s="17">
        <v>0.25</v>
      </c>
      <c r="M6224" s="14">
        <v>880</v>
      </c>
      <c r="N6224" s="14">
        <v>0</v>
      </c>
      <c r="O6224" s="14">
        <v>74</v>
      </c>
      <c r="P6224" s="14">
        <v>954</v>
      </c>
      <c r="Q6224">
        <v>8107</v>
      </c>
      <c r="R6224">
        <v>3485</v>
      </c>
      <c r="S6224">
        <v>1</v>
      </c>
    </row>
    <row r="6225" spans="11:19" x14ac:dyDescent="0.3">
      <c r="K6225" s="16">
        <f t="shared" si="96"/>
        <v>44275</v>
      </c>
      <c r="L6225" s="17">
        <v>0.29166666666666669</v>
      </c>
      <c r="M6225" s="14">
        <v>880</v>
      </c>
      <c r="N6225" s="14">
        <v>0</v>
      </c>
      <c r="O6225" s="14">
        <v>292</v>
      </c>
      <c r="P6225" s="14">
        <v>1172</v>
      </c>
      <c r="Q6225">
        <v>8369</v>
      </c>
      <c r="R6225">
        <v>3427</v>
      </c>
      <c r="S6225">
        <v>89</v>
      </c>
    </row>
    <row r="6226" spans="11:19" x14ac:dyDescent="0.3">
      <c r="K6226" s="16">
        <f t="shared" si="96"/>
        <v>44275</v>
      </c>
      <c r="L6226" s="17">
        <v>0.33333333333333331</v>
      </c>
      <c r="M6226" s="14">
        <v>880</v>
      </c>
      <c r="N6226" s="14">
        <v>0</v>
      </c>
      <c r="O6226" s="14">
        <v>588</v>
      </c>
      <c r="P6226" s="14">
        <v>1468</v>
      </c>
      <c r="Q6226">
        <v>8904</v>
      </c>
      <c r="R6226">
        <v>3233</v>
      </c>
      <c r="S6226">
        <v>514</v>
      </c>
    </row>
    <row r="6227" spans="11:19" x14ac:dyDescent="0.3">
      <c r="K6227" s="16">
        <f t="shared" si="96"/>
        <v>44275</v>
      </c>
      <c r="L6227" s="17">
        <v>0.375</v>
      </c>
      <c r="M6227" s="14">
        <v>880</v>
      </c>
      <c r="N6227" s="14">
        <v>0</v>
      </c>
      <c r="O6227" s="14">
        <v>288</v>
      </c>
      <c r="P6227" s="14">
        <v>1168</v>
      </c>
      <c r="Q6227">
        <v>9259</v>
      </c>
      <c r="R6227">
        <v>3276</v>
      </c>
      <c r="S6227">
        <v>1125</v>
      </c>
    </row>
    <row r="6228" spans="11:19" x14ac:dyDescent="0.3">
      <c r="K6228" s="16">
        <f t="shared" si="96"/>
        <v>44275</v>
      </c>
      <c r="L6228" s="17">
        <v>0.41666666666666669</v>
      </c>
      <c r="M6228" s="14">
        <v>880</v>
      </c>
      <c r="N6228" s="14">
        <v>0</v>
      </c>
      <c r="O6228" s="14">
        <v>-112</v>
      </c>
      <c r="P6228" s="14">
        <v>768</v>
      </c>
      <c r="Q6228">
        <v>9284</v>
      </c>
      <c r="R6228">
        <v>3229</v>
      </c>
      <c r="S6228">
        <v>1598</v>
      </c>
    </row>
    <row r="6229" spans="11:19" x14ac:dyDescent="0.3">
      <c r="K6229" s="16">
        <f t="shared" si="96"/>
        <v>44275</v>
      </c>
      <c r="L6229" s="17">
        <v>0.45833333333333331</v>
      </c>
      <c r="M6229" s="14">
        <v>880</v>
      </c>
      <c r="N6229" s="14">
        <v>0</v>
      </c>
      <c r="O6229" s="14">
        <v>-398</v>
      </c>
      <c r="P6229" s="14">
        <v>482</v>
      </c>
      <c r="Q6229">
        <v>9366</v>
      </c>
      <c r="R6229">
        <v>3380</v>
      </c>
      <c r="S6229">
        <v>1818</v>
      </c>
    </row>
    <row r="6230" spans="11:19" x14ac:dyDescent="0.3">
      <c r="K6230" s="16">
        <f t="shared" si="96"/>
        <v>44275</v>
      </c>
      <c r="L6230" s="17">
        <v>0.5</v>
      </c>
      <c r="M6230" s="14">
        <v>880</v>
      </c>
      <c r="N6230" s="14">
        <v>0</v>
      </c>
      <c r="O6230" s="14">
        <v>-287</v>
      </c>
      <c r="P6230" s="14">
        <v>593</v>
      </c>
      <c r="Q6230">
        <v>9641</v>
      </c>
      <c r="R6230">
        <v>3428</v>
      </c>
      <c r="S6230">
        <v>1934</v>
      </c>
    </row>
    <row r="6231" spans="11:19" x14ac:dyDescent="0.3">
      <c r="K6231" s="16">
        <f t="shared" si="96"/>
        <v>44275</v>
      </c>
      <c r="L6231" s="17">
        <v>0.54166666666666663</v>
      </c>
      <c r="M6231" s="14">
        <v>880</v>
      </c>
      <c r="N6231" s="14">
        <v>0</v>
      </c>
      <c r="O6231" s="14">
        <v>-748</v>
      </c>
      <c r="P6231" s="14">
        <v>132</v>
      </c>
      <c r="Q6231">
        <v>9211</v>
      </c>
      <c r="R6231">
        <v>3406</v>
      </c>
      <c r="S6231">
        <v>1986</v>
      </c>
    </row>
    <row r="6232" spans="11:19" x14ac:dyDescent="0.3">
      <c r="K6232" s="16">
        <f t="shared" si="96"/>
        <v>44275</v>
      </c>
      <c r="L6232" s="17">
        <v>0.58333333333333337</v>
      </c>
      <c r="M6232" s="14">
        <v>880</v>
      </c>
      <c r="N6232" s="14">
        <v>0</v>
      </c>
      <c r="O6232" s="14">
        <v>-795</v>
      </c>
      <c r="P6232" s="14">
        <v>85</v>
      </c>
      <c r="Q6232">
        <v>8834</v>
      </c>
      <c r="R6232">
        <v>3244</v>
      </c>
      <c r="S6232">
        <v>1825</v>
      </c>
    </row>
    <row r="6233" spans="11:19" x14ac:dyDescent="0.3">
      <c r="K6233" s="16">
        <f t="shared" si="96"/>
        <v>44275</v>
      </c>
      <c r="L6233" s="17">
        <v>0.625</v>
      </c>
      <c r="M6233" s="14">
        <v>880</v>
      </c>
      <c r="N6233" s="14">
        <v>0</v>
      </c>
      <c r="O6233" s="14">
        <v>-582</v>
      </c>
      <c r="P6233" s="14">
        <v>298</v>
      </c>
      <c r="Q6233">
        <v>8578</v>
      </c>
      <c r="R6233">
        <v>3073</v>
      </c>
      <c r="S6233">
        <v>1534</v>
      </c>
    </row>
    <row r="6234" spans="11:19" x14ac:dyDescent="0.3">
      <c r="K6234" s="16">
        <f t="shared" si="96"/>
        <v>44275</v>
      </c>
      <c r="L6234" s="17">
        <v>0.66666666666666663</v>
      </c>
      <c r="M6234" s="14">
        <v>880</v>
      </c>
      <c r="N6234" s="14">
        <v>0</v>
      </c>
      <c r="O6234" s="14">
        <v>-329</v>
      </c>
      <c r="P6234" s="14">
        <v>551</v>
      </c>
      <c r="Q6234">
        <v>8403</v>
      </c>
      <c r="R6234">
        <v>3173</v>
      </c>
      <c r="S6234">
        <v>1006</v>
      </c>
    </row>
    <row r="6235" spans="11:19" x14ac:dyDescent="0.3">
      <c r="K6235" s="16">
        <f t="shared" ref="K6235:K6298" si="97">K6211+1</f>
        <v>44275</v>
      </c>
      <c r="L6235" s="17">
        <v>0.70833333333333337</v>
      </c>
      <c r="M6235" s="14">
        <v>880</v>
      </c>
      <c r="N6235" s="14">
        <v>0</v>
      </c>
      <c r="O6235" s="14">
        <v>358</v>
      </c>
      <c r="P6235" s="14">
        <v>1238</v>
      </c>
      <c r="Q6235">
        <v>8526</v>
      </c>
      <c r="R6235">
        <v>3121</v>
      </c>
      <c r="S6235">
        <v>419</v>
      </c>
    </row>
    <row r="6236" spans="11:19" x14ac:dyDescent="0.3">
      <c r="K6236" s="16">
        <f t="shared" si="97"/>
        <v>44275</v>
      </c>
      <c r="L6236" s="17">
        <v>0.75</v>
      </c>
      <c r="M6236" s="14">
        <v>880</v>
      </c>
      <c r="N6236" s="14">
        <v>0</v>
      </c>
      <c r="O6236" s="14">
        <v>229</v>
      </c>
      <c r="P6236" s="14">
        <v>1109</v>
      </c>
      <c r="Q6236">
        <v>9105</v>
      </c>
      <c r="R6236">
        <v>3139</v>
      </c>
      <c r="S6236">
        <v>47</v>
      </c>
    </row>
    <row r="6237" spans="11:19" x14ac:dyDescent="0.3">
      <c r="K6237" s="16">
        <f t="shared" si="97"/>
        <v>44275</v>
      </c>
      <c r="L6237" s="17">
        <v>0.79166666666666663</v>
      </c>
      <c r="M6237" s="14">
        <v>880</v>
      </c>
      <c r="N6237" s="14">
        <v>0</v>
      </c>
      <c r="O6237" s="14">
        <v>485</v>
      </c>
      <c r="P6237" s="14">
        <v>1365</v>
      </c>
      <c r="Q6237">
        <v>9630</v>
      </c>
      <c r="R6237">
        <v>3454</v>
      </c>
      <c r="S6237">
        <v>0</v>
      </c>
    </row>
    <row r="6238" spans="11:19" x14ac:dyDescent="0.3">
      <c r="K6238" s="16">
        <f t="shared" si="97"/>
        <v>44275</v>
      </c>
      <c r="L6238" s="17">
        <v>0.83333333333333337</v>
      </c>
      <c r="M6238" s="14">
        <v>880</v>
      </c>
      <c r="N6238" s="14">
        <v>0</v>
      </c>
      <c r="O6238" s="14">
        <v>0</v>
      </c>
      <c r="P6238" s="14">
        <v>880</v>
      </c>
      <c r="Q6238">
        <v>9135</v>
      </c>
      <c r="R6238">
        <v>3530</v>
      </c>
      <c r="S6238">
        <v>0</v>
      </c>
    </row>
    <row r="6239" spans="11:19" x14ac:dyDescent="0.3">
      <c r="K6239" s="16">
        <f t="shared" si="97"/>
        <v>44275</v>
      </c>
      <c r="L6239" s="17">
        <v>0.875</v>
      </c>
      <c r="M6239" s="14">
        <v>880</v>
      </c>
      <c r="N6239" s="14">
        <v>0</v>
      </c>
      <c r="O6239" s="14">
        <v>0</v>
      </c>
      <c r="P6239" s="14">
        <v>880</v>
      </c>
      <c r="Q6239">
        <v>8706</v>
      </c>
      <c r="R6239">
        <v>3500</v>
      </c>
      <c r="S6239">
        <v>0</v>
      </c>
    </row>
    <row r="6240" spans="11:19" x14ac:dyDescent="0.3">
      <c r="K6240" s="16">
        <f t="shared" si="97"/>
        <v>44275</v>
      </c>
      <c r="L6240" s="17">
        <v>0.91666666666666663</v>
      </c>
      <c r="M6240" s="14">
        <v>880</v>
      </c>
      <c r="N6240" s="14">
        <v>0</v>
      </c>
      <c r="O6240" s="14">
        <v>0</v>
      </c>
      <c r="P6240" s="14">
        <v>880</v>
      </c>
      <c r="Q6240">
        <v>9034</v>
      </c>
      <c r="R6240">
        <v>3669</v>
      </c>
      <c r="S6240">
        <v>0</v>
      </c>
    </row>
    <row r="6241" spans="11:19" x14ac:dyDescent="0.3">
      <c r="K6241" s="16">
        <f t="shared" si="97"/>
        <v>44275</v>
      </c>
      <c r="L6241" s="17">
        <v>0.95833333333333337</v>
      </c>
      <c r="M6241" s="14">
        <v>880</v>
      </c>
      <c r="N6241" s="14">
        <v>0</v>
      </c>
      <c r="O6241" s="14">
        <v>0</v>
      </c>
      <c r="P6241" s="14">
        <v>880</v>
      </c>
      <c r="Q6241">
        <v>9331</v>
      </c>
      <c r="R6241">
        <v>3695</v>
      </c>
      <c r="S6241">
        <v>0</v>
      </c>
    </row>
    <row r="6242" spans="11:19" x14ac:dyDescent="0.3">
      <c r="K6242" s="16">
        <f t="shared" si="97"/>
        <v>44276</v>
      </c>
      <c r="L6242" s="17">
        <v>0</v>
      </c>
      <c r="M6242" s="14">
        <v>880</v>
      </c>
      <c r="N6242" s="14">
        <v>0</v>
      </c>
      <c r="O6242" s="14">
        <v>264</v>
      </c>
      <c r="P6242" s="14">
        <v>1144</v>
      </c>
      <c r="Q6242">
        <v>8871</v>
      </c>
      <c r="R6242">
        <v>4080</v>
      </c>
      <c r="S6242">
        <v>0</v>
      </c>
    </row>
    <row r="6243" spans="11:19" x14ac:dyDescent="0.3">
      <c r="K6243" s="16">
        <f t="shared" si="97"/>
        <v>44276</v>
      </c>
      <c r="L6243" s="17">
        <v>4.1666666666666664E-2</v>
      </c>
      <c r="M6243" s="14">
        <v>880</v>
      </c>
      <c r="N6243" s="14">
        <v>0</v>
      </c>
      <c r="O6243" s="14">
        <v>-390</v>
      </c>
      <c r="P6243" s="14">
        <v>490</v>
      </c>
      <c r="Q6243">
        <v>8474</v>
      </c>
      <c r="R6243">
        <v>4338</v>
      </c>
      <c r="S6243">
        <v>0</v>
      </c>
    </row>
    <row r="6244" spans="11:19" x14ac:dyDescent="0.3">
      <c r="K6244" s="16">
        <f t="shared" si="97"/>
        <v>44276</v>
      </c>
      <c r="L6244" s="17">
        <v>8.3333333333333329E-2</v>
      </c>
      <c r="M6244" s="14">
        <v>880</v>
      </c>
      <c r="N6244" s="14">
        <v>0</v>
      </c>
      <c r="O6244" s="14">
        <v>-729</v>
      </c>
      <c r="P6244" s="14">
        <v>151</v>
      </c>
      <c r="Q6244">
        <v>8084</v>
      </c>
      <c r="R6244">
        <v>4285</v>
      </c>
      <c r="S6244">
        <v>0</v>
      </c>
    </row>
    <row r="6245" spans="11:19" x14ac:dyDescent="0.3">
      <c r="K6245" s="16">
        <f t="shared" si="97"/>
        <v>44276</v>
      </c>
      <c r="L6245" s="17">
        <v>0.125</v>
      </c>
      <c r="M6245" s="14">
        <v>880</v>
      </c>
      <c r="N6245" s="14">
        <v>0</v>
      </c>
      <c r="O6245" s="14">
        <v>-1200</v>
      </c>
      <c r="P6245" s="14">
        <v>-320</v>
      </c>
      <c r="Q6245">
        <v>7544</v>
      </c>
      <c r="R6245">
        <v>4334</v>
      </c>
      <c r="S6245">
        <v>0</v>
      </c>
    </row>
    <row r="6246" spans="11:19" x14ac:dyDescent="0.3">
      <c r="K6246" s="16">
        <f t="shared" si="97"/>
        <v>44276</v>
      </c>
      <c r="L6246" s="17">
        <v>0.16666666666666666</v>
      </c>
      <c r="M6246" s="14">
        <v>880</v>
      </c>
      <c r="N6246" s="14">
        <v>0</v>
      </c>
      <c r="O6246" s="14">
        <v>-1200</v>
      </c>
      <c r="P6246" s="14">
        <v>-320</v>
      </c>
      <c r="Q6246">
        <v>7249</v>
      </c>
      <c r="R6246">
        <v>4234</v>
      </c>
      <c r="S6246">
        <v>0</v>
      </c>
    </row>
    <row r="6247" spans="11:19" x14ac:dyDescent="0.3">
      <c r="K6247" s="16">
        <f t="shared" si="97"/>
        <v>44276</v>
      </c>
      <c r="L6247" s="17">
        <v>0.20833333333333334</v>
      </c>
      <c r="M6247" s="14">
        <v>880</v>
      </c>
      <c r="N6247" s="14">
        <v>0</v>
      </c>
      <c r="O6247" s="14">
        <v>-1200</v>
      </c>
      <c r="P6247" s="14">
        <v>-320</v>
      </c>
      <c r="Q6247">
        <v>7239</v>
      </c>
      <c r="R6247">
        <v>4213</v>
      </c>
      <c r="S6247">
        <v>0</v>
      </c>
    </row>
    <row r="6248" spans="11:19" x14ac:dyDescent="0.3">
      <c r="K6248" s="16">
        <f t="shared" si="97"/>
        <v>44276</v>
      </c>
      <c r="L6248" s="17">
        <v>0.25</v>
      </c>
      <c r="M6248" s="14">
        <v>880</v>
      </c>
      <c r="N6248" s="14">
        <v>0</v>
      </c>
      <c r="O6248" s="14">
        <v>-1200</v>
      </c>
      <c r="P6248" s="14">
        <v>-320</v>
      </c>
      <c r="Q6248">
        <v>7322</v>
      </c>
      <c r="R6248">
        <v>4014</v>
      </c>
      <c r="S6248">
        <v>2</v>
      </c>
    </row>
    <row r="6249" spans="11:19" x14ac:dyDescent="0.3">
      <c r="K6249" s="16">
        <f t="shared" si="97"/>
        <v>44276</v>
      </c>
      <c r="L6249" s="17">
        <v>0.29166666666666669</v>
      </c>
      <c r="M6249" s="14">
        <v>880</v>
      </c>
      <c r="N6249" s="14">
        <v>0</v>
      </c>
      <c r="O6249" s="14">
        <v>-900</v>
      </c>
      <c r="P6249" s="14">
        <v>-20</v>
      </c>
      <c r="Q6249">
        <v>7360</v>
      </c>
      <c r="R6249">
        <v>3625</v>
      </c>
      <c r="S6249">
        <v>72</v>
      </c>
    </row>
    <row r="6250" spans="11:19" x14ac:dyDescent="0.3">
      <c r="K6250" s="16">
        <f t="shared" si="97"/>
        <v>44276</v>
      </c>
      <c r="L6250" s="17">
        <v>0.33333333333333331</v>
      </c>
      <c r="M6250" s="14">
        <v>880</v>
      </c>
      <c r="N6250" s="14">
        <v>0</v>
      </c>
      <c r="O6250" s="14">
        <v>-537</v>
      </c>
      <c r="P6250" s="14">
        <v>343</v>
      </c>
      <c r="Q6250">
        <v>7829</v>
      </c>
      <c r="R6250">
        <v>3428</v>
      </c>
      <c r="S6250">
        <v>368</v>
      </c>
    </row>
    <row r="6251" spans="11:19" x14ac:dyDescent="0.3">
      <c r="K6251" s="16">
        <f t="shared" si="97"/>
        <v>44276</v>
      </c>
      <c r="L6251" s="17">
        <v>0.375</v>
      </c>
      <c r="M6251" s="14">
        <v>880</v>
      </c>
      <c r="N6251" s="14">
        <v>0</v>
      </c>
      <c r="O6251" s="14">
        <v>-359</v>
      </c>
      <c r="P6251" s="14">
        <v>521</v>
      </c>
      <c r="Q6251">
        <v>8276</v>
      </c>
      <c r="R6251">
        <v>3280</v>
      </c>
      <c r="S6251">
        <v>784</v>
      </c>
    </row>
    <row r="6252" spans="11:19" x14ac:dyDescent="0.3">
      <c r="K6252" s="16">
        <f t="shared" si="97"/>
        <v>44276</v>
      </c>
      <c r="L6252" s="17">
        <v>0.41666666666666669</v>
      </c>
      <c r="M6252" s="14">
        <v>880</v>
      </c>
      <c r="N6252" s="14">
        <v>0</v>
      </c>
      <c r="O6252" s="14">
        <v>-86</v>
      </c>
      <c r="P6252" s="14">
        <v>794</v>
      </c>
      <c r="Q6252">
        <v>8579</v>
      </c>
      <c r="R6252">
        <v>3011</v>
      </c>
      <c r="S6252">
        <v>1084</v>
      </c>
    </row>
    <row r="6253" spans="11:19" x14ac:dyDescent="0.3">
      <c r="K6253" s="16">
        <f t="shared" si="97"/>
        <v>44276</v>
      </c>
      <c r="L6253" s="17">
        <v>0.45833333333333331</v>
      </c>
      <c r="M6253" s="14">
        <v>880</v>
      </c>
      <c r="N6253" s="14">
        <v>0</v>
      </c>
      <c r="O6253" s="14">
        <v>98</v>
      </c>
      <c r="P6253" s="14">
        <v>978</v>
      </c>
      <c r="Q6253">
        <v>8864</v>
      </c>
      <c r="R6253">
        <v>2981</v>
      </c>
      <c r="S6253">
        <v>1218</v>
      </c>
    </row>
    <row r="6254" spans="11:19" x14ac:dyDescent="0.3">
      <c r="K6254" s="16">
        <f t="shared" si="97"/>
        <v>44276</v>
      </c>
      <c r="L6254" s="17">
        <v>0.5</v>
      </c>
      <c r="M6254" s="14">
        <v>880</v>
      </c>
      <c r="N6254" s="14">
        <v>0</v>
      </c>
      <c r="O6254" s="14">
        <v>527</v>
      </c>
      <c r="P6254" s="14">
        <v>1407</v>
      </c>
      <c r="Q6254">
        <v>9219</v>
      </c>
      <c r="R6254">
        <v>2819</v>
      </c>
      <c r="S6254">
        <v>1306</v>
      </c>
    </row>
    <row r="6255" spans="11:19" x14ac:dyDescent="0.3">
      <c r="K6255" s="16">
        <f t="shared" si="97"/>
        <v>44276</v>
      </c>
      <c r="L6255" s="17">
        <v>0.54166666666666663</v>
      </c>
      <c r="M6255" s="14">
        <v>880</v>
      </c>
      <c r="N6255" s="14">
        <v>0</v>
      </c>
      <c r="O6255" s="14">
        <v>26</v>
      </c>
      <c r="P6255" s="14">
        <v>906</v>
      </c>
      <c r="Q6255">
        <v>8695</v>
      </c>
      <c r="R6255">
        <v>2755</v>
      </c>
      <c r="S6255">
        <v>1346</v>
      </c>
    </row>
    <row r="6256" spans="11:19" x14ac:dyDescent="0.3">
      <c r="K6256" s="16">
        <f t="shared" si="97"/>
        <v>44276</v>
      </c>
      <c r="L6256" s="17">
        <v>0.58333333333333337</v>
      </c>
      <c r="M6256" s="14">
        <v>880</v>
      </c>
      <c r="N6256" s="14">
        <v>0</v>
      </c>
      <c r="O6256" s="14">
        <v>-366</v>
      </c>
      <c r="P6256" s="14">
        <v>514</v>
      </c>
      <c r="Q6256">
        <v>8240</v>
      </c>
      <c r="R6256">
        <v>2793</v>
      </c>
      <c r="S6256">
        <v>1252</v>
      </c>
    </row>
    <row r="6257" spans="11:19" x14ac:dyDescent="0.3">
      <c r="K6257" s="16">
        <f t="shared" si="97"/>
        <v>44276</v>
      </c>
      <c r="L6257" s="17">
        <v>0.625</v>
      </c>
      <c r="M6257" s="14">
        <v>880</v>
      </c>
      <c r="N6257" s="14">
        <v>0</v>
      </c>
      <c r="O6257" s="14">
        <v>-546</v>
      </c>
      <c r="P6257" s="14">
        <v>334</v>
      </c>
      <c r="Q6257">
        <v>7924</v>
      </c>
      <c r="R6257">
        <v>2836</v>
      </c>
      <c r="S6257">
        <v>1080</v>
      </c>
    </row>
    <row r="6258" spans="11:19" x14ac:dyDescent="0.3">
      <c r="K6258" s="16">
        <f t="shared" si="97"/>
        <v>44276</v>
      </c>
      <c r="L6258" s="17">
        <v>0.66666666666666663</v>
      </c>
      <c r="M6258" s="14">
        <v>880</v>
      </c>
      <c r="N6258" s="14">
        <v>0</v>
      </c>
      <c r="O6258" s="14">
        <v>-355</v>
      </c>
      <c r="P6258" s="14">
        <v>525</v>
      </c>
      <c r="Q6258">
        <v>7721</v>
      </c>
      <c r="R6258">
        <v>2801</v>
      </c>
      <c r="S6258">
        <v>721</v>
      </c>
    </row>
    <row r="6259" spans="11:19" x14ac:dyDescent="0.3">
      <c r="K6259" s="16">
        <f t="shared" si="97"/>
        <v>44276</v>
      </c>
      <c r="L6259" s="17">
        <v>0.70833333333333337</v>
      </c>
      <c r="M6259" s="14">
        <v>880</v>
      </c>
      <c r="N6259" s="14">
        <v>0</v>
      </c>
      <c r="O6259" s="14">
        <v>324</v>
      </c>
      <c r="P6259" s="14">
        <v>1204</v>
      </c>
      <c r="Q6259">
        <v>7879</v>
      </c>
      <c r="R6259">
        <v>2695</v>
      </c>
      <c r="S6259">
        <v>303</v>
      </c>
    </row>
    <row r="6260" spans="11:19" x14ac:dyDescent="0.3">
      <c r="K6260" s="16">
        <f t="shared" si="97"/>
        <v>44276</v>
      </c>
      <c r="L6260" s="17">
        <v>0.75</v>
      </c>
      <c r="M6260" s="14">
        <v>880</v>
      </c>
      <c r="N6260" s="14">
        <v>0</v>
      </c>
      <c r="O6260" s="14">
        <v>1200</v>
      </c>
      <c r="P6260" s="14">
        <v>2080</v>
      </c>
      <c r="Q6260">
        <v>8506</v>
      </c>
      <c r="R6260">
        <v>2666</v>
      </c>
      <c r="S6260">
        <v>46</v>
      </c>
    </row>
    <row r="6261" spans="11:19" x14ac:dyDescent="0.3">
      <c r="K6261" s="16">
        <f t="shared" si="97"/>
        <v>44276</v>
      </c>
      <c r="L6261" s="17">
        <v>0.79166666666666663</v>
      </c>
      <c r="M6261" s="14">
        <v>880</v>
      </c>
      <c r="N6261" s="14">
        <v>0</v>
      </c>
      <c r="O6261" s="14">
        <v>1200</v>
      </c>
      <c r="P6261" s="14">
        <v>2080</v>
      </c>
      <c r="Q6261">
        <v>9227</v>
      </c>
      <c r="R6261">
        <v>2796</v>
      </c>
      <c r="S6261">
        <v>1</v>
      </c>
    </row>
    <row r="6262" spans="11:19" x14ac:dyDescent="0.3">
      <c r="K6262" s="16">
        <f t="shared" si="97"/>
        <v>44276</v>
      </c>
      <c r="L6262" s="17">
        <v>0.83333333333333337</v>
      </c>
      <c r="M6262" s="14">
        <v>880</v>
      </c>
      <c r="N6262" s="14">
        <v>0</v>
      </c>
      <c r="O6262" s="14">
        <v>1200</v>
      </c>
      <c r="P6262" s="14">
        <v>2080</v>
      </c>
      <c r="Q6262">
        <v>8901</v>
      </c>
      <c r="R6262">
        <v>3007</v>
      </c>
      <c r="S6262">
        <v>0</v>
      </c>
    </row>
    <row r="6263" spans="11:19" x14ac:dyDescent="0.3">
      <c r="K6263" s="16">
        <f t="shared" si="97"/>
        <v>44276</v>
      </c>
      <c r="L6263" s="17">
        <v>0.875</v>
      </c>
      <c r="M6263" s="14">
        <v>880</v>
      </c>
      <c r="N6263" s="14">
        <v>0</v>
      </c>
      <c r="O6263" s="14">
        <v>45</v>
      </c>
      <c r="P6263" s="14">
        <v>925</v>
      </c>
      <c r="Q6263">
        <v>8490</v>
      </c>
      <c r="R6263">
        <v>3051</v>
      </c>
      <c r="S6263">
        <v>0</v>
      </c>
    </row>
    <row r="6264" spans="11:19" x14ac:dyDescent="0.3">
      <c r="K6264" s="16">
        <f t="shared" si="97"/>
        <v>44276</v>
      </c>
      <c r="L6264" s="17">
        <v>0.91666666666666663</v>
      </c>
      <c r="M6264" s="14">
        <v>880</v>
      </c>
      <c r="N6264" s="14">
        <v>0</v>
      </c>
      <c r="O6264" s="14">
        <v>1169</v>
      </c>
      <c r="P6264" s="14">
        <v>2049</v>
      </c>
      <c r="Q6264">
        <v>8692</v>
      </c>
      <c r="R6264">
        <v>2979</v>
      </c>
      <c r="S6264">
        <v>0</v>
      </c>
    </row>
    <row r="6265" spans="11:19" x14ac:dyDescent="0.3">
      <c r="K6265" s="16">
        <f t="shared" si="97"/>
        <v>44276</v>
      </c>
      <c r="L6265" s="17">
        <v>0.95833333333333337</v>
      </c>
      <c r="M6265" s="14">
        <v>880</v>
      </c>
      <c r="N6265" s="14">
        <v>0</v>
      </c>
      <c r="O6265" s="14">
        <v>1200</v>
      </c>
      <c r="P6265" s="14">
        <v>2080</v>
      </c>
      <c r="Q6265">
        <v>8915</v>
      </c>
      <c r="R6265">
        <v>3013</v>
      </c>
      <c r="S6265">
        <v>0</v>
      </c>
    </row>
    <row r="6266" spans="11:19" x14ac:dyDescent="0.3">
      <c r="K6266" s="16">
        <f t="shared" si="97"/>
        <v>44277</v>
      </c>
      <c r="L6266" s="17">
        <v>0</v>
      </c>
      <c r="M6266" s="14">
        <v>880</v>
      </c>
      <c r="N6266" s="14">
        <v>0</v>
      </c>
      <c r="O6266" s="14">
        <v>0</v>
      </c>
      <c r="P6266" s="14">
        <v>880</v>
      </c>
      <c r="Q6266">
        <v>8513</v>
      </c>
      <c r="R6266">
        <v>3603</v>
      </c>
      <c r="S6266">
        <v>0</v>
      </c>
    </row>
    <row r="6267" spans="11:19" x14ac:dyDescent="0.3">
      <c r="K6267" s="16">
        <f t="shared" si="97"/>
        <v>44277</v>
      </c>
      <c r="L6267" s="17">
        <v>4.1666666666666664E-2</v>
      </c>
      <c r="M6267" s="14">
        <v>880</v>
      </c>
      <c r="N6267" s="14">
        <v>0</v>
      </c>
      <c r="O6267" s="14">
        <v>-1171</v>
      </c>
      <c r="P6267" s="14">
        <v>-291</v>
      </c>
      <c r="Q6267">
        <v>8214</v>
      </c>
      <c r="R6267">
        <v>3713</v>
      </c>
      <c r="S6267">
        <v>0</v>
      </c>
    </row>
    <row r="6268" spans="11:19" x14ac:dyDescent="0.3">
      <c r="K6268" s="16">
        <f t="shared" si="97"/>
        <v>44277</v>
      </c>
      <c r="L6268" s="17">
        <v>8.3333333333333329E-2</v>
      </c>
      <c r="M6268" s="14">
        <v>880</v>
      </c>
      <c r="N6268" s="14">
        <v>0</v>
      </c>
      <c r="O6268" s="14">
        <v>-1200</v>
      </c>
      <c r="P6268" s="14">
        <v>-320</v>
      </c>
      <c r="Q6268">
        <v>7933</v>
      </c>
      <c r="R6268">
        <v>3777</v>
      </c>
      <c r="S6268">
        <v>0</v>
      </c>
    </row>
    <row r="6269" spans="11:19" x14ac:dyDescent="0.3">
      <c r="K6269" s="16">
        <f t="shared" si="97"/>
        <v>44277</v>
      </c>
      <c r="L6269" s="17">
        <v>0.125</v>
      </c>
      <c r="M6269" s="14">
        <v>880</v>
      </c>
      <c r="N6269" s="14">
        <v>0</v>
      </c>
      <c r="O6269" s="14">
        <v>-1200</v>
      </c>
      <c r="P6269" s="14">
        <v>-320</v>
      </c>
      <c r="Q6269">
        <v>7528</v>
      </c>
      <c r="R6269">
        <v>3890</v>
      </c>
      <c r="S6269">
        <v>0</v>
      </c>
    </row>
    <row r="6270" spans="11:19" x14ac:dyDescent="0.3">
      <c r="K6270" s="16">
        <f t="shared" si="97"/>
        <v>44277</v>
      </c>
      <c r="L6270" s="17">
        <v>0.16666666666666666</v>
      </c>
      <c r="M6270" s="14">
        <v>880</v>
      </c>
      <c r="N6270" s="14">
        <v>0</v>
      </c>
      <c r="O6270" s="14">
        <v>-1200</v>
      </c>
      <c r="P6270" s="14">
        <v>-320</v>
      </c>
      <c r="Q6270">
        <v>7502</v>
      </c>
      <c r="R6270">
        <v>4104</v>
      </c>
      <c r="S6270">
        <v>0</v>
      </c>
    </row>
    <row r="6271" spans="11:19" x14ac:dyDescent="0.3">
      <c r="K6271" s="16">
        <f t="shared" si="97"/>
        <v>44277</v>
      </c>
      <c r="L6271" s="17">
        <v>0.20833333333333334</v>
      </c>
      <c r="M6271" s="14">
        <v>880</v>
      </c>
      <c r="N6271" s="14">
        <v>0</v>
      </c>
      <c r="O6271" s="14">
        <v>-1200</v>
      </c>
      <c r="P6271" s="14">
        <v>-320</v>
      </c>
      <c r="Q6271">
        <v>8095</v>
      </c>
      <c r="R6271">
        <v>4089</v>
      </c>
      <c r="S6271">
        <v>0</v>
      </c>
    </row>
    <row r="6272" spans="11:19" x14ac:dyDescent="0.3">
      <c r="K6272" s="16">
        <f t="shared" si="97"/>
        <v>44277</v>
      </c>
      <c r="L6272" s="17">
        <v>0.25</v>
      </c>
      <c r="M6272" s="14">
        <v>880</v>
      </c>
      <c r="N6272" s="14">
        <v>0</v>
      </c>
      <c r="O6272" s="14">
        <v>-529</v>
      </c>
      <c r="P6272" s="14">
        <v>351</v>
      </c>
      <c r="Q6272">
        <v>9265</v>
      </c>
      <c r="R6272">
        <v>4085</v>
      </c>
      <c r="S6272">
        <v>3</v>
      </c>
    </row>
    <row r="6273" spans="11:19" x14ac:dyDescent="0.3">
      <c r="K6273" s="16">
        <f t="shared" si="97"/>
        <v>44277</v>
      </c>
      <c r="L6273" s="17">
        <v>0.29166666666666669</v>
      </c>
      <c r="M6273" s="14">
        <v>880</v>
      </c>
      <c r="N6273" s="14">
        <v>0</v>
      </c>
      <c r="O6273" s="14">
        <v>0</v>
      </c>
      <c r="P6273" s="14">
        <v>880</v>
      </c>
      <c r="Q6273">
        <v>10034</v>
      </c>
      <c r="R6273">
        <v>3865</v>
      </c>
      <c r="S6273">
        <v>67</v>
      </c>
    </row>
    <row r="6274" spans="11:19" x14ac:dyDescent="0.3">
      <c r="K6274" s="16">
        <f t="shared" si="97"/>
        <v>44277</v>
      </c>
      <c r="L6274" s="17">
        <v>0.33333333333333331</v>
      </c>
      <c r="M6274" s="14">
        <v>880</v>
      </c>
      <c r="N6274" s="14">
        <v>0</v>
      </c>
      <c r="O6274" s="14">
        <v>0</v>
      </c>
      <c r="P6274" s="14">
        <v>880</v>
      </c>
      <c r="Q6274">
        <v>10426</v>
      </c>
      <c r="R6274">
        <v>3737</v>
      </c>
      <c r="S6274">
        <v>391</v>
      </c>
    </row>
    <row r="6275" spans="11:19" x14ac:dyDescent="0.3">
      <c r="K6275" s="16">
        <f t="shared" si="97"/>
        <v>44277</v>
      </c>
      <c r="L6275" s="17">
        <v>0.375</v>
      </c>
      <c r="M6275" s="14">
        <v>880</v>
      </c>
      <c r="N6275" s="14">
        <v>0</v>
      </c>
      <c r="O6275" s="14">
        <v>0</v>
      </c>
      <c r="P6275" s="14">
        <v>880</v>
      </c>
      <c r="Q6275">
        <v>10612</v>
      </c>
      <c r="R6275">
        <v>3721</v>
      </c>
      <c r="S6275">
        <v>740</v>
      </c>
    </row>
    <row r="6276" spans="11:19" x14ac:dyDescent="0.3">
      <c r="K6276" s="16">
        <f t="shared" si="97"/>
        <v>44277</v>
      </c>
      <c r="L6276" s="17">
        <v>0.41666666666666669</v>
      </c>
      <c r="M6276" s="14">
        <v>880</v>
      </c>
      <c r="N6276" s="14">
        <v>0</v>
      </c>
      <c r="O6276" s="14">
        <v>0</v>
      </c>
      <c r="P6276" s="14">
        <v>880</v>
      </c>
      <c r="Q6276">
        <v>10653</v>
      </c>
      <c r="R6276">
        <v>3725</v>
      </c>
      <c r="S6276">
        <v>977</v>
      </c>
    </row>
    <row r="6277" spans="11:19" x14ac:dyDescent="0.3">
      <c r="K6277" s="16">
        <f t="shared" si="97"/>
        <v>44277</v>
      </c>
      <c r="L6277" s="17">
        <v>0.45833333333333331</v>
      </c>
      <c r="M6277" s="14">
        <v>880</v>
      </c>
      <c r="N6277" s="14">
        <v>0</v>
      </c>
      <c r="O6277" s="14">
        <v>0</v>
      </c>
      <c r="P6277" s="14">
        <v>880</v>
      </c>
      <c r="Q6277">
        <v>10805</v>
      </c>
      <c r="R6277">
        <v>3724</v>
      </c>
      <c r="S6277">
        <v>986</v>
      </c>
    </row>
    <row r="6278" spans="11:19" x14ac:dyDescent="0.3">
      <c r="K6278" s="16">
        <f t="shared" si="97"/>
        <v>44277</v>
      </c>
      <c r="L6278" s="17">
        <v>0.5</v>
      </c>
      <c r="M6278" s="14">
        <v>880</v>
      </c>
      <c r="N6278" s="14">
        <v>0</v>
      </c>
      <c r="O6278" s="14">
        <v>0</v>
      </c>
      <c r="P6278" s="14">
        <v>880</v>
      </c>
      <c r="Q6278">
        <v>10940</v>
      </c>
      <c r="R6278">
        <v>3880</v>
      </c>
      <c r="S6278">
        <v>1091</v>
      </c>
    </row>
    <row r="6279" spans="11:19" x14ac:dyDescent="0.3">
      <c r="K6279" s="16">
        <f t="shared" si="97"/>
        <v>44277</v>
      </c>
      <c r="L6279" s="17">
        <v>0.54166666666666663</v>
      </c>
      <c r="M6279" s="14">
        <v>880</v>
      </c>
      <c r="N6279" s="14">
        <v>0</v>
      </c>
      <c r="O6279" s="14">
        <v>-333</v>
      </c>
      <c r="P6279" s="14">
        <v>547</v>
      </c>
      <c r="Q6279">
        <v>10775</v>
      </c>
      <c r="R6279">
        <v>4087</v>
      </c>
      <c r="S6279">
        <v>1309</v>
      </c>
    </row>
    <row r="6280" spans="11:19" x14ac:dyDescent="0.3">
      <c r="K6280" s="16">
        <f t="shared" si="97"/>
        <v>44277</v>
      </c>
      <c r="L6280" s="17">
        <v>0.58333333333333337</v>
      </c>
      <c r="M6280" s="14">
        <v>880</v>
      </c>
      <c r="N6280" s="14">
        <v>0</v>
      </c>
      <c r="O6280" s="14">
        <v>-540</v>
      </c>
      <c r="P6280" s="14">
        <v>340</v>
      </c>
      <c r="Q6280">
        <v>10562</v>
      </c>
      <c r="R6280">
        <v>4141</v>
      </c>
      <c r="S6280">
        <v>1250</v>
      </c>
    </row>
    <row r="6281" spans="11:19" x14ac:dyDescent="0.3">
      <c r="K6281" s="16">
        <f t="shared" si="97"/>
        <v>44277</v>
      </c>
      <c r="L6281" s="17">
        <v>0.625</v>
      </c>
      <c r="M6281" s="14">
        <v>880</v>
      </c>
      <c r="N6281" s="14">
        <v>0</v>
      </c>
      <c r="O6281" s="14">
        <v>-95</v>
      </c>
      <c r="P6281" s="14">
        <v>785</v>
      </c>
      <c r="Q6281">
        <v>10300</v>
      </c>
      <c r="R6281">
        <v>4119</v>
      </c>
      <c r="S6281">
        <v>1251</v>
      </c>
    </row>
    <row r="6282" spans="11:19" x14ac:dyDescent="0.3">
      <c r="K6282" s="16">
        <f t="shared" si="97"/>
        <v>44277</v>
      </c>
      <c r="L6282" s="17">
        <v>0.66666666666666663</v>
      </c>
      <c r="M6282" s="14">
        <v>880</v>
      </c>
      <c r="N6282" s="14">
        <v>0</v>
      </c>
      <c r="O6282" s="14">
        <v>-511</v>
      </c>
      <c r="P6282" s="14">
        <v>369</v>
      </c>
      <c r="Q6282">
        <v>10103</v>
      </c>
      <c r="R6282">
        <v>4050</v>
      </c>
      <c r="S6282">
        <v>853</v>
      </c>
    </row>
    <row r="6283" spans="11:19" x14ac:dyDescent="0.3">
      <c r="K6283" s="16">
        <f t="shared" si="97"/>
        <v>44277</v>
      </c>
      <c r="L6283" s="17">
        <v>0.70833333333333337</v>
      </c>
      <c r="M6283" s="14">
        <v>880</v>
      </c>
      <c r="N6283" s="14">
        <v>0</v>
      </c>
      <c r="O6283" s="14">
        <v>0</v>
      </c>
      <c r="P6283" s="14">
        <v>880</v>
      </c>
      <c r="Q6283">
        <v>10140</v>
      </c>
      <c r="R6283">
        <v>3622</v>
      </c>
      <c r="S6283">
        <v>435</v>
      </c>
    </row>
    <row r="6284" spans="11:19" x14ac:dyDescent="0.3">
      <c r="K6284" s="16">
        <f t="shared" si="97"/>
        <v>44277</v>
      </c>
      <c r="L6284" s="17">
        <v>0.75</v>
      </c>
      <c r="M6284" s="14">
        <v>880</v>
      </c>
      <c r="N6284" s="14">
        <v>0</v>
      </c>
      <c r="O6284" s="14">
        <v>849</v>
      </c>
      <c r="P6284" s="14">
        <v>1729</v>
      </c>
      <c r="Q6284">
        <v>10726</v>
      </c>
      <c r="R6284">
        <v>3410</v>
      </c>
      <c r="S6284">
        <v>61</v>
      </c>
    </row>
    <row r="6285" spans="11:19" x14ac:dyDescent="0.3">
      <c r="K6285" s="16">
        <f t="shared" si="97"/>
        <v>44277</v>
      </c>
      <c r="L6285" s="17">
        <v>0.79166666666666663</v>
      </c>
      <c r="M6285" s="14">
        <v>880</v>
      </c>
      <c r="N6285" s="14">
        <v>625</v>
      </c>
      <c r="O6285" s="14">
        <v>1200</v>
      </c>
      <c r="P6285" s="14">
        <v>2705</v>
      </c>
      <c r="Q6285">
        <v>11382</v>
      </c>
      <c r="R6285">
        <v>3098</v>
      </c>
      <c r="S6285">
        <v>1</v>
      </c>
    </row>
    <row r="6286" spans="11:19" x14ac:dyDescent="0.3">
      <c r="K6286" s="16">
        <f t="shared" si="97"/>
        <v>44277</v>
      </c>
      <c r="L6286" s="17">
        <v>0.83333333333333337</v>
      </c>
      <c r="M6286" s="14">
        <v>880</v>
      </c>
      <c r="N6286" s="14">
        <v>0</v>
      </c>
      <c r="O6286" s="14">
        <v>1200</v>
      </c>
      <c r="P6286" s="14">
        <v>2080</v>
      </c>
      <c r="Q6286">
        <v>10589</v>
      </c>
      <c r="R6286">
        <v>2776</v>
      </c>
      <c r="S6286">
        <v>0</v>
      </c>
    </row>
    <row r="6287" spans="11:19" x14ac:dyDescent="0.3">
      <c r="K6287" s="16">
        <f t="shared" si="97"/>
        <v>44277</v>
      </c>
      <c r="L6287" s="17">
        <v>0.875</v>
      </c>
      <c r="M6287" s="14">
        <v>880</v>
      </c>
      <c r="N6287" s="14">
        <v>0</v>
      </c>
      <c r="O6287" s="14">
        <v>736</v>
      </c>
      <c r="P6287" s="14">
        <v>1616</v>
      </c>
      <c r="Q6287">
        <v>9864</v>
      </c>
      <c r="R6287">
        <v>2739</v>
      </c>
      <c r="S6287">
        <v>0</v>
      </c>
    </row>
    <row r="6288" spans="11:19" x14ac:dyDescent="0.3">
      <c r="K6288" s="16">
        <f t="shared" si="97"/>
        <v>44277</v>
      </c>
      <c r="L6288" s="17">
        <v>0.91666666666666663</v>
      </c>
      <c r="M6288" s="14">
        <v>880</v>
      </c>
      <c r="N6288" s="14">
        <v>49</v>
      </c>
      <c r="O6288" s="14">
        <v>1200</v>
      </c>
      <c r="P6288" s="14">
        <v>2129</v>
      </c>
      <c r="Q6288">
        <v>10018</v>
      </c>
      <c r="R6288">
        <v>2384</v>
      </c>
      <c r="S6288">
        <v>0</v>
      </c>
    </row>
    <row r="6289" spans="11:19" x14ac:dyDescent="0.3">
      <c r="K6289" s="16">
        <f t="shared" si="97"/>
        <v>44277</v>
      </c>
      <c r="L6289" s="17">
        <v>0.95833333333333337</v>
      </c>
      <c r="M6289" s="14">
        <v>880</v>
      </c>
      <c r="N6289" s="14">
        <v>63</v>
      </c>
      <c r="O6289" s="14">
        <v>1200</v>
      </c>
      <c r="P6289" s="14">
        <v>2143</v>
      </c>
      <c r="Q6289">
        <v>10184</v>
      </c>
      <c r="R6289">
        <v>2380</v>
      </c>
      <c r="S6289">
        <v>0</v>
      </c>
    </row>
    <row r="6290" spans="11:19" x14ac:dyDescent="0.3">
      <c r="K6290" s="16">
        <f t="shared" si="97"/>
        <v>44278</v>
      </c>
      <c r="L6290" s="17">
        <v>0</v>
      </c>
      <c r="M6290" s="14">
        <v>880</v>
      </c>
      <c r="N6290" s="14">
        <v>0</v>
      </c>
      <c r="O6290" s="14">
        <v>0</v>
      </c>
      <c r="P6290" s="14">
        <v>880</v>
      </c>
      <c r="Q6290">
        <v>9698</v>
      </c>
      <c r="R6290">
        <v>2213</v>
      </c>
      <c r="S6290">
        <v>0</v>
      </c>
    </row>
    <row r="6291" spans="11:19" x14ac:dyDescent="0.3">
      <c r="K6291" s="16">
        <f t="shared" si="97"/>
        <v>44278</v>
      </c>
      <c r="L6291" s="17">
        <v>4.1666666666666664E-2</v>
      </c>
      <c r="M6291" s="14">
        <v>880</v>
      </c>
      <c r="N6291" s="14">
        <v>1121</v>
      </c>
      <c r="O6291" s="14">
        <v>0</v>
      </c>
      <c r="P6291" s="14">
        <v>2001</v>
      </c>
      <c r="Q6291">
        <v>9373</v>
      </c>
      <c r="R6291">
        <v>1725</v>
      </c>
      <c r="S6291">
        <v>0</v>
      </c>
    </row>
    <row r="6292" spans="11:19" x14ac:dyDescent="0.3">
      <c r="K6292" s="16">
        <f t="shared" si="97"/>
        <v>44278</v>
      </c>
      <c r="L6292" s="17">
        <v>8.3333333333333329E-2</v>
      </c>
      <c r="M6292" s="14">
        <v>880</v>
      </c>
      <c r="N6292" s="14">
        <v>0</v>
      </c>
      <c r="O6292" s="14">
        <v>0</v>
      </c>
      <c r="P6292" s="14">
        <v>880</v>
      </c>
      <c r="Q6292">
        <v>9099</v>
      </c>
      <c r="R6292">
        <v>1572</v>
      </c>
      <c r="S6292">
        <v>0</v>
      </c>
    </row>
    <row r="6293" spans="11:19" x14ac:dyDescent="0.3">
      <c r="K6293" s="16">
        <f t="shared" si="97"/>
        <v>44278</v>
      </c>
      <c r="L6293" s="17">
        <v>0.125</v>
      </c>
      <c r="M6293" s="14">
        <v>880</v>
      </c>
      <c r="N6293" s="14">
        <v>0</v>
      </c>
      <c r="O6293" s="14">
        <v>0</v>
      </c>
      <c r="P6293" s="14">
        <v>880</v>
      </c>
      <c r="Q6293">
        <v>8719</v>
      </c>
      <c r="R6293">
        <v>1354</v>
      </c>
      <c r="S6293">
        <v>0</v>
      </c>
    </row>
    <row r="6294" spans="11:19" x14ac:dyDescent="0.3">
      <c r="K6294" s="16">
        <f t="shared" si="97"/>
        <v>44278</v>
      </c>
      <c r="L6294" s="17">
        <v>0.16666666666666666</v>
      </c>
      <c r="M6294" s="14">
        <v>880</v>
      </c>
      <c r="N6294" s="14">
        <v>841</v>
      </c>
      <c r="O6294" s="14">
        <v>0</v>
      </c>
      <c r="P6294" s="14">
        <v>1721</v>
      </c>
      <c r="Q6294">
        <v>8700</v>
      </c>
      <c r="R6294">
        <v>1164</v>
      </c>
      <c r="S6294">
        <v>0</v>
      </c>
    </row>
    <row r="6295" spans="11:19" x14ac:dyDescent="0.3">
      <c r="K6295" s="16">
        <f t="shared" si="97"/>
        <v>44278</v>
      </c>
      <c r="L6295" s="17">
        <v>0.20833333333333334</v>
      </c>
      <c r="M6295" s="14">
        <v>880</v>
      </c>
      <c r="N6295" s="14">
        <v>1425</v>
      </c>
      <c r="O6295" s="14">
        <v>0</v>
      </c>
      <c r="P6295" s="14">
        <v>2305</v>
      </c>
      <c r="Q6295">
        <v>9266</v>
      </c>
      <c r="R6295">
        <v>1138</v>
      </c>
      <c r="S6295">
        <v>0</v>
      </c>
    </row>
    <row r="6296" spans="11:19" x14ac:dyDescent="0.3">
      <c r="K6296" s="16">
        <f t="shared" si="97"/>
        <v>44278</v>
      </c>
      <c r="L6296" s="17">
        <v>0.25</v>
      </c>
      <c r="M6296" s="14">
        <v>880</v>
      </c>
      <c r="N6296" s="14">
        <v>0</v>
      </c>
      <c r="O6296" s="14">
        <v>0</v>
      </c>
      <c r="P6296" s="14">
        <v>880</v>
      </c>
      <c r="Q6296">
        <v>10384</v>
      </c>
      <c r="R6296">
        <v>1227</v>
      </c>
      <c r="S6296">
        <v>2</v>
      </c>
    </row>
    <row r="6297" spans="11:19" x14ac:dyDescent="0.3">
      <c r="K6297" s="16">
        <f t="shared" si="97"/>
        <v>44278</v>
      </c>
      <c r="L6297" s="17">
        <v>0.29166666666666669</v>
      </c>
      <c r="M6297" s="14">
        <v>880</v>
      </c>
      <c r="N6297" s="14">
        <v>421</v>
      </c>
      <c r="O6297" s="14">
        <v>24</v>
      </c>
      <c r="P6297" s="14">
        <v>1325</v>
      </c>
      <c r="Q6297">
        <v>11117</v>
      </c>
      <c r="R6297">
        <v>1265</v>
      </c>
      <c r="S6297">
        <v>129</v>
      </c>
    </row>
    <row r="6298" spans="11:19" x14ac:dyDescent="0.3">
      <c r="K6298" s="16">
        <f t="shared" si="97"/>
        <v>44278</v>
      </c>
      <c r="L6298" s="17">
        <v>0.33333333333333331</v>
      </c>
      <c r="M6298" s="14">
        <v>880</v>
      </c>
      <c r="N6298" s="14">
        <v>0</v>
      </c>
      <c r="O6298" s="14">
        <v>0</v>
      </c>
      <c r="P6298" s="14">
        <v>880</v>
      </c>
      <c r="Q6298">
        <v>11357</v>
      </c>
      <c r="R6298">
        <v>1534</v>
      </c>
      <c r="S6298">
        <v>584</v>
      </c>
    </row>
    <row r="6299" spans="11:19" x14ac:dyDescent="0.3">
      <c r="K6299" s="16">
        <f t="shared" ref="K6299:K6362" si="98">K6275+1</f>
        <v>44278</v>
      </c>
      <c r="L6299" s="17">
        <v>0.375</v>
      </c>
      <c r="M6299" s="14">
        <v>880</v>
      </c>
      <c r="N6299" s="14">
        <v>1785</v>
      </c>
      <c r="O6299" s="14">
        <v>0</v>
      </c>
      <c r="P6299" s="14">
        <v>2665</v>
      </c>
      <c r="Q6299">
        <v>11362</v>
      </c>
      <c r="R6299">
        <v>1758</v>
      </c>
      <c r="S6299">
        <v>1197</v>
      </c>
    </row>
    <row r="6300" spans="11:19" x14ac:dyDescent="0.3">
      <c r="K6300" s="16">
        <f t="shared" si="98"/>
        <v>44278</v>
      </c>
      <c r="L6300" s="17">
        <v>0.41666666666666669</v>
      </c>
      <c r="M6300" s="14">
        <v>880</v>
      </c>
      <c r="N6300" s="14">
        <v>1150</v>
      </c>
      <c r="O6300" s="14">
        <v>0</v>
      </c>
      <c r="P6300" s="14">
        <v>2030</v>
      </c>
      <c r="Q6300">
        <v>11192</v>
      </c>
      <c r="R6300">
        <v>1931</v>
      </c>
      <c r="S6300">
        <v>1621</v>
      </c>
    </row>
    <row r="6301" spans="11:19" x14ac:dyDescent="0.3">
      <c r="K6301" s="16">
        <f t="shared" si="98"/>
        <v>44278</v>
      </c>
      <c r="L6301" s="17">
        <v>0.45833333333333331</v>
      </c>
      <c r="M6301" s="14">
        <v>880</v>
      </c>
      <c r="N6301" s="14">
        <v>903</v>
      </c>
      <c r="O6301" s="14">
        <v>0</v>
      </c>
      <c r="P6301" s="14">
        <v>1783</v>
      </c>
      <c r="Q6301">
        <v>11173</v>
      </c>
      <c r="R6301">
        <v>1896</v>
      </c>
      <c r="S6301">
        <v>1886</v>
      </c>
    </row>
    <row r="6302" spans="11:19" x14ac:dyDescent="0.3">
      <c r="K6302" s="16">
        <f t="shared" si="98"/>
        <v>44278</v>
      </c>
      <c r="L6302" s="17">
        <v>0.5</v>
      </c>
      <c r="M6302" s="14">
        <v>880</v>
      </c>
      <c r="N6302" s="14">
        <v>0</v>
      </c>
      <c r="O6302" s="14">
        <v>0</v>
      </c>
      <c r="P6302" s="14">
        <v>880</v>
      </c>
      <c r="Q6302">
        <v>11143</v>
      </c>
      <c r="R6302">
        <v>2039</v>
      </c>
      <c r="S6302">
        <v>1993</v>
      </c>
    </row>
    <row r="6303" spans="11:19" x14ac:dyDescent="0.3">
      <c r="K6303" s="16">
        <f t="shared" si="98"/>
        <v>44278</v>
      </c>
      <c r="L6303" s="17">
        <v>0.54166666666666663</v>
      </c>
      <c r="M6303" s="14">
        <v>880</v>
      </c>
      <c r="N6303" s="14">
        <v>318</v>
      </c>
      <c r="O6303" s="14">
        <v>0</v>
      </c>
      <c r="P6303" s="14">
        <v>1198</v>
      </c>
      <c r="Q6303">
        <v>10851</v>
      </c>
      <c r="R6303">
        <v>2092</v>
      </c>
      <c r="S6303">
        <v>1954</v>
      </c>
    </row>
    <row r="6304" spans="11:19" x14ac:dyDescent="0.3">
      <c r="K6304" s="16">
        <f t="shared" si="98"/>
        <v>44278</v>
      </c>
      <c r="L6304" s="17">
        <v>0.58333333333333337</v>
      </c>
      <c r="M6304" s="14">
        <v>880</v>
      </c>
      <c r="N6304" s="14">
        <v>0</v>
      </c>
      <c r="O6304" s="14">
        <v>-12</v>
      </c>
      <c r="P6304" s="14">
        <v>868</v>
      </c>
      <c r="Q6304">
        <v>10588</v>
      </c>
      <c r="R6304">
        <v>2209</v>
      </c>
      <c r="S6304">
        <v>1825</v>
      </c>
    </row>
    <row r="6305" spans="11:19" x14ac:dyDescent="0.3">
      <c r="K6305" s="16">
        <f t="shared" si="98"/>
        <v>44278</v>
      </c>
      <c r="L6305" s="17">
        <v>0.625</v>
      </c>
      <c r="M6305" s="14">
        <v>880</v>
      </c>
      <c r="N6305" s="14">
        <v>0</v>
      </c>
      <c r="O6305" s="14">
        <v>0</v>
      </c>
      <c r="P6305" s="14">
        <v>880</v>
      </c>
      <c r="Q6305">
        <v>10306</v>
      </c>
      <c r="R6305">
        <v>2247</v>
      </c>
      <c r="S6305">
        <v>1467</v>
      </c>
    </row>
    <row r="6306" spans="11:19" x14ac:dyDescent="0.3">
      <c r="K6306" s="16">
        <f t="shared" si="98"/>
        <v>44278</v>
      </c>
      <c r="L6306" s="17">
        <v>0.66666666666666663</v>
      </c>
      <c r="M6306" s="14">
        <v>880</v>
      </c>
      <c r="N6306" s="14">
        <v>0</v>
      </c>
      <c r="O6306" s="14">
        <v>-17</v>
      </c>
      <c r="P6306" s="14">
        <v>863</v>
      </c>
      <c r="Q6306">
        <v>10102</v>
      </c>
      <c r="R6306">
        <v>2546</v>
      </c>
      <c r="S6306">
        <v>1007</v>
      </c>
    </row>
    <row r="6307" spans="11:19" x14ac:dyDescent="0.3">
      <c r="K6307" s="16">
        <f t="shared" si="98"/>
        <v>44278</v>
      </c>
      <c r="L6307" s="17">
        <v>0.70833333333333337</v>
      </c>
      <c r="M6307" s="14">
        <v>880</v>
      </c>
      <c r="N6307" s="14">
        <v>0</v>
      </c>
      <c r="O6307" s="14">
        <v>0</v>
      </c>
      <c r="P6307" s="14">
        <v>880</v>
      </c>
      <c r="Q6307">
        <v>10120</v>
      </c>
      <c r="R6307">
        <v>2627</v>
      </c>
      <c r="S6307">
        <v>467</v>
      </c>
    </row>
    <row r="6308" spans="11:19" x14ac:dyDescent="0.3">
      <c r="K6308" s="16">
        <f t="shared" si="98"/>
        <v>44278</v>
      </c>
      <c r="L6308" s="17">
        <v>0.75</v>
      </c>
      <c r="M6308" s="14">
        <v>880</v>
      </c>
      <c r="N6308" s="14">
        <v>1496</v>
      </c>
      <c r="O6308" s="14">
        <v>0</v>
      </c>
      <c r="P6308" s="14">
        <v>2376</v>
      </c>
      <c r="Q6308">
        <v>10665</v>
      </c>
      <c r="R6308">
        <v>2524</v>
      </c>
      <c r="S6308">
        <v>79</v>
      </c>
    </row>
    <row r="6309" spans="11:19" x14ac:dyDescent="0.3">
      <c r="K6309" s="16">
        <f t="shared" si="98"/>
        <v>44278</v>
      </c>
      <c r="L6309" s="17">
        <v>0.79166666666666663</v>
      </c>
      <c r="M6309" s="14">
        <v>880</v>
      </c>
      <c r="N6309" s="14">
        <v>0</v>
      </c>
      <c r="O6309" s="14">
        <v>0</v>
      </c>
      <c r="P6309" s="14">
        <v>880</v>
      </c>
      <c r="Q6309">
        <v>11380</v>
      </c>
      <c r="R6309">
        <v>2496</v>
      </c>
      <c r="S6309">
        <v>3</v>
      </c>
    </row>
    <row r="6310" spans="11:19" x14ac:dyDescent="0.3">
      <c r="K6310" s="16">
        <f t="shared" si="98"/>
        <v>44278</v>
      </c>
      <c r="L6310" s="17">
        <v>0.83333333333333337</v>
      </c>
      <c r="M6310" s="14">
        <v>880</v>
      </c>
      <c r="N6310" s="14">
        <v>1330</v>
      </c>
      <c r="O6310" s="14">
        <v>0</v>
      </c>
      <c r="P6310" s="14">
        <v>2210</v>
      </c>
      <c r="Q6310">
        <v>10597</v>
      </c>
      <c r="R6310">
        <v>2548</v>
      </c>
      <c r="S6310">
        <v>0</v>
      </c>
    </row>
    <row r="6311" spans="11:19" x14ac:dyDescent="0.3">
      <c r="K6311" s="16">
        <f t="shared" si="98"/>
        <v>44278</v>
      </c>
      <c r="L6311" s="17">
        <v>0.875</v>
      </c>
      <c r="M6311" s="14">
        <v>880</v>
      </c>
      <c r="N6311" s="14">
        <v>727</v>
      </c>
      <c r="O6311" s="14">
        <v>0</v>
      </c>
      <c r="P6311" s="14">
        <v>1607</v>
      </c>
      <c r="Q6311">
        <v>9889</v>
      </c>
      <c r="R6311">
        <v>2452</v>
      </c>
      <c r="S6311">
        <v>0</v>
      </c>
    </row>
    <row r="6312" spans="11:19" x14ac:dyDescent="0.3">
      <c r="K6312" s="16">
        <f t="shared" si="98"/>
        <v>44278</v>
      </c>
      <c r="L6312" s="17">
        <v>0.91666666666666663</v>
      </c>
      <c r="M6312" s="14">
        <v>880</v>
      </c>
      <c r="N6312" s="14">
        <v>953</v>
      </c>
      <c r="O6312" s="14">
        <v>0</v>
      </c>
      <c r="P6312" s="14">
        <v>1833</v>
      </c>
      <c r="Q6312">
        <v>10015</v>
      </c>
      <c r="R6312">
        <v>2357</v>
      </c>
      <c r="S6312">
        <v>0</v>
      </c>
    </row>
    <row r="6313" spans="11:19" x14ac:dyDescent="0.3">
      <c r="K6313" s="16">
        <f t="shared" si="98"/>
        <v>44278</v>
      </c>
      <c r="L6313" s="17">
        <v>0.95833333333333337</v>
      </c>
      <c r="M6313" s="14">
        <v>880</v>
      </c>
      <c r="N6313" s="14">
        <v>1131</v>
      </c>
      <c r="O6313" s="14">
        <v>0</v>
      </c>
      <c r="P6313" s="14">
        <v>2011</v>
      </c>
      <c r="Q6313">
        <v>10149</v>
      </c>
      <c r="R6313">
        <v>2317</v>
      </c>
      <c r="S6313">
        <v>0</v>
      </c>
    </row>
    <row r="6314" spans="11:19" x14ac:dyDescent="0.3">
      <c r="K6314" s="16">
        <f t="shared" si="98"/>
        <v>44279</v>
      </c>
      <c r="L6314" s="17">
        <v>0</v>
      </c>
      <c r="M6314" s="14">
        <v>880</v>
      </c>
      <c r="N6314" s="14">
        <v>1112</v>
      </c>
      <c r="O6314" s="14">
        <v>0</v>
      </c>
      <c r="P6314" s="14">
        <v>1992</v>
      </c>
      <c r="Q6314">
        <v>9583</v>
      </c>
      <c r="R6314">
        <v>2019</v>
      </c>
      <c r="S6314">
        <v>0</v>
      </c>
    </row>
    <row r="6315" spans="11:19" x14ac:dyDescent="0.3">
      <c r="K6315" s="16">
        <f t="shared" si="98"/>
        <v>44279</v>
      </c>
      <c r="L6315" s="17">
        <v>4.1666666666666664E-2</v>
      </c>
      <c r="M6315" s="14">
        <v>880</v>
      </c>
      <c r="N6315" s="14">
        <v>0</v>
      </c>
      <c r="O6315" s="14">
        <v>0</v>
      </c>
      <c r="P6315" s="14">
        <v>880</v>
      </c>
      <c r="Q6315">
        <v>9219</v>
      </c>
      <c r="R6315">
        <v>1870</v>
      </c>
      <c r="S6315">
        <v>0</v>
      </c>
    </row>
    <row r="6316" spans="11:19" x14ac:dyDescent="0.3">
      <c r="K6316" s="16">
        <f t="shared" si="98"/>
        <v>44279</v>
      </c>
      <c r="L6316" s="17">
        <v>8.3333333333333329E-2</v>
      </c>
      <c r="M6316" s="14">
        <v>880</v>
      </c>
      <c r="N6316" s="14">
        <v>836</v>
      </c>
      <c r="O6316" s="14">
        <v>0</v>
      </c>
      <c r="P6316" s="14">
        <v>1716</v>
      </c>
      <c r="Q6316">
        <v>8896</v>
      </c>
      <c r="R6316">
        <v>1613</v>
      </c>
      <c r="S6316">
        <v>0</v>
      </c>
    </row>
    <row r="6317" spans="11:19" x14ac:dyDescent="0.3">
      <c r="K6317" s="16">
        <f t="shared" si="98"/>
        <v>44279</v>
      </c>
      <c r="L6317" s="17">
        <v>0.125</v>
      </c>
      <c r="M6317" s="14">
        <v>880</v>
      </c>
      <c r="N6317" s="14">
        <v>309</v>
      </c>
      <c r="O6317" s="14">
        <v>0</v>
      </c>
      <c r="P6317" s="14">
        <v>1189</v>
      </c>
      <c r="Q6317">
        <v>8461</v>
      </c>
      <c r="R6317">
        <v>1700</v>
      </c>
      <c r="S6317">
        <v>0</v>
      </c>
    </row>
    <row r="6318" spans="11:19" x14ac:dyDescent="0.3">
      <c r="K6318" s="16">
        <f t="shared" si="98"/>
        <v>44279</v>
      </c>
      <c r="L6318" s="17">
        <v>0.16666666666666666</v>
      </c>
      <c r="M6318" s="14">
        <v>880</v>
      </c>
      <c r="N6318" s="14">
        <v>248</v>
      </c>
      <c r="O6318" s="14">
        <v>0</v>
      </c>
      <c r="P6318" s="14">
        <v>1128</v>
      </c>
      <c r="Q6318">
        <v>8388</v>
      </c>
      <c r="R6318">
        <v>1685</v>
      </c>
      <c r="S6318">
        <v>0</v>
      </c>
    </row>
    <row r="6319" spans="11:19" x14ac:dyDescent="0.3">
      <c r="K6319" s="16">
        <f t="shared" si="98"/>
        <v>44279</v>
      </c>
      <c r="L6319" s="17">
        <v>0.20833333333333334</v>
      </c>
      <c r="M6319" s="14">
        <v>880</v>
      </c>
      <c r="N6319" s="14">
        <v>551</v>
      </c>
      <c r="O6319" s="14">
        <v>0</v>
      </c>
      <c r="P6319" s="14">
        <v>1431</v>
      </c>
      <c r="Q6319">
        <v>8902</v>
      </c>
      <c r="R6319">
        <v>1648</v>
      </c>
      <c r="S6319">
        <v>0</v>
      </c>
    </row>
    <row r="6320" spans="11:19" x14ac:dyDescent="0.3">
      <c r="K6320" s="16">
        <f t="shared" si="98"/>
        <v>44279</v>
      </c>
      <c r="L6320" s="17">
        <v>0.25</v>
      </c>
      <c r="M6320" s="14">
        <v>880</v>
      </c>
      <c r="N6320" s="14">
        <v>0</v>
      </c>
      <c r="O6320" s="14">
        <v>0</v>
      </c>
      <c r="P6320" s="14">
        <v>880</v>
      </c>
      <c r="Q6320">
        <v>9968</v>
      </c>
      <c r="R6320">
        <v>1616</v>
      </c>
      <c r="S6320">
        <v>4</v>
      </c>
    </row>
    <row r="6321" spans="11:19" x14ac:dyDescent="0.3">
      <c r="K6321" s="16">
        <f t="shared" si="98"/>
        <v>44279</v>
      </c>
      <c r="L6321" s="17">
        <v>0.29166666666666669</v>
      </c>
      <c r="M6321" s="14">
        <v>880</v>
      </c>
      <c r="N6321" s="14">
        <v>1817</v>
      </c>
      <c r="O6321" s="14">
        <v>0</v>
      </c>
      <c r="P6321" s="14">
        <v>2697</v>
      </c>
      <c r="Q6321">
        <v>10662</v>
      </c>
      <c r="R6321">
        <v>1545</v>
      </c>
      <c r="S6321">
        <v>104</v>
      </c>
    </row>
    <row r="6322" spans="11:19" x14ac:dyDescent="0.3">
      <c r="K6322" s="16">
        <f t="shared" si="98"/>
        <v>44279</v>
      </c>
      <c r="L6322" s="17">
        <v>0.33333333333333331</v>
      </c>
      <c r="M6322" s="14">
        <v>880</v>
      </c>
      <c r="N6322" s="14">
        <v>0</v>
      </c>
      <c r="O6322" s="14">
        <v>0</v>
      </c>
      <c r="P6322" s="14">
        <v>880</v>
      </c>
      <c r="Q6322">
        <v>10878</v>
      </c>
      <c r="R6322">
        <v>1438</v>
      </c>
      <c r="S6322">
        <v>475</v>
      </c>
    </row>
    <row r="6323" spans="11:19" x14ac:dyDescent="0.3">
      <c r="K6323" s="16">
        <f t="shared" si="98"/>
        <v>44279</v>
      </c>
      <c r="L6323" s="17">
        <v>0.375</v>
      </c>
      <c r="M6323" s="14">
        <v>880</v>
      </c>
      <c r="N6323" s="14">
        <v>1817</v>
      </c>
      <c r="O6323" s="14">
        <v>0</v>
      </c>
      <c r="P6323" s="14">
        <v>2697</v>
      </c>
      <c r="Q6323">
        <v>10875</v>
      </c>
      <c r="R6323">
        <v>1351</v>
      </c>
      <c r="S6323">
        <v>961</v>
      </c>
    </row>
    <row r="6324" spans="11:19" x14ac:dyDescent="0.3">
      <c r="K6324" s="16">
        <f t="shared" si="98"/>
        <v>44279</v>
      </c>
      <c r="L6324" s="17">
        <v>0.41666666666666669</v>
      </c>
      <c r="M6324" s="14">
        <v>880</v>
      </c>
      <c r="N6324" s="14">
        <v>1461</v>
      </c>
      <c r="O6324" s="14">
        <v>0</v>
      </c>
      <c r="P6324" s="14">
        <v>2341</v>
      </c>
      <c r="Q6324">
        <v>10773</v>
      </c>
      <c r="R6324">
        <v>1434</v>
      </c>
      <c r="S6324">
        <v>1308</v>
      </c>
    </row>
    <row r="6325" spans="11:19" x14ac:dyDescent="0.3">
      <c r="K6325" s="16">
        <f t="shared" si="98"/>
        <v>44279</v>
      </c>
      <c r="L6325" s="17">
        <v>0.45833333333333331</v>
      </c>
      <c r="M6325" s="14">
        <v>880</v>
      </c>
      <c r="N6325" s="14">
        <v>1230</v>
      </c>
      <c r="O6325" s="14">
        <v>0</v>
      </c>
      <c r="P6325" s="14">
        <v>2110</v>
      </c>
      <c r="Q6325">
        <v>10791</v>
      </c>
      <c r="R6325">
        <v>1463</v>
      </c>
      <c r="S6325">
        <v>1530</v>
      </c>
    </row>
    <row r="6326" spans="11:19" x14ac:dyDescent="0.3">
      <c r="K6326" s="16">
        <f t="shared" si="98"/>
        <v>44279</v>
      </c>
      <c r="L6326" s="17">
        <v>0.5</v>
      </c>
      <c r="M6326" s="14">
        <v>880</v>
      </c>
      <c r="N6326" s="14">
        <v>0</v>
      </c>
      <c r="O6326" s="14">
        <v>0</v>
      </c>
      <c r="P6326" s="14">
        <v>880</v>
      </c>
      <c r="Q6326">
        <v>10778</v>
      </c>
      <c r="R6326">
        <v>1534</v>
      </c>
      <c r="S6326">
        <v>1677</v>
      </c>
    </row>
    <row r="6327" spans="11:19" x14ac:dyDescent="0.3">
      <c r="K6327" s="16">
        <f t="shared" si="98"/>
        <v>44279</v>
      </c>
      <c r="L6327" s="17">
        <v>0.54166666666666663</v>
      </c>
      <c r="M6327" s="14">
        <v>880</v>
      </c>
      <c r="N6327" s="14">
        <v>0</v>
      </c>
      <c r="O6327" s="14">
        <v>0</v>
      </c>
      <c r="P6327" s="14">
        <v>880</v>
      </c>
      <c r="Q6327">
        <v>10482</v>
      </c>
      <c r="R6327">
        <v>1536</v>
      </c>
      <c r="S6327">
        <v>1732</v>
      </c>
    </row>
    <row r="6328" spans="11:19" x14ac:dyDescent="0.3">
      <c r="K6328" s="16">
        <f t="shared" si="98"/>
        <v>44279</v>
      </c>
      <c r="L6328" s="17">
        <v>0.58333333333333337</v>
      </c>
      <c r="M6328" s="14">
        <v>880</v>
      </c>
      <c r="N6328" s="14">
        <v>292</v>
      </c>
      <c r="O6328" s="14">
        <v>0</v>
      </c>
      <c r="P6328" s="14">
        <v>1172</v>
      </c>
      <c r="Q6328">
        <v>10204</v>
      </c>
      <c r="R6328">
        <v>1703</v>
      </c>
      <c r="S6328">
        <v>1643</v>
      </c>
    </row>
    <row r="6329" spans="11:19" x14ac:dyDescent="0.3">
      <c r="K6329" s="16">
        <f t="shared" si="98"/>
        <v>44279</v>
      </c>
      <c r="L6329" s="17">
        <v>0.625</v>
      </c>
      <c r="M6329" s="14">
        <v>880</v>
      </c>
      <c r="N6329" s="14">
        <v>0</v>
      </c>
      <c r="O6329" s="14">
        <v>0</v>
      </c>
      <c r="P6329" s="14">
        <v>880</v>
      </c>
      <c r="Q6329">
        <v>9885</v>
      </c>
      <c r="R6329">
        <v>1594</v>
      </c>
      <c r="S6329">
        <v>1443</v>
      </c>
    </row>
    <row r="6330" spans="11:19" x14ac:dyDescent="0.3">
      <c r="K6330" s="16">
        <f t="shared" si="98"/>
        <v>44279</v>
      </c>
      <c r="L6330" s="17">
        <v>0.66666666666666663</v>
      </c>
      <c r="M6330" s="14">
        <v>880</v>
      </c>
      <c r="N6330" s="14">
        <v>518</v>
      </c>
      <c r="O6330" s="14">
        <v>0</v>
      </c>
      <c r="P6330" s="14">
        <v>1398</v>
      </c>
      <c r="Q6330">
        <v>9628</v>
      </c>
      <c r="R6330">
        <v>1528</v>
      </c>
      <c r="S6330">
        <v>1016</v>
      </c>
    </row>
    <row r="6331" spans="11:19" x14ac:dyDescent="0.3">
      <c r="K6331" s="16">
        <f t="shared" si="98"/>
        <v>44279</v>
      </c>
      <c r="L6331" s="17">
        <v>0.70833333333333337</v>
      </c>
      <c r="M6331" s="14">
        <v>880</v>
      </c>
      <c r="N6331" s="14">
        <v>1044</v>
      </c>
      <c r="O6331" s="14">
        <v>0</v>
      </c>
      <c r="P6331" s="14">
        <v>1924</v>
      </c>
      <c r="Q6331">
        <v>9604</v>
      </c>
      <c r="R6331">
        <v>1509</v>
      </c>
      <c r="S6331">
        <v>483</v>
      </c>
    </row>
    <row r="6332" spans="11:19" x14ac:dyDescent="0.3">
      <c r="K6332" s="16">
        <f t="shared" si="98"/>
        <v>44279</v>
      </c>
      <c r="L6332" s="17">
        <v>0.75</v>
      </c>
      <c r="M6332" s="14">
        <v>880</v>
      </c>
      <c r="N6332" s="14">
        <v>1817</v>
      </c>
      <c r="O6332" s="14">
        <v>0</v>
      </c>
      <c r="P6332" s="14">
        <v>2697</v>
      </c>
      <c r="Q6332">
        <v>10124</v>
      </c>
      <c r="R6332">
        <v>1505</v>
      </c>
      <c r="S6332">
        <v>81</v>
      </c>
    </row>
    <row r="6333" spans="11:19" x14ac:dyDescent="0.3">
      <c r="K6333" s="16">
        <f t="shared" si="98"/>
        <v>44279</v>
      </c>
      <c r="L6333" s="17">
        <v>0.79166666666666663</v>
      </c>
      <c r="M6333" s="14">
        <v>880</v>
      </c>
      <c r="N6333" s="14">
        <v>1817</v>
      </c>
      <c r="O6333" s="14">
        <v>0</v>
      </c>
      <c r="P6333" s="14">
        <v>2697</v>
      </c>
      <c r="Q6333">
        <v>10684</v>
      </c>
      <c r="R6333">
        <v>1597</v>
      </c>
      <c r="S6333">
        <v>2</v>
      </c>
    </row>
    <row r="6334" spans="11:19" x14ac:dyDescent="0.3">
      <c r="K6334" s="16">
        <f t="shared" si="98"/>
        <v>44279</v>
      </c>
      <c r="L6334" s="17">
        <v>0.83333333333333337</v>
      </c>
      <c r="M6334" s="14">
        <v>880</v>
      </c>
      <c r="N6334" s="14">
        <v>0</v>
      </c>
      <c r="O6334" s="14">
        <v>0</v>
      </c>
      <c r="P6334" s="14">
        <v>880</v>
      </c>
      <c r="Q6334">
        <v>9981</v>
      </c>
      <c r="R6334">
        <v>1531</v>
      </c>
      <c r="S6334">
        <v>0</v>
      </c>
    </row>
    <row r="6335" spans="11:19" x14ac:dyDescent="0.3">
      <c r="K6335" s="16">
        <f t="shared" si="98"/>
        <v>44279</v>
      </c>
      <c r="L6335" s="17">
        <v>0.875</v>
      </c>
      <c r="M6335" s="14">
        <v>880</v>
      </c>
      <c r="N6335" s="14">
        <v>0</v>
      </c>
      <c r="O6335" s="14">
        <v>0</v>
      </c>
      <c r="P6335" s="14">
        <v>880</v>
      </c>
      <c r="Q6335">
        <v>9374</v>
      </c>
      <c r="R6335">
        <v>1522</v>
      </c>
      <c r="S6335">
        <v>0</v>
      </c>
    </row>
    <row r="6336" spans="11:19" x14ac:dyDescent="0.3">
      <c r="K6336" s="16">
        <f t="shared" si="98"/>
        <v>44279</v>
      </c>
      <c r="L6336" s="17">
        <v>0.91666666666666663</v>
      </c>
      <c r="M6336" s="14">
        <v>880</v>
      </c>
      <c r="N6336" s="14">
        <v>1239</v>
      </c>
      <c r="O6336" s="14">
        <v>0</v>
      </c>
      <c r="P6336" s="14">
        <v>2119</v>
      </c>
      <c r="Q6336">
        <v>9519</v>
      </c>
      <c r="R6336">
        <v>1655</v>
      </c>
      <c r="S6336">
        <v>0</v>
      </c>
    </row>
    <row r="6337" spans="11:19" x14ac:dyDescent="0.3">
      <c r="K6337" s="16">
        <f t="shared" si="98"/>
        <v>44279</v>
      </c>
      <c r="L6337" s="17">
        <v>0.95833333333333337</v>
      </c>
      <c r="M6337" s="14">
        <v>880</v>
      </c>
      <c r="N6337" s="14">
        <v>0</v>
      </c>
      <c r="O6337" s="14">
        <v>0</v>
      </c>
      <c r="P6337" s="14">
        <v>880</v>
      </c>
      <c r="Q6337">
        <v>9681</v>
      </c>
      <c r="R6337">
        <v>1541</v>
      </c>
      <c r="S6337">
        <v>0</v>
      </c>
    </row>
    <row r="6338" spans="11:19" x14ac:dyDescent="0.3">
      <c r="K6338" s="16">
        <f t="shared" si="98"/>
        <v>44280</v>
      </c>
      <c r="L6338" s="17">
        <v>0</v>
      </c>
      <c r="M6338" s="14">
        <v>880</v>
      </c>
      <c r="N6338" s="14">
        <v>789</v>
      </c>
      <c r="O6338" s="14">
        <v>0</v>
      </c>
      <c r="P6338" s="14">
        <v>1669</v>
      </c>
      <c r="Q6338">
        <v>9132</v>
      </c>
      <c r="R6338">
        <v>1731</v>
      </c>
      <c r="S6338">
        <v>0</v>
      </c>
    </row>
    <row r="6339" spans="11:19" x14ac:dyDescent="0.3">
      <c r="K6339" s="16">
        <f t="shared" si="98"/>
        <v>44280</v>
      </c>
      <c r="L6339" s="17">
        <v>4.1666666666666664E-2</v>
      </c>
      <c r="M6339" s="14">
        <v>880</v>
      </c>
      <c r="N6339" s="14">
        <v>755</v>
      </c>
      <c r="O6339" s="14">
        <v>0</v>
      </c>
      <c r="P6339" s="14">
        <v>1635</v>
      </c>
      <c r="Q6339">
        <v>8791</v>
      </c>
      <c r="R6339">
        <v>1589</v>
      </c>
      <c r="S6339">
        <v>0</v>
      </c>
    </row>
    <row r="6340" spans="11:19" x14ac:dyDescent="0.3">
      <c r="K6340" s="16">
        <f t="shared" si="98"/>
        <v>44280</v>
      </c>
      <c r="L6340" s="17">
        <v>8.3333333333333329E-2</v>
      </c>
      <c r="M6340" s="14">
        <v>880</v>
      </c>
      <c r="N6340" s="14">
        <v>597</v>
      </c>
      <c r="O6340" s="14">
        <v>0</v>
      </c>
      <c r="P6340" s="14">
        <v>1477</v>
      </c>
      <c r="Q6340">
        <v>8499</v>
      </c>
      <c r="R6340">
        <v>1455</v>
      </c>
      <c r="S6340">
        <v>0</v>
      </c>
    </row>
    <row r="6341" spans="11:19" x14ac:dyDescent="0.3">
      <c r="K6341" s="16">
        <f t="shared" si="98"/>
        <v>44280</v>
      </c>
      <c r="L6341" s="17">
        <v>0.125</v>
      </c>
      <c r="M6341" s="14">
        <v>880</v>
      </c>
      <c r="N6341" s="14">
        <v>472</v>
      </c>
      <c r="O6341" s="14">
        <v>0</v>
      </c>
      <c r="P6341" s="14">
        <v>1352</v>
      </c>
      <c r="Q6341">
        <v>8102</v>
      </c>
      <c r="R6341">
        <v>1178</v>
      </c>
      <c r="S6341">
        <v>0</v>
      </c>
    </row>
    <row r="6342" spans="11:19" x14ac:dyDescent="0.3">
      <c r="K6342" s="16">
        <f t="shared" si="98"/>
        <v>44280</v>
      </c>
      <c r="L6342" s="17">
        <v>0.16666666666666666</v>
      </c>
      <c r="M6342" s="14">
        <v>880</v>
      </c>
      <c r="N6342" s="14">
        <v>576</v>
      </c>
      <c r="O6342" s="14">
        <v>0</v>
      </c>
      <c r="P6342" s="14">
        <v>1456</v>
      </c>
      <c r="Q6342">
        <v>8066</v>
      </c>
      <c r="R6342">
        <v>1035</v>
      </c>
      <c r="S6342">
        <v>0</v>
      </c>
    </row>
    <row r="6343" spans="11:19" x14ac:dyDescent="0.3">
      <c r="K6343" s="16">
        <f t="shared" si="98"/>
        <v>44280</v>
      </c>
      <c r="L6343" s="17">
        <v>0.20833333333333334</v>
      </c>
      <c r="M6343" s="14">
        <v>880</v>
      </c>
      <c r="N6343" s="14">
        <v>1171</v>
      </c>
      <c r="O6343" s="14">
        <v>0</v>
      </c>
      <c r="P6343" s="14">
        <v>2051</v>
      </c>
      <c r="Q6343">
        <v>8609</v>
      </c>
      <c r="R6343">
        <v>975</v>
      </c>
      <c r="S6343">
        <v>0</v>
      </c>
    </row>
    <row r="6344" spans="11:19" x14ac:dyDescent="0.3">
      <c r="K6344" s="16">
        <f t="shared" si="98"/>
        <v>44280</v>
      </c>
      <c r="L6344" s="17">
        <v>0.25</v>
      </c>
      <c r="M6344" s="14">
        <v>880</v>
      </c>
      <c r="N6344" s="14">
        <v>0</v>
      </c>
      <c r="O6344" s="14">
        <v>0</v>
      </c>
      <c r="P6344" s="14">
        <v>880</v>
      </c>
      <c r="Q6344">
        <v>9710</v>
      </c>
      <c r="R6344">
        <v>849</v>
      </c>
      <c r="S6344">
        <v>7</v>
      </c>
    </row>
    <row r="6345" spans="11:19" x14ac:dyDescent="0.3">
      <c r="K6345" s="16">
        <f t="shared" si="98"/>
        <v>44280</v>
      </c>
      <c r="L6345" s="17">
        <v>0.29166666666666669</v>
      </c>
      <c r="M6345" s="14">
        <v>880</v>
      </c>
      <c r="N6345" s="14">
        <v>2260</v>
      </c>
      <c r="O6345" s="14">
        <v>0</v>
      </c>
      <c r="P6345" s="14">
        <v>3140</v>
      </c>
      <c r="Q6345">
        <v>10452</v>
      </c>
      <c r="R6345">
        <v>798</v>
      </c>
      <c r="S6345">
        <v>133</v>
      </c>
    </row>
    <row r="6346" spans="11:19" x14ac:dyDescent="0.3">
      <c r="K6346" s="16">
        <f t="shared" si="98"/>
        <v>44280</v>
      </c>
      <c r="L6346" s="17">
        <v>0.33333333333333331</v>
      </c>
      <c r="M6346" s="14">
        <v>880</v>
      </c>
      <c r="N6346" s="14">
        <v>2260</v>
      </c>
      <c r="O6346" s="14">
        <v>0</v>
      </c>
      <c r="P6346" s="14">
        <v>3140</v>
      </c>
      <c r="Q6346">
        <v>10717</v>
      </c>
      <c r="R6346">
        <v>683</v>
      </c>
      <c r="S6346">
        <v>621</v>
      </c>
    </row>
    <row r="6347" spans="11:19" x14ac:dyDescent="0.3">
      <c r="K6347" s="16">
        <f t="shared" si="98"/>
        <v>44280</v>
      </c>
      <c r="L6347" s="17">
        <v>0.375</v>
      </c>
      <c r="M6347" s="14">
        <v>880</v>
      </c>
      <c r="N6347" s="14">
        <v>2260</v>
      </c>
      <c r="O6347" s="14">
        <v>0</v>
      </c>
      <c r="P6347" s="14">
        <v>3140</v>
      </c>
      <c r="Q6347">
        <v>10732</v>
      </c>
      <c r="R6347">
        <v>476</v>
      </c>
      <c r="S6347">
        <v>1229</v>
      </c>
    </row>
    <row r="6348" spans="11:19" x14ac:dyDescent="0.3">
      <c r="K6348" s="16">
        <f t="shared" si="98"/>
        <v>44280</v>
      </c>
      <c r="L6348" s="17">
        <v>0.41666666666666669</v>
      </c>
      <c r="M6348" s="14">
        <v>880</v>
      </c>
      <c r="N6348" s="14">
        <v>0</v>
      </c>
      <c r="O6348" s="14">
        <v>0</v>
      </c>
      <c r="P6348" s="14">
        <v>880</v>
      </c>
      <c r="Q6348">
        <v>10617</v>
      </c>
      <c r="R6348">
        <v>536</v>
      </c>
      <c r="S6348">
        <v>1632</v>
      </c>
    </row>
    <row r="6349" spans="11:19" x14ac:dyDescent="0.3">
      <c r="K6349" s="16">
        <f t="shared" si="98"/>
        <v>44280</v>
      </c>
      <c r="L6349" s="17">
        <v>0.45833333333333331</v>
      </c>
      <c r="M6349" s="14">
        <v>880</v>
      </c>
      <c r="N6349" s="14">
        <v>1520</v>
      </c>
      <c r="O6349" s="14">
        <v>0</v>
      </c>
      <c r="P6349" s="14">
        <v>2400</v>
      </c>
      <c r="Q6349">
        <v>10613</v>
      </c>
      <c r="R6349">
        <v>615</v>
      </c>
      <c r="S6349">
        <v>1911</v>
      </c>
    </row>
    <row r="6350" spans="11:19" x14ac:dyDescent="0.3">
      <c r="K6350" s="16">
        <f t="shared" si="98"/>
        <v>44280</v>
      </c>
      <c r="L6350" s="17">
        <v>0.5</v>
      </c>
      <c r="M6350" s="14">
        <v>880</v>
      </c>
      <c r="N6350" s="14">
        <v>1449</v>
      </c>
      <c r="O6350" s="14">
        <v>0</v>
      </c>
      <c r="P6350" s="14">
        <v>2329</v>
      </c>
      <c r="Q6350">
        <v>10596</v>
      </c>
      <c r="R6350">
        <v>567</v>
      </c>
      <c r="S6350">
        <v>2012</v>
      </c>
    </row>
    <row r="6351" spans="11:19" x14ac:dyDescent="0.3">
      <c r="K6351" s="16">
        <f t="shared" si="98"/>
        <v>44280</v>
      </c>
      <c r="L6351" s="17">
        <v>0.54166666666666663</v>
      </c>
      <c r="M6351" s="14">
        <v>880</v>
      </c>
      <c r="N6351" s="14">
        <v>1201</v>
      </c>
      <c r="O6351" s="14">
        <v>0</v>
      </c>
      <c r="P6351" s="14">
        <v>2081</v>
      </c>
      <c r="Q6351">
        <v>10306</v>
      </c>
      <c r="R6351">
        <v>541</v>
      </c>
      <c r="S6351">
        <v>1997</v>
      </c>
    </row>
    <row r="6352" spans="11:19" x14ac:dyDescent="0.3">
      <c r="K6352" s="16">
        <f t="shared" si="98"/>
        <v>44280</v>
      </c>
      <c r="L6352" s="17">
        <v>0.58333333333333337</v>
      </c>
      <c r="M6352" s="14">
        <v>880</v>
      </c>
      <c r="N6352" s="14">
        <v>1148</v>
      </c>
      <c r="O6352" s="14">
        <v>0</v>
      </c>
      <c r="P6352" s="14">
        <v>2028</v>
      </c>
      <c r="Q6352">
        <v>10047</v>
      </c>
      <c r="R6352">
        <v>517</v>
      </c>
      <c r="S6352">
        <v>1816</v>
      </c>
    </row>
    <row r="6353" spans="11:19" x14ac:dyDescent="0.3">
      <c r="K6353" s="16">
        <f t="shared" si="98"/>
        <v>44280</v>
      </c>
      <c r="L6353" s="17">
        <v>0.625</v>
      </c>
      <c r="M6353" s="14">
        <v>880</v>
      </c>
      <c r="N6353" s="14">
        <v>0</v>
      </c>
      <c r="O6353" s="14">
        <v>0</v>
      </c>
      <c r="P6353" s="14">
        <v>880</v>
      </c>
      <c r="Q6353">
        <v>9752</v>
      </c>
      <c r="R6353">
        <v>422</v>
      </c>
      <c r="S6353">
        <v>1546</v>
      </c>
    </row>
    <row r="6354" spans="11:19" x14ac:dyDescent="0.3">
      <c r="K6354" s="16">
        <f t="shared" si="98"/>
        <v>44280</v>
      </c>
      <c r="L6354" s="17">
        <v>0.66666666666666663</v>
      </c>
      <c r="M6354" s="14">
        <v>880</v>
      </c>
      <c r="N6354" s="14">
        <v>1198</v>
      </c>
      <c r="O6354" s="14">
        <v>0</v>
      </c>
      <c r="P6354" s="14">
        <v>2078</v>
      </c>
      <c r="Q6354">
        <v>9511</v>
      </c>
      <c r="R6354">
        <v>500</v>
      </c>
      <c r="S6354">
        <v>1087</v>
      </c>
    </row>
    <row r="6355" spans="11:19" x14ac:dyDescent="0.3">
      <c r="K6355" s="16">
        <f t="shared" si="98"/>
        <v>44280</v>
      </c>
      <c r="L6355" s="17">
        <v>0.70833333333333337</v>
      </c>
      <c r="M6355" s="14">
        <v>880</v>
      </c>
      <c r="N6355" s="14">
        <v>1682</v>
      </c>
      <c r="O6355" s="14">
        <v>0</v>
      </c>
      <c r="P6355" s="14">
        <v>2562</v>
      </c>
      <c r="Q6355">
        <v>9518</v>
      </c>
      <c r="R6355">
        <v>562</v>
      </c>
      <c r="S6355">
        <v>547</v>
      </c>
    </row>
    <row r="6356" spans="11:19" x14ac:dyDescent="0.3">
      <c r="K6356" s="16">
        <f t="shared" si="98"/>
        <v>44280</v>
      </c>
      <c r="L6356" s="17">
        <v>0.75</v>
      </c>
      <c r="M6356" s="14">
        <v>880</v>
      </c>
      <c r="N6356" s="14">
        <v>2260</v>
      </c>
      <c r="O6356" s="14">
        <v>0</v>
      </c>
      <c r="P6356" s="14">
        <v>3140</v>
      </c>
      <c r="Q6356">
        <v>10069</v>
      </c>
      <c r="R6356">
        <v>597</v>
      </c>
      <c r="S6356">
        <v>85</v>
      </c>
    </row>
    <row r="6357" spans="11:19" x14ac:dyDescent="0.3">
      <c r="K6357" s="16">
        <f t="shared" si="98"/>
        <v>44280</v>
      </c>
      <c r="L6357" s="17">
        <v>0.79166666666666663</v>
      </c>
      <c r="M6357" s="14">
        <v>880</v>
      </c>
      <c r="N6357" s="14">
        <v>2260</v>
      </c>
      <c r="O6357" s="14">
        <v>0</v>
      </c>
      <c r="P6357" s="14">
        <v>3140</v>
      </c>
      <c r="Q6357">
        <v>10667</v>
      </c>
      <c r="R6357">
        <v>663</v>
      </c>
      <c r="S6357">
        <v>1</v>
      </c>
    </row>
    <row r="6358" spans="11:19" x14ac:dyDescent="0.3">
      <c r="K6358" s="16">
        <f t="shared" si="98"/>
        <v>44280</v>
      </c>
      <c r="L6358" s="17">
        <v>0.83333333333333337</v>
      </c>
      <c r="M6358" s="14">
        <v>880</v>
      </c>
      <c r="N6358" s="14">
        <v>14</v>
      </c>
      <c r="O6358" s="14">
        <v>0</v>
      </c>
      <c r="P6358" s="14">
        <v>894</v>
      </c>
      <c r="Q6358">
        <v>9983</v>
      </c>
      <c r="R6358">
        <v>711</v>
      </c>
      <c r="S6358">
        <v>0</v>
      </c>
    </row>
    <row r="6359" spans="11:19" x14ac:dyDescent="0.3">
      <c r="K6359" s="16">
        <f t="shared" si="98"/>
        <v>44280</v>
      </c>
      <c r="L6359" s="17">
        <v>0.875</v>
      </c>
      <c r="M6359" s="14">
        <v>880</v>
      </c>
      <c r="N6359" s="14">
        <v>6</v>
      </c>
      <c r="O6359" s="14">
        <v>0</v>
      </c>
      <c r="P6359" s="14">
        <v>886</v>
      </c>
      <c r="Q6359">
        <v>9366</v>
      </c>
      <c r="R6359">
        <v>791</v>
      </c>
      <c r="S6359">
        <v>0</v>
      </c>
    </row>
    <row r="6360" spans="11:19" x14ac:dyDescent="0.3">
      <c r="K6360" s="16">
        <f t="shared" si="98"/>
        <v>44280</v>
      </c>
      <c r="L6360" s="17">
        <v>0.91666666666666663</v>
      </c>
      <c r="M6360" s="14">
        <v>880</v>
      </c>
      <c r="N6360" s="14">
        <v>1970</v>
      </c>
      <c r="O6360" s="14">
        <v>0</v>
      </c>
      <c r="P6360" s="14">
        <v>2850</v>
      </c>
      <c r="Q6360">
        <v>9524</v>
      </c>
      <c r="R6360">
        <v>929</v>
      </c>
      <c r="S6360">
        <v>0</v>
      </c>
    </row>
    <row r="6361" spans="11:19" x14ac:dyDescent="0.3">
      <c r="K6361" s="16">
        <f t="shared" si="98"/>
        <v>44280</v>
      </c>
      <c r="L6361" s="17">
        <v>0.95833333333333337</v>
      </c>
      <c r="M6361" s="14">
        <v>880</v>
      </c>
      <c r="N6361" s="14">
        <v>2087</v>
      </c>
      <c r="O6361" s="14">
        <v>0</v>
      </c>
      <c r="P6361" s="14">
        <v>2967</v>
      </c>
      <c r="Q6361">
        <v>9703</v>
      </c>
      <c r="R6361">
        <v>995</v>
      </c>
      <c r="S6361">
        <v>0</v>
      </c>
    </row>
    <row r="6362" spans="11:19" x14ac:dyDescent="0.3">
      <c r="K6362" s="16">
        <f t="shared" si="98"/>
        <v>44281</v>
      </c>
      <c r="L6362" s="17">
        <v>0</v>
      </c>
      <c r="M6362" s="14">
        <v>880</v>
      </c>
      <c r="N6362" s="14">
        <v>0</v>
      </c>
      <c r="O6362" s="14">
        <v>115</v>
      </c>
      <c r="P6362" s="14">
        <v>995</v>
      </c>
      <c r="Q6362">
        <v>9181</v>
      </c>
      <c r="R6362">
        <v>920</v>
      </c>
      <c r="S6362">
        <v>0</v>
      </c>
    </row>
    <row r="6363" spans="11:19" x14ac:dyDescent="0.3">
      <c r="K6363" s="16">
        <f t="shared" ref="K6363:K6426" si="99">K6339+1</f>
        <v>44281</v>
      </c>
      <c r="L6363" s="17">
        <v>4.1666666666666664E-2</v>
      </c>
      <c r="M6363" s="14">
        <v>880</v>
      </c>
      <c r="N6363" s="14">
        <v>0</v>
      </c>
      <c r="O6363" s="14">
        <v>0</v>
      </c>
      <c r="P6363" s="14">
        <v>880</v>
      </c>
      <c r="Q6363">
        <v>8843</v>
      </c>
      <c r="R6363">
        <v>888</v>
      </c>
      <c r="S6363">
        <v>0</v>
      </c>
    </row>
    <row r="6364" spans="11:19" x14ac:dyDescent="0.3">
      <c r="K6364" s="16">
        <f t="shared" si="99"/>
        <v>44281</v>
      </c>
      <c r="L6364" s="17">
        <v>8.3333333333333329E-2</v>
      </c>
      <c r="M6364" s="14">
        <v>880</v>
      </c>
      <c r="N6364" s="14">
        <v>1161</v>
      </c>
      <c r="O6364" s="14">
        <v>0</v>
      </c>
      <c r="P6364" s="14">
        <v>2041</v>
      </c>
      <c r="Q6364">
        <v>8548</v>
      </c>
      <c r="R6364">
        <v>911</v>
      </c>
      <c r="S6364">
        <v>0</v>
      </c>
    </row>
    <row r="6365" spans="11:19" x14ac:dyDescent="0.3">
      <c r="K6365" s="16">
        <f t="shared" si="99"/>
        <v>44281</v>
      </c>
      <c r="L6365" s="17">
        <v>0.125</v>
      </c>
      <c r="M6365" s="14">
        <v>880</v>
      </c>
      <c r="N6365" s="14">
        <v>816</v>
      </c>
      <c r="O6365" s="14">
        <v>0</v>
      </c>
      <c r="P6365" s="14">
        <v>1696</v>
      </c>
      <c r="Q6365">
        <v>8167</v>
      </c>
      <c r="R6365">
        <v>901</v>
      </c>
      <c r="S6365">
        <v>0</v>
      </c>
    </row>
    <row r="6366" spans="11:19" x14ac:dyDescent="0.3">
      <c r="K6366" s="16">
        <f t="shared" si="99"/>
        <v>44281</v>
      </c>
      <c r="L6366" s="17">
        <v>0.16666666666666666</v>
      </c>
      <c r="M6366" s="14">
        <v>880</v>
      </c>
      <c r="N6366" s="14">
        <v>575</v>
      </c>
      <c r="O6366" s="14">
        <v>0</v>
      </c>
      <c r="P6366" s="14">
        <v>1455</v>
      </c>
      <c r="Q6366">
        <v>8106</v>
      </c>
      <c r="R6366">
        <v>1078</v>
      </c>
      <c r="S6366">
        <v>0</v>
      </c>
    </row>
    <row r="6367" spans="11:19" x14ac:dyDescent="0.3">
      <c r="K6367" s="16">
        <f t="shared" si="99"/>
        <v>44281</v>
      </c>
      <c r="L6367" s="17">
        <v>0.20833333333333334</v>
      </c>
      <c r="M6367" s="14">
        <v>880</v>
      </c>
      <c r="N6367" s="14">
        <v>933</v>
      </c>
      <c r="O6367" s="14">
        <v>0</v>
      </c>
      <c r="P6367" s="14">
        <v>1813</v>
      </c>
      <c r="Q6367">
        <v>8625</v>
      </c>
      <c r="R6367">
        <v>1230</v>
      </c>
      <c r="S6367">
        <v>0</v>
      </c>
    </row>
    <row r="6368" spans="11:19" x14ac:dyDescent="0.3">
      <c r="K6368" s="16">
        <f t="shared" si="99"/>
        <v>44281</v>
      </c>
      <c r="L6368" s="17">
        <v>0.25</v>
      </c>
      <c r="M6368" s="14">
        <v>880</v>
      </c>
      <c r="N6368" s="14">
        <v>1161</v>
      </c>
      <c r="O6368" s="14">
        <v>0</v>
      </c>
      <c r="P6368" s="14">
        <v>2041</v>
      </c>
      <c r="Q6368">
        <v>9651</v>
      </c>
      <c r="R6368">
        <v>1481</v>
      </c>
      <c r="S6368">
        <v>6</v>
      </c>
    </row>
    <row r="6369" spans="11:19" x14ac:dyDescent="0.3">
      <c r="K6369" s="16">
        <f t="shared" si="99"/>
        <v>44281</v>
      </c>
      <c r="L6369" s="17">
        <v>0.29166666666666669</v>
      </c>
      <c r="M6369" s="14">
        <v>880</v>
      </c>
      <c r="N6369" s="14">
        <v>0</v>
      </c>
      <c r="O6369" s="14">
        <v>1200</v>
      </c>
      <c r="P6369" s="14">
        <v>2080</v>
      </c>
      <c r="Q6369">
        <v>10383</v>
      </c>
      <c r="R6369">
        <v>1715</v>
      </c>
      <c r="S6369">
        <v>116</v>
      </c>
    </row>
    <row r="6370" spans="11:19" x14ac:dyDescent="0.3">
      <c r="K6370" s="16">
        <f t="shared" si="99"/>
        <v>44281</v>
      </c>
      <c r="L6370" s="17">
        <v>0.33333333333333331</v>
      </c>
      <c r="M6370" s="14">
        <v>880</v>
      </c>
      <c r="N6370" s="14">
        <v>0</v>
      </c>
      <c r="O6370" s="14">
        <v>1200</v>
      </c>
      <c r="P6370" s="14">
        <v>2080</v>
      </c>
      <c r="Q6370">
        <v>10648</v>
      </c>
      <c r="R6370">
        <v>2039</v>
      </c>
      <c r="S6370">
        <v>545</v>
      </c>
    </row>
    <row r="6371" spans="11:19" x14ac:dyDescent="0.3">
      <c r="K6371" s="16">
        <f t="shared" si="99"/>
        <v>44281</v>
      </c>
      <c r="L6371" s="17">
        <v>0.375</v>
      </c>
      <c r="M6371" s="14">
        <v>880</v>
      </c>
      <c r="N6371" s="14">
        <v>801</v>
      </c>
      <c r="O6371" s="14">
        <v>0</v>
      </c>
      <c r="P6371" s="14">
        <v>1681</v>
      </c>
      <c r="Q6371">
        <v>10689</v>
      </c>
      <c r="R6371">
        <v>2341</v>
      </c>
      <c r="S6371">
        <v>1057</v>
      </c>
    </row>
    <row r="6372" spans="11:19" x14ac:dyDescent="0.3">
      <c r="K6372" s="16">
        <f t="shared" si="99"/>
        <v>44281</v>
      </c>
      <c r="L6372" s="17">
        <v>0.41666666666666669</v>
      </c>
      <c r="M6372" s="14">
        <v>880</v>
      </c>
      <c r="N6372" s="14">
        <v>270</v>
      </c>
      <c r="O6372" s="14">
        <v>0</v>
      </c>
      <c r="P6372" s="14">
        <v>1150</v>
      </c>
      <c r="Q6372">
        <v>10587</v>
      </c>
      <c r="R6372">
        <v>2415</v>
      </c>
      <c r="S6372">
        <v>1415</v>
      </c>
    </row>
    <row r="6373" spans="11:19" x14ac:dyDescent="0.3">
      <c r="K6373" s="16">
        <f t="shared" si="99"/>
        <v>44281</v>
      </c>
      <c r="L6373" s="17">
        <v>0.45833333333333331</v>
      </c>
      <c r="M6373" s="14">
        <v>880</v>
      </c>
      <c r="N6373" s="14">
        <v>0</v>
      </c>
      <c r="O6373" s="14">
        <v>-86</v>
      </c>
      <c r="P6373" s="14">
        <v>794</v>
      </c>
      <c r="Q6373">
        <v>10545</v>
      </c>
      <c r="R6373">
        <v>2598</v>
      </c>
      <c r="S6373">
        <v>1547</v>
      </c>
    </row>
    <row r="6374" spans="11:19" x14ac:dyDescent="0.3">
      <c r="K6374" s="16">
        <f t="shared" si="99"/>
        <v>44281</v>
      </c>
      <c r="L6374" s="17">
        <v>0.5</v>
      </c>
      <c r="M6374" s="14">
        <v>880</v>
      </c>
      <c r="N6374" s="14">
        <v>0</v>
      </c>
      <c r="O6374" s="14">
        <v>-334</v>
      </c>
      <c r="P6374" s="14">
        <v>546</v>
      </c>
      <c r="Q6374">
        <v>10499</v>
      </c>
      <c r="R6374">
        <v>2849</v>
      </c>
      <c r="S6374">
        <v>1658</v>
      </c>
    </row>
    <row r="6375" spans="11:19" x14ac:dyDescent="0.3">
      <c r="K6375" s="16">
        <f t="shared" si="99"/>
        <v>44281</v>
      </c>
      <c r="L6375" s="17">
        <v>0.54166666666666663</v>
      </c>
      <c r="M6375" s="14">
        <v>880</v>
      </c>
      <c r="N6375" s="14">
        <v>0</v>
      </c>
      <c r="O6375" s="14">
        <v>-830</v>
      </c>
      <c r="P6375" s="14">
        <v>50</v>
      </c>
      <c r="Q6375">
        <v>10177</v>
      </c>
      <c r="R6375">
        <v>2949</v>
      </c>
      <c r="S6375">
        <v>1733</v>
      </c>
    </row>
    <row r="6376" spans="11:19" x14ac:dyDescent="0.3">
      <c r="K6376" s="16">
        <f t="shared" si="99"/>
        <v>44281</v>
      </c>
      <c r="L6376" s="17">
        <v>0.58333333333333337</v>
      </c>
      <c r="M6376" s="14">
        <v>880</v>
      </c>
      <c r="N6376" s="14">
        <v>0</v>
      </c>
      <c r="O6376" s="14">
        <v>-1169</v>
      </c>
      <c r="P6376" s="14">
        <v>-289</v>
      </c>
      <c r="Q6376">
        <v>9870</v>
      </c>
      <c r="R6376">
        <v>3084</v>
      </c>
      <c r="S6376">
        <v>1631</v>
      </c>
    </row>
    <row r="6377" spans="11:19" x14ac:dyDescent="0.3">
      <c r="K6377" s="16">
        <f t="shared" si="99"/>
        <v>44281</v>
      </c>
      <c r="L6377" s="17">
        <v>0.625</v>
      </c>
      <c r="M6377" s="14">
        <v>880</v>
      </c>
      <c r="N6377" s="14">
        <v>0</v>
      </c>
      <c r="O6377" s="14">
        <v>-1200</v>
      </c>
      <c r="P6377" s="14">
        <v>-320</v>
      </c>
      <c r="Q6377">
        <v>9551</v>
      </c>
      <c r="R6377">
        <v>3025</v>
      </c>
      <c r="S6377">
        <v>1449</v>
      </c>
    </row>
    <row r="6378" spans="11:19" x14ac:dyDescent="0.3">
      <c r="K6378" s="16">
        <f t="shared" si="99"/>
        <v>44281</v>
      </c>
      <c r="L6378" s="17">
        <v>0.66666666666666663</v>
      </c>
      <c r="M6378" s="14">
        <v>880</v>
      </c>
      <c r="N6378" s="14">
        <v>0</v>
      </c>
      <c r="O6378" s="14">
        <v>-1147</v>
      </c>
      <c r="P6378" s="14">
        <v>-267</v>
      </c>
      <c r="Q6378">
        <v>9322</v>
      </c>
      <c r="R6378">
        <v>3143</v>
      </c>
      <c r="S6378">
        <v>1002</v>
      </c>
    </row>
    <row r="6379" spans="11:19" x14ac:dyDescent="0.3">
      <c r="K6379" s="16">
        <f t="shared" si="99"/>
        <v>44281</v>
      </c>
      <c r="L6379" s="17">
        <v>0.70833333333333337</v>
      </c>
      <c r="M6379" s="14">
        <v>880</v>
      </c>
      <c r="N6379" s="14">
        <v>0</v>
      </c>
      <c r="O6379" s="14">
        <v>-321</v>
      </c>
      <c r="P6379" s="14">
        <v>559</v>
      </c>
      <c r="Q6379">
        <v>9365</v>
      </c>
      <c r="R6379">
        <v>2866</v>
      </c>
      <c r="S6379">
        <v>495</v>
      </c>
    </row>
    <row r="6380" spans="11:19" x14ac:dyDescent="0.3">
      <c r="K6380" s="16">
        <f t="shared" si="99"/>
        <v>44281</v>
      </c>
      <c r="L6380" s="17">
        <v>0.75</v>
      </c>
      <c r="M6380" s="14">
        <v>880</v>
      </c>
      <c r="N6380" s="14">
        <v>697</v>
      </c>
      <c r="O6380" s="14">
        <v>0</v>
      </c>
      <c r="P6380" s="14">
        <v>1577</v>
      </c>
      <c r="Q6380">
        <v>9775</v>
      </c>
      <c r="R6380">
        <v>2673</v>
      </c>
      <c r="S6380">
        <v>81</v>
      </c>
    </row>
    <row r="6381" spans="11:19" x14ac:dyDescent="0.3">
      <c r="K6381" s="16">
        <f t="shared" si="99"/>
        <v>44281</v>
      </c>
      <c r="L6381" s="17">
        <v>0.79166666666666663</v>
      </c>
      <c r="M6381" s="14">
        <v>880</v>
      </c>
      <c r="N6381" s="14">
        <v>0</v>
      </c>
      <c r="O6381" s="14">
        <v>1011</v>
      </c>
      <c r="P6381" s="14">
        <v>1891</v>
      </c>
      <c r="Q6381">
        <v>10279</v>
      </c>
      <c r="R6381">
        <v>2943</v>
      </c>
      <c r="S6381">
        <v>4</v>
      </c>
    </row>
    <row r="6382" spans="11:19" x14ac:dyDescent="0.3">
      <c r="K6382" s="16">
        <f t="shared" si="99"/>
        <v>44281</v>
      </c>
      <c r="L6382" s="17">
        <v>0.83333333333333337</v>
      </c>
      <c r="M6382" s="14">
        <v>880</v>
      </c>
      <c r="N6382" s="14">
        <v>455</v>
      </c>
      <c r="O6382" s="14">
        <v>0</v>
      </c>
      <c r="P6382" s="14">
        <v>1335</v>
      </c>
      <c r="Q6382">
        <v>9656</v>
      </c>
      <c r="R6382">
        <v>2884</v>
      </c>
      <c r="S6382">
        <v>0</v>
      </c>
    </row>
    <row r="6383" spans="11:19" x14ac:dyDescent="0.3">
      <c r="K6383" s="16">
        <f t="shared" si="99"/>
        <v>44281</v>
      </c>
      <c r="L6383" s="17">
        <v>0.875</v>
      </c>
      <c r="M6383" s="14">
        <v>880</v>
      </c>
      <c r="N6383" s="14">
        <v>44</v>
      </c>
      <c r="O6383" s="14">
        <v>0</v>
      </c>
      <c r="P6383" s="14">
        <v>924</v>
      </c>
      <c r="Q6383">
        <v>9129</v>
      </c>
      <c r="R6383">
        <v>2777</v>
      </c>
      <c r="S6383">
        <v>0</v>
      </c>
    </row>
    <row r="6384" spans="11:19" x14ac:dyDescent="0.3">
      <c r="K6384" s="16">
        <f t="shared" si="99"/>
        <v>44281</v>
      </c>
      <c r="L6384" s="17">
        <v>0.91666666666666663</v>
      </c>
      <c r="M6384" s="14">
        <v>880</v>
      </c>
      <c r="N6384" s="14">
        <v>305</v>
      </c>
      <c r="O6384" s="14">
        <v>0</v>
      </c>
      <c r="P6384" s="14">
        <v>1185</v>
      </c>
      <c r="Q6384">
        <v>9345</v>
      </c>
      <c r="R6384">
        <v>2737</v>
      </c>
      <c r="S6384">
        <v>0</v>
      </c>
    </row>
    <row r="6385" spans="11:19" x14ac:dyDescent="0.3">
      <c r="K6385" s="16">
        <f t="shared" si="99"/>
        <v>44281</v>
      </c>
      <c r="L6385" s="17">
        <v>0.95833333333333337</v>
      </c>
      <c r="M6385" s="14">
        <v>880</v>
      </c>
      <c r="N6385" s="14">
        <v>0</v>
      </c>
      <c r="O6385" s="14">
        <v>545</v>
      </c>
      <c r="P6385" s="14">
        <v>1425</v>
      </c>
      <c r="Q6385">
        <v>9498</v>
      </c>
      <c r="R6385">
        <v>2654</v>
      </c>
      <c r="S6385">
        <v>0</v>
      </c>
    </row>
    <row r="6386" spans="11:19" x14ac:dyDescent="0.3">
      <c r="K6386" s="16">
        <f t="shared" si="99"/>
        <v>44282</v>
      </c>
      <c r="L6386" s="17">
        <v>0</v>
      </c>
      <c r="M6386" s="14">
        <v>880</v>
      </c>
      <c r="N6386" s="14">
        <v>0</v>
      </c>
      <c r="O6386" s="14">
        <v>50</v>
      </c>
      <c r="P6386" s="14">
        <v>930</v>
      </c>
      <c r="Q6386">
        <v>8877</v>
      </c>
      <c r="R6386">
        <v>2551</v>
      </c>
      <c r="S6386">
        <v>0</v>
      </c>
    </row>
    <row r="6387" spans="11:19" x14ac:dyDescent="0.3">
      <c r="K6387" s="16">
        <f t="shared" si="99"/>
        <v>44282</v>
      </c>
      <c r="L6387" s="17">
        <v>4.1666666666666664E-2</v>
      </c>
      <c r="M6387" s="14">
        <v>880</v>
      </c>
      <c r="N6387" s="14">
        <v>0</v>
      </c>
      <c r="O6387" s="14">
        <v>-267</v>
      </c>
      <c r="P6387" s="14">
        <v>613</v>
      </c>
      <c r="Q6387">
        <v>8441</v>
      </c>
      <c r="R6387">
        <v>2433</v>
      </c>
      <c r="S6387">
        <v>0</v>
      </c>
    </row>
    <row r="6388" spans="11:19" x14ac:dyDescent="0.3">
      <c r="K6388" s="16">
        <f t="shared" si="99"/>
        <v>44282</v>
      </c>
      <c r="L6388" s="17">
        <v>8.3333333333333329E-2</v>
      </c>
      <c r="M6388" s="14">
        <v>880</v>
      </c>
      <c r="N6388" s="14">
        <v>0</v>
      </c>
      <c r="O6388" s="14">
        <v>-618</v>
      </c>
      <c r="P6388" s="14">
        <v>262</v>
      </c>
      <c r="Q6388">
        <v>8070</v>
      </c>
      <c r="R6388">
        <v>2411</v>
      </c>
      <c r="S6388">
        <v>0</v>
      </c>
    </row>
    <row r="6389" spans="11:19" x14ac:dyDescent="0.3">
      <c r="K6389" s="16">
        <f t="shared" si="99"/>
        <v>44282</v>
      </c>
      <c r="L6389" s="17">
        <v>0.125</v>
      </c>
      <c r="M6389" s="14">
        <v>880</v>
      </c>
      <c r="N6389" s="14">
        <v>0</v>
      </c>
      <c r="O6389" s="14">
        <v>-954</v>
      </c>
      <c r="P6389" s="14">
        <v>-74</v>
      </c>
      <c r="Q6389">
        <v>7597</v>
      </c>
      <c r="R6389">
        <v>2271</v>
      </c>
      <c r="S6389">
        <v>0</v>
      </c>
    </row>
    <row r="6390" spans="11:19" x14ac:dyDescent="0.3">
      <c r="K6390" s="16">
        <f t="shared" si="99"/>
        <v>44282</v>
      </c>
      <c r="L6390" s="17">
        <v>0.16666666666666666</v>
      </c>
      <c r="M6390" s="14">
        <v>880</v>
      </c>
      <c r="N6390" s="14">
        <v>0</v>
      </c>
      <c r="O6390" s="14">
        <v>-1161</v>
      </c>
      <c r="P6390" s="14">
        <v>-281</v>
      </c>
      <c r="Q6390">
        <v>7405</v>
      </c>
      <c r="R6390">
        <v>2284</v>
      </c>
      <c r="S6390">
        <v>0</v>
      </c>
    </row>
    <row r="6391" spans="11:19" x14ac:dyDescent="0.3">
      <c r="K6391" s="16">
        <f t="shared" si="99"/>
        <v>44282</v>
      </c>
      <c r="L6391" s="17">
        <v>0.20833333333333334</v>
      </c>
      <c r="M6391" s="14">
        <v>880</v>
      </c>
      <c r="N6391" s="14">
        <v>0</v>
      </c>
      <c r="O6391" s="14">
        <v>-969</v>
      </c>
      <c r="P6391" s="14">
        <v>-89</v>
      </c>
      <c r="Q6391">
        <v>7556</v>
      </c>
      <c r="R6391">
        <v>2236</v>
      </c>
      <c r="S6391">
        <v>0</v>
      </c>
    </row>
    <row r="6392" spans="11:19" x14ac:dyDescent="0.3">
      <c r="K6392" s="16">
        <f t="shared" si="99"/>
        <v>44282</v>
      </c>
      <c r="L6392" s="17">
        <v>0.25</v>
      </c>
      <c r="M6392" s="14">
        <v>880</v>
      </c>
      <c r="N6392" s="14">
        <v>0</v>
      </c>
      <c r="O6392" s="14">
        <v>-11</v>
      </c>
      <c r="P6392" s="14">
        <v>869</v>
      </c>
      <c r="Q6392">
        <v>7819</v>
      </c>
      <c r="R6392">
        <v>2138</v>
      </c>
      <c r="S6392">
        <v>10</v>
      </c>
    </row>
    <row r="6393" spans="11:19" x14ac:dyDescent="0.3">
      <c r="K6393" s="16">
        <f t="shared" si="99"/>
        <v>44282</v>
      </c>
      <c r="L6393" s="17">
        <v>0.29166666666666669</v>
      </c>
      <c r="M6393" s="14">
        <v>880</v>
      </c>
      <c r="N6393" s="14">
        <v>0</v>
      </c>
      <c r="O6393" s="14">
        <v>0</v>
      </c>
      <c r="P6393" s="14">
        <v>880</v>
      </c>
      <c r="Q6393">
        <v>8098</v>
      </c>
      <c r="R6393">
        <v>2177</v>
      </c>
      <c r="S6393">
        <v>147</v>
      </c>
    </row>
    <row r="6394" spans="11:19" x14ac:dyDescent="0.3">
      <c r="K6394" s="16">
        <f t="shared" si="99"/>
        <v>44282</v>
      </c>
      <c r="L6394" s="17">
        <v>0.33333333333333331</v>
      </c>
      <c r="M6394" s="14">
        <v>880</v>
      </c>
      <c r="N6394" s="14">
        <v>0</v>
      </c>
      <c r="O6394" s="14">
        <v>-116</v>
      </c>
      <c r="P6394" s="14">
        <v>764</v>
      </c>
      <c r="Q6394">
        <v>8620</v>
      </c>
      <c r="R6394">
        <v>1788</v>
      </c>
      <c r="S6394">
        <v>629</v>
      </c>
    </row>
    <row r="6395" spans="11:19" x14ac:dyDescent="0.3">
      <c r="K6395" s="16">
        <f t="shared" si="99"/>
        <v>44282</v>
      </c>
      <c r="L6395" s="17">
        <v>0.375</v>
      </c>
      <c r="M6395" s="14">
        <v>880</v>
      </c>
      <c r="N6395" s="14">
        <v>0</v>
      </c>
      <c r="O6395" s="14">
        <v>0</v>
      </c>
      <c r="P6395" s="14">
        <v>880</v>
      </c>
      <c r="Q6395">
        <v>8988</v>
      </c>
      <c r="R6395">
        <v>1943</v>
      </c>
      <c r="S6395">
        <v>1190</v>
      </c>
    </row>
    <row r="6396" spans="11:19" x14ac:dyDescent="0.3">
      <c r="K6396" s="16">
        <f t="shared" si="99"/>
        <v>44282</v>
      </c>
      <c r="L6396" s="17">
        <v>0.41666666666666669</v>
      </c>
      <c r="M6396" s="14">
        <v>880</v>
      </c>
      <c r="N6396" s="14">
        <v>0</v>
      </c>
      <c r="O6396" s="14">
        <v>-623</v>
      </c>
      <c r="P6396" s="14">
        <v>257</v>
      </c>
      <c r="Q6396">
        <v>9051</v>
      </c>
      <c r="R6396">
        <v>1797</v>
      </c>
      <c r="S6396">
        <v>1558</v>
      </c>
    </row>
    <row r="6397" spans="11:19" x14ac:dyDescent="0.3">
      <c r="K6397" s="16">
        <f t="shared" si="99"/>
        <v>44282</v>
      </c>
      <c r="L6397" s="17">
        <v>0.45833333333333331</v>
      </c>
      <c r="M6397" s="14">
        <v>880</v>
      </c>
      <c r="N6397" s="14">
        <v>0</v>
      </c>
      <c r="O6397" s="14">
        <v>0</v>
      </c>
      <c r="P6397" s="14">
        <v>880</v>
      </c>
      <c r="Q6397">
        <v>9188</v>
      </c>
      <c r="R6397">
        <v>1708</v>
      </c>
      <c r="S6397">
        <v>1764</v>
      </c>
    </row>
    <row r="6398" spans="11:19" x14ac:dyDescent="0.3">
      <c r="K6398" s="16">
        <f t="shared" si="99"/>
        <v>44282</v>
      </c>
      <c r="L6398" s="17">
        <v>0.5</v>
      </c>
      <c r="M6398" s="14">
        <v>880</v>
      </c>
      <c r="N6398" s="14">
        <v>0</v>
      </c>
      <c r="O6398" s="14">
        <v>-120</v>
      </c>
      <c r="P6398" s="14">
        <v>760</v>
      </c>
      <c r="Q6398">
        <v>9510</v>
      </c>
      <c r="R6398">
        <v>1457</v>
      </c>
      <c r="S6398">
        <v>1857</v>
      </c>
    </row>
    <row r="6399" spans="11:19" x14ac:dyDescent="0.3">
      <c r="K6399" s="16">
        <f t="shared" si="99"/>
        <v>44282</v>
      </c>
      <c r="L6399" s="17">
        <v>0.54166666666666663</v>
      </c>
      <c r="M6399" s="14">
        <v>880</v>
      </c>
      <c r="N6399" s="14">
        <v>0</v>
      </c>
      <c r="O6399" s="14">
        <v>-18</v>
      </c>
      <c r="P6399" s="14">
        <v>862</v>
      </c>
      <c r="Q6399">
        <v>9053</v>
      </c>
      <c r="R6399">
        <v>1522</v>
      </c>
      <c r="S6399">
        <v>1847</v>
      </c>
    </row>
    <row r="6400" spans="11:19" x14ac:dyDescent="0.3">
      <c r="K6400" s="16">
        <f t="shared" si="99"/>
        <v>44282</v>
      </c>
      <c r="L6400" s="17">
        <v>0.58333333333333337</v>
      </c>
      <c r="M6400" s="14">
        <v>880</v>
      </c>
      <c r="N6400" s="14">
        <v>0</v>
      </c>
      <c r="O6400" s="14">
        <v>-488</v>
      </c>
      <c r="P6400" s="14">
        <v>392</v>
      </c>
      <c r="Q6400">
        <v>8651</v>
      </c>
      <c r="R6400">
        <v>1721</v>
      </c>
      <c r="S6400">
        <v>1690</v>
      </c>
    </row>
    <row r="6401" spans="11:19" x14ac:dyDescent="0.3">
      <c r="K6401" s="16">
        <f t="shared" si="99"/>
        <v>44282</v>
      </c>
      <c r="L6401" s="17">
        <v>0.625</v>
      </c>
      <c r="M6401" s="14">
        <v>880</v>
      </c>
      <c r="N6401" s="14">
        <v>0</v>
      </c>
      <c r="O6401" s="14">
        <v>-638</v>
      </c>
      <c r="P6401" s="14">
        <v>242</v>
      </c>
      <c r="Q6401">
        <v>8354</v>
      </c>
      <c r="R6401">
        <v>1877</v>
      </c>
      <c r="S6401">
        <v>1427</v>
      </c>
    </row>
    <row r="6402" spans="11:19" x14ac:dyDescent="0.3">
      <c r="K6402" s="16">
        <f t="shared" si="99"/>
        <v>44282</v>
      </c>
      <c r="L6402" s="17">
        <v>0.66666666666666663</v>
      </c>
      <c r="M6402" s="14">
        <v>880</v>
      </c>
      <c r="N6402" s="14">
        <v>0</v>
      </c>
      <c r="O6402" s="14">
        <v>-491</v>
      </c>
      <c r="P6402" s="14">
        <v>389</v>
      </c>
      <c r="Q6402">
        <v>8102</v>
      </c>
      <c r="R6402">
        <v>1919</v>
      </c>
      <c r="S6402">
        <v>986</v>
      </c>
    </row>
    <row r="6403" spans="11:19" x14ac:dyDescent="0.3">
      <c r="K6403" s="16">
        <f t="shared" si="99"/>
        <v>44282</v>
      </c>
      <c r="L6403" s="17">
        <v>0.70833333333333337</v>
      </c>
      <c r="M6403" s="14">
        <v>880</v>
      </c>
      <c r="N6403" s="14">
        <v>0</v>
      </c>
      <c r="O6403" s="14">
        <v>0</v>
      </c>
      <c r="P6403" s="14">
        <v>880</v>
      </c>
      <c r="Q6403">
        <v>8128</v>
      </c>
      <c r="R6403">
        <v>1826</v>
      </c>
      <c r="S6403">
        <v>481</v>
      </c>
    </row>
    <row r="6404" spans="11:19" x14ac:dyDescent="0.3">
      <c r="K6404" s="16">
        <f t="shared" si="99"/>
        <v>44282</v>
      </c>
      <c r="L6404" s="17">
        <v>0.75</v>
      </c>
      <c r="M6404" s="14">
        <v>880</v>
      </c>
      <c r="N6404" s="14">
        <v>0</v>
      </c>
      <c r="O6404" s="14">
        <v>372</v>
      </c>
      <c r="P6404" s="14">
        <v>1252</v>
      </c>
      <c r="Q6404">
        <v>8521</v>
      </c>
      <c r="R6404">
        <v>1755</v>
      </c>
      <c r="S6404">
        <v>88</v>
      </c>
    </row>
    <row r="6405" spans="11:19" x14ac:dyDescent="0.3">
      <c r="K6405" s="16">
        <f t="shared" si="99"/>
        <v>44282</v>
      </c>
      <c r="L6405" s="17">
        <v>0.79166666666666663</v>
      </c>
      <c r="M6405" s="14">
        <v>880</v>
      </c>
      <c r="N6405" s="14">
        <v>0</v>
      </c>
      <c r="O6405" s="14">
        <v>1026</v>
      </c>
      <c r="P6405" s="14">
        <v>1906</v>
      </c>
      <c r="Q6405">
        <v>9084</v>
      </c>
      <c r="R6405">
        <v>1748</v>
      </c>
      <c r="S6405">
        <v>3</v>
      </c>
    </row>
    <row r="6406" spans="11:19" x14ac:dyDescent="0.3">
      <c r="K6406" s="16">
        <f t="shared" si="99"/>
        <v>44282</v>
      </c>
      <c r="L6406" s="17">
        <v>0.83333333333333337</v>
      </c>
      <c r="M6406" s="14">
        <v>880</v>
      </c>
      <c r="N6406" s="14">
        <v>0</v>
      </c>
      <c r="O6406" s="14">
        <v>918</v>
      </c>
      <c r="P6406" s="14">
        <v>1798</v>
      </c>
      <c r="Q6406">
        <v>8691</v>
      </c>
      <c r="R6406">
        <v>1470</v>
      </c>
      <c r="S6406">
        <v>0</v>
      </c>
    </row>
    <row r="6407" spans="11:19" x14ac:dyDescent="0.3">
      <c r="K6407" s="16">
        <f t="shared" si="99"/>
        <v>44282</v>
      </c>
      <c r="L6407" s="17">
        <v>0.875</v>
      </c>
      <c r="M6407" s="14">
        <v>880</v>
      </c>
      <c r="N6407" s="14">
        <v>0</v>
      </c>
      <c r="O6407" s="14">
        <v>567</v>
      </c>
      <c r="P6407" s="14">
        <v>1447</v>
      </c>
      <c r="Q6407">
        <v>8310</v>
      </c>
      <c r="R6407">
        <v>1450</v>
      </c>
      <c r="S6407">
        <v>0</v>
      </c>
    </row>
    <row r="6408" spans="11:19" x14ac:dyDescent="0.3">
      <c r="K6408" s="16">
        <f t="shared" si="99"/>
        <v>44282</v>
      </c>
      <c r="L6408" s="17">
        <v>0.91666666666666663</v>
      </c>
      <c r="M6408" s="14">
        <v>880</v>
      </c>
      <c r="N6408" s="14">
        <v>0</v>
      </c>
      <c r="O6408" s="14">
        <v>1050</v>
      </c>
      <c r="P6408" s="14">
        <v>1930</v>
      </c>
      <c r="Q6408">
        <v>8655</v>
      </c>
      <c r="R6408">
        <v>1312</v>
      </c>
      <c r="S6408">
        <v>0</v>
      </c>
    </row>
    <row r="6409" spans="11:19" x14ac:dyDescent="0.3">
      <c r="K6409" s="16">
        <f t="shared" si="99"/>
        <v>44282</v>
      </c>
      <c r="L6409" s="17">
        <v>0.95833333333333337</v>
      </c>
      <c r="M6409" s="14">
        <v>880</v>
      </c>
      <c r="N6409" s="14">
        <v>111</v>
      </c>
      <c r="O6409" s="14">
        <v>1200</v>
      </c>
      <c r="P6409" s="14">
        <v>2191</v>
      </c>
      <c r="Q6409">
        <v>8986</v>
      </c>
      <c r="R6409">
        <v>1382</v>
      </c>
      <c r="S6409">
        <v>0</v>
      </c>
    </row>
    <row r="6410" spans="11:19" x14ac:dyDescent="0.3">
      <c r="K6410" s="16">
        <f t="shared" si="99"/>
        <v>44283</v>
      </c>
      <c r="L6410" s="17">
        <v>0</v>
      </c>
      <c r="M6410" s="14">
        <v>880</v>
      </c>
      <c r="N6410" s="14">
        <v>182</v>
      </c>
      <c r="O6410" s="14">
        <v>809</v>
      </c>
      <c r="P6410" s="14">
        <v>1871</v>
      </c>
      <c r="Q6410">
        <v>8557</v>
      </c>
      <c r="R6410">
        <v>1288</v>
      </c>
      <c r="S6410">
        <v>0</v>
      </c>
    </row>
    <row r="6411" spans="11:19" x14ac:dyDescent="0.3">
      <c r="K6411" s="16">
        <f t="shared" si="99"/>
        <v>44283</v>
      </c>
      <c r="L6411" s="17">
        <v>4.1666666666666664E-2</v>
      </c>
      <c r="M6411" s="14">
        <v>880</v>
      </c>
      <c r="N6411" s="14">
        <v>0</v>
      </c>
      <c r="O6411" s="14">
        <v>837</v>
      </c>
      <c r="P6411" s="14">
        <v>1717</v>
      </c>
      <c r="Q6411">
        <v>8189</v>
      </c>
      <c r="R6411">
        <v>1076</v>
      </c>
      <c r="S6411">
        <v>0</v>
      </c>
    </row>
    <row r="6412" spans="11:19" x14ac:dyDescent="0.3">
      <c r="K6412" s="16">
        <f t="shared" si="99"/>
        <v>44283</v>
      </c>
      <c r="L6412" s="17">
        <v>8.3333333333333329E-2</v>
      </c>
      <c r="M6412" s="14">
        <v>880</v>
      </c>
      <c r="N6412" s="14">
        <v>0</v>
      </c>
      <c r="O6412" s="14">
        <v>645</v>
      </c>
      <c r="P6412" s="14">
        <v>1525</v>
      </c>
      <c r="Q6412">
        <v>7999</v>
      </c>
      <c r="R6412">
        <v>1076</v>
      </c>
      <c r="S6412">
        <v>0</v>
      </c>
    </row>
    <row r="6413" spans="11:19" x14ac:dyDescent="0.3">
      <c r="K6413" s="16">
        <f t="shared" si="99"/>
        <v>44283</v>
      </c>
      <c r="L6413" s="17">
        <v>0.125</v>
      </c>
      <c r="M6413" s="14">
        <v>880</v>
      </c>
      <c r="N6413" s="14">
        <v>0</v>
      </c>
      <c r="O6413" s="14">
        <v>315</v>
      </c>
      <c r="P6413" s="14">
        <v>1195</v>
      </c>
      <c r="Q6413">
        <v>7585</v>
      </c>
      <c r="R6413">
        <v>989</v>
      </c>
      <c r="S6413">
        <v>0</v>
      </c>
    </row>
    <row r="6414" spans="11:19" x14ac:dyDescent="0.3">
      <c r="K6414" s="16">
        <f t="shared" si="99"/>
        <v>44283</v>
      </c>
      <c r="L6414" s="17">
        <v>0.16666666666666666</v>
      </c>
      <c r="M6414" s="14">
        <v>880</v>
      </c>
      <c r="N6414" s="14">
        <v>0</v>
      </c>
      <c r="O6414" s="14">
        <v>-143</v>
      </c>
      <c r="P6414" s="14">
        <v>737</v>
      </c>
      <c r="Q6414">
        <v>7173</v>
      </c>
      <c r="R6414">
        <v>1033</v>
      </c>
      <c r="S6414">
        <v>0</v>
      </c>
    </row>
    <row r="6415" spans="11:19" x14ac:dyDescent="0.3">
      <c r="K6415" s="16">
        <f t="shared" si="99"/>
        <v>44283</v>
      </c>
      <c r="L6415" s="17">
        <v>0.20833333333333334</v>
      </c>
      <c r="M6415" s="14">
        <v>880</v>
      </c>
      <c r="N6415" s="14">
        <v>0</v>
      </c>
      <c r="O6415" s="14">
        <v>-183</v>
      </c>
      <c r="P6415" s="14">
        <v>697</v>
      </c>
      <c r="Q6415">
        <v>7089</v>
      </c>
      <c r="R6415">
        <v>982</v>
      </c>
      <c r="S6415">
        <v>0</v>
      </c>
    </row>
    <row r="6416" spans="11:19" x14ac:dyDescent="0.3">
      <c r="K6416" s="16">
        <f t="shared" si="99"/>
        <v>44283</v>
      </c>
      <c r="L6416" s="17">
        <v>0.25</v>
      </c>
      <c r="M6416" s="14">
        <v>880</v>
      </c>
      <c r="N6416" s="14">
        <v>0</v>
      </c>
      <c r="O6416" s="14">
        <v>8</v>
      </c>
      <c r="P6416" s="14">
        <v>888</v>
      </c>
      <c r="Q6416">
        <v>7195</v>
      </c>
      <c r="R6416">
        <v>889</v>
      </c>
      <c r="S6416">
        <v>0</v>
      </c>
    </row>
    <row r="6417" spans="11:19" x14ac:dyDescent="0.3">
      <c r="K6417" s="16">
        <f t="shared" si="99"/>
        <v>44283</v>
      </c>
      <c r="L6417" s="17">
        <v>0.29166666666666669</v>
      </c>
      <c r="M6417" s="14">
        <v>880</v>
      </c>
      <c r="N6417" s="14">
        <v>0</v>
      </c>
      <c r="O6417" s="14">
        <v>156</v>
      </c>
      <c r="P6417" s="14">
        <v>1036</v>
      </c>
      <c r="Q6417">
        <v>7255</v>
      </c>
      <c r="R6417">
        <v>776</v>
      </c>
      <c r="S6417">
        <v>11</v>
      </c>
    </row>
    <row r="6418" spans="11:19" x14ac:dyDescent="0.3">
      <c r="K6418" s="16">
        <f t="shared" si="99"/>
        <v>44283</v>
      </c>
      <c r="L6418" s="17">
        <v>0.33333333333333331</v>
      </c>
      <c r="M6418" s="14">
        <v>880</v>
      </c>
      <c r="N6418" s="14">
        <v>0</v>
      </c>
      <c r="O6418" s="14">
        <v>455</v>
      </c>
      <c r="P6418" s="14">
        <v>1335</v>
      </c>
      <c r="Q6418">
        <v>7646</v>
      </c>
      <c r="R6418">
        <v>714</v>
      </c>
      <c r="S6418">
        <v>158</v>
      </c>
    </row>
    <row r="6419" spans="11:19" x14ac:dyDescent="0.3">
      <c r="K6419" s="16">
        <f t="shared" si="99"/>
        <v>44283</v>
      </c>
      <c r="L6419" s="17">
        <v>0.375</v>
      </c>
      <c r="M6419" s="14">
        <v>880</v>
      </c>
      <c r="N6419" s="14">
        <v>0</v>
      </c>
      <c r="O6419" s="14">
        <v>236</v>
      </c>
      <c r="P6419" s="14">
        <v>1116</v>
      </c>
      <c r="Q6419">
        <v>8025</v>
      </c>
      <c r="R6419">
        <v>836</v>
      </c>
      <c r="S6419">
        <v>632</v>
      </c>
    </row>
    <row r="6420" spans="11:19" x14ac:dyDescent="0.3">
      <c r="K6420" s="16">
        <f t="shared" si="99"/>
        <v>44283</v>
      </c>
      <c r="L6420" s="17">
        <v>0.41666666666666669</v>
      </c>
      <c r="M6420" s="14">
        <v>880</v>
      </c>
      <c r="N6420" s="14">
        <v>0</v>
      </c>
      <c r="O6420" s="14">
        <v>-319</v>
      </c>
      <c r="P6420" s="14">
        <v>561</v>
      </c>
      <c r="Q6420">
        <v>8208</v>
      </c>
      <c r="R6420">
        <v>1006</v>
      </c>
      <c r="S6420">
        <v>1202</v>
      </c>
    </row>
    <row r="6421" spans="11:19" x14ac:dyDescent="0.3">
      <c r="K6421" s="16">
        <f t="shared" si="99"/>
        <v>44283</v>
      </c>
      <c r="L6421" s="17">
        <v>0.45833333333333331</v>
      </c>
      <c r="M6421" s="14">
        <v>880</v>
      </c>
      <c r="N6421" s="14">
        <v>0</v>
      </c>
      <c r="O6421" s="14">
        <v>-684</v>
      </c>
      <c r="P6421" s="14">
        <v>196</v>
      </c>
      <c r="Q6421">
        <v>8384</v>
      </c>
      <c r="R6421">
        <v>1083</v>
      </c>
      <c r="S6421">
        <v>1668</v>
      </c>
    </row>
    <row r="6422" spans="11:19" x14ac:dyDescent="0.3">
      <c r="K6422" s="16">
        <f t="shared" si="99"/>
        <v>44283</v>
      </c>
      <c r="L6422" s="17">
        <v>0.5</v>
      </c>
      <c r="M6422" s="14">
        <v>880</v>
      </c>
      <c r="N6422" s="14">
        <v>0</v>
      </c>
      <c r="O6422" s="14">
        <v>-941</v>
      </c>
      <c r="P6422" s="14">
        <v>-61</v>
      </c>
      <c r="Q6422">
        <v>8644</v>
      </c>
      <c r="R6422">
        <v>1240</v>
      </c>
      <c r="S6422">
        <v>2028</v>
      </c>
    </row>
    <row r="6423" spans="11:19" x14ac:dyDescent="0.3">
      <c r="K6423" s="16">
        <f t="shared" si="99"/>
        <v>44283</v>
      </c>
      <c r="L6423" s="17">
        <v>0.54166666666666663</v>
      </c>
      <c r="M6423" s="14">
        <v>880</v>
      </c>
      <c r="N6423" s="14">
        <v>0</v>
      </c>
      <c r="O6423" s="14">
        <v>-1200</v>
      </c>
      <c r="P6423" s="14">
        <v>-320</v>
      </c>
      <c r="Q6423">
        <v>8122</v>
      </c>
      <c r="R6423">
        <v>1513</v>
      </c>
      <c r="S6423">
        <v>2190</v>
      </c>
    </row>
    <row r="6424" spans="11:19" x14ac:dyDescent="0.3">
      <c r="K6424" s="16">
        <f t="shared" si="99"/>
        <v>44283</v>
      </c>
      <c r="L6424" s="17">
        <v>0.58333333333333337</v>
      </c>
      <c r="M6424" s="14">
        <v>880</v>
      </c>
      <c r="N6424" s="14">
        <v>0</v>
      </c>
      <c r="O6424" s="14">
        <v>-1200</v>
      </c>
      <c r="P6424" s="14">
        <v>-320</v>
      </c>
      <c r="Q6424">
        <v>7617</v>
      </c>
      <c r="R6424">
        <v>1562</v>
      </c>
      <c r="S6424">
        <v>2286</v>
      </c>
    </row>
    <row r="6425" spans="11:19" x14ac:dyDescent="0.3">
      <c r="K6425" s="16">
        <f t="shared" si="99"/>
        <v>44283</v>
      </c>
      <c r="L6425" s="17">
        <v>0.625</v>
      </c>
      <c r="M6425" s="14">
        <v>880</v>
      </c>
      <c r="N6425" s="14">
        <v>0</v>
      </c>
      <c r="O6425" s="14">
        <v>-1200</v>
      </c>
      <c r="P6425" s="14">
        <v>-320</v>
      </c>
      <c r="Q6425">
        <v>7264</v>
      </c>
      <c r="R6425">
        <v>1516</v>
      </c>
      <c r="S6425">
        <v>2177</v>
      </c>
    </row>
    <row r="6426" spans="11:19" x14ac:dyDescent="0.3">
      <c r="K6426" s="16">
        <f t="shared" si="99"/>
        <v>44283</v>
      </c>
      <c r="L6426" s="17">
        <v>0.66666666666666663</v>
      </c>
      <c r="M6426" s="14">
        <v>880</v>
      </c>
      <c r="N6426" s="14">
        <v>0</v>
      </c>
      <c r="O6426" s="14">
        <v>-1200</v>
      </c>
      <c r="P6426" s="14">
        <v>-320</v>
      </c>
      <c r="Q6426">
        <v>7046</v>
      </c>
      <c r="R6426">
        <v>1540</v>
      </c>
      <c r="S6426">
        <v>1935</v>
      </c>
    </row>
    <row r="6427" spans="11:19" x14ac:dyDescent="0.3">
      <c r="K6427" s="16">
        <f t="shared" ref="K6427:K6490" si="100">K6403+1</f>
        <v>44283</v>
      </c>
      <c r="L6427" s="17">
        <v>0.70833333333333337</v>
      </c>
      <c r="M6427" s="14">
        <v>880</v>
      </c>
      <c r="N6427" s="14">
        <v>0</v>
      </c>
      <c r="O6427" s="14">
        <v>-1200</v>
      </c>
      <c r="P6427" s="14">
        <v>-320</v>
      </c>
      <c r="Q6427">
        <v>7078</v>
      </c>
      <c r="R6427">
        <v>1564</v>
      </c>
      <c r="S6427">
        <v>1390</v>
      </c>
    </row>
    <row r="6428" spans="11:19" x14ac:dyDescent="0.3">
      <c r="K6428" s="16">
        <f t="shared" si="100"/>
        <v>44283</v>
      </c>
      <c r="L6428" s="17">
        <v>0.75</v>
      </c>
      <c r="M6428" s="14">
        <v>880</v>
      </c>
      <c r="N6428" s="14">
        <v>0</v>
      </c>
      <c r="O6428" s="14">
        <v>-975</v>
      </c>
      <c r="P6428" s="14">
        <v>-95</v>
      </c>
      <c r="Q6428">
        <v>7444</v>
      </c>
      <c r="R6428">
        <v>1404</v>
      </c>
      <c r="S6428">
        <v>708</v>
      </c>
    </row>
    <row r="6429" spans="11:19" x14ac:dyDescent="0.3">
      <c r="K6429" s="16">
        <f t="shared" si="100"/>
        <v>44283</v>
      </c>
      <c r="L6429" s="17">
        <v>0.79166666666666663</v>
      </c>
      <c r="M6429" s="14">
        <v>880</v>
      </c>
      <c r="N6429" s="14">
        <v>0</v>
      </c>
      <c r="O6429" s="14">
        <v>369</v>
      </c>
      <c r="P6429" s="14">
        <v>1249</v>
      </c>
      <c r="Q6429">
        <v>8103</v>
      </c>
      <c r="R6429">
        <v>1287</v>
      </c>
      <c r="S6429">
        <v>139</v>
      </c>
    </row>
    <row r="6430" spans="11:19" x14ac:dyDescent="0.3">
      <c r="K6430" s="16">
        <f t="shared" si="100"/>
        <v>44283</v>
      </c>
      <c r="L6430" s="17">
        <v>0.83333333333333337</v>
      </c>
      <c r="M6430" s="14">
        <v>880</v>
      </c>
      <c r="N6430" s="14">
        <v>0</v>
      </c>
      <c r="O6430" s="14">
        <v>812</v>
      </c>
      <c r="P6430" s="14">
        <v>1692</v>
      </c>
      <c r="Q6430">
        <v>8316</v>
      </c>
      <c r="R6430">
        <v>1200</v>
      </c>
      <c r="S6430">
        <v>1</v>
      </c>
    </row>
    <row r="6431" spans="11:19" x14ac:dyDescent="0.3">
      <c r="K6431" s="16">
        <f t="shared" si="100"/>
        <v>44283</v>
      </c>
      <c r="L6431" s="17">
        <v>0.875</v>
      </c>
      <c r="M6431" s="14">
        <v>880</v>
      </c>
      <c r="N6431" s="14">
        <v>0</v>
      </c>
      <c r="O6431" s="14">
        <v>674</v>
      </c>
      <c r="P6431" s="14">
        <v>1554</v>
      </c>
      <c r="Q6431">
        <v>8124</v>
      </c>
      <c r="R6431">
        <v>1157</v>
      </c>
      <c r="S6431">
        <v>0</v>
      </c>
    </row>
    <row r="6432" spans="11:19" x14ac:dyDescent="0.3">
      <c r="K6432" s="16">
        <f t="shared" si="100"/>
        <v>44283</v>
      </c>
      <c r="L6432" s="17">
        <v>0.91666666666666663</v>
      </c>
      <c r="M6432" s="14">
        <v>880</v>
      </c>
      <c r="N6432" s="14">
        <v>0</v>
      </c>
      <c r="O6432" s="14">
        <v>894</v>
      </c>
      <c r="P6432" s="14">
        <v>1774</v>
      </c>
      <c r="Q6432">
        <v>8424</v>
      </c>
      <c r="R6432">
        <v>1236</v>
      </c>
      <c r="S6432">
        <v>0</v>
      </c>
    </row>
    <row r="6433" spans="11:19" x14ac:dyDescent="0.3">
      <c r="K6433" s="16">
        <f t="shared" si="100"/>
        <v>44283</v>
      </c>
      <c r="L6433" s="17">
        <v>0.95833333333333337</v>
      </c>
      <c r="M6433" s="14">
        <v>880</v>
      </c>
      <c r="N6433" s="14">
        <v>0</v>
      </c>
      <c r="O6433" s="14">
        <v>1189</v>
      </c>
      <c r="P6433" s="14">
        <v>2069</v>
      </c>
      <c r="Q6433">
        <v>8712</v>
      </c>
      <c r="R6433">
        <v>1230</v>
      </c>
      <c r="S6433">
        <v>0</v>
      </c>
    </row>
    <row r="6434" spans="11:19" x14ac:dyDescent="0.3">
      <c r="K6434" s="16">
        <f t="shared" si="100"/>
        <v>44284</v>
      </c>
      <c r="L6434" s="17">
        <v>0</v>
      </c>
      <c r="M6434" s="14">
        <v>880</v>
      </c>
      <c r="N6434" s="14">
        <v>798</v>
      </c>
      <c r="O6434" s="14">
        <v>0</v>
      </c>
      <c r="P6434" s="14">
        <v>1678</v>
      </c>
      <c r="Q6434">
        <v>8327</v>
      </c>
      <c r="R6434">
        <v>1238</v>
      </c>
      <c r="S6434">
        <v>0</v>
      </c>
    </row>
    <row r="6435" spans="11:19" x14ac:dyDescent="0.3">
      <c r="K6435" s="16">
        <f t="shared" si="100"/>
        <v>44284</v>
      </c>
      <c r="L6435" s="17">
        <v>4.1666666666666664E-2</v>
      </c>
      <c r="M6435" s="14">
        <v>880</v>
      </c>
      <c r="N6435" s="14">
        <v>624</v>
      </c>
      <c r="O6435" s="14">
        <v>0</v>
      </c>
      <c r="P6435" s="14">
        <v>1504</v>
      </c>
      <c r="Q6435">
        <v>8040</v>
      </c>
      <c r="R6435">
        <v>1130</v>
      </c>
      <c r="S6435">
        <v>0</v>
      </c>
    </row>
    <row r="6436" spans="11:19" x14ac:dyDescent="0.3">
      <c r="K6436" s="16">
        <f t="shared" si="100"/>
        <v>44284</v>
      </c>
      <c r="L6436" s="17">
        <v>8.3333333333333329E-2</v>
      </c>
      <c r="M6436" s="14">
        <v>880</v>
      </c>
      <c r="N6436" s="14">
        <v>291</v>
      </c>
      <c r="O6436" s="14">
        <v>0</v>
      </c>
      <c r="P6436" s="14">
        <v>1171</v>
      </c>
      <c r="Q6436">
        <v>7769</v>
      </c>
      <c r="R6436">
        <v>1193</v>
      </c>
      <c r="S6436">
        <v>0</v>
      </c>
    </row>
    <row r="6437" spans="11:19" x14ac:dyDescent="0.3">
      <c r="K6437" s="16">
        <f t="shared" si="100"/>
        <v>44284</v>
      </c>
      <c r="L6437" s="17">
        <v>0.125</v>
      </c>
      <c r="M6437" s="14">
        <v>880</v>
      </c>
      <c r="N6437" s="14">
        <v>0</v>
      </c>
      <c r="O6437" s="14">
        <v>-181</v>
      </c>
      <c r="P6437" s="14">
        <v>699</v>
      </c>
      <c r="Q6437">
        <v>7393</v>
      </c>
      <c r="R6437">
        <v>1204</v>
      </c>
      <c r="S6437">
        <v>0</v>
      </c>
    </row>
    <row r="6438" spans="11:19" x14ac:dyDescent="0.3">
      <c r="K6438" s="16">
        <f t="shared" si="100"/>
        <v>44284</v>
      </c>
      <c r="L6438" s="17">
        <v>0.16666666666666666</v>
      </c>
      <c r="M6438" s="14">
        <v>880</v>
      </c>
      <c r="N6438" s="14">
        <v>0</v>
      </c>
      <c r="O6438" s="14">
        <v>-201</v>
      </c>
      <c r="P6438" s="14">
        <v>679</v>
      </c>
      <c r="Q6438">
        <v>7384</v>
      </c>
      <c r="R6438">
        <v>1212</v>
      </c>
      <c r="S6438">
        <v>0</v>
      </c>
    </row>
    <row r="6439" spans="11:19" x14ac:dyDescent="0.3">
      <c r="K6439" s="16">
        <f t="shared" si="100"/>
        <v>44284</v>
      </c>
      <c r="L6439" s="17">
        <v>0.20833333333333334</v>
      </c>
      <c r="M6439" s="14">
        <v>880</v>
      </c>
      <c r="N6439" s="14">
        <v>0</v>
      </c>
      <c r="O6439" s="14">
        <v>364</v>
      </c>
      <c r="P6439" s="14">
        <v>1244</v>
      </c>
      <c r="Q6439">
        <v>7973</v>
      </c>
      <c r="R6439">
        <v>1227</v>
      </c>
      <c r="S6439">
        <v>0</v>
      </c>
    </row>
    <row r="6440" spans="11:19" x14ac:dyDescent="0.3">
      <c r="K6440" s="16">
        <f t="shared" si="100"/>
        <v>44284</v>
      </c>
      <c r="L6440" s="17">
        <v>0.25</v>
      </c>
      <c r="M6440" s="14">
        <v>880</v>
      </c>
      <c r="N6440" s="14">
        <v>1125</v>
      </c>
      <c r="O6440" s="14">
        <v>450</v>
      </c>
      <c r="P6440" s="14">
        <v>2455</v>
      </c>
      <c r="Q6440">
        <v>9188</v>
      </c>
      <c r="R6440">
        <v>1214</v>
      </c>
      <c r="S6440">
        <v>0</v>
      </c>
    </row>
    <row r="6441" spans="11:19" x14ac:dyDescent="0.3">
      <c r="K6441" s="16">
        <f t="shared" si="100"/>
        <v>44284</v>
      </c>
      <c r="L6441" s="17">
        <v>0.29166666666666669</v>
      </c>
      <c r="M6441" s="14">
        <v>880</v>
      </c>
      <c r="N6441" s="14">
        <v>1125</v>
      </c>
      <c r="O6441" s="14">
        <v>1200</v>
      </c>
      <c r="P6441" s="14">
        <v>3205</v>
      </c>
      <c r="Q6441">
        <v>9978</v>
      </c>
      <c r="R6441">
        <v>1120</v>
      </c>
      <c r="S6441">
        <v>12</v>
      </c>
    </row>
    <row r="6442" spans="11:19" x14ac:dyDescent="0.3">
      <c r="K6442" s="16">
        <f t="shared" si="100"/>
        <v>44284</v>
      </c>
      <c r="L6442" s="17">
        <v>0.33333333333333331</v>
      </c>
      <c r="M6442" s="14">
        <v>880</v>
      </c>
      <c r="N6442" s="14">
        <v>1125</v>
      </c>
      <c r="O6442" s="14">
        <v>1200</v>
      </c>
      <c r="P6442" s="14">
        <v>3205</v>
      </c>
      <c r="Q6442">
        <v>10292</v>
      </c>
      <c r="R6442">
        <v>1092</v>
      </c>
      <c r="S6442">
        <v>215</v>
      </c>
    </row>
    <row r="6443" spans="11:19" x14ac:dyDescent="0.3">
      <c r="K6443" s="16">
        <f t="shared" si="100"/>
        <v>44284</v>
      </c>
      <c r="L6443" s="17">
        <v>0.375</v>
      </c>
      <c r="M6443" s="14">
        <v>880</v>
      </c>
      <c r="N6443" s="14">
        <v>1125</v>
      </c>
      <c r="O6443" s="14">
        <v>766</v>
      </c>
      <c r="P6443" s="14">
        <v>2771</v>
      </c>
      <c r="Q6443">
        <v>10349</v>
      </c>
      <c r="R6443">
        <v>1223</v>
      </c>
      <c r="S6443">
        <v>825</v>
      </c>
    </row>
    <row r="6444" spans="11:19" x14ac:dyDescent="0.3">
      <c r="K6444" s="16">
        <f t="shared" si="100"/>
        <v>44284</v>
      </c>
      <c r="L6444" s="17">
        <v>0.41666666666666669</v>
      </c>
      <c r="M6444" s="14">
        <v>880</v>
      </c>
      <c r="N6444" s="14">
        <v>839</v>
      </c>
      <c r="O6444" s="14">
        <v>0</v>
      </c>
      <c r="P6444" s="14">
        <v>1719</v>
      </c>
      <c r="Q6444">
        <v>10183</v>
      </c>
      <c r="R6444">
        <v>1397</v>
      </c>
      <c r="S6444">
        <v>1540</v>
      </c>
    </row>
    <row r="6445" spans="11:19" x14ac:dyDescent="0.3">
      <c r="K6445" s="16">
        <f t="shared" si="100"/>
        <v>44284</v>
      </c>
      <c r="L6445" s="17">
        <v>0.45833333333333331</v>
      </c>
      <c r="M6445" s="14">
        <v>880</v>
      </c>
      <c r="N6445" s="14">
        <v>0</v>
      </c>
      <c r="O6445" s="14">
        <v>109</v>
      </c>
      <c r="P6445" s="14">
        <v>989</v>
      </c>
      <c r="Q6445">
        <v>10098</v>
      </c>
      <c r="R6445">
        <v>1521</v>
      </c>
      <c r="S6445">
        <v>2063</v>
      </c>
    </row>
    <row r="6446" spans="11:19" x14ac:dyDescent="0.3">
      <c r="K6446" s="16">
        <f t="shared" si="100"/>
        <v>44284</v>
      </c>
      <c r="L6446" s="17">
        <v>0.5</v>
      </c>
      <c r="M6446" s="14">
        <v>880</v>
      </c>
      <c r="N6446" s="14">
        <v>0</v>
      </c>
      <c r="O6446" s="14">
        <v>-407</v>
      </c>
      <c r="P6446" s="14">
        <v>473</v>
      </c>
      <c r="Q6446">
        <v>10079</v>
      </c>
      <c r="R6446">
        <v>1695</v>
      </c>
      <c r="S6446">
        <v>2386</v>
      </c>
    </row>
    <row r="6447" spans="11:19" x14ac:dyDescent="0.3">
      <c r="K6447" s="16">
        <f t="shared" si="100"/>
        <v>44284</v>
      </c>
      <c r="L6447" s="17">
        <v>0.54166666666666663</v>
      </c>
      <c r="M6447" s="14">
        <v>880</v>
      </c>
      <c r="N6447" s="14">
        <v>0</v>
      </c>
      <c r="O6447" s="14">
        <v>-657</v>
      </c>
      <c r="P6447" s="14">
        <v>223</v>
      </c>
      <c r="Q6447">
        <v>9839</v>
      </c>
      <c r="R6447">
        <v>1633</v>
      </c>
      <c r="S6447">
        <v>2538</v>
      </c>
    </row>
    <row r="6448" spans="11:19" x14ac:dyDescent="0.3">
      <c r="K6448" s="16">
        <f t="shared" si="100"/>
        <v>44284</v>
      </c>
      <c r="L6448" s="17">
        <v>0.58333333333333337</v>
      </c>
      <c r="M6448" s="14">
        <v>880</v>
      </c>
      <c r="N6448" s="14">
        <v>0</v>
      </c>
      <c r="O6448" s="14">
        <v>-923</v>
      </c>
      <c r="P6448" s="14">
        <v>-43</v>
      </c>
      <c r="Q6448">
        <v>9556</v>
      </c>
      <c r="R6448">
        <v>1625</v>
      </c>
      <c r="S6448">
        <v>2530</v>
      </c>
    </row>
    <row r="6449" spans="11:19" x14ac:dyDescent="0.3">
      <c r="K6449" s="16">
        <f t="shared" si="100"/>
        <v>44284</v>
      </c>
      <c r="L6449" s="17">
        <v>0.625</v>
      </c>
      <c r="M6449" s="14">
        <v>880</v>
      </c>
      <c r="N6449" s="14">
        <v>0</v>
      </c>
      <c r="O6449" s="14">
        <v>-1200</v>
      </c>
      <c r="P6449" s="14">
        <v>-320</v>
      </c>
      <c r="Q6449">
        <v>9220</v>
      </c>
      <c r="R6449">
        <v>1830</v>
      </c>
      <c r="S6449">
        <v>2377</v>
      </c>
    </row>
    <row r="6450" spans="11:19" x14ac:dyDescent="0.3">
      <c r="K6450" s="16">
        <f t="shared" si="100"/>
        <v>44284</v>
      </c>
      <c r="L6450" s="17">
        <v>0.66666666666666663</v>
      </c>
      <c r="M6450" s="14">
        <v>880</v>
      </c>
      <c r="N6450" s="14">
        <v>0</v>
      </c>
      <c r="O6450" s="14">
        <v>-1200</v>
      </c>
      <c r="P6450" s="14">
        <v>-320</v>
      </c>
      <c r="Q6450">
        <v>8941</v>
      </c>
      <c r="R6450">
        <v>1901</v>
      </c>
      <c r="S6450">
        <v>2078</v>
      </c>
    </row>
    <row r="6451" spans="11:19" x14ac:dyDescent="0.3">
      <c r="K6451" s="16">
        <f t="shared" si="100"/>
        <v>44284</v>
      </c>
      <c r="L6451" s="17">
        <v>0.70833333333333337</v>
      </c>
      <c r="M6451" s="14">
        <v>880</v>
      </c>
      <c r="N6451" s="14">
        <v>0</v>
      </c>
      <c r="O6451" s="14">
        <v>-1049</v>
      </c>
      <c r="P6451" s="14">
        <v>-169</v>
      </c>
      <c r="Q6451">
        <v>8806</v>
      </c>
      <c r="R6451">
        <v>1991</v>
      </c>
      <c r="S6451">
        <v>1539</v>
      </c>
    </row>
    <row r="6452" spans="11:19" x14ac:dyDescent="0.3">
      <c r="K6452" s="16">
        <f t="shared" si="100"/>
        <v>44284</v>
      </c>
      <c r="L6452" s="17">
        <v>0.75</v>
      </c>
      <c r="M6452" s="14">
        <v>880</v>
      </c>
      <c r="N6452" s="14">
        <v>114</v>
      </c>
      <c r="O6452" s="14">
        <v>0</v>
      </c>
      <c r="P6452" s="14">
        <v>994</v>
      </c>
      <c r="Q6452">
        <v>9113</v>
      </c>
      <c r="R6452">
        <v>1712</v>
      </c>
      <c r="S6452">
        <v>803</v>
      </c>
    </row>
    <row r="6453" spans="11:19" x14ac:dyDescent="0.3">
      <c r="K6453" s="16">
        <f t="shared" si="100"/>
        <v>44284</v>
      </c>
      <c r="L6453" s="17">
        <v>0.79166666666666663</v>
      </c>
      <c r="M6453" s="14">
        <v>880</v>
      </c>
      <c r="N6453" s="14">
        <v>603</v>
      </c>
      <c r="O6453" s="14">
        <v>483</v>
      </c>
      <c r="P6453" s="14">
        <v>1966</v>
      </c>
      <c r="Q6453">
        <v>9556</v>
      </c>
      <c r="R6453">
        <v>1830</v>
      </c>
      <c r="S6453">
        <v>159</v>
      </c>
    </row>
    <row r="6454" spans="11:19" x14ac:dyDescent="0.3">
      <c r="K6454" s="16">
        <f t="shared" si="100"/>
        <v>44284</v>
      </c>
      <c r="L6454" s="17">
        <v>0.83333333333333337</v>
      </c>
      <c r="M6454" s="14">
        <v>880</v>
      </c>
      <c r="N6454" s="14">
        <v>818</v>
      </c>
      <c r="O6454" s="14">
        <v>0</v>
      </c>
      <c r="P6454" s="14">
        <v>1698</v>
      </c>
      <c r="Q6454">
        <v>9265</v>
      </c>
      <c r="R6454">
        <v>1970</v>
      </c>
      <c r="S6454">
        <v>1</v>
      </c>
    </row>
    <row r="6455" spans="11:19" x14ac:dyDescent="0.3">
      <c r="K6455" s="16">
        <f t="shared" si="100"/>
        <v>44284</v>
      </c>
      <c r="L6455" s="17">
        <v>0.875</v>
      </c>
      <c r="M6455" s="14">
        <v>880</v>
      </c>
      <c r="N6455" s="14">
        <v>397</v>
      </c>
      <c r="O6455" s="14">
        <v>0</v>
      </c>
      <c r="P6455" s="14">
        <v>1277</v>
      </c>
      <c r="Q6455">
        <v>8778</v>
      </c>
      <c r="R6455">
        <v>1913</v>
      </c>
      <c r="S6455">
        <v>0</v>
      </c>
    </row>
    <row r="6456" spans="11:19" x14ac:dyDescent="0.3">
      <c r="K6456" s="16">
        <f t="shared" si="100"/>
        <v>44284</v>
      </c>
      <c r="L6456" s="17">
        <v>0.91666666666666663</v>
      </c>
      <c r="M6456" s="14">
        <v>880</v>
      </c>
      <c r="N6456" s="14">
        <v>892</v>
      </c>
      <c r="O6456" s="14">
        <v>0</v>
      </c>
      <c r="P6456" s="14">
        <v>1772</v>
      </c>
      <c r="Q6456">
        <v>8952</v>
      </c>
      <c r="R6456">
        <v>1597</v>
      </c>
      <c r="S6456">
        <v>0</v>
      </c>
    </row>
    <row r="6457" spans="11:19" x14ac:dyDescent="0.3">
      <c r="K6457" s="16">
        <f t="shared" si="100"/>
        <v>44284</v>
      </c>
      <c r="L6457" s="17">
        <v>0.95833333333333337</v>
      </c>
      <c r="M6457" s="14">
        <v>880</v>
      </c>
      <c r="N6457" s="14">
        <v>1125</v>
      </c>
      <c r="O6457" s="14">
        <v>84</v>
      </c>
      <c r="P6457" s="14">
        <v>2089</v>
      </c>
      <c r="Q6457">
        <v>9132</v>
      </c>
      <c r="R6457">
        <v>1544</v>
      </c>
      <c r="S6457">
        <v>0</v>
      </c>
    </row>
    <row r="6458" spans="11:19" x14ac:dyDescent="0.3">
      <c r="K6458" s="16">
        <f t="shared" si="100"/>
        <v>44285</v>
      </c>
      <c r="L6458" s="17">
        <v>0</v>
      </c>
      <c r="M6458" s="14">
        <v>880</v>
      </c>
      <c r="N6458" s="14">
        <v>687</v>
      </c>
      <c r="O6458" s="14">
        <v>0</v>
      </c>
      <c r="P6458" s="14">
        <v>1567</v>
      </c>
      <c r="Q6458">
        <v>8587</v>
      </c>
      <c r="R6458">
        <v>1530</v>
      </c>
      <c r="S6458">
        <v>0</v>
      </c>
    </row>
    <row r="6459" spans="11:19" x14ac:dyDescent="0.3">
      <c r="K6459" s="16">
        <f t="shared" si="100"/>
        <v>44285</v>
      </c>
      <c r="L6459" s="17">
        <v>4.1666666666666664E-2</v>
      </c>
      <c r="M6459" s="14">
        <v>880</v>
      </c>
      <c r="N6459" s="14">
        <v>739</v>
      </c>
      <c r="O6459" s="14">
        <v>0</v>
      </c>
      <c r="P6459" s="14">
        <v>1619</v>
      </c>
      <c r="Q6459">
        <v>8251</v>
      </c>
      <c r="R6459">
        <v>1147</v>
      </c>
      <c r="S6459">
        <v>0</v>
      </c>
    </row>
    <row r="6460" spans="11:19" x14ac:dyDescent="0.3">
      <c r="K6460" s="16">
        <f t="shared" si="100"/>
        <v>44285</v>
      </c>
      <c r="L6460" s="17">
        <v>8.3333333333333329E-2</v>
      </c>
      <c r="M6460" s="14">
        <v>880</v>
      </c>
      <c r="N6460" s="14">
        <v>331</v>
      </c>
      <c r="O6460" s="14">
        <v>0</v>
      </c>
      <c r="P6460" s="14">
        <v>1211</v>
      </c>
      <c r="Q6460">
        <v>7962</v>
      </c>
      <c r="R6460">
        <v>1266</v>
      </c>
      <c r="S6460">
        <v>0</v>
      </c>
    </row>
    <row r="6461" spans="11:19" x14ac:dyDescent="0.3">
      <c r="K6461" s="16">
        <f t="shared" si="100"/>
        <v>44285</v>
      </c>
      <c r="L6461" s="17">
        <v>0.125</v>
      </c>
      <c r="M6461" s="14">
        <v>880</v>
      </c>
      <c r="N6461" s="14">
        <v>19</v>
      </c>
      <c r="O6461" s="14">
        <v>0</v>
      </c>
      <c r="P6461" s="14">
        <v>899</v>
      </c>
      <c r="Q6461">
        <v>7593</v>
      </c>
      <c r="R6461">
        <v>1205</v>
      </c>
      <c r="S6461">
        <v>0</v>
      </c>
    </row>
    <row r="6462" spans="11:19" x14ac:dyDescent="0.3">
      <c r="K6462" s="16">
        <f t="shared" si="100"/>
        <v>44285</v>
      </c>
      <c r="L6462" s="17">
        <v>0.16666666666666666</v>
      </c>
      <c r="M6462" s="14">
        <v>880</v>
      </c>
      <c r="N6462" s="14">
        <v>0</v>
      </c>
      <c r="O6462" s="14">
        <v>-86</v>
      </c>
      <c r="P6462" s="14">
        <v>794</v>
      </c>
      <c r="Q6462">
        <v>7550</v>
      </c>
      <c r="R6462">
        <v>1104</v>
      </c>
      <c r="S6462">
        <v>0</v>
      </c>
    </row>
    <row r="6463" spans="11:19" x14ac:dyDescent="0.3">
      <c r="K6463" s="16">
        <f t="shared" si="100"/>
        <v>44285</v>
      </c>
      <c r="L6463" s="17">
        <v>0.20833333333333334</v>
      </c>
      <c r="M6463" s="14">
        <v>880</v>
      </c>
      <c r="N6463" s="14">
        <v>380</v>
      </c>
      <c r="O6463" s="14">
        <v>0</v>
      </c>
      <c r="P6463" s="14">
        <v>1260</v>
      </c>
      <c r="Q6463">
        <v>8070</v>
      </c>
      <c r="R6463">
        <v>1149</v>
      </c>
      <c r="S6463">
        <v>0</v>
      </c>
    </row>
    <row r="6464" spans="11:19" x14ac:dyDescent="0.3">
      <c r="K6464" s="16">
        <f t="shared" si="100"/>
        <v>44285</v>
      </c>
      <c r="L6464" s="17">
        <v>0.25</v>
      </c>
      <c r="M6464" s="14">
        <v>880</v>
      </c>
      <c r="N6464" s="14">
        <v>1309</v>
      </c>
      <c r="O6464" s="14">
        <v>211</v>
      </c>
      <c r="P6464" s="14">
        <v>2400</v>
      </c>
      <c r="Q6464">
        <v>9217</v>
      </c>
      <c r="R6464">
        <v>1139</v>
      </c>
      <c r="S6464">
        <v>0</v>
      </c>
    </row>
    <row r="6465" spans="11:19" x14ac:dyDescent="0.3">
      <c r="K6465" s="16">
        <f t="shared" si="100"/>
        <v>44285</v>
      </c>
      <c r="L6465" s="17">
        <v>0.29166666666666669</v>
      </c>
      <c r="M6465" s="14">
        <v>880</v>
      </c>
      <c r="N6465" s="14">
        <v>1309</v>
      </c>
      <c r="O6465" s="14">
        <v>504</v>
      </c>
      <c r="P6465" s="14">
        <v>2693</v>
      </c>
      <c r="Q6465">
        <v>9965</v>
      </c>
      <c r="R6465">
        <v>1062</v>
      </c>
      <c r="S6465">
        <v>12</v>
      </c>
    </row>
    <row r="6466" spans="11:19" x14ac:dyDescent="0.3">
      <c r="K6466" s="16">
        <f t="shared" si="100"/>
        <v>44285</v>
      </c>
      <c r="L6466" s="17">
        <v>0.33333333333333331</v>
      </c>
      <c r="M6466" s="14">
        <v>880</v>
      </c>
      <c r="N6466" s="14">
        <v>1309</v>
      </c>
      <c r="O6466" s="14">
        <v>0</v>
      </c>
      <c r="P6466" s="14">
        <v>2189</v>
      </c>
      <c r="Q6466">
        <v>10249</v>
      </c>
      <c r="R6466">
        <v>873</v>
      </c>
      <c r="S6466">
        <v>231</v>
      </c>
    </row>
    <row r="6467" spans="11:19" x14ac:dyDescent="0.3">
      <c r="K6467" s="16">
        <f t="shared" si="100"/>
        <v>44285</v>
      </c>
      <c r="L6467" s="17">
        <v>0.375</v>
      </c>
      <c r="M6467" s="14">
        <v>880</v>
      </c>
      <c r="N6467" s="14">
        <v>1309</v>
      </c>
      <c r="O6467" s="14">
        <v>845</v>
      </c>
      <c r="P6467" s="14">
        <v>3034</v>
      </c>
      <c r="Q6467">
        <v>10258</v>
      </c>
      <c r="R6467">
        <v>871</v>
      </c>
      <c r="S6467">
        <v>904</v>
      </c>
    </row>
    <row r="6468" spans="11:19" x14ac:dyDescent="0.3">
      <c r="K6468" s="16">
        <f t="shared" si="100"/>
        <v>44285</v>
      </c>
      <c r="L6468" s="17">
        <v>0.41666666666666669</v>
      </c>
      <c r="M6468" s="14">
        <v>880</v>
      </c>
      <c r="N6468" s="14">
        <v>981</v>
      </c>
      <c r="O6468" s="14">
        <v>0</v>
      </c>
      <c r="P6468" s="14">
        <v>1861</v>
      </c>
      <c r="Q6468">
        <v>10054</v>
      </c>
      <c r="R6468">
        <v>1051</v>
      </c>
      <c r="S6468">
        <v>1696</v>
      </c>
    </row>
    <row r="6469" spans="11:19" x14ac:dyDescent="0.3">
      <c r="K6469" s="16">
        <f t="shared" si="100"/>
        <v>44285</v>
      </c>
      <c r="L6469" s="17">
        <v>0.45833333333333331</v>
      </c>
      <c r="M6469" s="14">
        <v>880</v>
      </c>
      <c r="N6469" s="14">
        <v>414</v>
      </c>
      <c r="O6469" s="14">
        <v>0</v>
      </c>
      <c r="P6469" s="14">
        <v>1294</v>
      </c>
      <c r="Q6469">
        <v>9982</v>
      </c>
      <c r="R6469">
        <v>984</v>
      </c>
      <c r="S6469">
        <v>2260</v>
      </c>
    </row>
    <row r="6470" spans="11:19" x14ac:dyDescent="0.3">
      <c r="K6470" s="16">
        <f t="shared" si="100"/>
        <v>44285</v>
      </c>
      <c r="L6470" s="17">
        <v>0.5</v>
      </c>
      <c r="M6470" s="14">
        <v>880</v>
      </c>
      <c r="N6470" s="14">
        <v>0</v>
      </c>
      <c r="O6470" s="14">
        <v>-184</v>
      </c>
      <c r="P6470" s="14">
        <v>696</v>
      </c>
      <c r="Q6470">
        <v>9938</v>
      </c>
      <c r="R6470">
        <v>1175</v>
      </c>
      <c r="S6470">
        <v>2623</v>
      </c>
    </row>
    <row r="6471" spans="11:19" x14ac:dyDescent="0.3">
      <c r="K6471" s="16">
        <f t="shared" si="100"/>
        <v>44285</v>
      </c>
      <c r="L6471" s="17">
        <v>0.54166666666666663</v>
      </c>
      <c r="M6471" s="14">
        <v>880</v>
      </c>
      <c r="N6471" s="14">
        <v>0</v>
      </c>
      <c r="O6471" s="14">
        <v>-475</v>
      </c>
      <c r="P6471" s="14">
        <v>405</v>
      </c>
      <c r="Q6471">
        <v>9699</v>
      </c>
      <c r="R6471">
        <v>1093</v>
      </c>
      <c r="S6471">
        <v>2757</v>
      </c>
    </row>
    <row r="6472" spans="11:19" x14ac:dyDescent="0.3">
      <c r="K6472" s="16">
        <f t="shared" si="100"/>
        <v>44285</v>
      </c>
      <c r="L6472" s="17">
        <v>0.58333333333333337</v>
      </c>
      <c r="M6472" s="14">
        <v>880</v>
      </c>
      <c r="N6472" s="14">
        <v>0</v>
      </c>
      <c r="O6472" s="14">
        <v>-583</v>
      </c>
      <c r="P6472" s="14">
        <v>297</v>
      </c>
      <c r="Q6472">
        <v>9495</v>
      </c>
      <c r="R6472">
        <v>1055</v>
      </c>
      <c r="S6472">
        <v>2699</v>
      </c>
    </row>
    <row r="6473" spans="11:19" x14ac:dyDescent="0.3">
      <c r="K6473" s="16">
        <f t="shared" si="100"/>
        <v>44285</v>
      </c>
      <c r="L6473" s="17">
        <v>0.625</v>
      </c>
      <c r="M6473" s="14">
        <v>880</v>
      </c>
      <c r="N6473" s="14">
        <v>0</v>
      </c>
      <c r="O6473" s="14">
        <v>-805</v>
      </c>
      <c r="P6473" s="14">
        <v>75</v>
      </c>
      <c r="Q6473">
        <v>9201</v>
      </c>
      <c r="R6473">
        <v>1202</v>
      </c>
      <c r="S6473">
        <v>2481</v>
      </c>
    </row>
    <row r="6474" spans="11:19" x14ac:dyDescent="0.3">
      <c r="K6474" s="16">
        <f t="shared" si="100"/>
        <v>44285</v>
      </c>
      <c r="L6474" s="17">
        <v>0.66666666666666663</v>
      </c>
      <c r="M6474" s="14">
        <v>880</v>
      </c>
      <c r="N6474" s="14">
        <v>0</v>
      </c>
      <c r="O6474" s="14">
        <v>-605</v>
      </c>
      <c r="P6474" s="14">
        <v>275</v>
      </c>
      <c r="Q6474">
        <v>8978</v>
      </c>
      <c r="R6474">
        <v>1191</v>
      </c>
      <c r="S6474">
        <v>2069</v>
      </c>
    </row>
    <row r="6475" spans="11:19" x14ac:dyDescent="0.3">
      <c r="K6475" s="16">
        <f t="shared" si="100"/>
        <v>44285</v>
      </c>
      <c r="L6475" s="17">
        <v>0.70833333333333337</v>
      </c>
      <c r="M6475" s="14">
        <v>880</v>
      </c>
      <c r="N6475" s="14">
        <v>0</v>
      </c>
      <c r="O6475" s="14">
        <v>-212</v>
      </c>
      <c r="P6475" s="14">
        <v>668</v>
      </c>
      <c r="Q6475">
        <v>8893</v>
      </c>
      <c r="R6475">
        <v>1308</v>
      </c>
      <c r="S6475">
        <v>1473</v>
      </c>
    </row>
    <row r="6476" spans="11:19" x14ac:dyDescent="0.3">
      <c r="K6476" s="16">
        <f t="shared" si="100"/>
        <v>44285</v>
      </c>
      <c r="L6476" s="17">
        <v>0.75</v>
      </c>
      <c r="M6476" s="14">
        <v>880</v>
      </c>
      <c r="N6476" s="14">
        <v>791</v>
      </c>
      <c r="O6476" s="14">
        <v>0</v>
      </c>
      <c r="P6476" s="14">
        <v>1671</v>
      </c>
      <c r="Q6476">
        <v>9195</v>
      </c>
      <c r="R6476">
        <v>1341</v>
      </c>
      <c r="S6476">
        <v>739</v>
      </c>
    </row>
    <row r="6477" spans="11:19" x14ac:dyDescent="0.3">
      <c r="K6477" s="16">
        <f t="shared" si="100"/>
        <v>44285</v>
      </c>
      <c r="L6477" s="17">
        <v>0.79166666666666663</v>
      </c>
      <c r="M6477" s="14">
        <v>880</v>
      </c>
      <c r="N6477" s="14">
        <v>1309</v>
      </c>
      <c r="O6477" s="14">
        <v>211</v>
      </c>
      <c r="P6477" s="14">
        <v>2400</v>
      </c>
      <c r="Q6477">
        <v>9592</v>
      </c>
      <c r="R6477">
        <v>1601</v>
      </c>
      <c r="S6477">
        <v>151</v>
      </c>
    </row>
    <row r="6478" spans="11:19" x14ac:dyDescent="0.3">
      <c r="K6478" s="16">
        <f t="shared" si="100"/>
        <v>44285</v>
      </c>
      <c r="L6478" s="17">
        <v>0.83333333333333337</v>
      </c>
      <c r="M6478" s="14">
        <v>880</v>
      </c>
      <c r="N6478" s="14">
        <v>1309</v>
      </c>
      <c r="O6478" s="14">
        <v>87</v>
      </c>
      <c r="P6478" s="14">
        <v>2276</v>
      </c>
      <c r="Q6478">
        <v>9268</v>
      </c>
      <c r="R6478">
        <v>1554</v>
      </c>
      <c r="S6478">
        <v>2</v>
      </c>
    </row>
    <row r="6479" spans="11:19" x14ac:dyDescent="0.3">
      <c r="K6479" s="16">
        <f t="shared" si="100"/>
        <v>44285</v>
      </c>
      <c r="L6479" s="17">
        <v>0.875</v>
      </c>
      <c r="M6479" s="14">
        <v>880</v>
      </c>
      <c r="N6479" s="14">
        <v>1124</v>
      </c>
      <c r="O6479" s="14">
        <v>0</v>
      </c>
      <c r="P6479" s="14">
        <v>2004</v>
      </c>
      <c r="Q6479">
        <v>8770</v>
      </c>
      <c r="R6479">
        <v>1339</v>
      </c>
      <c r="S6479">
        <v>0</v>
      </c>
    </row>
    <row r="6480" spans="11:19" x14ac:dyDescent="0.3">
      <c r="K6480" s="16">
        <f t="shared" si="100"/>
        <v>44285</v>
      </c>
      <c r="L6480" s="17">
        <v>0.91666666666666663</v>
      </c>
      <c r="M6480" s="14">
        <v>880</v>
      </c>
      <c r="N6480" s="14">
        <v>1309</v>
      </c>
      <c r="O6480" s="14">
        <v>124</v>
      </c>
      <c r="P6480" s="14">
        <v>2313</v>
      </c>
      <c r="Q6480">
        <v>8936</v>
      </c>
      <c r="R6480">
        <v>1201</v>
      </c>
      <c r="S6480">
        <v>0</v>
      </c>
    </row>
    <row r="6481" spans="11:19" x14ac:dyDescent="0.3">
      <c r="K6481" s="16">
        <f t="shared" si="100"/>
        <v>44285</v>
      </c>
      <c r="L6481" s="17">
        <v>0.95833333333333337</v>
      </c>
      <c r="M6481" s="14">
        <v>880</v>
      </c>
      <c r="N6481" s="14">
        <v>1309</v>
      </c>
      <c r="O6481" s="14">
        <v>379</v>
      </c>
      <c r="P6481" s="14">
        <v>2568</v>
      </c>
      <c r="Q6481">
        <v>9125</v>
      </c>
      <c r="R6481">
        <v>1139</v>
      </c>
      <c r="S6481">
        <v>0</v>
      </c>
    </row>
    <row r="6482" spans="11:19" x14ac:dyDescent="0.3">
      <c r="K6482" s="16">
        <f t="shared" si="100"/>
        <v>44286</v>
      </c>
      <c r="L6482" s="17">
        <v>0</v>
      </c>
      <c r="M6482" s="14">
        <v>880</v>
      </c>
      <c r="N6482" s="14">
        <v>0</v>
      </c>
      <c r="O6482" s="14">
        <v>979</v>
      </c>
      <c r="P6482" s="14">
        <v>1859</v>
      </c>
      <c r="Q6482">
        <v>8556</v>
      </c>
      <c r="R6482">
        <v>1047</v>
      </c>
      <c r="S6482">
        <v>0</v>
      </c>
    </row>
    <row r="6483" spans="11:19" x14ac:dyDescent="0.3">
      <c r="K6483" s="16">
        <f t="shared" si="100"/>
        <v>44286</v>
      </c>
      <c r="L6483" s="17">
        <v>4.1666666666666664E-2</v>
      </c>
      <c r="M6483" s="14">
        <v>880</v>
      </c>
      <c r="N6483" s="14">
        <v>780</v>
      </c>
      <c r="O6483" s="14">
        <v>0</v>
      </c>
      <c r="P6483" s="14">
        <v>1660</v>
      </c>
      <c r="Q6483">
        <v>8216</v>
      </c>
      <c r="R6483">
        <v>911</v>
      </c>
      <c r="S6483">
        <v>0</v>
      </c>
    </row>
    <row r="6484" spans="11:19" x14ac:dyDescent="0.3">
      <c r="K6484" s="16">
        <f t="shared" si="100"/>
        <v>44286</v>
      </c>
      <c r="L6484" s="17">
        <v>8.3333333333333329E-2</v>
      </c>
      <c r="M6484" s="14">
        <v>880</v>
      </c>
      <c r="N6484" s="14">
        <v>609</v>
      </c>
      <c r="O6484" s="14">
        <v>0</v>
      </c>
      <c r="P6484" s="14">
        <v>1489</v>
      </c>
      <c r="Q6484">
        <v>7924</v>
      </c>
      <c r="R6484">
        <v>790</v>
      </c>
      <c r="S6484">
        <v>0</v>
      </c>
    </row>
    <row r="6485" spans="11:19" x14ac:dyDescent="0.3">
      <c r="K6485" s="16">
        <f t="shared" si="100"/>
        <v>44286</v>
      </c>
      <c r="L6485" s="17">
        <v>0.125</v>
      </c>
      <c r="M6485" s="14">
        <v>880</v>
      </c>
      <c r="N6485" s="14">
        <v>294</v>
      </c>
      <c r="O6485" s="14">
        <v>0</v>
      </c>
      <c r="P6485" s="14">
        <v>1174</v>
      </c>
      <c r="Q6485">
        <v>7552</v>
      </c>
      <c r="R6485">
        <v>729</v>
      </c>
      <c r="S6485">
        <v>0</v>
      </c>
    </row>
    <row r="6486" spans="11:19" x14ac:dyDescent="0.3">
      <c r="K6486" s="16">
        <f t="shared" si="100"/>
        <v>44286</v>
      </c>
      <c r="L6486" s="17">
        <v>0.16666666666666666</v>
      </c>
      <c r="M6486" s="14">
        <v>880</v>
      </c>
      <c r="N6486" s="14">
        <v>218</v>
      </c>
      <c r="O6486" s="14">
        <v>0</v>
      </c>
      <c r="P6486" s="14">
        <v>1098</v>
      </c>
      <c r="Q6486">
        <v>7505</v>
      </c>
      <c r="R6486">
        <v>755</v>
      </c>
      <c r="S6486">
        <v>0</v>
      </c>
    </row>
    <row r="6487" spans="11:19" x14ac:dyDescent="0.3">
      <c r="K6487" s="16">
        <f t="shared" si="100"/>
        <v>44286</v>
      </c>
      <c r="L6487" s="17">
        <v>0.20833333333333334</v>
      </c>
      <c r="M6487" s="14">
        <v>880</v>
      </c>
      <c r="N6487" s="14">
        <v>729</v>
      </c>
      <c r="O6487" s="14">
        <v>0</v>
      </c>
      <c r="P6487" s="14">
        <v>1609</v>
      </c>
      <c r="Q6487">
        <v>8016</v>
      </c>
      <c r="R6487">
        <v>746</v>
      </c>
      <c r="S6487">
        <v>0</v>
      </c>
    </row>
    <row r="6488" spans="11:19" x14ac:dyDescent="0.3">
      <c r="K6488" s="16">
        <f t="shared" si="100"/>
        <v>44286</v>
      </c>
      <c r="L6488" s="17">
        <v>0.25</v>
      </c>
      <c r="M6488" s="14">
        <v>880</v>
      </c>
      <c r="N6488" s="14">
        <v>1466</v>
      </c>
      <c r="O6488" s="14">
        <v>0</v>
      </c>
      <c r="P6488" s="14">
        <v>2346</v>
      </c>
      <c r="Q6488">
        <v>9153</v>
      </c>
      <c r="R6488">
        <v>753</v>
      </c>
      <c r="S6488">
        <v>0</v>
      </c>
    </row>
    <row r="6489" spans="11:19" x14ac:dyDescent="0.3">
      <c r="K6489" s="16">
        <f t="shared" si="100"/>
        <v>44286</v>
      </c>
      <c r="L6489" s="17">
        <v>0.29166666666666669</v>
      </c>
      <c r="M6489" s="14">
        <v>880</v>
      </c>
      <c r="N6489" s="14">
        <v>1466</v>
      </c>
      <c r="O6489" s="14">
        <v>0</v>
      </c>
      <c r="P6489" s="14">
        <v>2346</v>
      </c>
      <c r="Q6489">
        <v>9883</v>
      </c>
      <c r="R6489">
        <v>731</v>
      </c>
      <c r="S6489">
        <v>16</v>
      </c>
    </row>
    <row r="6490" spans="11:19" x14ac:dyDescent="0.3">
      <c r="K6490" s="16">
        <f t="shared" si="100"/>
        <v>44286</v>
      </c>
      <c r="L6490" s="17">
        <v>0.33333333333333331</v>
      </c>
      <c r="M6490" s="14">
        <v>880</v>
      </c>
      <c r="N6490" s="14">
        <v>1466</v>
      </c>
      <c r="O6490" s="14">
        <v>707</v>
      </c>
      <c r="P6490" s="14">
        <v>3053</v>
      </c>
      <c r="Q6490">
        <v>10151</v>
      </c>
      <c r="R6490">
        <v>775</v>
      </c>
      <c r="S6490">
        <v>247</v>
      </c>
    </row>
    <row r="6491" spans="11:19" x14ac:dyDescent="0.3">
      <c r="K6491" s="16">
        <f t="shared" ref="K6491:K6554" si="101">K6467+1</f>
        <v>44286</v>
      </c>
      <c r="L6491" s="17">
        <v>0.375</v>
      </c>
      <c r="M6491" s="14">
        <v>880</v>
      </c>
      <c r="N6491" s="14">
        <v>1466</v>
      </c>
      <c r="O6491" s="14">
        <v>0</v>
      </c>
      <c r="P6491" s="14">
        <v>2346</v>
      </c>
      <c r="Q6491">
        <v>10153</v>
      </c>
      <c r="R6491">
        <v>767</v>
      </c>
      <c r="S6491">
        <v>931</v>
      </c>
    </row>
    <row r="6492" spans="11:19" x14ac:dyDescent="0.3">
      <c r="K6492" s="16">
        <f t="shared" si="101"/>
        <v>44286</v>
      </c>
      <c r="L6492" s="17">
        <v>0.41666666666666669</v>
      </c>
      <c r="M6492" s="14">
        <v>880</v>
      </c>
      <c r="N6492" s="14">
        <v>961</v>
      </c>
      <c r="O6492" s="14">
        <v>0</v>
      </c>
      <c r="P6492" s="14">
        <v>1841</v>
      </c>
      <c r="Q6492">
        <v>9964</v>
      </c>
      <c r="R6492">
        <v>792</v>
      </c>
      <c r="S6492">
        <v>1725</v>
      </c>
    </row>
    <row r="6493" spans="11:19" x14ac:dyDescent="0.3">
      <c r="K6493" s="16">
        <f t="shared" si="101"/>
        <v>44286</v>
      </c>
      <c r="L6493" s="17">
        <v>0.45833333333333331</v>
      </c>
      <c r="M6493" s="14">
        <v>880</v>
      </c>
      <c r="N6493" s="14">
        <v>430</v>
      </c>
      <c r="O6493" s="14">
        <v>0</v>
      </c>
      <c r="P6493" s="14">
        <v>1310</v>
      </c>
      <c r="Q6493">
        <v>9922</v>
      </c>
      <c r="R6493">
        <v>718</v>
      </c>
      <c r="S6493">
        <v>2290</v>
      </c>
    </row>
    <row r="6494" spans="11:19" x14ac:dyDescent="0.3">
      <c r="K6494" s="16">
        <f t="shared" si="101"/>
        <v>44286</v>
      </c>
      <c r="L6494" s="17">
        <v>0.5</v>
      </c>
      <c r="M6494" s="14">
        <v>880</v>
      </c>
      <c r="N6494" s="14">
        <v>18</v>
      </c>
      <c r="O6494" s="14">
        <v>0</v>
      </c>
      <c r="P6494" s="14">
        <v>898</v>
      </c>
      <c r="Q6494">
        <v>9906</v>
      </c>
      <c r="R6494">
        <v>747</v>
      </c>
      <c r="S6494">
        <v>2656</v>
      </c>
    </row>
    <row r="6495" spans="11:19" x14ac:dyDescent="0.3">
      <c r="K6495" s="16">
        <f t="shared" si="101"/>
        <v>44286</v>
      </c>
      <c r="L6495" s="17">
        <v>0.54166666666666663</v>
      </c>
      <c r="M6495" s="14">
        <v>880</v>
      </c>
      <c r="N6495" s="14">
        <v>0</v>
      </c>
      <c r="O6495" s="14">
        <v>-504</v>
      </c>
      <c r="P6495" s="14">
        <v>376</v>
      </c>
      <c r="Q6495">
        <v>9683</v>
      </c>
      <c r="R6495">
        <v>891</v>
      </c>
      <c r="S6495">
        <v>2812</v>
      </c>
    </row>
    <row r="6496" spans="11:19" x14ac:dyDescent="0.3">
      <c r="K6496" s="16">
        <f t="shared" si="101"/>
        <v>44286</v>
      </c>
      <c r="L6496" s="17">
        <v>0.58333333333333337</v>
      </c>
      <c r="M6496" s="14">
        <v>880</v>
      </c>
      <c r="N6496" s="14">
        <v>0</v>
      </c>
      <c r="O6496" s="14">
        <v>-781</v>
      </c>
      <c r="P6496" s="14">
        <v>99</v>
      </c>
      <c r="Q6496">
        <v>9489</v>
      </c>
      <c r="R6496">
        <v>1018</v>
      </c>
      <c r="S6496">
        <v>2768</v>
      </c>
    </row>
    <row r="6497" spans="11:19" x14ac:dyDescent="0.3">
      <c r="K6497" s="16">
        <f t="shared" si="101"/>
        <v>44286</v>
      </c>
      <c r="L6497" s="17">
        <v>0.625</v>
      </c>
      <c r="M6497" s="14">
        <v>880</v>
      </c>
      <c r="N6497" s="14">
        <v>0</v>
      </c>
      <c r="O6497" s="14">
        <v>-730</v>
      </c>
      <c r="P6497" s="14">
        <v>150</v>
      </c>
      <c r="Q6497">
        <v>9199</v>
      </c>
      <c r="R6497">
        <v>1046</v>
      </c>
      <c r="S6497">
        <v>2560</v>
      </c>
    </row>
    <row r="6498" spans="11:19" x14ac:dyDescent="0.3">
      <c r="K6498" s="16">
        <f t="shared" si="101"/>
        <v>44286</v>
      </c>
      <c r="L6498" s="17">
        <v>0.66666666666666663</v>
      </c>
      <c r="M6498" s="14">
        <v>880</v>
      </c>
      <c r="N6498" s="14">
        <v>0</v>
      </c>
      <c r="O6498" s="14">
        <v>-548</v>
      </c>
      <c r="P6498" s="14">
        <v>332</v>
      </c>
      <c r="Q6498">
        <v>8978</v>
      </c>
      <c r="R6498">
        <v>1018</v>
      </c>
      <c r="S6498">
        <v>2185</v>
      </c>
    </row>
    <row r="6499" spans="11:19" x14ac:dyDescent="0.3">
      <c r="K6499" s="16">
        <f t="shared" si="101"/>
        <v>44286</v>
      </c>
      <c r="L6499" s="17">
        <v>0.70833333333333337</v>
      </c>
      <c r="M6499" s="14">
        <v>880</v>
      </c>
      <c r="N6499" s="14">
        <v>0</v>
      </c>
      <c r="O6499" s="14">
        <v>-134</v>
      </c>
      <c r="P6499" s="14">
        <v>746</v>
      </c>
      <c r="Q6499">
        <v>8890</v>
      </c>
      <c r="R6499">
        <v>1124</v>
      </c>
      <c r="S6499">
        <v>1576</v>
      </c>
    </row>
    <row r="6500" spans="11:19" x14ac:dyDescent="0.3">
      <c r="K6500" s="16">
        <f t="shared" si="101"/>
        <v>44286</v>
      </c>
      <c r="L6500" s="17">
        <v>0.75</v>
      </c>
      <c r="M6500" s="14">
        <v>880</v>
      </c>
      <c r="N6500" s="14">
        <v>880</v>
      </c>
      <c r="O6500" s="14">
        <v>0</v>
      </c>
      <c r="P6500" s="14">
        <v>1760</v>
      </c>
      <c r="Q6500">
        <v>9183</v>
      </c>
      <c r="R6500">
        <v>1142</v>
      </c>
      <c r="S6500">
        <v>837</v>
      </c>
    </row>
    <row r="6501" spans="11:19" x14ac:dyDescent="0.3">
      <c r="K6501" s="16">
        <f t="shared" si="101"/>
        <v>44286</v>
      </c>
      <c r="L6501" s="17">
        <v>0.79166666666666663</v>
      </c>
      <c r="M6501" s="14">
        <v>880</v>
      </c>
      <c r="N6501" s="14">
        <v>1466</v>
      </c>
      <c r="O6501" s="14">
        <v>472</v>
      </c>
      <c r="P6501" s="14">
        <v>2818</v>
      </c>
      <c r="Q6501">
        <v>9578</v>
      </c>
      <c r="R6501">
        <v>1145</v>
      </c>
      <c r="S6501">
        <v>174</v>
      </c>
    </row>
    <row r="6502" spans="11:19" x14ac:dyDescent="0.3">
      <c r="K6502" s="16">
        <f t="shared" si="101"/>
        <v>44286</v>
      </c>
      <c r="L6502" s="17">
        <v>0.83333333333333337</v>
      </c>
      <c r="M6502" s="14">
        <v>880</v>
      </c>
      <c r="N6502" s="14">
        <v>1466</v>
      </c>
      <c r="O6502" s="14">
        <v>0</v>
      </c>
      <c r="P6502" s="14">
        <v>2346</v>
      </c>
      <c r="Q6502">
        <v>9249</v>
      </c>
      <c r="R6502">
        <v>1207</v>
      </c>
      <c r="S6502">
        <v>1</v>
      </c>
    </row>
    <row r="6503" spans="11:19" x14ac:dyDescent="0.3">
      <c r="K6503" s="16">
        <f t="shared" si="101"/>
        <v>44286</v>
      </c>
      <c r="L6503" s="17">
        <v>0.875</v>
      </c>
      <c r="M6503" s="14">
        <v>880</v>
      </c>
      <c r="N6503" s="14">
        <v>1367</v>
      </c>
      <c r="O6503" s="14">
        <v>0</v>
      </c>
      <c r="P6503" s="14">
        <v>2247</v>
      </c>
      <c r="Q6503">
        <v>8751</v>
      </c>
      <c r="R6503">
        <v>997</v>
      </c>
      <c r="S6503">
        <v>0</v>
      </c>
    </row>
    <row r="6504" spans="11:19" x14ac:dyDescent="0.3">
      <c r="K6504" s="16">
        <f t="shared" si="101"/>
        <v>44286</v>
      </c>
      <c r="L6504" s="17">
        <v>0.91666666666666663</v>
      </c>
      <c r="M6504" s="14">
        <v>880</v>
      </c>
      <c r="N6504" s="14">
        <v>1466</v>
      </c>
      <c r="O6504" s="14">
        <v>0</v>
      </c>
      <c r="P6504" s="14">
        <v>2346</v>
      </c>
      <c r="Q6504">
        <v>8918</v>
      </c>
      <c r="R6504">
        <v>813</v>
      </c>
      <c r="S6504">
        <v>0</v>
      </c>
    </row>
    <row r="6505" spans="11:19" x14ac:dyDescent="0.3">
      <c r="K6505" s="16">
        <f t="shared" si="101"/>
        <v>44286</v>
      </c>
      <c r="L6505" s="17">
        <v>0.95833333333333337</v>
      </c>
      <c r="M6505" s="14">
        <v>880</v>
      </c>
      <c r="N6505" s="14">
        <v>1466</v>
      </c>
      <c r="O6505" s="14">
        <v>0</v>
      </c>
      <c r="P6505" s="14">
        <v>2346</v>
      </c>
      <c r="Q6505">
        <v>9107</v>
      </c>
      <c r="R6505">
        <v>815</v>
      </c>
      <c r="S6505">
        <v>0</v>
      </c>
    </row>
    <row r="6506" spans="11:19" x14ac:dyDescent="0.3">
      <c r="K6506" s="16">
        <f t="shared" si="101"/>
        <v>44287</v>
      </c>
      <c r="L6506" s="17">
        <v>0</v>
      </c>
      <c r="M6506" s="14">
        <v>880</v>
      </c>
      <c r="N6506" s="14">
        <v>1197</v>
      </c>
      <c r="O6506" s="14">
        <v>186</v>
      </c>
      <c r="P6506" s="14">
        <v>2263</v>
      </c>
      <c r="Q6506">
        <v>8537</v>
      </c>
      <c r="R6506">
        <v>785</v>
      </c>
      <c r="S6506">
        <v>0</v>
      </c>
    </row>
    <row r="6507" spans="11:19" x14ac:dyDescent="0.3">
      <c r="K6507" s="16">
        <f t="shared" si="101"/>
        <v>44287</v>
      </c>
      <c r="L6507" s="17">
        <v>4.1666666666666664E-2</v>
      </c>
      <c r="M6507" s="14">
        <v>880</v>
      </c>
      <c r="N6507" s="14">
        <v>0</v>
      </c>
      <c r="O6507" s="14">
        <v>1156</v>
      </c>
      <c r="P6507" s="14">
        <v>2036</v>
      </c>
      <c r="Q6507">
        <v>8198</v>
      </c>
      <c r="R6507">
        <v>758</v>
      </c>
      <c r="S6507">
        <v>0</v>
      </c>
    </row>
    <row r="6508" spans="11:19" x14ac:dyDescent="0.3">
      <c r="K6508" s="16">
        <f t="shared" si="101"/>
        <v>44287</v>
      </c>
      <c r="L6508" s="17">
        <v>8.3333333333333329E-2</v>
      </c>
      <c r="M6508" s="14">
        <v>880</v>
      </c>
      <c r="N6508" s="14">
        <v>835</v>
      </c>
      <c r="O6508" s="14">
        <v>0</v>
      </c>
      <c r="P6508" s="14">
        <v>1715</v>
      </c>
      <c r="Q6508">
        <v>7909</v>
      </c>
      <c r="R6508">
        <v>791</v>
      </c>
      <c r="S6508">
        <v>0</v>
      </c>
    </row>
    <row r="6509" spans="11:19" x14ac:dyDescent="0.3">
      <c r="K6509" s="16">
        <f t="shared" si="101"/>
        <v>44287</v>
      </c>
      <c r="L6509" s="17">
        <v>0.125</v>
      </c>
      <c r="M6509" s="14">
        <v>880</v>
      </c>
      <c r="N6509" s="14">
        <v>497</v>
      </c>
      <c r="O6509" s="14">
        <v>0</v>
      </c>
      <c r="P6509" s="14">
        <v>1377</v>
      </c>
      <c r="Q6509">
        <v>7540</v>
      </c>
      <c r="R6509">
        <v>756</v>
      </c>
      <c r="S6509">
        <v>0</v>
      </c>
    </row>
    <row r="6510" spans="11:19" x14ac:dyDescent="0.3">
      <c r="K6510" s="16">
        <f t="shared" si="101"/>
        <v>44287</v>
      </c>
      <c r="L6510" s="17">
        <v>0.16666666666666666</v>
      </c>
      <c r="M6510" s="14">
        <v>880</v>
      </c>
      <c r="N6510" s="14">
        <v>482</v>
      </c>
      <c r="O6510" s="14">
        <v>0</v>
      </c>
      <c r="P6510" s="14">
        <v>1362</v>
      </c>
      <c r="Q6510">
        <v>7495</v>
      </c>
      <c r="R6510">
        <v>722</v>
      </c>
      <c r="S6510">
        <v>0</v>
      </c>
    </row>
    <row r="6511" spans="11:19" x14ac:dyDescent="0.3">
      <c r="K6511" s="16">
        <f t="shared" si="101"/>
        <v>44287</v>
      </c>
      <c r="L6511" s="17">
        <v>0.20833333333333334</v>
      </c>
      <c r="M6511" s="14">
        <v>880</v>
      </c>
      <c r="N6511" s="14">
        <v>956</v>
      </c>
      <c r="O6511" s="14">
        <v>0</v>
      </c>
      <c r="P6511" s="14">
        <v>1836</v>
      </c>
      <c r="Q6511">
        <v>8007</v>
      </c>
      <c r="R6511">
        <v>752</v>
      </c>
      <c r="S6511">
        <v>0</v>
      </c>
    </row>
    <row r="6512" spans="11:19" x14ac:dyDescent="0.3">
      <c r="K6512" s="16">
        <f t="shared" si="101"/>
        <v>44287</v>
      </c>
      <c r="L6512" s="17">
        <v>0.25</v>
      </c>
      <c r="M6512" s="14">
        <v>880</v>
      </c>
      <c r="N6512" s="14">
        <v>1197</v>
      </c>
      <c r="O6512" s="14">
        <v>467</v>
      </c>
      <c r="P6512" s="14">
        <v>2544</v>
      </c>
      <c r="Q6512">
        <v>9144</v>
      </c>
      <c r="R6512">
        <v>762</v>
      </c>
      <c r="S6512">
        <v>0</v>
      </c>
    </row>
    <row r="6513" spans="11:19" x14ac:dyDescent="0.3">
      <c r="K6513" s="16">
        <f t="shared" si="101"/>
        <v>44287</v>
      </c>
      <c r="L6513" s="17">
        <v>0.29166666666666669</v>
      </c>
      <c r="M6513" s="14">
        <v>880</v>
      </c>
      <c r="N6513" s="14">
        <v>1197</v>
      </c>
      <c r="O6513" s="14">
        <v>1126</v>
      </c>
      <c r="P6513" s="14">
        <v>3203</v>
      </c>
      <c r="Q6513">
        <v>9874</v>
      </c>
      <c r="R6513">
        <v>798</v>
      </c>
      <c r="S6513">
        <v>19</v>
      </c>
    </row>
    <row r="6514" spans="11:19" x14ac:dyDescent="0.3">
      <c r="K6514" s="16">
        <f t="shared" si="101"/>
        <v>44287</v>
      </c>
      <c r="L6514" s="17">
        <v>0.33333333333333331</v>
      </c>
      <c r="M6514" s="14">
        <v>880</v>
      </c>
      <c r="N6514" s="14">
        <v>1197</v>
      </c>
      <c r="O6514" s="14">
        <v>720</v>
      </c>
      <c r="P6514" s="14">
        <v>2797</v>
      </c>
      <c r="Q6514">
        <v>10141</v>
      </c>
      <c r="R6514">
        <v>828</v>
      </c>
      <c r="S6514">
        <v>268</v>
      </c>
    </row>
    <row r="6515" spans="11:19" x14ac:dyDescent="0.3">
      <c r="K6515" s="16">
        <f t="shared" si="101"/>
        <v>44287</v>
      </c>
      <c r="L6515" s="17">
        <v>0.375</v>
      </c>
      <c r="M6515" s="14">
        <v>880</v>
      </c>
      <c r="N6515" s="14">
        <v>1197</v>
      </c>
      <c r="O6515" s="14">
        <v>0</v>
      </c>
      <c r="P6515" s="14">
        <v>2077</v>
      </c>
      <c r="Q6515">
        <v>10137</v>
      </c>
      <c r="R6515">
        <v>872</v>
      </c>
      <c r="S6515">
        <v>989</v>
      </c>
    </row>
    <row r="6516" spans="11:19" x14ac:dyDescent="0.3">
      <c r="K6516" s="16">
        <f t="shared" si="101"/>
        <v>44287</v>
      </c>
      <c r="L6516" s="17">
        <v>0.41666666666666669</v>
      </c>
      <c r="M6516" s="14">
        <v>880</v>
      </c>
      <c r="N6516" s="14">
        <v>550</v>
      </c>
      <c r="O6516" s="14">
        <v>0</v>
      </c>
      <c r="P6516" s="14">
        <v>1430</v>
      </c>
      <c r="Q6516">
        <v>9953</v>
      </c>
      <c r="R6516">
        <v>894</v>
      </c>
      <c r="S6516">
        <v>1784</v>
      </c>
    </row>
    <row r="6517" spans="11:19" x14ac:dyDescent="0.3">
      <c r="K6517" s="16">
        <f t="shared" si="101"/>
        <v>44287</v>
      </c>
      <c r="L6517" s="17">
        <v>0.45833333333333331</v>
      </c>
      <c r="M6517" s="14">
        <v>880</v>
      </c>
      <c r="N6517" s="14">
        <v>400</v>
      </c>
      <c r="O6517" s="14">
        <v>0</v>
      </c>
      <c r="P6517" s="14">
        <v>1280</v>
      </c>
      <c r="Q6517">
        <v>9918</v>
      </c>
      <c r="R6517">
        <v>833</v>
      </c>
      <c r="S6517">
        <v>2362</v>
      </c>
    </row>
    <row r="6518" spans="11:19" x14ac:dyDescent="0.3">
      <c r="K6518" s="16">
        <f t="shared" si="101"/>
        <v>44287</v>
      </c>
      <c r="L6518" s="17">
        <v>0.5</v>
      </c>
      <c r="M6518" s="14">
        <v>880</v>
      </c>
      <c r="N6518" s="14">
        <v>0</v>
      </c>
      <c r="O6518" s="14">
        <v>-114</v>
      </c>
      <c r="P6518" s="14">
        <v>766</v>
      </c>
      <c r="Q6518">
        <v>9905</v>
      </c>
      <c r="R6518">
        <v>948</v>
      </c>
      <c r="S6518">
        <v>2748</v>
      </c>
    </row>
    <row r="6519" spans="11:19" x14ac:dyDescent="0.3">
      <c r="K6519" s="16">
        <f t="shared" si="101"/>
        <v>44287</v>
      </c>
      <c r="L6519" s="17">
        <v>0.54166666666666663</v>
      </c>
      <c r="M6519" s="14">
        <v>880</v>
      </c>
      <c r="N6519" s="14">
        <v>0</v>
      </c>
      <c r="O6519" s="14">
        <v>-697</v>
      </c>
      <c r="P6519" s="14">
        <v>183</v>
      </c>
      <c r="Q6519">
        <v>9683</v>
      </c>
      <c r="R6519">
        <v>1167</v>
      </c>
      <c r="S6519">
        <v>2890</v>
      </c>
    </row>
    <row r="6520" spans="11:19" x14ac:dyDescent="0.3">
      <c r="K6520" s="16">
        <f t="shared" si="101"/>
        <v>44287</v>
      </c>
      <c r="L6520" s="17">
        <v>0.58333333333333337</v>
      </c>
      <c r="M6520" s="14">
        <v>880</v>
      </c>
      <c r="N6520" s="14">
        <v>0</v>
      </c>
      <c r="O6520" s="14">
        <v>-1097</v>
      </c>
      <c r="P6520" s="14">
        <v>-217</v>
      </c>
      <c r="Q6520">
        <v>9488</v>
      </c>
      <c r="R6520">
        <v>1420</v>
      </c>
      <c r="S6520">
        <v>2843</v>
      </c>
    </row>
    <row r="6521" spans="11:19" x14ac:dyDescent="0.3">
      <c r="K6521" s="16">
        <f t="shared" si="101"/>
        <v>44287</v>
      </c>
      <c r="L6521" s="17">
        <v>0.625</v>
      </c>
      <c r="M6521" s="14">
        <v>880</v>
      </c>
      <c r="N6521" s="14">
        <v>0</v>
      </c>
      <c r="O6521" s="14">
        <v>-1200</v>
      </c>
      <c r="P6521" s="14">
        <v>-320</v>
      </c>
      <c r="Q6521">
        <v>9197</v>
      </c>
      <c r="R6521">
        <v>1574</v>
      </c>
      <c r="S6521">
        <v>2625</v>
      </c>
    </row>
    <row r="6522" spans="11:19" x14ac:dyDescent="0.3">
      <c r="K6522" s="16">
        <f t="shared" si="101"/>
        <v>44287</v>
      </c>
      <c r="L6522" s="17">
        <v>0.66666666666666663</v>
      </c>
      <c r="M6522" s="14">
        <v>880</v>
      </c>
      <c r="N6522" s="14">
        <v>0</v>
      </c>
      <c r="O6522" s="14">
        <v>-1200</v>
      </c>
      <c r="P6522" s="14">
        <v>-320</v>
      </c>
      <c r="Q6522">
        <v>8975</v>
      </c>
      <c r="R6522">
        <v>1753</v>
      </c>
      <c r="S6522">
        <v>2227</v>
      </c>
    </row>
    <row r="6523" spans="11:19" x14ac:dyDescent="0.3">
      <c r="K6523" s="16">
        <f t="shared" si="101"/>
        <v>44287</v>
      </c>
      <c r="L6523" s="17">
        <v>0.70833333333333337</v>
      </c>
      <c r="M6523" s="14">
        <v>880</v>
      </c>
      <c r="N6523" s="14">
        <v>0</v>
      </c>
      <c r="O6523" s="14">
        <v>-1105</v>
      </c>
      <c r="P6523" s="14">
        <v>-225</v>
      </c>
      <c r="Q6523">
        <v>8887</v>
      </c>
      <c r="R6523">
        <v>1900</v>
      </c>
      <c r="S6523">
        <v>1609</v>
      </c>
    </row>
    <row r="6524" spans="11:19" x14ac:dyDescent="0.3">
      <c r="K6524" s="16">
        <f t="shared" si="101"/>
        <v>44287</v>
      </c>
      <c r="L6524" s="17">
        <v>0.75</v>
      </c>
      <c r="M6524" s="14">
        <v>880</v>
      </c>
      <c r="N6524" s="14">
        <v>0</v>
      </c>
      <c r="O6524" s="14">
        <v>-6</v>
      </c>
      <c r="P6524" s="14">
        <v>874</v>
      </c>
      <c r="Q6524">
        <v>9182</v>
      </c>
      <c r="R6524">
        <v>1851</v>
      </c>
      <c r="S6524">
        <v>855</v>
      </c>
    </row>
    <row r="6525" spans="11:19" x14ac:dyDescent="0.3">
      <c r="K6525" s="16">
        <f t="shared" si="101"/>
        <v>44287</v>
      </c>
      <c r="L6525" s="17">
        <v>0.79166666666666663</v>
      </c>
      <c r="M6525" s="14">
        <v>880</v>
      </c>
      <c r="N6525" s="14">
        <v>0</v>
      </c>
      <c r="O6525" s="14">
        <v>0</v>
      </c>
      <c r="P6525" s="14">
        <v>880</v>
      </c>
      <c r="Q6525">
        <v>9582</v>
      </c>
      <c r="R6525">
        <v>2136</v>
      </c>
      <c r="S6525">
        <v>180</v>
      </c>
    </row>
    <row r="6526" spans="11:19" x14ac:dyDescent="0.3">
      <c r="K6526" s="16">
        <f t="shared" si="101"/>
        <v>44287</v>
      </c>
      <c r="L6526" s="17">
        <v>0.83333333333333337</v>
      </c>
      <c r="M6526" s="14">
        <v>880</v>
      </c>
      <c r="N6526" s="14">
        <v>599</v>
      </c>
      <c r="O6526" s="14">
        <v>0</v>
      </c>
      <c r="P6526" s="14">
        <v>1479</v>
      </c>
      <c r="Q6526">
        <v>9254</v>
      </c>
      <c r="R6526">
        <v>2180</v>
      </c>
      <c r="S6526">
        <v>1</v>
      </c>
    </row>
    <row r="6527" spans="11:19" x14ac:dyDescent="0.3">
      <c r="K6527" s="16">
        <f t="shared" si="101"/>
        <v>44287</v>
      </c>
      <c r="L6527" s="17">
        <v>0.875</v>
      </c>
      <c r="M6527" s="14">
        <v>880</v>
      </c>
      <c r="N6527" s="14">
        <v>284</v>
      </c>
      <c r="O6527" s="14">
        <v>0</v>
      </c>
      <c r="P6527" s="14">
        <v>1164</v>
      </c>
      <c r="Q6527">
        <v>8753</v>
      </c>
      <c r="R6527">
        <v>2084</v>
      </c>
      <c r="S6527">
        <v>0</v>
      </c>
    </row>
    <row r="6528" spans="11:19" x14ac:dyDescent="0.3">
      <c r="K6528" s="16">
        <f t="shared" si="101"/>
        <v>44287</v>
      </c>
      <c r="L6528" s="17">
        <v>0.91666666666666663</v>
      </c>
      <c r="M6528" s="14">
        <v>880</v>
      </c>
      <c r="N6528" s="14">
        <v>519</v>
      </c>
      <c r="O6528" s="14">
        <v>0</v>
      </c>
      <c r="P6528" s="14">
        <v>1399</v>
      </c>
      <c r="Q6528">
        <v>8920</v>
      </c>
      <c r="R6528">
        <v>2020</v>
      </c>
      <c r="S6528">
        <v>0</v>
      </c>
    </row>
    <row r="6529" spans="11:19" x14ac:dyDescent="0.3">
      <c r="K6529" s="16">
        <f t="shared" si="101"/>
        <v>44287</v>
      </c>
      <c r="L6529" s="17">
        <v>0.95833333333333337</v>
      </c>
      <c r="M6529" s="14">
        <v>880</v>
      </c>
      <c r="N6529" s="14">
        <v>191</v>
      </c>
      <c r="O6529" s="14">
        <v>680</v>
      </c>
      <c r="P6529" s="14">
        <v>1751</v>
      </c>
      <c r="Q6529">
        <v>9109</v>
      </c>
      <c r="R6529">
        <v>1861</v>
      </c>
      <c r="S6529">
        <v>0</v>
      </c>
    </row>
    <row r="6530" spans="11:19" x14ac:dyDescent="0.3">
      <c r="K6530" s="16">
        <f t="shared" si="101"/>
        <v>44288</v>
      </c>
      <c r="L6530" s="17">
        <v>0</v>
      </c>
      <c r="M6530" s="14">
        <v>880</v>
      </c>
      <c r="N6530" s="14">
        <v>0</v>
      </c>
      <c r="O6530" s="14">
        <v>398</v>
      </c>
      <c r="P6530" s="14">
        <v>1278</v>
      </c>
      <c r="Q6530">
        <v>8594</v>
      </c>
      <c r="R6530">
        <v>1830</v>
      </c>
      <c r="S6530">
        <v>0</v>
      </c>
    </row>
    <row r="6531" spans="11:19" x14ac:dyDescent="0.3">
      <c r="K6531" s="16">
        <f t="shared" si="101"/>
        <v>44288</v>
      </c>
      <c r="L6531" s="17">
        <v>4.1666666666666664E-2</v>
      </c>
      <c r="M6531" s="14">
        <v>880</v>
      </c>
      <c r="N6531" s="14">
        <v>0</v>
      </c>
      <c r="O6531" s="14">
        <v>545</v>
      </c>
      <c r="P6531" s="14">
        <v>1425</v>
      </c>
      <c r="Q6531">
        <v>8241</v>
      </c>
      <c r="R6531">
        <v>1335</v>
      </c>
      <c r="S6531">
        <v>0</v>
      </c>
    </row>
    <row r="6532" spans="11:19" x14ac:dyDescent="0.3">
      <c r="K6532" s="16">
        <f t="shared" si="101"/>
        <v>44288</v>
      </c>
      <c r="L6532" s="17">
        <v>8.3333333333333329E-2</v>
      </c>
      <c r="M6532" s="14">
        <v>880</v>
      </c>
      <c r="N6532" s="14">
        <v>0</v>
      </c>
      <c r="O6532" s="14">
        <v>309</v>
      </c>
      <c r="P6532" s="14">
        <v>1189</v>
      </c>
      <c r="Q6532">
        <v>7968</v>
      </c>
      <c r="R6532">
        <v>1378</v>
      </c>
      <c r="S6532">
        <v>0</v>
      </c>
    </row>
    <row r="6533" spans="11:19" x14ac:dyDescent="0.3">
      <c r="K6533" s="16">
        <f t="shared" si="101"/>
        <v>44288</v>
      </c>
      <c r="L6533" s="17">
        <v>0.125</v>
      </c>
      <c r="M6533" s="14">
        <v>880</v>
      </c>
      <c r="N6533" s="14">
        <v>0</v>
      </c>
      <c r="O6533" s="14">
        <v>0</v>
      </c>
      <c r="P6533" s="14">
        <v>880</v>
      </c>
      <c r="Q6533">
        <v>7588</v>
      </c>
      <c r="R6533">
        <v>1552</v>
      </c>
      <c r="S6533">
        <v>0</v>
      </c>
    </row>
    <row r="6534" spans="11:19" x14ac:dyDescent="0.3">
      <c r="K6534" s="16">
        <f t="shared" si="101"/>
        <v>44288</v>
      </c>
      <c r="L6534" s="17">
        <v>0.16666666666666666</v>
      </c>
      <c r="M6534" s="14">
        <v>880</v>
      </c>
      <c r="N6534" s="14">
        <v>0</v>
      </c>
      <c r="O6534" s="14">
        <v>0</v>
      </c>
      <c r="P6534" s="14">
        <v>880</v>
      </c>
      <c r="Q6534">
        <v>7559</v>
      </c>
      <c r="R6534">
        <v>1662</v>
      </c>
      <c r="S6534">
        <v>0</v>
      </c>
    </row>
    <row r="6535" spans="11:19" x14ac:dyDescent="0.3">
      <c r="K6535" s="16">
        <f t="shared" si="101"/>
        <v>44288</v>
      </c>
      <c r="L6535" s="17">
        <v>0.20833333333333334</v>
      </c>
      <c r="M6535" s="14">
        <v>880</v>
      </c>
      <c r="N6535" s="14">
        <v>0</v>
      </c>
      <c r="O6535" s="14">
        <v>4</v>
      </c>
      <c r="P6535" s="14">
        <v>884</v>
      </c>
      <c r="Q6535">
        <v>8059</v>
      </c>
      <c r="R6535">
        <v>1758</v>
      </c>
      <c r="S6535">
        <v>0</v>
      </c>
    </row>
    <row r="6536" spans="11:19" x14ac:dyDescent="0.3">
      <c r="K6536" s="16">
        <f t="shared" si="101"/>
        <v>44288</v>
      </c>
      <c r="L6536" s="17">
        <v>0.25</v>
      </c>
      <c r="M6536" s="14">
        <v>880</v>
      </c>
      <c r="N6536" s="14">
        <v>0</v>
      </c>
      <c r="O6536" s="14">
        <v>835</v>
      </c>
      <c r="P6536" s="14">
        <v>1715</v>
      </c>
      <c r="Q6536">
        <v>9150</v>
      </c>
      <c r="R6536">
        <v>2002</v>
      </c>
      <c r="S6536">
        <v>0</v>
      </c>
    </row>
    <row r="6537" spans="11:19" x14ac:dyDescent="0.3">
      <c r="K6537" s="16">
        <f t="shared" si="101"/>
        <v>44288</v>
      </c>
      <c r="L6537" s="17">
        <v>0.29166666666666669</v>
      </c>
      <c r="M6537" s="14">
        <v>880</v>
      </c>
      <c r="N6537" s="14">
        <v>396</v>
      </c>
      <c r="O6537" s="14">
        <v>1200</v>
      </c>
      <c r="P6537" s="14">
        <v>2476</v>
      </c>
      <c r="Q6537">
        <v>9909</v>
      </c>
      <c r="R6537">
        <v>1882</v>
      </c>
      <c r="S6537">
        <v>21</v>
      </c>
    </row>
    <row r="6538" spans="11:19" x14ac:dyDescent="0.3">
      <c r="K6538" s="16">
        <f t="shared" si="101"/>
        <v>44288</v>
      </c>
      <c r="L6538" s="17">
        <v>0.33333333333333331</v>
      </c>
      <c r="M6538" s="14">
        <v>880</v>
      </c>
      <c r="N6538" s="14">
        <v>278</v>
      </c>
      <c r="O6538" s="14">
        <v>1200</v>
      </c>
      <c r="P6538" s="14">
        <v>2358</v>
      </c>
      <c r="Q6538">
        <v>10141</v>
      </c>
      <c r="R6538">
        <v>1981</v>
      </c>
      <c r="S6538">
        <v>273</v>
      </c>
    </row>
    <row r="6539" spans="11:19" x14ac:dyDescent="0.3">
      <c r="K6539" s="16">
        <f t="shared" si="101"/>
        <v>44288</v>
      </c>
      <c r="L6539" s="17">
        <v>0.375</v>
      </c>
      <c r="M6539" s="14">
        <v>880</v>
      </c>
      <c r="N6539" s="14">
        <v>0</v>
      </c>
      <c r="O6539" s="14">
        <v>404</v>
      </c>
      <c r="P6539" s="14">
        <v>1284</v>
      </c>
      <c r="Q6539">
        <v>10139</v>
      </c>
      <c r="R6539">
        <v>2328</v>
      </c>
      <c r="S6539">
        <v>1003</v>
      </c>
    </row>
    <row r="6540" spans="11:19" x14ac:dyDescent="0.3">
      <c r="K6540" s="16">
        <f t="shared" si="101"/>
        <v>44288</v>
      </c>
      <c r="L6540" s="17">
        <v>0.41666666666666669</v>
      </c>
      <c r="M6540" s="14">
        <v>880</v>
      </c>
      <c r="N6540" s="14">
        <v>0</v>
      </c>
      <c r="O6540" s="14">
        <v>0</v>
      </c>
      <c r="P6540" s="14">
        <v>880</v>
      </c>
      <c r="Q6540">
        <v>9924</v>
      </c>
      <c r="R6540">
        <v>2234</v>
      </c>
      <c r="S6540">
        <v>1801</v>
      </c>
    </row>
    <row r="6541" spans="11:19" x14ac:dyDescent="0.3">
      <c r="K6541" s="16">
        <f t="shared" si="101"/>
        <v>44288</v>
      </c>
      <c r="L6541" s="17">
        <v>0.45833333333333331</v>
      </c>
      <c r="M6541" s="14">
        <v>880</v>
      </c>
      <c r="N6541" s="14">
        <v>0</v>
      </c>
      <c r="O6541" s="14">
        <v>0</v>
      </c>
      <c r="P6541" s="14">
        <v>880</v>
      </c>
      <c r="Q6541">
        <v>9853</v>
      </c>
      <c r="R6541">
        <v>2375</v>
      </c>
      <c r="S6541">
        <v>2372</v>
      </c>
    </row>
    <row r="6542" spans="11:19" x14ac:dyDescent="0.3">
      <c r="K6542" s="16">
        <f t="shared" si="101"/>
        <v>44288</v>
      </c>
      <c r="L6542" s="17">
        <v>0.5</v>
      </c>
      <c r="M6542" s="14">
        <v>880</v>
      </c>
      <c r="N6542" s="14">
        <v>0</v>
      </c>
      <c r="O6542" s="14">
        <v>-1040</v>
      </c>
      <c r="P6542" s="14">
        <v>-160</v>
      </c>
      <c r="Q6542">
        <v>9838</v>
      </c>
      <c r="R6542">
        <v>2427</v>
      </c>
      <c r="S6542">
        <v>2746</v>
      </c>
    </row>
    <row r="6543" spans="11:19" x14ac:dyDescent="0.3">
      <c r="K6543" s="16">
        <f t="shared" si="101"/>
        <v>44288</v>
      </c>
      <c r="L6543" s="17">
        <v>0.54166666666666663</v>
      </c>
      <c r="M6543" s="14">
        <v>880</v>
      </c>
      <c r="N6543" s="14">
        <v>0</v>
      </c>
      <c r="O6543" s="14">
        <v>-1091</v>
      </c>
      <c r="P6543" s="14">
        <v>-211</v>
      </c>
      <c r="Q6543">
        <v>9570</v>
      </c>
      <c r="R6543">
        <v>2527</v>
      </c>
      <c r="S6543">
        <v>2887</v>
      </c>
    </row>
    <row r="6544" spans="11:19" x14ac:dyDescent="0.3">
      <c r="K6544" s="16">
        <f t="shared" si="101"/>
        <v>44288</v>
      </c>
      <c r="L6544" s="17">
        <v>0.58333333333333337</v>
      </c>
      <c r="M6544" s="14">
        <v>880</v>
      </c>
      <c r="N6544" s="14">
        <v>0</v>
      </c>
      <c r="O6544" s="14">
        <v>-1200</v>
      </c>
      <c r="P6544" s="14">
        <v>-320</v>
      </c>
      <c r="Q6544">
        <v>9321</v>
      </c>
      <c r="R6544">
        <v>2866</v>
      </c>
      <c r="S6544">
        <v>2835</v>
      </c>
    </row>
    <row r="6545" spans="11:19" x14ac:dyDescent="0.3">
      <c r="K6545" s="16">
        <f t="shared" si="101"/>
        <v>44288</v>
      </c>
      <c r="L6545" s="17">
        <v>0.625</v>
      </c>
      <c r="M6545" s="14">
        <v>880</v>
      </c>
      <c r="N6545" s="14">
        <v>0</v>
      </c>
      <c r="O6545" s="14">
        <v>-1200</v>
      </c>
      <c r="P6545" s="14">
        <v>-320</v>
      </c>
      <c r="Q6545">
        <v>9010</v>
      </c>
      <c r="R6545">
        <v>3214</v>
      </c>
      <c r="S6545">
        <v>2610</v>
      </c>
    </row>
    <row r="6546" spans="11:19" x14ac:dyDescent="0.3">
      <c r="K6546" s="16">
        <f t="shared" si="101"/>
        <v>44288</v>
      </c>
      <c r="L6546" s="17">
        <v>0.66666666666666663</v>
      </c>
      <c r="M6546" s="14">
        <v>880</v>
      </c>
      <c r="N6546" s="14">
        <v>0</v>
      </c>
      <c r="O6546" s="14">
        <v>-1200</v>
      </c>
      <c r="P6546" s="14">
        <v>-320</v>
      </c>
      <c r="Q6546">
        <v>8730</v>
      </c>
      <c r="R6546">
        <v>3375</v>
      </c>
      <c r="S6546">
        <v>2206</v>
      </c>
    </row>
    <row r="6547" spans="11:19" x14ac:dyDescent="0.3">
      <c r="K6547" s="16">
        <f t="shared" si="101"/>
        <v>44288</v>
      </c>
      <c r="L6547" s="17">
        <v>0.70833333333333337</v>
      </c>
      <c r="M6547" s="14">
        <v>880</v>
      </c>
      <c r="N6547" s="14">
        <v>0</v>
      </c>
      <c r="O6547" s="14">
        <v>-1200</v>
      </c>
      <c r="P6547" s="14">
        <v>-320</v>
      </c>
      <c r="Q6547">
        <v>8655</v>
      </c>
      <c r="R6547">
        <v>3391</v>
      </c>
      <c r="S6547">
        <v>1616</v>
      </c>
    </row>
    <row r="6548" spans="11:19" x14ac:dyDescent="0.3">
      <c r="K6548" s="16">
        <f t="shared" si="101"/>
        <v>44288</v>
      </c>
      <c r="L6548" s="17">
        <v>0.75</v>
      </c>
      <c r="M6548" s="14">
        <v>880</v>
      </c>
      <c r="N6548" s="14">
        <v>0</v>
      </c>
      <c r="O6548" s="14">
        <v>0</v>
      </c>
      <c r="P6548" s="14">
        <v>880</v>
      </c>
      <c r="Q6548">
        <v>8855</v>
      </c>
      <c r="R6548">
        <v>3041</v>
      </c>
      <c r="S6548">
        <v>856</v>
      </c>
    </row>
    <row r="6549" spans="11:19" x14ac:dyDescent="0.3">
      <c r="K6549" s="16">
        <f t="shared" si="101"/>
        <v>44288</v>
      </c>
      <c r="L6549" s="17">
        <v>0.79166666666666663</v>
      </c>
      <c r="M6549" s="14">
        <v>880</v>
      </c>
      <c r="N6549" s="14">
        <v>0</v>
      </c>
      <c r="O6549" s="14">
        <v>0</v>
      </c>
      <c r="P6549" s="14">
        <v>880</v>
      </c>
      <c r="Q6549">
        <v>9245</v>
      </c>
      <c r="R6549">
        <v>3086</v>
      </c>
      <c r="S6549">
        <v>192</v>
      </c>
    </row>
    <row r="6550" spans="11:19" x14ac:dyDescent="0.3">
      <c r="K6550" s="16">
        <f t="shared" si="101"/>
        <v>44288</v>
      </c>
      <c r="L6550" s="17">
        <v>0.83333333333333337</v>
      </c>
      <c r="M6550" s="14">
        <v>880</v>
      </c>
      <c r="N6550" s="14">
        <v>0</v>
      </c>
      <c r="O6550" s="14">
        <v>0</v>
      </c>
      <c r="P6550" s="14">
        <v>880</v>
      </c>
      <c r="Q6550">
        <v>9029</v>
      </c>
      <c r="R6550">
        <v>3022</v>
      </c>
      <c r="S6550">
        <v>2</v>
      </c>
    </row>
    <row r="6551" spans="11:19" x14ac:dyDescent="0.3">
      <c r="K6551" s="16">
        <f t="shared" si="101"/>
        <v>44288</v>
      </c>
      <c r="L6551" s="17">
        <v>0.875</v>
      </c>
      <c r="M6551" s="14">
        <v>880</v>
      </c>
      <c r="N6551" s="14">
        <v>0</v>
      </c>
      <c r="O6551" s="14">
        <v>0</v>
      </c>
      <c r="P6551" s="14">
        <v>880</v>
      </c>
      <c r="Q6551">
        <v>8665</v>
      </c>
      <c r="R6551">
        <v>2728</v>
      </c>
      <c r="S6551">
        <v>0</v>
      </c>
    </row>
    <row r="6552" spans="11:19" x14ac:dyDescent="0.3">
      <c r="K6552" s="16">
        <f t="shared" si="101"/>
        <v>44288</v>
      </c>
      <c r="L6552" s="17">
        <v>0.91666666666666663</v>
      </c>
      <c r="M6552" s="14">
        <v>880</v>
      </c>
      <c r="N6552" s="14">
        <v>0</v>
      </c>
      <c r="O6552" s="14">
        <v>39</v>
      </c>
      <c r="P6552" s="14">
        <v>919</v>
      </c>
      <c r="Q6552">
        <v>8879</v>
      </c>
      <c r="R6552">
        <v>2542</v>
      </c>
      <c r="S6552">
        <v>0</v>
      </c>
    </row>
    <row r="6553" spans="11:19" x14ac:dyDescent="0.3">
      <c r="K6553" s="16">
        <f t="shared" si="101"/>
        <v>44288</v>
      </c>
      <c r="L6553" s="17">
        <v>0.95833333333333337</v>
      </c>
      <c r="M6553" s="14">
        <v>880</v>
      </c>
      <c r="N6553" s="14">
        <v>0</v>
      </c>
      <c r="O6553" s="14">
        <v>613</v>
      </c>
      <c r="P6553" s="14">
        <v>1493</v>
      </c>
      <c r="Q6553">
        <v>9096</v>
      </c>
      <c r="R6553">
        <v>2189</v>
      </c>
      <c r="S6553">
        <v>0</v>
      </c>
    </row>
    <row r="6554" spans="11:19" x14ac:dyDescent="0.3">
      <c r="K6554" s="16">
        <f t="shared" si="101"/>
        <v>44289</v>
      </c>
      <c r="L6554" s="17">
        <v>0</v>
      </c>
      <c r="M6554" s="14">
        <v>880</v>
      </c>
      <c r="N6554" s="14">
        <v>0</v>
      </c>
      <c r="O6554" s="14">
        <v>250</v>
      </c>
      <c r="P6554" s="14">
        <v>1130</v>
      </c>
      <c r="Q6554">
        <v>8469</v>
      </c>
      <c r="R6554">
        <v>2128</v>
      </c>
      <c r="S6554">
        <v>0</v>
      </c>
    </row>
    <row r="6555" spans="11:19" x14ac:dyDescent="0.3">
      <c r="K6555" s="16">
        <f t="shared" ref="K6555:K6618" si="102">K6531+1</f>
        <v>44289</v>
      </c>
      <c r="L6555" s="17">
        <v>4.1666666666666664E-2</v>
      </c>
      <c r="M6555" s="14">
        <v>880</v>
      </c>
      <c r="N6555" s="14">
        <v>0</v>
      </c>
      <c r="O6555" s="14">
        <v>0</v>
      </c>
      <c r="P6555" s="14">
        <v>880</v>
      </c>
      <c r="Q6555">
        <v>8035</v>
      </c>
      <c r="R6555">
        <v>2001</v>
      </c>
      <c r="S6555">
        <v>0</v>
      </c>
    </row>
    <row r="6556" spans="11:19" x14ac:dyDescent="0.3">
      <c r="K6556" s="16">
        <f t="shared" si="102"/>
        <v>44289</v>
      </c>
      <c r="L6556" s="17">
        <v>8.3333333333333329E-2</v>
      </c>
      <c r="M6556" s="14">
        <v>880</v>
      </c>
      <c r="N6556" s="14">
        <v>0</v>
      </c>
      <c r="O6556" s="14">
        <v>0</v>
      </c>
      <c r="P6556" s="14">
        <v>880</v>
      </c>
      <c r="Q6556">
        <v>7691</v>
      </c>
      <c r="R6556">
        <v>1964</v>
      </c>
      <c r="S6556">
        <v>0</v>
      </c>
    </row>
    <row r="6557" spans="11:19" x14ac:dyDescent="0.3">
      <c r="K6557" s="16">
        <f t="shared" si="102"/>
        <v>44289</v>
      </c>
      <c r="L6557" s="17">
        <v>0.125</v>
      </c>
      <c r="M6557" s="14">
        <v>880</v>
      </c>
      <c r="N6557" s="14">
        <v>0</v>
      </c>
      <c r="O6557" s="14">
        <v>0</v>
      </c>
      <c r="P6557" s="14">
        <v>880</v>
      </c>
      <c r="Q6557">
        <v>7259</v>
      </c>
      <c r="R6557">
        <v>2002</v>
      </c>
      <c r="S6557">
        <v>0</v>
      </c>
    </row>
    <row r="6558" spans="11:19" x14ac:dyDescent="0.3">
      <c r="K6558" s="16">
        <f t="shared" si="102"/>
        <v>44289</v>
      </c>
      <c r="L6558" s="17">
        <v>0.16666666666666666</v>
      </c>
      <c r="M6558" s="14">
        <v>880</v>
      </c>
      <c r="N6558" s="14">
        <v>0</v>
      </c>
      <c r="O6558" s="14">
        <v>0</v>
      </c>
      <c r="P6558" s="14">
        <v>880</v>
      </c>
      <c r="Q6558">
        <v>7087</v>
      </c>
      <c r="R6558">
        <v>1966</v>
      </c>
      <c r="S6558">
        <v>0</v>
      </c>
    </row>
    <row r="6559" spans="11:19" x14ac:dyDescent="0.3">
      <c r="K6559" s="16">
        <f t="shared" si="102"/>
        <v>44289</v>
      </c>
      <c r="L6559" s="17">
        <v>0.20833333333333334</v>
      </c>
      <c r="M6559" s="14">
        <v>880</v>
      </c>
      <c r="N6559" s="14">
        <v>0</v>
      </c>
      <c r="O6559" s="14">
        <v>0</v>
      </c>
      <c r="P6559" s="14">
        <v>880</v>
      </c>
      <c r="Q6559">
        <v>7242</v>
      </c>
      <c r="R6559">
        <v>2114</v>
      </c>
      <c r="S6559">
        <v>0</v>
      </c>
    </row>
    <row r="6560" spans="11:19" x14ac:dyDescent="0.3">
      <c r="K6560" s="16">
        <f t="shared" si="102"/>
        <v>44289</v>
      </c>
      <c r="L6560" s="17">
        <v>0.25</v>
      </c>
      <c r="M6560" s="14">
        <v>880</v>
      </c>
      <c r="N6560" s="14">
        <v>0</v>
      </c>
      <c r="O6560" s="14">
        <v>0</v>
      </c>
      <c r="P6560" s="14">
        <v>880</v>
      </c>
      <c r="Q6560">
        <v>7616</v>
      </c>
      <c r="R6560">
        <v>1983</v>
      </c>
      <c r="S6560">
        <v>0</v>
      </c>
    </row>
    <row r="6561" spans="11:19" x14ac:dyDescent="0.3">
      <c r="K6561" s="16">
        <f t="shared" si="102"/>
        <v>44289</v>
      </c>
      <c r="L6561" s="17">
        <v>0.29166666666666669</v>
      </c>
      <c r="M6561" s="14">
        <v>880</v>
      </c>
      <c r="N6561" s="14">
        <v>0</v>
      </c>
      <c r="O6561" s="14">
        <v>435</v>
      </c>
      <c r="P6561" s="14">
        <v>1315</v>
      </c>
      <c r="Q6561">
        <v>7913</v>
      </c>
      <c r="R6561">
        <v>1768</v>
      </c>
      <c r="S6561">
        <v>21</v>
      </c>
    </row>
    <row r="6562" spans="11:19" x14ac:dyDescent="0.3">
      <c r="K6562" s="16">
        <f t="shared" si="102"/>
        <v>44289</v>
      </c>
      <c r="L6562" s="17">
        <v>0.33333333333333331</v>
      </c>
      <c r="M6562" s="14">
        <v>880</v>
      </c>
      <c r="N6562" s="14">
        <v>0</v>
      </c>
      <c r="O6562" s="14">
        <v>851</v>
      </c>
      <c r="P6562" s="14">
        <v>1731</v>
      </c>
      <c r="Q6562">
        <v>8433</v>
      </c>
      <c r="R6562">
        <v>1602</v>
      </c>
      <c r="S6562">
        <v>284</v>
      </c>
    </row>
    <row r="6563" spans="11:19" x14ac:dyDescent="0.3">
      <c r="K6563" s="16">
        <f t="shared" si="102"/>
        <v>44289</v>
      </c>
      <c r="L6563" s="17">
        <v>0.375</v>
      </c>
      <c r="M6563" s="14">
        <v>880</v>
      </c>
      <c r="N6563" s="14">
        <v>0</v>
      </c>
      <c r="O6563" s="14">
        <v>0</v>
      </c>
      <c r="P6563" s="14">
        <v>880</v>
      </c>
      <c r="Q6563">
        <v>8782</v>
      </c>
      <c r="R6563">
        <v>1730</v>
      </c>
      <c r="S6563">
        <v>1018</v>
      </c>
    </row>
    <row r="6564" spans="11:19" x14ac:dyDescent="0.3">
      <c r="K6564" s="16">
        <f t="shared" si="102"/>
        <v>44289</v>
      </c>
      <c r="L6564" s="17">
        <v>0.41666666666666669</v>
      </c>
      <c r="M6564" s="14">
        <v>880</v>
      </c>
      <c r="N6564" s="14">
        <v>0</v>
      </c>
      <c r="O6564" s="14">
        <v>0</v>
      </c>
      <c r="P6564" s="14">
        <v>880</v>
      </c>
      <c r="Q6564">
        <v>8735</v>
      </c>
      <c r="R6564">
        <v>1585</v>
      </c>
      <c r="S6564">
        <v>1813</v>
      </c>
    </row>
    <row r="6565" spans="11:19" x14ac:dyDescent="0.3">
      <c r="K6565" s="16">
        <f t="shared" si="102"/>
        <v>44289</v>
      </c>
      <c r="L6565" s="17">
        <v>0.45833333333333331</v>
      </c>
      <c r="M6565" s="14">
        <v>880</v>
      </c>
      <c r="N6565" s="14">
        <v>0</v>
      </c>
      <c r="O6565" s="14">
        <v>0</v>
      </c>
      <c r="P6565" s="14">
        <v>880</v>
      </c>
      <c r="Q6565">
        <v>8740</v>
      </c>
      <c r="R6565">
        <v>1374</v>
      </c>
      <c r="S6565">
        <v>2409</v>
      </c>
    </row>
    <row r="6566" spans="11:19" x14ac:dyDescent="0.3">
      <c r="K6566" s="16">
        <f t="shared" si="102"/>
        <v>44289</v>
      </c>
      <c r="L6566" s="17">
        <v>0.5</v>
      </c>
      <c r="M6566" s="14">
        <v>880</v>
      </c>
      <c r="N6566" s="14">
        <v>0</v>
      </c>
      <c r="O6566" s="14">
        <v>0</v>
      </c>
      <c r="P6566" s="14">
        <v>880</v>
      </c>
      <c r="Q6566">
        <v>8980</v>
      </c>
      <c r="R6566">
        <v>1438</v>
      </c>
      <c r="S6566">
        <v>2799</v>
      </c>
    </row>
    <row r="6567" spans="11:19" x14ac:dyDescent="0.3">
      <c r="K6567" s="16">
        <f t="shared" si="102"/>
        <v>44289</v>
      </c>
      <c r="L6567" s="17">
        <v>0.54166666666666663</v>
      </c>
      <c r="M6567" s="14">
        <v>880</v>
      </c>
      <c r="N6567" s="14">
        <v>0</v>
      </c>
      <c r="O6567" s="14">
        <v>-540</v>
      </c>
      <c r="P6567" s="14">
        <v>340</v>
      </c>
      <c r="Q6567">
        <v>8568</v>
      </c>
      <c r="R6567">
        <v>1607</v>
      </c>
      <c r="S6567">
        <v>2941</v>
      </c>
    </row>
    <row r="6568" spans="11:19" x14ac:dyDescent="0.3">
      <c r="K6568" s="16">
        <f t="shared" si="102"/>
        <v>44289</v>
      </c>
      <c r="L6568" s="17">
        <v>0.58333333333333337</v>
      </c>
      <c r="M6568" s="14">
        <v>880</v>
      </c>
      <c r="N6568" s="14">
        <v>0</v>
      </c>
      <c r="O6568" s="14">
        <v>-993</v>
      </c>
      <c r="P6568" s="14">
        <v>-113</v>
      </c>
      <c r="Q6568">
        <v>8197</v>
      </c>
      <c r="R6568">
        <v>1754</v>
      </c>
      <c r="S6568">
        <v>2882</v>
      </c>
    </row>
    <row r="6569" spans="11:19" x14ac:dyDescent="0.3">
      <c r="K6569" s="16">
        <f t="shared" si="102"/>
        <v>44289</v>
      </c>
      <c r="L6569" s="17">
        <v>0.625</v>
      </c>
      <c r="M6569" s="14">
        <v>880</v>
      </c>
      <c r="N6569" s="14">
        <v>0</v>
      </c>
      <c r="O6569" s="14">
        <v>-1182</v>
      </c>
      <c r="P6569" s="14">
        <v>-302</v>
      </c>
      <c r="Q6569">
        <v>7895</v>
      </c>
      <c r="R6569">
        <v>1887</v>
      </c>
      <c r="S6569">
        <v>2643</v>
      </c>
    </row>
    <row r="6570" spans="11:19" x14ac:dyDescent="0.3">
      <c r="K6570" s="16">
        <f t="shared" si="102"/>
        <v>44289</v>
      </c>
      <c r="L6570" s="17">
        <v>0.66666666666666663</v>
      </c>
      <c r="M6570" s="14">
        <v>880</v>
      </c>
      <c r="N6570" s="14">
        <v>0</v>
      </c>
      <c r="O6570" s="14">
        <v>-990</v>
      </c>
      <c r="P6570" s="14">
        <v>-110</v>
      </c>
      <c r="Q6570">
        <v>7653</v>
      </c>
      <c r="R6570">
        <v>1876</v>
      </c>
      <c r="S6570">
        <v>2221</v>
      </c>
    </row>
    <row r="6571" spans="11:19" x14ac:dyDescent="0.3">
      <c r="K6571" s="16">
        <f t="shared" si="102"/>
        <v>44289</v>
      </c>
      <c r="L6571" s="17">
        <v>0.70833333333333337</v>
      </c>
      <c r="M6571" s="14">
        <v>880</v>
      </c>
      <c r="N6571" s="14">
        <v>0</v>
      </c>
      <c r="O6571" s="14">
        <v>-443</v>
      </c>
      <c r="P6571" s="14">
        <v>437</v>
      </c>
      <c r="Q6571">
        <v>7606</v>
      </c>
      <c r="R6571">
        <v>1882</v>
      </c>
      <c r="S6571">
        <v>1618</v>
      </c>
    </row>
    <row r="6572" spans="11:19" x14ac:dyDescent="0.3">
      <c r="K6572" s="16">
        <f t="shared" si="102"/>
        <v>44289</v>
      </c>
      <c r="L6572" s="17">
        <v>0.75</v>
      </c>
      <c r="M6572" s="14">
        <v>880</v>
      </c>
      <c r="N6572" s="14">
        <v>0</v>
      </c>
      <c r="O6572" s="14">
        <v>0</v>
      </c>
      <c r="P6572" s="14">
        <v>880</v>
      </c>
      <c r="Q6572">
        <v>7887</v>
      </c>
      <c r="R6572">
        <v>2275</v>
      </c>
      <c r="S6572">
        <v>853</v>
      </c>
    </row>
    <row r="6573" spans="11:19" x14ac:dyDescent="0.3">
      <c r="K6573" s="16">
        <f t="shared" si="102"/>
        <v>44289</v>
      </c>
      <c r="L6573" s="17">
        <v>0.79166666666666663</v>
      </c>
      <c r="M6573" s="14">
        <v>880</v>
      </c>
      <c r="N6573" s="14">
        <v>0</v>
      </c>
      <c r="O6573" s="14">
        <v>0</v>
      </c>
      <c r="P6573" s="14">
        <v>880</v>
      </c>
      <c r="Q6573">
        <v>8354</v>
      </c>
      <c r="R6573">
        <v>2760</v>
      </c>
      <c r="S6573">
        <v>194</v>
      </c>
    </row>
    <row r="6574" spans="11:19" x14ac:dyDescent="0.3">
      <c r="K6574" s="16">
        <f t="shared" si="102"/>
        <v>44289</v>
      </c>
      <c r="L6574" s="17">
        <v>0.83333333333333337</v>
      </c>
      <c r="M6574" s="14">
        <v>880</v>
      </c>
      <c r="N6574" s="14">
        <v>0</v>
      </c>
      <c r="O6574" s="14">
        <v>0</v>
      </c>
      <c r="P6574" s="14">
        <v>880</v>
      </c>
      <c r="Q6574">
        <v>8293</v>
      </c>
      <c r="R6574">
        <v>2923</v>
      </c>
      <c r="S6574">
        <v>3</v>
      </c>
    </row>
    <row r="6575" spans="11:19" x14ac:dyDescent="0.3">
      <c r="K6575" s="16">
        <f t="shared" si="102"/>
        <v>44289</v>
      </c>
      <c r="L6575" s="17">
        <v>0.875</v>
      </c>
      <c r="M6575" s="14">
        <v>880</v>
      </c>
      <c r="N6575" s="14">
        <v>0</v>
      </c>
      <c r="O6575" s="14">
        <v>0</v>
      </c>
      <c r="P6575" s="14">
        <v>880</v>
      </c>
      <c r="Q6575">
        <v>8051</v>
      </c>
      <c r="R6575">
        <v>2598</v>
      </c>
      <c r="S6575">
        <v>0</v>
      </c>
    </row>
    <row r="6576" spans="11:19" x14ac:dyDescent="0.3">
      <c r="K6576" s="16">
        <f t="shared" si="102"/>
        <v>44289</v>
      </c>
      <c r="L6576" s="17">
        <v>0.91666666666666663</v>
      </c>
      <c r="M6576" s="14">
        <v>880</v>
      </c>
      <c r="N6576" s="14">
        <v>0</v>
      </c>
      <c r="O6576" s="14">
        <v>583</v>
      </c>
      <c r="P6576" s="14">
        <v>1463</v>
      </c>
      <c r="Q6576">
        <v>8424</v>
      </c>
      <c r="R6576">
        <v>2169</v>
      </c>
      <c r="S6576">
        <v>0</v>
      </c>
    </row>
    <row r="6577" spans="11:19" x14ac:dyDescent="0.3">
      <c r="K6577" s="16">
        <f t="shared" si="102"/>
        <v>44289</v>
      </c>
      <c r="L6577" s="17">
        <v>0.95833333333333337</v>
      </c>
      <c r="M6577" s="14">
        <v>880</v>
      </c>
      <c r="N6577" s="14">
        <v>0</v>
      </c>
      <c r="O6577" s="14">
        <v>1200</v>
      </c>
      <c r="P6577" s="14">
        <v>2080</v>
      </c>
      <c r="Q6577">
        <v>8805</v>
      </c>
      <c r="R6577">
        <v>1774</v>
      </c>
      <c r="S6577">
        <v>0</v>
      </c>
    </row>
    <row r="6578" spans="11:19" x14ac:dyDescent="0.3">
      <c r="K6578" s="16">
        <f t="shared" si="102"/>
        <v>44290</v>
      </c>
      <c r="L6578" s="17">
        <v>0</v>
      </c>
      <c r="M6578" s="14">
        <v>932</v>
      </c>
      <c r="N6578" s="14">
        <v>0</v>
      </c>
      <c r="O6578" s="14">
        <v>503</v>
      </c>
      <c r="P6578" s="14">
        <v>1435</v>
      </c>
      <c r="Q6578">
        <v>8344</v>
      </c>
      <c r="R6578">
        <v>1828</v>
      </c>
      <c r="S6578">
        <v>0</v>
      </c>
    </row>
    <row r="6579" spans="11:19" x14ac:dyDescent="0.3">
      <c r="K6579" s="16">
        <f t="shared" si="102"/>
        <v>44290</v>
      </c>
      <c r="L6579" s="17">
        <v>4.1666666666666664E-2</v>
      </c>
      <c r="M6579" s="14">
        <v>932</v>
      </c>
      <c r="N6579" s="14">
        <v>0</v>
      </c>
      <c r="O6579" s="14">
        <v>370</v>
      </c>
      <c r="P6579" s="14">
        <v>1302</v>
      </c>
      <c r="Q6579">
        <v>7969</v>
      </c>
      <c r="R6579">
        <v>1593</v>
      </c>
      <c r="S6579">
        <v>0</v>
      </c>
    </row>
    <row r="6580" spans="11:19" x14ac:dyDescent="0.3">
      <c r="K6580" s="16">
        <f t="shared" si="102"/>
        <v>44290</v>
      </c>
      <c r="L6580" s="17">
        <v>8.3333333333333329E-2</v>
      </c>
      <c r="M6580" s="14">
        <v>932</v>
      </c>
      <c r="N6580" s="14">
        <v>0</v>
      </c>
      <c r="O6580" s="14">
        <v>170</v>
      </c>
      <c r="P6580" s="14">
        <v>1102</v>
      </c>
      <c r="Q6580">
        <v>7770</v>
      </c>
      <c r="R6580">
        <v>1595</v>
      </c>
      <c r="S6580">
        <v>0</v>
      </c>
    </row>
    <row r="6581" spans="11:19" x14ac:dyDescent="0.3">
      <c r="K6581" s="16">
        <f t="shared" si="102"/>
        <v>44290</v>
      </c>
      <c r="L6581" s="17">
        <v>0.125</v>
      </c>
      <c r="M6581" s="14">
        <v>932</v>
      </c>
      <c r="N6581" s="14">
        <v>0</v>
      </c>
      <c r="O6581" s="14">
        <v>-163</v>
      </c>
      <c r="P6581" s="14">
        <v>769</v>
      </c>
      <c r="Q6581">
        <v>7408</v>
      </c>
      <c r="R6581">
        <v>1564</v>
      </c>
      <c r="S6581">
        <v>0</v>
      </c>
    </row>
    <row r="6582" spans="11:19" x14ac:dyDescent="0.3">
      <c r="K6582" s="16">
        <f t="shared" si="102"/>
        <v>44290</v>
      </c>
      <c r="L6582" s="17">
        <v>0.16666666666666666</v>
      </c>
      <c r="M6582" s="14">
        <v>932</v>
      </c>
      <c r="N6582" s="14">
        <v>0</v>
      </c>
      <c r="O6582" s="14">
        <v>-358</v>
      </c>
      <c r="P6582" s="14">
        <v>574</v>
      </c>
      <c r="Q6582">
        <v>7080</v>
      </c>
      <c r="R6582">
        <v>1423</v>
      </c>
      <c r="S6582">
        <v>0</v>
      </c>
    </row>
    <row r="6583" spans="11:19" x14ac:dyDescent="0.3">
      <c r="K6583" s="16">
        <f t="shared" si="102"/>
        <v>44290</v>
      </c>
      <c r="L6583" s="17">
        <v>0.20833333333333334</v>
      </c>
      <c r="M6583" s="14">
        <v>932</v>
      </c>
      <c r="N6583" s="14">
        <v>0</v>
      </c>
      <c r="O6583" s="14">
        <v>-192</v>
      </c>
      <c r="P6583" s="14">
        <v>740</v>
      </c>
      <c r="Q6583">
        <v>7062</v>
      </c>
      <c r="R6583">
        <v>1223</v>
      </c>
      <c r="S6583">
        <v>0</v>
      </c>
    </row>
    <row r="6584" spans="11:19" x14ac:dyDescent="0.3">
      <c r="K6584" s="16">
        <f t="shared" si="102"/>
        <v>44290</v>
      </c>
      <c r="L6584" s="17">
        <v>0.25</v>
      </c>
      <c r="M6584" s="14">
        <v>932</v>
      </c>
      <c r="N6584" s="14">
        <v>0</v>
      </c>
      <c r="O6584" s="14">
        <v>349</v>
      </c>
      <c r="P6584" s="14">
        <v>1281</v>
      </c>
      <c r="Q6584">
        <v>7314</v>
      </c>
      <c r="R6584">
        <v>917</v>
      </c>
      <c r="S6584">
        <v>0</v>
      </c>
    </row>
    <row r="6585" spans="11:19" x14ac:dyDescent="0.3">
      <c r="K6585" s="16">
        <f t="shared" si="102"/>
        <v>44290</v>
      </c>
      <c r="L6585" s="17">
        <v>0.29166666666666669</v>
      </c>
      <c r="M6585" s="14">
        <v>932</v>
      </c>
      <c r="N6585" s="14">
        <v>0</v>
      </c>
      <c r="O6585" s="14">
        <v>383</v>
      </c>
      <c r="P6585" s="14">
        <v>1315</v>
      </c>
      <c r="Q6585">
        <v>7330</v>
      </c>
      <c r="R6585">
        <v>869</v>
      </c>
      <c r="S6585">
        <v>17</v>
      </c>
    </row>
    <row r="6586" spans="11:19" x14ac:dyDescent="0.3">
      <c r="K6586" s="16">
        <f t="shared" si="102"/>
        <v>44290</v>
      </c>
      <c r="L6586" s="17">
        <v>0.33333333333333331</v>
      </c>
      <c r="M6586" s="14">
        <v>932</v>
      </c>
      <c r="N6586" s="14">
        <v>0</v>
      </c>
      <c r="O6586" s="14">
        <v>485</v>
      </c>
      <c r="P6586" s="14">
        <v>1417</v>
      </c>
      <c r="Q6586">
        <v>7700</v>
      </c>
      <c r="R6586">
        <v>868</v>
      </c>
      <c r="S6586">
        <v>281</v>
      </c>
    </row>
    <row r="6587" spans="11:19" x14ac:dyDescent="0.3">
      <c r="K6587" s="16">
        <f t="shared" si="102"/>
        <v>44290</v>
      </c>
      <c r="L6587" s="17">
        <v>0.375</v>
      </c>
      <c r="M6587" s="14">
        <v>932</v>
      </c>
      <c r="N6587" s="14">
        <v>0</v>
      </c>
      <c r="O6587" s="14">
        <v>103</v>
      </c>
      <c r="P6587" s="14">
        <v>1035</v>
      </c>
      <c r="Q6587">
        <v>8123</v>
      </c>
      <c r="R6587">
        <v>995</v>
      </c>
      <c r="S6587">
        <v>964</v>
      </c>
    </row>
    <row r="6588" spans="11:19" x14ac:dyDescent="0.3">
      <c r="K6588" s="16">
        <f t="shared" si="102"/>
        <v>44290</v>
      </c>
      <c r="L6588" s="17">
        <v>0.41666666666666669</v>
      </c>
      <c r="M6588" s="14">
        <v>932</v>
      </c>
      <c r="N6588" s="14">
        <v>0</v>
      </c>
      <c r="O6588" s="14">
        <v>-366</v>
      </c>
      <c r="P6588" s="14">
        <v>566</v>
      </c>
      <c r="Q6588">
        <v>8324</v>
      </c>
      <c r="R6588">
        <v>924</v>
      </c>
      <c r="S6588">
        <v>1710</v>
      </c>
    </row>
    <row r="6589" spans="11:19" x14ac:dyDescent="0.3">
      <c r="K6589" s="16">
        <f t="shared" si="102"/>
        <v>44290</v>
      </c>
      <c r="L6589" s="17">
        <v>0.45833333333333331</v>
      </c>
      <c r="M6589" s="14">
        <v>932</v>
      </c>
      <c r="N6589" s="14">
        <v>0</v>
      </c>
      <c r="O6589" s="14">
        <v>-684</v>
      </c>
      <c r="P6589" s="14">
        <v>248</v>
      </c>
      <c r="Q6589">
        <v>8449</v>
      </c>
      <c r="R6589">
        <v>875</v>
      </c>
      <c r="S6589">
        <v>2203</v>
      </c>
    </row>
    <row r="6590" spans="11:19" x14ac:dyDescent="0.3">
      <c r="K6590" s="16">
        <f t="shared" si="102"/>
        <v>44290</v>
      </c>
      <c r="L6590" s="17">
        <v>0.5</v>
      </c>
      <c r="M6590" s="14">
        <v>932</v>
      </c>
      <c r="N6590" s="14">
        <v>0</v>
      </c>
      <c r="O6590" s="14">
        <v>-543</v>
      </c>
      <c r="P6590" s="14">
        <v>389</v>
      </c>
      <c r="Q6590">
        <v>8725</v>
      </c>
      <c r="R6590">
        <v>837</v>
      </c>
      <c r="S6590">
        <v>2445</v>
      </c>
    </row>
    <row r="6591" spans="11:19" x14ac:dyDescent="0.3">
      <c r="K6591" s="16">
        <f t="shared" si="102"/>
        <v>44290</v>
      </c>
      <c r="L6591" s="17">
        <v>0.54166666666666663</v>
      </c>
      <c r="M6591" s="14">
        <v>932</v>
      </c>
      <c r="N6591" s="14">
        <v>0</v>
      </c>
      <c r="O6591" s="14">
        <v>-667</v>
      </c>
      <c r="P6591" s="14">
        <v>265</v>
      </c>
      <c r="Q6591">
        <v>8263</v>
      </c>
      <c r="R6591">
        <v>966</v>
      </c>
      <c r="S6591">
        <v>2530</v>
      </c>
    </row>
    <row r="6592" spans="11:19" x14ac:dyDescent="0.3">
      <c r="K6592" s="16">
        <f t="shared" si="102"/>
        <v>44290</v>
      </c>
      <c r="L6592" s="17">
        <v>0.58333333333333337</v>
      </c>
      <c r="M6592" s="14">
        <v>932</v>
      </c>
      <c r="N6592" s="14">
        <v>0</v>
      </c>
      <c r="O6592" s="14">
        <v>-1200</v>
      </c>
      <c r="P6592" s="14">
        <v>-268</v>
      </c>
      <c r="Q6592">
        <v>7771</v>
      </c>
      <c r="R6592">
        <v>1127</v>
      </c>
      <c r="S6592">
        <v>2464</v>
      </c>
    </row>
    <row r="6593" spans="11:19" x14ac:dyDescent="0.3">
      <c r="K6593" s="16">
        <f t="shared" si="102"/>
        <v>44290</v>
      </c>
      <c r="L6593" s="17">
        <v>0.625</v>
      </c>
      <c r="M6593" s="14">
        <v>932</v>
      </c>
      <c r="N6593" s="14">
        <v>0</v>
      </c>
      <c r="O6593" s="14">
        <v>-1200</v>
      </c>
      <c r="P6593" s="14">
        <v>-268</v>
      </c>
      <c r="Q6593">
        <v>7406</v>
      </c>
      <c r="R6593">
        <v>1244</v>
      </c>
      <c r="S6593">
        <v>2252</v>
      </c>
    </row>
    <row r="6594" spans="11:19" x14ac:dyDescent="0.3">
      <c r="K6594" s="16">
        <f t="shared" si="102"/>
        <v>44290</v>
      </c>
      <c r="L6594" s="17">
        <v>0.66666666666666663</v>
      </c>
      <c r="M6594" s="14">
        <v>932</v>
      </c>
      <c r="N6594" s="14">
        <v>0</v>
      </c>
      <c r="O6594" s="14">
        <v>-1200</v>
      </c>
      <c r="P6594" s="14">
        <v>-268</v>
      </c>
      <c r="Q6594">
        <v>7186</v>
      </c>
      <c r="R6594">
        <v>1458</v>
      </c>
      <c r="S6594">
        <v>1974</v>
      </c>
    </row>
    <row r="6595" spans="11:19" x14ac:dyDescent="0.3">
      <c r="K6595" s="16">
        <f t="shared" si="102"/>
        <v>44290</v>
      </c>
      <c r="L6595" s="17">
        <v>0.70833333333333337</v>
      </c>
      <c r="M6595" s="14">
        <v>932</v>
      </c>
      <c r="N6595" s="14">
        <v>0</v>
      </c>
      <c r="O6595" s="14">
        <v>-1200</v>
      </c>
      <c r="P6595" s="14">
        <v>-268</v>
      </c>
      <c r="Q6595">
        <v>7190</v>
      </c>
      <c r="R6595">
        <v>1591</v>
      </c>
      <c r="S6595">
        <v>1442</v>
      </c>
    </row>
    <row r="6596" spans="11:19" x14ac:dyDescent="0.3">
      <c r="K6596" s="16">
        <f t="shared" si="102"/>
        <v>44290</v>
      </c>
      <c r="L6596" s="17">
        <v>0.75</v>
      </c>
      <c r="M6596" s="14">
        <v>932</v>
      </c>
      <c r="N6596" s="14">
        <v>0</v>
      </c>
      <c r="O6596" s="14">
        <v>-364</v>
      </c>
      <c r="P6596" s="14">
        <v>568</v>
      </c>
      <c r="Q6596">
        <v>7554</v>
      </c>
      <c r="R6596">
        <v>1673</v>
      </c>
      <c r="S6596">
        <v>816</v>
      </c>
    </row>
    <row r="6597" spans="11:19" x14ac:dyDescent="0.3">
      <c r="K6597" s="16">
        <f t="shared" si="102"/>
        <v>44290</v>
      </c>
      <c r="L6597" s="17">
        <v>0.79166666666666663</v>
      </c>
      <c r="M6597" s="14">
        <v>932</v>
      </c>
      <c r="N6597" s="14">
        <v>0</v>
      </c>
      <c r="O6597" s="14">
        <v>135</v>
      </c>
      <c r="P6597" s="14">
        <v>1067</v>
      </c>
      <c r="Q6597">
        <v>8050</v>
      </c>
      <c r="R6597">
        <v>1679</v>
      </c>
      <c r="S6597">
        <v>197</v>
      </c>
    </row>
    <row r="6598" spans="11:19" x14ac:dyDescent="0.3">
      <c r="K6598" s="16">
        <f t="shared" si="102"/>
        <v>44290</v>
      </c>
      <c r="L6598" s="17">
        <v>0.83333333333333337</v>
      </c>
      <c r="M6598" s="14">
        <v>932</v>
      </c>
      <c r="N6598" s="14">
        <v>0</v>
      </c>
      <c r="O6598" s="14">
        <v>786</v>
      </c>
      <c r="P6598" s="14">
        <v>1718</v>
      </c>
      <c r="Q6598">
        <v>8454</v>
      </c>
      <c r="R6598">
        <v>1622</v>
      </c>
      <c r="S6598">
        <v>4</v>
      </c>
    </row>
    <row r="6599" spans="11:19" x14ac:dyDescent="0.3">
      <c r="K6599" s="16">
        <f t="shared" si="102"/>
        <v>44290</v>
      </c>
      <c r="L6599" s="17">
        <v>0.875</v>
      </c>
      <c r="M6599" s="14">
        <v>932</v>
      </c>
      <c r="N6599" s="14">
        <v>0</v>
      </c>
      <c r="O6599" s="14">
        <v>829</v>
      </c>
      <c r="P6599" s="14">
        <v>1761</v>
      </c>
      <c r="Q6599">
        <v>8349</v>
      </c>
      <c r="R6599">
        <v>1405</v>
      </c>
      <c r="S6599">
        <v>0</v>
      </c>
    </row>
    <row r="6600" spans="11:19" x14ac:dyDescent="0.3">
      <c r="K6600" s="16">
        <f t="shared" si="102"/>
        <v>44290</v>
      </c>
      <c r="L6600" s="17">
        <v>0.91666666666666663</v>
      </c>
      <c r="M6600" s="14">
        <v>932</v>
      </c>
      <c r="N6600" s="14">
        <v>0</v>
      </c>
      <c r="O6600" s="14">
        <v>1200</v>
      </c>
      <c r="P6600" s="14">
        <v>2132</v>
      </c>
      <c r="Q6600">
        <v>8636</v>
      </c>
      <c r="R6600">
        <v>1222</v>
      </c>
      <c r="S6600">
        <v>0</v>
      </c>
    </row>
    <row r="6601" spans="11:19" x14ac:dyDescent="0.3">
      <c r="K6601" s="16">
        <f t="shared" si="102"/>
        <v>44290</v>
      </c>
      <c r="L6601" s="17">
        <v>0.95833333333333337</v>
      </c>
      <c r="M6601" s="14">
        <v>932</v>
      </c>
      <c r="N6601" s="14">
        <v>0</v>
      </c>
      <c r="O6601" s="14">
        <v>1200</v>
      </c>
      <c r="P6601" s="14">
        <v>2132</v>
      </c>
      <c r="Q6601">
        <v>8929</v>
      </c>
      <c r="R6601">
        <v>1212</v>
      </c>
      <c r="S6601">
        <v>0</v>
      </c>
    </row>
    <row r="6602" spans="11:19" x14ac:dyDescent="0.3">
      <c r="K6602" s="16">
        <f t="shared" si="102"/>
        <v>44291</v>
      </c>
      <c r="L6602" s="17">
        <v>0</v>
      </c>
      <c r="M6602" s="14">
        <v>932</v>
      </c>
      <c r="N6602" s="14">
        <v>7</v>
      </c>
      <c r="O6602" s="14">
        <v>1200</v>
      </c>
      <c r="P6602" s="14">
        <v>2139</v>
      </c>
      <c r="Q6602">
        <v>8470</v>
      </c>
      <c r="R6602">
        <v>1170</v>
      </c>
      <c r="S6602">
        <v>0</v>
      </c>
    </row>
    <row r="6603" spans="11:19" x14ac:dyDescent="0.3">
      <c r="K6603" s="16">
        <f t="shared" si="102"/>
        <v>44291</v>
      </c>
      <c r="L6603" s="17">
        <v>4.1666666666666664E-2</v>
      </c>
      <c r="M6603" s="14">
        <v>932</v>
      </c>
      <c r="N6603" s="14">
        <v>607</v>
      </c>
      <c r="O6603" s="14">
        <v>492</v>
      </c>
      <c r="P6603" s="14">
        <v>2031</v>
      </c>
      <c r="Q6603">
        <v>8116</v>
      </c>
      <c r="R6603">
        <v>930</v>
      </c>
      <c r="S6603">
        <v>0</v>
      </c>
    </row>
    <row r="6604" spans="11:19" x14ac:dyDescent="0.3">
      <c r="K6604" s="16">
        <f t="shared" si="102"/>
        <v>44291</v>
      </c>
      <c r="L6604" s="17">
        <v>8.3333333333333329E-2</v>
      </c>
      <c r="M6604" s="14">
        <v>932</v>
      </c>
      <c r="N6604" s="14">
        <v>607</v>
      </c>
      <c r="O6604" s="14">
        <v>288</v>
      </c>
      <c r="P6604" s="14">
        <v>1827</v>
      </c>
      <c r="Q6604">
        <v>7777</v>
      </c>
      <c r="R6604">
        <v>876</v>
      </c>
      <c r="S6604">
        <v>0</v>
      </c>
    </row>
    <row r="6605" spans="11:19" x14ac:dyDescent="0.3">
      <c r="K6605" s="16">
        <f t="shared" si="102"/>
        <v>44291</v>
      </c>
      <c r="L6605" s="17">
        <v>0.125</v>
      </c>
      <c r="M6605" s="14">
        <v>932</v>
      </c>
      <c r="N6605" s="14">
        <v>162</v>
      </c>
      <c r="O6605" s="14">
        <v>313</v>
      </c>
      <c r="P6605" s="14">
        <v>1407</v>
      </c>
      <c r="Q6605">
        <v>7307</v>
      </c>
      <c r="R6605">
        <v>824</v>
      </c>
      <c r="S6605">
        <v>0</v>
      </c>
    </row>
    <row r="6606" spans="11:19" x14ac:dyDescent="0.3">
      <c r="K6606" s="16">
        <f t="shared" si="102"/>
        <v>44291</v>
      </c>
      <c r="L6606" s="17">
        <v>0.16666666666666666</v>
      </c>
      <c r="M6606" s="14">
        <v>932</v>
      </c>
      <c r="N6606" s="14">
        <v>0</v>
      </c>
      <c r="O6606" s="14">
        <v>160</v>
      </c>
      <c r="P6606" s="14">
        <v>1092</v>
      </c>
      <c r="Q6606">
        <v>7088</v>
      </c>
      <c r="R6606">
        <v>912</v>
      </c>
      <c r="S6606">
        <v>0</v>
      </c>
    </row>
    <row r="6607" spans="11:19" x14ac:dyDescent="0.3">
      <c r="K6607" s="16">
        <f t="shared" si="102"/>
        <v>44291</v>
      </c>
      <c r="L6607" s="17">
        <v>0.20833333333333334</v>
      </c>
      <c r="M6607" s="14">
        <v>932</v>
      </c>
      <c r="N6607" s="14">
        <v>0</v>
      </c>
      <c r="O6607" s="14">
        <v>199</v>
      </c>
      <c r="P6607" s="14">
        <v>1131</v>
      </c>
      <c r="Q6607">
        <v>7128</v>
      </c>
      <c r="R6607">
        <v>897</v>
      </c>
      <c r="S6607">
        <v>0</v>
      </c>
    </row>
    <row r="6608" spans="11:19" x14ac:dyDescent="0.3">
      <c r="K6608" s="16">
        <f t="shared" si="102"/>
        <v>44291</v>
      </c>
      <c r="L6608" s="17">
        <v>0.25</v>
      </c>
      <c r="M6608" s="14">
        <v>932</v>
      </c>
      <c r="N6608" s="14">
        <v>0</v>
      </c>
      <c r="O6608" s="14">
        <v>495</v>
      </c>
      <c r="P6608" s="14">
        <v>1427</v>
      </c>
      <c r="Q6608">
        <v>7325</v>
      </c>
      <c r="R6608">
        <v>782</v>
      </c>
      <c r="S6608">
        <v>0</v>
      </c>
    </row>
    <row r="6609" spans="11:19" x14ac:dyDescent="0.3">
      <c r="K6609" s="16">
        <f t="shared" si="102"/>
        <v>44291</v>
      </c>
      <c r="L6609" s="17">
        <v>0.29166666666666669</v>
      </c>
      <c r="M6609" s="14">
        <v>932</v>
      </c>
      <c r="N6609" s="14">
        <v>0</v>
      </c>
      <c r="O6609" s="14">
        <v>492</v>
      </c>
      <c r="P6609" s="14">
        <v>1424</v>
      </c>
      <c r="Q6609">
        <v>7387</v>
      </c>
      <c r="R6609">
        <v>815</v>
      </c>
      <c r="S6609">
        <v>18</v>
      </c>
    </row>
    <row r="6610" spans="11:19" x14ac:dyDescent="0.3">
      <c r="K6610" s="16">
        <f t="shared" si="102"/>
        <v>44291</v>
      </c>
      <c r="L6610" s="17">
        <v>0.33333333333333331</v>
      </c>
      <c r="M6610" s="14">
        <v>932</v>
      </c>
      <c r="N6610" s="14">
        <v>0</v>
      </c>
      <c r="O6610" s="14">
        <v>721</v>
      </c>
      <c r="P6610" s="14">
        <v>1653</v>
      </c>
      <c r="Q6610">
        <v>7882</v>
      </c>
      <c r="R6610">
        <v>815</v>
      </c>
      <c r="S6610">
        <v>279</v>
      </c>
    </row>
    <row r="6611" spans="11:19" x14ac:dyDescent="0.3">
      <c r="K6611" s="16">
        <f t="shared" si="102"/>
        <v>44291</v>
      </c>
      <c r="L6611" s="17">
        <v>0.375</v>
      </c>
      <c r="M6611" s="14">
        <v>932</v>
      </c>
      <c r="N6611" s="14">
        <v>0</v>
      </c>
      <c r="O6611" s="14">
        <v>396</v>
      </c>
      <c r="P6611" s="14">
        <v>1328</v>
      </c>
      <c r="Q6611">
        <v>8331</v>
      </c>
      <c r="R6611">
        <v>949</v>
      </c>
      <c r="S6611">
        <v>924</v>
      </c>
    </row>
    <row r="6612" spans="11:19" x14ac:dyDescent="0.3">
      <c r="K6612" s="16">
        <f t="shared" si="102"/>
        <v>44291</v>
      </c>
      <c r="L6612" s="17">
        <v>0.41666666666666669</v>
      </c>
      <c r="M6612" s="14">
        <v>932</v>
      </c>
      <c r="N6612" s="14">
        <v>0</v>
      </c>
      <c r="O6612" s="14">
        <v>-72</v>
      </c>
      <c r="P6612" s="14">
        <v>860</v>
      </c>
      <c r="Q6612">
        <v>8502</v>
      </c>
      <c r="R6612">
        <v>918</v>
      </c>
      <c r="S6612">
        <v>1599</v>
      </c>
    </row>
    <row r="6613" spans="11:19" x14ac:dyDescent="0.3">
      <c r="K6613" s="16">
        <f t="shared" si="102"/>
        <v>44291</v>
      </c>
      <c r="L6613" s="17">
        <v>0.45833333333333331</v>
      </c>
      <c r="M6613" s="14">
        <v>932</v>
      </c>
      <c r="N6613" s="14">
        <v>0</v>
      </c>
      <c r="O6613" s="14">
        <v>-651</v>
      </c>
      <c r="P6613" s="14">
        <v>281</v>
      </c>
      <c r="Q6613">
        <v>8576</v>
      </c>
      <c r="R6613">
        <v>1109</v>
      </c>
      <c r="S6613">
        <v>2062</v>
      </c>
    </row>
    <row r="6614" spans="11:19" x14ac:dyDescent="0.3">
      <c r="K6614" s="16">
        <f t="shared" si="102"/>
        <v>44291</v>
      </c>
      <c r="L6614" s="17">
        <v>0.5</v>
      </c>
      <c r="M6614" s="14">
        <v>932</v>
      </c>
      <c r="N6614" s="14">
        <v>0</v>
      </c>
      <c r="O6614" s="14">
        <v>-694</v>
      </c>
      <c r="P6614" s="14">
        <v>238</v>
      </c>
      <c r="Q6614">
        <v>8806</v>
      </c>
      <c r="R6614">
        <v>1172</v>
      </c>
      <c r="S6614">
        <v>2274</v>
      </c>
    </row>
    <row r="6615" spans="11:19" x14ac:dyDescent="0.3">
      <c r="K6615" s="16">
        <f t="shared" si="102"/>
        <v>44291</v>
      </c>
      <c r="L6615" s="17">
        <v>0.54166666666666663</v>
      </c>
      <c r="M6615" s="14">
        <v>932</v>
      </c>
      <c r="N6615" s="14">
        <v>0</v>
      </c>
      <c r="O6615" s="14">
        <v>-1200</v>
      </c>
      <c r="P6615" s="14">
        <v>-268</v>
      </c>
      <c r="Q6615">
        <v>8296</v>
      </c>
      <c r="R6615">
        <v>1165</v>
      </c>
      <c r="S6615">
        <v>2385</v>
      </c>
    </row>
    <row r="6616" spans="11:19" x14ac:dyDescent="0.3">
      <c r="K6616" s="16">
        <f t="shared" si="102"/>
        <v>44291</v>
      </c>
      <c r="L6616" s="17">
        <v>0.58333333333333337</v>
      </c>
      <c r="M6616" s="14">
        <v>932</v>
      </c>
      <c r="N6616" s="14">
        <v>0</v>
      </c>
      <c r="O6616" s="14">
        <v>-1200</v>
      </c>
      <c r="P6616" s="14">
        <v>-268</v>
      </c>
      <c r="Q6616">
        <v>7806</v>
      </c>
      <c r="R6616">
        <v>1175</v>
      </c>
      <c r="S6616">
        <v>2331</v>
      </c>
    </row>
    <row r="6617" spans="11:19" x14ac:dyDescent="0.3">
      <c r="K6617" s="16">
        <f t="shared" si="102"/>
        <v>44291</v>
      </c>
      <c r="L6617" s="17">
        <v>0.625</v>
      </c>
      <c r="M6617" s="14">
        <v>932</v>
      </c>
      <c r="N6617" s="14">
        <v>0</v>
      </c>
      <c r="O6617" s="14">
        <v>-1200</v>
      </c>
      <c r="P6617" s="14">
        <v>-268</v>
      </c>
      <c r="Q6617">
        <v>7446</v>
      </c>
      <c r="R6617">
        <v>1479</v>
      </c>
      <c r="S6617">
        <v>2164</v>
      </c>
    </row>
    <row r="6618" spans="11:19" x14ac:dyDescent="0.3">
      <c r="K6618" s="16">
        <f t="shared" si="102"/>
        <v>44291</v>
      </c>
      <c r="L6618" s="17">
        <v>0.66666666666666663</v>
      </c>
      <c r="M6618" s="14">
        <v>932</v>
      </c>
      <c r="N6618" s="14">
        <v>0</v>
      </c>
      <c r="O6618" s="14">
        <v>-1200</v>
      </c>
      <c r="P6618" s="14">
        <v>-268</v>
      </c>
      <c r="Q6618">
        <v>7225</v>
      </c>
      <c r="R6618">
        <v>1632</v>
      </c>
      <c r="S6618">
        <v>1887</v>
      </c>
    </row>
    <row r="6619" spans="11:19" x14ac:dyDescent="0.3">
      <c r="K6619" s="16">
        <f t="shared" ref="K6619:K6682" si="103">K6595+1</f>
        <v>44291</v>
      </c>
      <c r="L6619" s="17">
        <v>0.70833333333333337</v>
      </c>
      <c r="M6619" s="14">
        <v>932</v>
      </c>
      <c r="N6619" s="14">
        <v>0</v>
      </c>
      <c r="O6619" s="14">
        <v>-1200</v>
      </c>
      <c r="P6619" s="14">
        <v>-268</v>
      </c>
      <c r="Q6619">
        <v>7223</v>
      </c>
      <c r="R6619">
        <v>2007</v>
      </c>
      <c r="S6619">
        <v>1418</v>
      </c>
    </row>
    <row r="6620" spans="11:19" x14ac:dyDescent="0.3">
      <c r="K6620" s="16">
        <f t="shared" si="103"/>
        <v>44291</v>
      </c>
      <c r="L6620" s="17">
        <v>0.75</v>
      </c>
      <c r="M6620" s="14">
        <v>932</v>
      </c>
      <c r="N6620" s="14">
        <v>0</v>
      </c>
      <c r="O6620" s="14">
        <v>-1178</v>
      </c>
      <c r="P6620" s="14">
        <v>-246</v>
      </c>
      <c r="Q6620">
        <v>7585</v>
      </c>
      <c r="R6620">
        <v>1962</v>
      </c>
      <c r="S6620">
        <v>758</v>
      </c>
    </row>
    <row r="6621" spans="11:19" x14ac:dyDescent="0.3">
      <c r="K6621" s="16">
        <f t="shared" si="103"/>
        <v>44291</v>
      </c>
      <c r="L6621" s="17">
        <v>0.79166666666666663</v>
      </c>
      <c r="M6621" s="14">
        <v>932</v>
      </c>
      <c r="N6621" s="14">
        <v>0</v>
      </c>
      <c r="O6621" s="14">
        <v>-195</v>
      </c>
      <c r="P6621" s="14">
        <v>737</v>
      </c>
      <c r="Q6621">
        <v>8079</v>
      </c>
      <c r="R6621">
        <v>2052</v>
      </c>
      <c r="S6621">
        <v>183</v>
      </c>
    </row>
    <row r="6622" spans="11:19" x14ac:dyDescent="0.3">
      <c r="K6622" s="16">
        <f t="shared" si="103"/>
        <v>44291</v>
      </c>
      <c r="L6622" s="17">
        <v>0.83333333333333337</v>
      </c>
      <c r="M6622" s="14">
        <v>932</v>
      </c>
      <c r="N6622" s="14">
        <v>0</v>
      </c>
      <c r="O6622" s="14">
        <v>186</v>
      </c>
      <c r="P6622" s="14">
        <v>1118</v>
      </c>
      <c r="Q6622">
        <v>8296</v>
      </c>
      <c r="R6622">
        <v>2064</v>
      </c>
      <c r="S6622">
        <v>4</v>
      </c>
    </row>
    <row r="6623" spans="11:19" x14ac:dyDescent="0.3">
      <c r="K6623" s="16">
        <f t="shared" si="103"/>
        <v>44291</v>
      </c>
      <c r="L6623" s="17">
        <v>0.875</v>
      </c>
      <c r="M6623" s="14">
        <v>932</v>
      </c>
      <c r="N6623" s="14">
        <v>0</v>
      </c>
      <c r="O6623" s="14">
        <v>374</v>
      </c>
      <c r="P6623" s="14">
        <v>1306</v>
      </c>
      <c r="Q6623">
        <v>8269</v>
      </c>
      <c r="R6623">
        <v>1859</v>
      </c>
      <c r="S6623">
        <v>0</v>
      </c>
    </row>
    <row r="6624" spans="11:19" x14ac:dyDescent="0.3">
      <c r="K6624" s="16">
        <f t="shared" si="103"/>
        <v>44291</v>
      </c>
      <c r="L6624" s="17">
        <v>0.91666666666666663</v>
      </c>
      <c r="M6624" s="14">
        <v>932</v>
      </c>
      <c r="N6624" s="14">
        <v>0</v>
      </c>
      <c r="O6624" s="14">
        <v>854</v>
      </c>
      <c r="P6624" s="14">
        <v>1786</v>
      </c>
      <c r="Q6624">
        <v>8584</v>
      </c>
      <c r="R6624">
        <v>1459</v>
      </c>
      <c r="S6624">
        <v>0</v>
      </c>
    </row>
    <row r="6625" spans="11:19" x14ac:dyDescent="0.3">
      <c r="K6625" s="16">
        <f t="shared" si="103"/>
        <v>44291</v>
      </c>
      <c r="L6625" s="17">
        <v>0.95833333333333337</v>
      </c>
      <c r="M6625" s="14">
        <v>932</v>
      </c>
      <c r="N6625" s="14">
        <v>607</v>
      </c>
      <c r="O6625" s="14">
        <v>867</v>
      </c>
      <c r="P6625" s="14">
        <v>2406</v>
      </c>
      <c r="Q6625">
        <v>8891</v>
      </c>
      <c r="R6625">
        <v>1165</v>
      </c>
      <c r="S6625">
        <v>0</v>
      </c>
    </row>
    <row r="6626" spans="11:19" x14ac:dyDescent="0.3">
      <c r="K6626" s="16">
        <f t="shared" si="103"/>
        <v>44292</v>
      </c>
      <c r="L6626" s="17">
        <v>0</v>
      </c>
      <c r="M6626" s="14">
        <v>932</v>
      </c>
      <c r="N6626" s="14">
        <v>1398</v>
      </c>
      <c r="O6626" s="14">
        <v>0</v>
      </c>
      <c r="P6626" s="14">
        <v>2330</v>
      </c>
      <c r="Q6626">
        <v>8699</v>
      </c>
      <c r="R6626">
        <v>1049</v>
      </c>
      <c r="S6626">
        <v>0</v>
      </c>
    </row>
    <row r="6627" spans="11:19" x14ac:dyDescent="0.3">
      <c r="K6627" s="16">
        <f t="shared" si="103"/>
        <v>44292</v>
      </c>
      <c r="L6627" s="17">
        <v>4.1666666666666664E-2</v>
      </c>
      <c r="M6627" s="14">
        <v>932</v>
      </c>
      <c r="N6627" s="14">
        <v>1404</v>
      </c>
      <c r="O6627" s="14">
        <v>0</v>
      </c>
      <c r="P6627" s="14">
        <v>2336</v>
      </c>
      <c r="Q6627">
        <v>8399</v>
      </c>
      <c r="R6627">
        <v>743</v>
      </c>
      <c r="S6627">
        <v>0</v>
      </c>
    </row>
    <row r="6628" spans="11:19" x14ac:dyDescent="0.3">
      <c r="K6628" s="16">
        <f t="shared" si="103"/>
        <v>44292</v>
      </c>
      <c r="L6628" s="17">
        <v>8.3333333333333329E-2</v>
      </c>
      <c r="M6628" s="14">
        <v>932</v>
      </c>
      <c r="N6628" s="14">
        <v>1263</v>
      </c>
      <c r="O6628" s="14">
        <v>0</v>
      </c>
      <c r="P6628" s="14">
        <v>2195</v>
      </c>
      <c r="Q6628">
        <v>8149</v>
      </c>
      <c r="R6628">
        <v>634</v>
      </c>
      <c r="S6628">
        <v>0</v>
      </c>
    </row>
    <row r="6629" spans="11:19" x14ac:dyDescent="0.3">
      <c r="K6629" s="16">
        <f t="shared" si="103"/>
        <v>44292</v>
      </c>
      <c r="L6629" s="17">
        <v>0.125</v>
      </c>
      <c r="M6629" s="14">
        <v>932</v>
      </c>
      <c r="N6629" s="14">
        <v>777</v>
      </c>
      <c r="O6629" s="14">
        <v>0</v>
      </c>
      <c r="P6629" s="14">
        <v>1709</v>
      </c>
      <c r="Q6629">
        <v>7793</v>
      </c>
      <c r="R6629">
        <v>680</v>
      </c>
      <c r="S6629">
        <v>0</v>
      </c>
    </row>
    <row r="6630" spans="11:19" x14ac:dyDescent="0.3">
      <c r="K6630" s="16">
        <f t="shared" si="103"/>
        <v>44292</v>
      </c>
      <c r="L6630" s="17">
        <v>0.16666666666666666</v>
      </c>
      <c r="M6630" s="14">
        <v>932</v>
      </c>
      <c r="N6630" s="14">
        <v>796</v>
      </c>
      <c r="O6630" s="14">
        <v>0</v>
      </c>
      <c r="P6630" s="14">
        <v>1728</v>
      </c>
      <c r="Q6630">
        <v>7793</v>
      </c>
      <c r="R6630">
        <v>652</v>
      </c>
      <c r="S6630">
        <v>0</v>
      </c>
    </row>
    <row r="6631" spans="11:19" x14ac:dyDescent="0.3">
      <c r="K6631" s="16">
        <f t="shared" si="103"/>
        <v>44292</v>
      </c>
      <c r="L6631" s="17">
        <v>0.20833333333333334</v>
      </c>
      <c r="M6631" s="14">
        <v>932</v>
      </c>
      <c r="N6631" s="14">
        <v>0</v>
      </c>
      <c r="O6631" s="14">
        <v>0</v>
      </c>
      <c r="P6631" s="14">
        <v>932</v>
      </c>
      <c r="Q6631">
        <v>8380</v>
      </c>
      <c r="R6631">
        <v>750</v>
      </c>
      <c r="S6631">
        <v>0</v>
      </c>
    </row>
    <row r="6632" spans="11:19" x14ac:dyDescent="0.3">
      <c r="K6632" s="16">
        <f t="shared" si="103"/>
        <v>44292</v>
      </c>
      <c r="L6632" s="17">
        <v>0.25</v>
      </c>
      <c r="M6632" s="14">
        <v>932</v>
      </c>
      <c r="N6632" s="14">
        <v>1459</v>
      </c>
      <c r="O6632" s="14">
        <v>790</v>
      </c>
      <c r="P6632" s="14">
        <v>3181</v>
      </c>
      <c r="Q6632">
        <v>9571</v>
      </c>
      <c r="R6632">
        <v>790</v>
      </c>
      <c r="S6632">
        <v>0</v>
      </c>
    </row>
    <row r="6633" spans="11:19" x14ac:dyDescent="0.3">
      <c r="K6633" s="16">
        <f t="shared" si="103"/>
        <v>44292</v>
      </c>
      <c r="L6633" s="17">
        <v>0.29166666666666669</v>
      </c>
      <c r="M6633" s="14">
        <v>932</v>
      </c>
      <c r="N6633" s="14">
        <v>1459</v>
      </c>
      <c r="O6633" s="14">
        <v>0</v>
      </c>
      <c r="P6633" s="14">
        <v>2391</v>
      </c>
      <c r="Q6633">
        <v>10421</v>
      </c>
      <c r="R6633">
        <v>880</v>
      </c>
      <c r="S6633">
        <v>26</v>
      </c>
    </row>
    <row r="6634" spans="11:19" x14ac:dyDescent="0.3">
      <c r="K6634" s="16">
        <f t="shared" si="103"/>
        <v>44292</v>
      </c>
      <c r="L6634" s="17">
        <v>0.33333333333333331</v>
      </c>
      <c r="M6634" s="14">
        <v>932</v>
      </c>
      <c r="N6634" s="14">
        <v>0</v>
      </c>
      <c r="O6634" s="14">
        <v>501</v>
      </c>
      <c r="P6634" s="14">
        <v>1433</v>
      </c>
      <c r="Q6634">
        <v>10790</v>
      </c>
      <c r="R6634">
        <v>951</v>
      </c>
      <c r="S6634">
        <v>327</v>
      </c>
    </row>
    <row r="6635" spans="11:19" x14ac:dyDescent="0.3">
      <c r="K6635" s="16">
        <f t="shared" si="103"/>
        <v>44292</v>
      </c>
      <c r="L6635" s="17">
        <v>0.375</v>
      </c>
      <c r="M6635" s="14">
        <v>932</v>
      </c>
      <c r="N6635" s="14">
        <v>0</v>
      </c>
      <c r="O6635" s="14">
        <v>0</v>
      </c>
      <c r="P6635" s="14">
        <v>932</v>
      </c>
      <c r="Q6635">
        <v>10854</v>
      </c>
      <c r="R6635">
        <v>937</v>
      </c>
      <c r="S6635">
        <v>1013</v>
      </c>
    </row>
    <row r="6636" spans="11:19" x14ac:dyDescent="0.3">
      <c r="K6636" s="16">
        <f t="shared" si="103"/>
        <v>44292</v>
      </c>
      <c r="L6636" s="17">
        <v>0.41666666666666669</v>
      </c>
      <c r="M6636" s="14">
        <v>932</v>
      </c>
      <c r="N6636" s="14">
        <v>0</v>
      </c>
      <c r="O6636" s="14">
        <v>0</v>
      </c>
      <c r="P6636" s="14">
        <v>932</v>
      </c>
      <c r="Q6636">
        <v>10677</v>
      </c>
      <c r="R6636">
        <v>890</v>
      </c>
      <c r="S6636">
        <v>1718</v>
      </c>
    </row>
    <row r="6637" spans="11:19" x14ac:dyDescent="0.3">
      <c r="K6637" s="16">
        <f t="shared" si="103"/>
        <v>44292</v>
      </c>
      <c r="L6637" s="17">
        <v>0.45833333333333331</v>
      </c>
      <c r="M6637" s="14">
        <v>932</v>
      </c>
      <c r="N6637" s="14">
        <v>921</v>
      </c>
      <c r="O6637" s="14">
        <v>0</v>
      </c>
      <c r="P6637" s="14">
        <v>1853</v>
      </c>
      <c r="Q6637">
        <v>10547</v>
      </c>
      <c r="R6637">
        <v>944</v>
      </c>
      <c r="S6637">
        <v>2216</v>
      </c>
    </row>
    <row r="6638" spans="11:19" x14ac:dyDescent="0.3">
      <c r="K6638" s="16">
        <f t="shared" si="103"/>
        <v>44292</v>
      </c>
      <c r="L6638" s="17">
        <v>0.5</v>
      </c>
      <c r="M6638" s="14">
        <v>932</v>
      </c>
      <c r="N6638" s="14">
        <v>0</v>
      </c>
      <c r="O6638" s="14">
        <v>0</v>
      </c>
      <c r="P6638" s="14">
        <v>932</v>
      </c>
      <c r="Q6638">
        <v>10421</v>
      </c>
      <c r="R6638">
        <v>1046</v>
      </c>
      <c r="S6638">
        <v>2484</v>
      </c>
    </row>
    <row r="6639" spans="11:19" x14ac:dyDescent="0.3">
      <c r="K6639" s="16">
        <f t="shared" si="103"/>
        <v>44292</v>
      </c>
      <c r="L6639" s="17">
        <v>0.54166666666666663</v>
      </c>
      <c r="M6639" s="14">
        <v>932</v>
      </c>
      <c r="N6639" s="14">
        <v>0</v>
      </c>
      <c r="O6639" s="14">
        <v>0</v>
      </c>
      <c r="P6639" s="14">
        <v>932</v>
      </c>
      <c r="Q6639">
        <v>10153</v>
      </c>
      <c r="R6639">
        <v>1034</v>
      </c>
      <c r="S6639">
        <v>2592</v>
      </c>
    </row>
    <row r="6640" spans="11:19" x14ac:dyDescent="0.3">
      <c r="K6640" s="16">
        <f t="shared" si="103"/>
        <v>44292</v>
      </c>
      <c r="L6640" s="17">
        <v>0.58333333333333337</v>
      </c>
      <c r="M6640" s="14">
        <v>932</v>
      </c>
      <c r="N6640" s="14">
        <v>0</v>
      </c>
      <c r="O6640" s="14">
        <v>-137</v>
      </c>
      <c r="P6640" s="14">
        <v>795</v>
      </c>
      <c r="Q6640">
        <v>9818</v>
      </c>
      <c r="R6640">
        <v>1280</v>
      </c>
      <c r="S6640">
        <v>2531</v>
      </c>
    </row>
    <row r="6641" spans="11:19" x14ac:dyDescent="0.3">
      <c r="K6641" s="16">
        <f t="shared" si="103"/>
        <v>44292</v>
      </c>
      <c r="L6641" s="17">
        <v>0.625</v>
      </c>
      <c r="M6641" s="14">
        <v>932</v>
      </c>
      <c r="N6641" s="14">
        <v>0</v>
      </c>
      <c r="O6641" s="14">
        <v>-519</v>
      </c>
      <c r="P6641" s="14">
        <v>413</v>
      </c>
      <c r="Q6641">
        <v>9420</v>
      </c>
      <c r="R6641">
        <v>1433</v>
      </c>
      <c r="S6641">
        <v>2362</v>
      </c>
    </row>
    <row r="6642" spans="11:19" x14ac:dyDescent="0.3">
      <c r="K6642" s="16">
        <f t="shared" si="103"/>
        <v>44292</v>
      </c>
      <c r="L6642" s="17">
        <v>0.66666666666666663</v>
      </c>
      <c r="M6642" s="14">
        <v>932</v>
      </c>
      <c r="N6642" s="14">
        <v>0</v>
      </c>
      <c r="O6642" s="14">
        <v>-717</v>
      </c>
      <c r="P6642" s="14">
        <v>215</v>
      </c>
      <c r="Q6642">
        <v>9117</v>
      </c>
      <c r="R6642">
        <v>1656</v>
      </c>
      <c r="S6642">
        <v>2036</v>
      </c>
    </row>
    <row r="6643" spans="11:19" x14ac:dyDescent="0.3">
      <c r="K6643" s="16">
        <f t="shared" si="103"/>
        <v>44292</v>
      </c>
      <c r="L6643" s="17">
        <v>0.70833333333333337</v>
      </c>
      <c r="M6643" s="14">
        <v>932</v>
      </c>
      <c r="N6643" s="14">
        <v>0</v>
      </c>
      <c r="O6643" s="14">
        <v>-239</v>
      </c>
      <c r="P6643" s="14">
        <v>693</v>
      </c>
      <c r="Q6643">
        <v>8989</v>
      </c>
      <c r="R6643">
        <v>1576</v>
      </c>
      <c r="S6643">
        <v>1510</v>
      </c>
    </row>
    <row r="6644" spans="11:19" x14ac:dyDescent="0.3">
      <c r="K6644" s="16">
        <f t="shared" si="103"/>
        <v>44292</v>
      </c>
      <c r="L6644" s="17">
        <v>0.75</v>
      </c>
      <c r="M6644" s="14">
        <v>932</v>
      </c>
      <c r="N6644" s="14">
        <v>0</v>
      </c>
      <c r="O6644" s="14">
        <v>0</v>
      </c>
      <c r="P6644" s="14">
        <v>932</v>
      </c>
      <c r="Q6644">
        <v>9284</v>
      </c>
      <c r="R6644">
        <v>1238</v>
      </c>
      <c r="S6644">
        <v>829</v>
      </c>
    </row>
    <row r="6645" spans="11:19" x14ac:dyDescent="0.3">
      <c r="K6645" s="16">
        <f t="shared" si="103"/>
        <v>44292</v>
      </c>
      <c r="L6645" s="17">
        <v>0.79166666666666663</v>
      </c>
      <c r="M6645" s="14">
        <v>932</v>
      </c>
      <c r="N6645" s="14">
        <v>1459</v>
      </c>
      <c r="O6645" s="14">
        <v>0</v>
      </c>
      <c r="P6645" s="14">
        <v>2391</v>
      </c>
      <c r="Q6645">
        <v>9589</v>
      </c>
      <c r="R6645">
        <v>1390</v>
      </c>
      <c r="S6645">
        <v>217</v>
      </c>
    </row>
    <row r="6646" spans="11:19" x14ac:dyDescent="0.3">
      <c r="K6646" s="16">
        <f t="shared" si="103"/>
        <v>44292</v>
      </c>
      <c r="L6646" s="17">
        <v>0.83333333333333337</v>
      </c>
      <c r="M6646" s="14">
        <v>932</v>
      </c>
      <c r="N6646" s="14">
        <v>1459</v>
      </c>
      <c r="O6646" s="14">
        <v>0</v>
      </c>
      <c r="P6646" s="14">
        <v>2391</v>
      </c>
      <c r="Q6646">
        <v>9562</v>
      </c>
      <c r="R6646">
        <v>1490</v>
      </c>
      <c r="S6646">
        <v>8</v>
      </c>
    </row>
    <row r="6647" spans="11:19" x14ac:dyDescent="0.3">
      <c r="K6647" s="16">
        <f t="shared" si="103"/>
        <v>44292</v>
      </c>
      <c r="L6647" s="17">
        <v>0.875</v>
      </c>
      <c r="M6647" s="14">
        <v>932</v>
      </c>
      <c r="N6647" s="14">
        <v>0</v>
      </c>
      <c r="O6647" s="14">
        <v>0</v>
      </c>
      <c r="P6647" s="14">
        <v>932</v>
      </c>
      <c r="Q6647">
        <v>9251</v>
      </c>
      <c r="R6647">
        <v>1479</v>
      </c>
      <c r="S6647">
        <v>0</v>
      </c>
    </row>
    <row r="6648" spans="11:19" x14ac:dyDescent="0.3">
      <c r="K6648" s="16">
        <f t="shared" si="103"/>
        <v>44292</v>
      </c>
      <c r="L6648" s="17">
        <v>0.91666666666666663</v>
      </c>
      <c r="M6648" s="14">
        <v>932</v>
      </c>
      <c r="N6648" s="14">
        <v>1459</v>
      </c>
      <c r="O6648" s="14">
        <v>0</v>
      </c>
      <c r="P6648" s="14">
        <v>2391</v>
      </c>
      <c r="Q6648">
        <v>9454</v>
      </c>
      <c r="R6648">
        <v>1316</v>
      </c>
      <c r="S6648">
        <v>0</v>
      </c>
    </row>
    <row r="6649" spans="11:19" x14ac:dyDescent="0.3">
      <c r="K6649" s="16">
        <f t="shared" si="103"/>
        <v>44292</v>
      </c>
      <c r="L6649" s="17">
        <v>0.95833333333333337</v>
      </c>
      <c r="M6649" s="14">
        <v>932</v>
      </c>
      <c r="N6649" s="14">
        <v>1459</v>
      </c>
      <c r="O6649" s="14">
        <v>0</v>
      </c>
      <c r="P6649" s="14">
        <v>2391</v>
      </c>
      <c r="Q6649">
        <v>9654</v>
      </c>
      <c r="R6649">
        <v>1142</v>
      </c>
      <c r="S6649">
        <v>0</v>
      </c>
    </row>
    <row r="6650" spans="11:19" x14ac:dyDescent="0.3">
      <c r="K6650" s="16">
        <f t="shared" si="103"/>
        <v>44293</v>
      </c>
      <c r="L6650" s="17">
        <v>0</v>
      </c>
      <c r="M6650" s="14">
        <v>932</v>
      </c>
      <c r="N6650" s="14">
        <v>1472</v>
      </c>
      <c r="O6650" s="14">
        <v>0</v>
      </c>
      <c r="P6650" s="14">
        <v>2404</v>
      </c>
      <c r="Q6650">
        <v>9164</v>
      </c>
      <c r="R6650">
        <v>1436</v>
      </c>
      <c r="S6650">
        <v>0</v>
      </c>
    </row>
    <row r="6651" spans="11:19" x14ac:dyDescent="0.3">
      <c r="K6651" s="16">
        <f t="shared" si="103"/>
        <v>44293</v>
      </c>
      <c r="L6651" s="17">
        <v>4.1666666666666664E-2</v>
      </c>
      <c r="M6651" s="14">
        <v>932</v>
      </c>
      <c r="N6651" s="14">
        <v>0</v>
      </c>
      <c r="O6651" s="14">
        <v>0</v>
      </c>
      <c r="P6651" s="14">
        <v>932</v>
      </c>
      <c r="Q6651">
        <v>8819</v>
      </c>
      <c r="R6651">
        <v>1128</v>
      </c>
      <c r="S6651">
        <v>0</v>
      </c>
    </row>
    <row r="6652" spans="11:19" x14ac:dyDescent="0.3">
      <c r="K6652" s="16">
        <f t="shared" si="103"/>
        <v>44293</v>
      </c>
      <c r="L6652" s="17">
        <v>8.3333333333333329E-2</v>
      </c>
      <c r="M6652" s="14">
        <v>932</v>
      </c>
      <c r="N6652" s="14">
        <v>1311</v>
      </c>
      <c r="O6652" s="14">
        <v>0</v>
      </c>
      <c r="P6652" s="14">
        <v>2243</v>
      </c>
      <c r="Q6652">
        <v>8561</v>
      </c>
      <c r="R6652">
        <v>995</v>
      </c>
      <c r="S6652">
        <v>0</v>
      </c>
    </row>
    <row r="6653" spans="11:19" x14ac:dyDescent="0.3">
      <c r="K6653" s="16">
        <f t="shared" si="103"/>
        <v>44293</v>
      </c>
      <c r="L6653" s="17">
        <v>0.125</v>
      </c>
      <c r="M6653" s="14">
        <v>932</v>
      </c>
      <c r="N6653" s="14">
        <v>1169</v>
      </c>
      <c r="O6653" s="14">
        <v>0</v>
      </c>
      <c r="P6653" s="14">
        <v>2101</v>
      </c>
      <c r="Q6653">
        <v>8207</v>
      </c>
      <c r="R6653">
        <v>779</v>
      </c>
      <c r="S6653">
        <v>0</v>
      </c>
    </row>
    <row r="6654" spans="11:19" x14ac:dyDescent="0.3">
      <c r="K6654" s="16">
        <f t="shared" si="103"/>
        <v>44293</v>
      </c>
      <c r="L6654" s="17">
        <v>0.16666666666666666</v>
      </c>
      <c r="M6654" s="14">
        <v>932</v>
      </c>
      <c r="N6654" s="14">
        <v>0</v>
      </c>
      <c r="O6654" s="14">
        <v>0</v>
      </c>
      <c r="P6654" s="14">
        <v>932</v>
      </c>
      <c r="Q6654">
        <v>8174</v>
      </c>
      <c r="R6654">
        <v>776</v>
      </c>
      <c r="S6654">
        <v>0</v>
      </c>
    </row>
    <row r="6655" spans="11:19" x14ac:dyDescent="0.3">
      <c r="K6655" s="16">
        <f t="shared" si="103"/>
        <v>44293</v>
      </c>
      <c r="L6655" s="17">
        <v>0.20833333333333334</v>
      </c>
      <c r="M6655" s="14">
        <v>932</v>
      </c>
      <c r="N6655" s="14">
        <v>1398</v>
      </c>
      <c r="O6655" s="14">
        <v>0</v>
      </c>
      <c r="P6655" s="14">
        <v>2330</v>
      </c>
      <c r="Q6655">
        <v>8700</v>
      </c>
      <c r="R6655">
        <v>854</v>
      </c>
      <c r="S6655">
        <v>0</v>
      </c>
    </row>
    <row r="6656" spans="11:19" x14ac:dyDescent="0.3">
      <c r="K6656" s="16">
        <f t="shared" si="103"/>
        <v>44293</v>
      </c>
      <c r="L6656" s="17">
        <v>0.25</v>
      </c>
      <c r="M6656" s="14">
        <v>932</v>
      </c>
      <c r="N6656" s="14">
        <v>1647</v>
      </c>
      <c r="O6656" s="14">
        <v>0</v>
      </c>
      <c r="P6656" s="14">
        <v>2579</v>
      </c>
      <c r="Q6656">
        <v>9873</v>
      </c>
      <c r="R6656">
        <v>881</v>
      </c>
      <c r="S6656">
        <v>0</v>
      </c>
    </row>
    <row r="6657" spans="11:19" x14ac:dyDescent="0.3">
      <c r="K6657" s="16">
        <f t="shared" si="103"/>
        <v>44293</v>
      </c>
      <c r="L6657" s="17">
        <v>0.29166666666666669</v>
      </c>
      <c r="M6657" s="14">
        <v>932</v>
      </c>
      <c r="N6657" s="14">
        <v>1647</v>
      </c>
      <c r="O6657" s="14">
        <v>0</v>
      </c>
      <c r="P6657" s="14">
        <v>2579</v>
      </c>
      <c r="Q6657">
        <v>10711</v>
      </c>
      <c r="R6657">
        <v>811</v>
      </c>
      <c r="S6657">
        <v>18</v>
      </c>
    </row>
    <row r="6658" spans="11:19" x14ac:dyDescent="0.3">
      <c r="K6658" s="16">
        <f t="shared" si="103"/>
        <v>44293</v>
      </c>
      <c r="L6658" s="17">
        <v>0.33333333333333331</v>
      </c>
      <c r="M6658" s="14">
        <v>932</v>
      </c>
      <c r="N6658" s="14">
        <v>1647</v>
      </c>
      <c r="O6658" s="14">
        <v>0</v>
      </c>
      <c r="P6658" s="14">
        <v>2579</v>
      </c>
      <c r="Q6658">
        <v>11072</v>
      </c>
      <c r="R6658">
        <v>653</v>
      </c>
      <c r="S6658">
        <v>269</v>
      </c>
    </row>
    <row r="6659" spans="11:19" x14ac:dyDescent="0.3">
      <c r="K6659" s="16">
        <f t="shared" si="103"/>
        <v>44293</v>
      </c>
      <c r="L6659" s="17">
        <v>0.375</v>
      </c>
      <c r="M6659" s="14">
        <v>932</v>
      </c>
      <c r="N6659" s="14">
        <v>1647</v>
      </c>
      <c r="O6659" s="14">
        <v>0</v>
      </c>
      <c r="P6659" s="14">
        <v>2579</v>
      </c>
      <c r="Q6659">
        <v>11111</v>
      </c>
      <c r="R6659">
        <v>832</v>
      </c>
      <c r="S6659">
        <v>862</v>
      </c>
    </row>
    <row r="6660" spans="11:19" x14ac:dyDescent="0.3">
      <c r="K6660" s="16">
        <f t="shared" si="103"/>
        <v>44293</v>
      </c>
      <c r="L6660" s="17">
        <v>0.41666666666666669</v>
      </c>
      <c r="M6660" s="14">
        <v>932</v>
      </c>
      <c r="N6660" s="14">
        <v>1647</v>
      </c>
      <c r="O6660" s="14">
        <v>0</v>
      </c>
      <c r="P6660" s="14">
        <v>2579</v>
      </c>
      <c r="Q6660">
        <v>10925</v>
      </c>
      <c r="R6660">
        <v>888</v>
      </c>
      <c r="S6660">
        <v>1468</v>
      </c>
    </row>
    <row r="6661" spans="11:19" x14ac:dyDescent="0.3">
      <c r="K6661" s="16">
        <f t="shared" si="103"/>
        <v>44293</v>
      </c>
      <c r="L6661" s="17">
        <v>0.45833333333333331</v>
      </c>
      <c r="M6661" s="14">
        <v>932</v>
      </c>
      <c r="N6661" s="14">
        <v>0</v>
      </c>
      <c r="O6661" s="14">
        <v>0</v>
      </c>
      <c r="P6661" s="14">
        <v>932</v>
      </c>
      <c r="Q6661">
        <v>10831</v>
      </c>
      <c r="R6661">
        <v>1010</v>
      </c>
      <c r="S6661">
        <v>1900</v>
      </c>
    </row>
    <row r="6662" spans="11:19" x14ac:dyDescent="0.3">
      <c r="K6662" s="16">
        <f t="shared" si="103"/>
        <v>44293</v>
      </c>
      <c r="L6662" s="17">
        <v>0.5</v>
      </c>
      <c r="M6662" s="14">
        <v>932</v>
      </c>
      <c r="N6662" s="14">
        <v>1153</v>
      </c>
      <c r="O6662" s="14">
        <v>0</v>
      </c>
      <c r="P6662" s="14">
        <v>2085</v>
      </c>
      <c r="Q6662">
        <v>10689</v>
      </c>
      <c r="R6662">
        <v>1037</v>
      </c>
      <c r="S6662">
        <v>2109</v>
      </c>
    </row>
    <row r="6663" spans="11:19" x14ac:dyDescent="0.3">
      <c r="K6663" s="16">
        <f t="shared" si="103"/>
        <v>44293</v>
      </c>
      <c r="L6663" s="17">
        <v>0.54166666666666663</v>
      </c>
      <c r="M6663" s="14">
        <v>932</v>
      </c>
      <c r="N6663" s="14">
        <v>0</v>
      </c>
      <c r="O6663" s="14">
        <v>0</v>
      </c>
      <c r="P6663" s="14">
        <v>932</v>
      </c>
      <c r="Q6663">
        <v>10403</v>
      </c>
      <c r="R6663">
        <v>1012</v>
      </c>
      <c r="S6663">
        <v>2194</v>
      </c>
    </row>
    <row r="6664" spans="11:19" x14ac:dyDescent="0.3">
      <c r="K6664" s="16">
        <f t="shared" si="103"/>
        <v>44293</v>
      </c>
      <c r="L6664" s="17">
        <v>0.58333333333333337</v>
      </c>
      <c r="M6664" s="14">
        <v>932</v>
      </c>
      <c r="N6664" s="14">
        <v>642</v>
      </c>
      <c r="O6664" s="14">
        <v>0</v>
      </c>
      <c r="P6664" s="14">
        <v>1574</v>
      </c>
      <c r="Q6664">
        <v>10078</v>
      </c>
      <c r="R6664">
        <v>1128</v>
      </c>
      <c r="S6664">
        <v>2160</v>
      </c>
    </row>
    <row r="6665" spans="11:19" x14ac:dyDescent="0.3">
      <c r="K6665" s="16">
        <f t="shared" si="103"/>
        <v>44293</v>
      </c>
      <c r="L6665" s="17">
        <v>0.625</v>
      </c>
      <c r="M6665" s="14">
        <v>932</v>
      </c>
      <c r="N6665" s="14">
        <v>227</v>
      </c>
      <c r="O6665" s="14">
        <v>0</v>
      </c>
      <c r="P6665" s="14">
        <v>1159</v>
      </c>
      <c r="Q6665">
        <v>9702</v>
      </c>
      <c r="R6665">
        <v>1290</v>
      </c>
      <c r="S6665">
        <v>2038</v>
      </c>
    </row>
    <row r="6666" spans="11:19" x14ac:dyDescent="0.3">
      <c r="K6666" s="16">
        <f t="shared" si="103"/>
        <v>44293</v>
      </c>
      <c r="L6666" s="17">
        <v>0.66666666666666663</v>
      </c>
      <c r="M6666" s="14">
        <v>932</v>
      </c>
      <c r="N6666" s="14">
        <v>0</v>
      </c>
      <c r="O6666" s="14">
        <v>0</v>
      </c>
      <c r="P6666" s="14">
        <v>932</v>
      </c>
      <c r="Q6666">
        <v>9418</v>
      </c>
      <c r="R6666">
        <v>1507</v>
      </c>
      <c r="S6666">
        <v>1742</v>
      </c>
    </row>
    <row r="6667" spans="11:19" x14ac:dyDescent="0.3">
      <c r="K6667" s="16">
        <f t="shared" si="103"/>
        <v>44293</v>
      </c>
      <c r="L6667" s="17">
        <v>0.70833333333333337</v>
      </c>
      <c r="M6667" s="14">
        <v>932</v>
      </c>
      <c r="N6667" s="14">
        <v>124</v>
      </c>
      <c r="O6667" s="14">
        <v>0</v>
      </c>
      <c r="P6667" s="14">
        <v>1056</v>
      </c>
      <c r="Q6667">
        <v>9295</v>
      </c>
      <c r="R6667">
        <v>1719</v>
      </c>
      <c r="S6667">
        <v>1306</v>
      </c>
    </row>
    <row r="6668" spans="11:19" x14ac:dyDescent="0.3">
      <c r="K6668" s="16">
        <f t="shared" si="103"/>
        <v>44293</v>
      </c>
      <c r="L6668" s="17">
        <v>0.75</v>
      </c>
      <c r="M6668" s="14">
        <v>932</v>
      </c>
      <c r="N6668" s="14">
        <v>1055</v>
      </c>
      <c r="O6668" s="14">
        <v>0</v>
      </c>
      <c r="P6668" s="14">
        <v>1987</v>
      </c>
      <c r="Q6668">
        <v>9592</v>
      </c>
      <c r="R6668">
        <v>1665</v>
      </c>
      <c r="S6668">
        <v>729</v>
      </c>
    </row>
    <row r="6669" spans="11:19" x14ac:dyDescent="0.3">
      <c r="K6669" s="16">
        <f t="shared" si="103"/>
        <v>44293</v>
      </c>
      <c r="L6669" s="17">
        <v>0.79166666666666663</v>
      </c>
      <c r="M6669" s="14">
        <v>932</v>
      </c>
      <c r="N6669" s="14">
        <v>0</v>
      </c>
      <c r="O6669" s="14">
        <v>0</v>
      </c>
      <c r="P6669" s="14">
        <v>932</v>
      </c>
      <c r="Q6669">
        <v>9771</v>
      </c>
      <c r="R6669">
        <v>1933</v>
      </c>
      <c r="S6669">
        <v>194</v>
      </c>
    </row>
    <row r="6670" spans="11:19" x14ac:dyDescent="0.3">
      <c r="K6670" s="16">
        <f t="shared" si="103"/>
        <v>44293</v>
      </c>
      <c r="L6670" s="17">
        <v>0.83333333333333337</v>
      </c>
      <c r="M6670" s="14">
        <v>932</v>
      </c>
      <c r="N6670" s="14">
        <v>1267</v>
      </c>
      <c r="O6670" s="14">
        <v>0</v>
      </c>
      <c r="P6670" s="14">
        <v>2199</v>
      </c>
      <c r="Q6670">
        <v>9713</v>
      </c>
      <c r="R6670">
        <v>2063</v>
      </c>
      <c r="S6670">
        <v>9</v>
      </c>
    </row>
    <row r="6671" spans="11:19" x14ac:dyDescent="0.3">
      <c r="K6671" s="16">
        <f t="shared" si="103"/>
        <v>44293</v>
      </c>
      <c r="L6671" s="17">
        <v>0.875</v>
      </c>
      <c r="M6671" s="14">
        <v>932</v>
      </c>
      <c r="N6671" s="14">
        <v>1241</v>
      </c>
      <c r="O6671" s="14">
        <v>0</v>
      </c>
      <c r="P6671" s="14">
        <v>2173</v>
      </c>
      <c r="Q6671">
        <v>9454</v>
      </c>
      <c r="R6671">
        <v>1844</v>
      </c>
      <c r="S6671">
        <v>0</v>
      </c>
    </row>
    <row r="6672" spans="11:19" x14ac:dyDescent="0.3">
      <c r="K6672" s="16">
        <f t="shared" si="103"/>
        <v>44293</v>
      </c>
      <c r="L6672" s="17">
        <v>0.91666666666666663</v>
      </c>
      <c r="M6672" s="14">
        <v>932</v>
      </c>
      <c r="N6672" s="14">
        <v>1622</v>
      </c>
      <c r="O6672" s="14">
        <v>0</v>
      </c>
      <c r="P6672" s="14">
        <v>2554</v>
      </c>
      <c r="Q6672">
        <v>9629</v>
      </c>
      <c r="R6672">
        <v>1641</v>
      </c>
      <c r="S6672">
        <v>0</v>
      </c>
    </row>
    <row r="6673" spans="11:19" x14ac:dyDescent="0.3">
      <c r="K6673" s="16">
        <f t="shared" si="103"/>
        <v>44293</v>
      </c>
      <c r="L6673" s="17">
        <v>0.95833333333333337</v>
      </c>
      <c r="M6673" s="14">
        <v>932</v>
      </c>
      <c r="N6673" s="14">
        <v>0</v>
      </c>
      <c r="O6673" s="14">
        <v>0</v>
      </c>
      <c r="P6673" s="14">
        <v>932</v>
      </c>
      <c r="Q6673">
        <v>9830</v>
      </c>
      <c r="R6673">
        <v>1508</v>
      </c>
      <c r="S6673">
        <v>0</v>
      </c>
    </row>
    <row r="6674" spans="11:19" x14ac:dyDescent="0.3">
      <c r="K6674" s="16">
        <f t="shared" si="103"/>
        <v>44294</v>
      </c>
      <c r="L6674" s="17">
        <v>0</v>
      </c>
      <c r="M6674" s="14">
        <v>932</v>
      </c>
      <c r="N6674" s="14">
        <v>0</v>
      </c>
      <c r="O6674" s="14">
        <v>0</v>
      </c>
      <c r="P6674" s="14">
        <v>932</v>
      </c>
      <c r="Q6674">
        <v>9279</v>
      </c>
      <c r="R6674">
        <v>1530</v>
      </c>
      <c r="S6674">
        <v>0</v>
      </c>
    </row>
    <row r="6675" spans="11:19" x14ac:dyDescent="0.3">
      <c r="K6675" s="16">
        <f t="shared" si="103"/>
        <v>44294</v>
      </c>
      <c r="L6675" s="17">
        <v>4.1666666666666664E-2</v>
      </c>
      <c r="M6675" s="14">
        <v>932</v>
      </c>
      <c r="N6675" s="14">
        <v>1250</v>
      </c>
      <c r="O6675" s="14">
        <v>0</v>
      </c>
      <c r="P6675" s="14">
        <v>2182</v>
      </c>
      <c r="Q6675">
        <v>8928</v>
      </c>
      <c r="R6675">
        <v>1220</v>
      </c>
      <c r="S6675">
        <v>0</v>
      </c>
    </row>
    <row r="6676" spans="11:19" x14ac:dyDescent="0.3">
      <c r="K6676" s="16">
        <f t="shared" si="103"/>
        <v>44294</v>
      </c>
      <c r="L6676" s="17">
        <v>8.3333333333333329E-2</v>
      </c>
      <c r="M6676" s="14">
        <v>932</v>
      </c>
      <c r="N6676" s="14">
        <v>0</v>
      </c>
      <c r="O6676" s="14">
        <v>0</v>
      </c>
      <c r="P6676" s="14">
        <v>932</v>
      </c>
      <c r="Q6676">
        <v>8662</v>
      </c>
      <c r="R6676">
        <v>1254</v>
      </c>
      <c r="S6676">
        <v>0</v>
      </c>
    </row>
    <row r="6677" spans="11:19" x14ac:dyDescent="0.3">
      <c r="K6677" s="16">
        <f t="shared" si="103"/>
        <v>44294</v>
      </c>
      <c r="L6677" s="17">
        <v>0.125</v>
      </c>
      <c r="M6677" s="14">
        <v>932</v>
      </c>
      <c r="N6677" s="14">
        <v>722</v>
      </c>
      <c r="O6677" s="14">
        <v>0</v>
      </c>
      <c r="P6677" s="14">
        <v>1654</v>
      </c>
      <c r="Q6677">
        <v>8298</v>
      </c>
      <c r="R6677">
        <v>1316</v>
      </c>
      <c r="S6677">
        <v>0</v>
      </c>
    </row>
    <row r="6678" spans="11:19" x14ac:dyDescent="0.3">
      <c r="K6678" s="16">
        <f t="shared" si="103"/>
        <v>44294</v>
      </c>
      <c r="L6678" s="17">
        <v>0.16666666666666666</v>
      </c>
      <c r="M6678" s="14">
        <v>932</v>
      </c>
      <c r="N6678" s="14">
        <v>342</v>
      </c>
      <c r="O6678" s="14">
        <v>0</v>
      </c>
      <c r="P6678" s="14">
        <v>1274</v>
      </c>
      <c r="Q6678">
        <v>8254</v>
      </c>
      <c r="R6678">
        <v>1643</v>
      </c>
      <c r="S6678">
        <v>0</v>
      </c>
    </row>
    <row r="6679" spans="11:19" x14ac:dyDescent="0.3">
      <c r="K6679" s="16">
        <f t="shared" si="103"/>
        <v>44294</v>
      </c>
      <c r="L6679" s="17">
        <v>0.20833333333333334</v>
      </c>
      <c r="M6679" s="14">
        <v>932</v>
      </c>
      <c r="N6679" s="14">
        <v>774</v>
      </c>
      <c r="O6679" s="14">
        <v>0</v>
      </c>
      <c r="P6679" s="14">
        <v>1706</v>
      </c>
      <c r="Q6679">
        <v>8770</v>
      </c>
      <c r="R6679">
        <v>1547</v>
      </c>
      <c r="S6679">
        <v>0</v>
      </c>
    </row>
    <row r="6680" spans="11:19" x14ac:dyDescent="0.3">
      <c r="K6680" s="16">
        <f t="shared" si="103"/>
        <v>44294</v>
      </c>
      <c r="L6680" s="17">
        <v>0.25</v>
      </c>
      <c r="M6680" s="14">
        <v>932</v>
      </c>
      <c r="N6680" s="14">
        <v>1250</v>
      </c>
      <c r="O6680" s="14">
        <v>352</v>
      </c>
      <c r="P6680" s="14">
        <v>2534</v>
      </c>
      <c r="Q6680">
        <v>9921</v>
      </c>
      <c r="R6680">
        <v>1533</v>
      </c>
      <c r="S6680">
        <v>0</v>
      </c>
    </row>
    <row r="6681" spans="11:19" x14ac:dyDescent="0.3">
      <c r="K6681" s="16">
        <f t="shared" si="103"/>
        <v>44294</v>
      </c>
      <c r="L6681" s="17">
        <v>0.29166666666666669</v>
      </c>
      <c r="M6681" s="14">
        <v>932</v>
      </c>
      <c r="N6681" s="14">
        <v>0</v>
      </c>
      <c r="O6681" s="14">
        <v>0</v>
      </c>
      <c r="P6681" s="14">
        <v>932</v>
      </c>
      <c r="Q6681">
        <v>10741</v>
      </c>
      <c r="R6681">
        <v>1719</v>
      </c>
      <c r="S6681">
        <v>11</v>
      </c>
    </row>
    <row r="6682" spans="11:19" x14ac:dyDescent="0.3">
      <c r="K6682" s="16">
        <f t="shared" si="103"/>
        <v>44294</v>
      </c>
      <c r="L6682" s="17">
        <v>0.33333333333333331</v>
      </c>
      <c r="M6682" s="14">
        <v>932</v>
      </c>
      <c r="N6682" s="14">
        <v>1250</v>
      </c>
      <c r="O6682" s="14">
        <v>0</v>
      </c>
      <c r="P6682" s="14">
        <v>2182</v>
      </c>
      <c r="Q6682">
        <v>11130</v>
      </c>
      <c r="R6682">
        <v>1729</v>
      </c>
      <c r="S6682">
        <v>241</v>
      </c>
    </row>
    <row r="6683" spans="11:19" x14ac:dyDescent="0.3">
      <c r="K6683" s="16">
        <f t="shared" ref="K6683:K6746" si="104">K6659+1</f>
        <v>44294</v>
      </c>
      <c r="L6683" s="17">
        <v>0.375</v>
      </c>
      <c r="M6683" s="14">
        <v>932</v>
      </c>
      <c r="N6683" s="14">
        <v>1250</v>
      </c>
      <c r="O6683" s="14">
        <v>0</v>
      </c>
      <c r="P6683" s="14">
        <v>2182</v>
      </c>
      <c r="Q6683">
        <v>11226</v>
      </c>
      <c r="R6683">
        <v>1828</v>
      </c>
      <c r="S6683">
        <v>751</v>
      </c>
    </row>
    <row r="6684" spans="11:19" x14ac:dyDescent="0.3">
      <c r="K6684" s="16">
        <f t="shared" si="104"/>
        <v>44294</v>
      </c>
      <c r="L6684" s="17">
        <v>0.41666666666666669</v>
      </c>
      <c r="M6684" s="14">
        <v>932</v>
      </c>
      <c r="N6684" s="14">
        <v>1250</v>
      </c>
      <c r="O6684" s="14">
        <v>0</v>
      </c>
      <c r="P6684" s="14">
        <v>2182</v>
      </c>
      <c r="Q6684">
        <v>11109</v>
      </c>
      <c r="R6684">
        <v>2210</v>
      </c>
      <c r="S6684">
        <v>1278</v>
      </c>
    </row>
    <row r="6685" spans="11:19" x14ac:dyDescent="0.3">
      <c r="K6685" s="16">
        <f t="shared" si="104"/>
        <v>44294</v>
      </c>
      <c r="L6685" s="17">
        <v>0.45833333333333331</v>
      </c>
      <c r="M6685" s="14">
        <v>932</v>
      </c>
      <c r="N6685" s="14">
        <v>847</v>
      </c>
      <c r="O6685" s="14">
        <v>0</v>
      </c>
      <c r="P6685" s="14">
        <v>1779</v>
      </c>
      <c r="Q6685">
        <v>11055</v>
      </c>
      <c r="R6685">
        <v>2403</v>
      </c>
      <c r="S6685">
        <v>1654</v>
      </c>
    </row>
    <row r="6686" spans="11:19" x14ac:dyDescent="0.3">
      <c r="K6686" s="16">
        <f t="shared" si="104"/>
        <v>44294</v>
      </c>
      <c r="L6686" s="17">
        <v>0.5</v>
      </c>
      <c r="M6686" s="14">
        <v>932</v>
      </c>
      <c r="N6686" s="14">
        <v>416</v>
      </c>
      <c r="O6686" s="14">
        <v>0</v>
      </c>
      <c r="P6686" s="14">
        <v>1348</v>
      </c>
      <c r="Q6686">
        <v>10961</v>
      </c>
      <c r="R6686">
        <v>2559</v>
      </c>
      <c r="S6686">
        <v>1835</v>
      </c>
    </row>
    <row r="6687" spans="11:19" x14ac:dyDescent="0.3">
      <c r="K6687" s="16">
        <f t="shared" si="104"/>
        <v>44294</v>
      </c>
      <c r="L6687" s="17">
        <v>0.54166666666666663</v>
      </c>
      <c r="M6687" s="14">
        <v>932</v>
      </c>
      <c r="N6687" s="14">
        <v>331</v>
      </c>
      <c r="O6687" s="14">
        <v>0</v>
      </c>
      <c r="P6687" s="14">
        <v>1263</v>
      </c>
      <c r="Q6687">
        <v>10692</v>
      </c>
      <c r="R6687">
        <v>2291</v>
      </c>
      <c r="S6687">
        <v>1920</v>
      </c>
    </row>
    <row r="6688" spans="11:19" x14ac:dyDescent="0.3">
      <c r="K6688" s="16">
        <f t="shared" si="104"/>
        <v>44294</v>
      </c>
      <c r="L6688" s="17">
        <v>0.58333333333333337</v>
      </c>
      <c r="M6688" s="14">
        <v>932</v>
      </c>
      <c r="N6688" s="14">
        <v>38</v>
      </c>
      <c r="O6688" s="14">
        <v>0</v>
      </c>
      <c r="P6688" s="14">
        <v>970</v>
      </c>
      <c r="Q6688">
        <v>10366</v>
      </c>
      <c r="R6688">
        <v>2318</v>
      </c>
      <c r="S6688">
        <v>1861</v>
      </c>
    </row>
    <row r="6689" spans="11:19" x14ac:dyDescent="0.3">
      <c r="K6689" s="16">
        <f t="shared" si="104"/>
        <v>44294</v>
      </c>
      <c r="L6689" s="17">
        <v>0.625</v>
      </c>
      <c r="M6689" s="14">
        <v>932</v>
      </c>
      <c r="N6689" s="14">
        <v>0</v>
      </c>
      <c r="O6689" s="14">
        <v>-564</v>
      </c>
      <c r="P6689" s="14">
        <v>368</v>
      </c>
      <c r="Q6689">
        <v>9974</v>
      </c>
      <c r="R6689">
        <v>2528</v>
      </c>
      <c r="S6689">
        <v>1781</v>
      </c>
    </row>
    <row r="6690" spans="11:19" x14ac:dyDescent="0.3">
      <c r="K6690" s="16">
        <f t="shared" si="104"/>
        <v>44294</v>
      </c>
      <c r="L6690" s="17">
        <v>0.66666666666666663</v>
      </c>
      <c r="M6690" s="14">
        <v>932</v>
      </c>
      <c r="N6690" s="14">
        <v>0</v>
      </c>
      <c r="O6690" s="14">
        <v>-831</v>
      </c>
      <c r="P6690" s="14">
        <v>101</v>
      </c>
      <c r="Q6690">
        <v>9700</v>
      </c>
      <c r="R6690">
        <v>2728</v>
      </c>
      <c r="S6690">
        <v>1575</v>
      </c>
    </row>
    <row r="6691" spans="11:19" x14ac:dyDescent="0.3">
      <c r="K6691" s="16">
        <f t="shared" si="104"/>
        <v>44294</v>
      </c>
      <c r="L6691" s="17">
        <v>0.70833333333333337</v>
      </c>
      <c r="M6691" s="14">
        <v>932</v>
      </c>
      <c r="N6691" s="14">
        <v>0</v>
      </c>
      <c r="O6691" s="14">
        <v>-544</v>
      </c>
      <c r="P6691" s="14">
        <v>388</v>
      </c>
      <c r="Q6691">
        <v>9611</v>
      </c>
      <c r="R6691">
        <v>2763</v>
      </c>
      <c r="S6691">
        <v>1164</v>
      </c>
    </row>
    <row r="6692" spans="11:19" x14ac:dyDescent="0.3">
      <c r="K6692" s="16">
        <f t="shared" si="104"/>
        <v>44294</v>
      </c>
      <c r="L6692" s="17">
        <v>0.75</v>
      </c>
      <c r="M6692" s="14">
        <v>932</v>
      </c>
      <c r="N6692" s="14">
        <v>284</v>
      </c>
      <c r="O6692" s="14">
        <v>0</v>
      </c>
      <c r="P6692" s="14">
        <v>1216</v>
      </c>
      <c r="Q6692">
        <v>9978</v>
      </c>
      <c r="R6692">
        <v>2801</v>
      </c>
      <c r="S6692">
        <v>668</v>
      </c>
    </row>
    <row r="6693" spans="11:19" x14ac:dyDescent="0.3">
      <c r="K6693" s="16">
        <f t="shared" si="104"/>
        <v>44294</v>
      </c>
      <c r="L6693" s="17">
        <v>0.79166666666666663</v>
      </c>
      <c r="M6693" s="14">
        <v>932</v>
      </c>
      <c r="N6693" s="14">
        <v>0</v>
      </c>
      <c r="O6693" s="14">
        <v>0</v>
      </c>
      <c r="P6693" s="14">
        <v>932</v>
      </c>
      <c r="Q6693">
        <v>10197</v>
      </c>
      <c r="R6693">
        <v>2832</v>
      </c>
      <c r="S6693">
        <v>168</v>
      </c>
    </row>
    <row r="6694" spans="11:19" x14ac:dyDescent="0.3">
      <c r="K6694" s="16">
        <f t="shared" si="104"/>
        <v>44294</v>
      </c>
      <c r="L6694" s="17">
        <v>0.83333333333333337</v>
      </c>
      <c r="M6694" s="14">
        <v>932</v>
      </c>
      <c r="N6694" s="14">
        <v>856</v>
      </c>
      <c r="O6694" s="14">
        <v>0</v>
      </c>
      <c r="P6694" s="14">
        <v>1788</v>
      </c>
      <c r="Q6694">
        <v>10142</v>
      </c>
      <c r="R6694">
        <v>2903</v>
      </c>
      <c r="S6694">
        <v>8</v>
      </c>
    </row>
    <row r="6695" spans="11:19" x14ac:dyDescent="0.3">
      <c r="K6695" s="16">
        <f t="shared" si="104"/>
        <v>44294</v>
      </c>
      <c r="L6695" s="17">
        <v>0.875</v>
      </c>
      <c r="M6695" s="14">
        <v>932</v>
      </c>
      <c r="N6695" s="14">
        <v>676</v>
      </c>
      <c r="O6695" s="14">
        <v>0</v>
      </c>
      <c r="P6695" s="14">
        <v>1608</v>
      </c>
      <c r="Q6695">
        <v>9857</v>
      </c>
      <c r="R6695">
        <v>2811</v>
      </c>
      <c r="S6695">
        <v>0</v>
      </c>
    </row>
    <row r="6696" spans="11:19" x14ac:dyDescent="0.3">
      <c r="K6696" s="16">
        <f t="shared" si="104"/>
        <v>44294</v>
      </c>
      <c r="L6696" s="17">
        <v>0.91666666666666663</v>
      </c>
      <c r="M6696" s="14">
        <v>932</v>
      </c>
      <c r="N6696" s="14">
        <v>0</v>
      </c>
      <c r="O6696" s="14">
        <v>1200</v>
      </c>
      <c r="P6696" s="14">
        <v>2132</v>
      </c>
      <c r="Q6696">
        <v>10026</v>
      </c>
      <c r="R6696">
        <v>2403</v>
      </c>
      <c r="S6696">
        <v>0</v>
      </c>
    </row>
    <row r="6697" spans="11:19" x14ac:dyDescent="0.3">
      <c r="K6697" s="16">
        <f t="shared" si="104"/>
        <v>44294</v>
      </c>
      <c r="L6697" s="17">
        <v>0.95833333333333337</v>
      </c>
      <c r="M6697" s="14">
        <v>932</v>
      </c>
      <c r="N6697" s="14">
        <v>0</v>
      </c>
      <c r="O6697" s="14">
        <v>0</v>
      </c>
      <c r="P6697" s="14">
        <v>932</v>
      </c>
      <c r="Q6697">
        <v>10219</v>
      </c>
      <c r="R6697">
        <v>1921</v>
      </c>
      <c r="S6697">
        <v>0</v>
      </c>
    </row>
    <row r="6698" spans="11:19" x14ac:dyDescent="0.3">
      <c r="K6698" s="16">
        <f t="shared" si="104"/>
        <v>44295</v>
      </c>
      <c r="L6698" s="17">
        <v>0</v>
      </c>
      <c r="M6698" s="14">
        <v>932</v>
      </c>
      <c r="N6698" s="14">
        <v>0</v>
      </c>
      <c r="O6698" s="14">
        <v>0</v>
      </c>
      <c r="P6698" s="14">
        <v>932</v>
      </c>
      <c r="Q6698">
        <v>9640</v>
      </c>
      <c r="R6698">
        <v>1949</v>
      </c>
      <c r="S6698">
        <v>0</v>
      </c>
    </row>
    <row r="6699" spans="11:19" x14ac:dyDescent="0.3">
      <c r="K6699" s="16">
        <f t="shared" si="104"/>
        <v>44295</v>
      </c>
      <c r="L6699" s="17">
        <v>4.1666666666666664E-2</v>
      </c>
      <c r="M6699" s="14">
        <v>932</v>
      </c>
      <c r="N6699" s="14">
        <v>1530</v>
      </c>
      <c r="O6699" s="14">
        <v>0</v>
      </c>
      <c r="P6699" s="14">
        <v>2462</v>
      </c>
      <c r="Q6699">
        <v>9280</v>
      </c>
      <c r="R6699">
        <v>1497</v>
      </c>
      <c r="S6699">
        <v>0</v>
      </c>
    </row>
    <row r="6700" spans="11:19" x14ac:dyDescent="0.3">
      <c r="K6700" s="16">
        <f t="shared" si="104"/>
        <v>44295</v>
      </c>
      <c r="L6700" s="17">
        <v>8.3333333333333329E-2</v>
      </c>
      <c r="M6700" s="14">
        <v>932</v>
      </c>
      <c r="N6700" s="14">
        <v>1346</v>
      </c>
      <c r="O6700" s="14">
        <v>0</v>
      </c>
      <c r="P6700" s="14">
        <v>2278</v>
      </c>
      <c r="Q6700">
        <v>9026</v>
      </c>
      <c r="R6700">
        <v>1427</v>
      </c>
      <c r="S6700">
        <v>0</v>
      </c>
    </row>
    <row r="6701" spans="11:19" x14ac:dyDescent="0.3">
      <c r="K6701" s="16">
        <f t="shared" si="104"/>
        <v>44295</v>
      </c>
      <c r="L6701" s="17">
        <v>0.125</v>
      </c>
      <c r="M6701" s="14">
        <v>932</v>
      </c>
      <c r="N6701" s="14">
        <v>1192</v>
      </c>
      <c r="O6701" s="14">
        <v>0</v>
      </c>
      <c r="P6701" s="14">
        <v>2124</v>
      </c>
      <c r="Q6701">
        <v>8683</v>
      </c>
      <c r="R6701">
        <v>1234</v>
      </c>
      <c r="S6701">
        <v>0</v>
      </c>
    </row>
    <row r="6702" spans="11:19" x14ac:dyDescent="0.3">
      <c r="K6702" s="16">
        <f t="shared" si="104"/>
        <v>44295</v>
      </c>
      <c r="L6702" s="17">
        <v>0.16666666666666666</v>
      </c>
      <c r="M6702" s="14">
        <v>932</v>
      </c>
      <c r="N6702" s="14">
        <v>0</v>
      </c>
      <c r="O6702" s="14">
        <v>0</v>
      </c>
      <c r="P6702" s="14">
        <v>932</v>
      </c>
      <c r="Q6702">
        <v>8642</v>
      </c>
      <c r="R6702">
        <v>1151</v>
      </c>
      <c r="S6702">
        <v>0</v>
      </c>
    </row>
    <row r="6703" spans="11:19" x14ac:dyDescent="0.3">
      <c r="K6703" s="16">
        <f t="shared" si="104"/>
        <v>44295</v>
      </c>
      <c r="L6703" s="17">
        <v>0.20833333333333334</v>
      </c>
      <c r="M6703" s="14">
        <v>932</v>
      </c>
      <c r="N6703" s="14">
        <v>1711</v>
      </c>
      <c r="O6703" s="14">
        <v>0</v>
      </c>
      <c r="P6703" s="14">
        <v>2643</v>
      </c>
      <c r="Q6703">
        <v>9167</v>
      </c>
      <c r="R6703">
        <v>1077</v>
      </c>
      <c r="S6703">
        <v>0</v>
      </c>
    </row>
    <row r="6704" spans="11:19" x14ac:dyDescent="0.3">
      <c r="K6704" s="16">
        <f t="shared" si="104"/>
        <v>44295</v>
      </c>
      <c r="L6704" s="17">
        <v>0.25</v>
      </c>
      <c r="M6704" s="14">
        <v>932</v>
      </c>
      <c r="N6704" s="14">
        <v>1711</v>
      </c>
      <c r="O6704" s="14">
        <v>0</v>
      </c>
      <c r="P6704" s="14">
        <v>2643</v>
      </c>
      <c r="Q6704">
        <v>10325</v>
      </c>
      <c r="R6704">
        <v>1110</v>
      </c>
      <c r="S6704">
        <v>0</v>
      </c>
    </row>
    <row r="6705" spans="11:19" x14ac:dyDescent="0.3">
      <c r="K6705" s="16">
        <f t="shared" si="104"/>
        <v>44295</v>
      </c>
      <c r="L6705" s="17">
        <v>0.29166666666666669</v>
      </c>
      <c r="M6705" s="14">
        <v>932</v>
      </c>
      <c r="N6705" s="14">
        <v>472</v>
      </c>
      <c r="O6705" s="14">
        <v>357</v>
      </c>
      <c r="P6705" s="14">
        <v>1761</v>
      </c>
      <c r="Q6705">
        <v>11127</v>
      </c>
      <c r="R6705">
        <v>1265</v>
      </c>
      <c r="S6705">
        <v>20</v>
      </c>
    </row>
    <row r="6706" spans="11:19" x14ac:dyDescent="0.3">
      <c r="K6706" s="16">
        <f t="shared" si="104"/>
        <v>44295</v>
      </c>
      <c r="L6706" s="17">
        <v>0.33333333333333331</v>
      </c>
      <c r="M6706" s="14">
        <v>932</v>
      </c>
      <c r="N6706" s="14">
        <v>1438</v>
      </c>
      <c r="O6706" s="14">
        <v>0</v>
      </c>
      <c r="P6706" s="14">
        <v>2370</v>
      </c>
      <c r="Q6706">
        <v>11494</v>
      </c>
      <c r="R6706">
        <v>1197</v>
      </c>
      <c r="S6706">
        <v>388</v>
      </c>
    </row>
    <row r="6707" spans="11:19" x14ac:dyDescent="0.3">
      <c r="K6707" s="16">
        <f t="shared" si="104"/>
        <v>44295</v>
      </c>
      <c r="L6707" s="17">
        <v>0.375</v>
      </c>
      <c r="M6707" s="14">
        <v>932</v>
      </c>
      <c r="N6707" s="14">
        <v>1711</v>
      </c>
      <c r="O6707" s="14">
        <v>0</v>
      </c>
      <c r="P6707" s="14">
        <v>2643</v>
      </c>
      <c r="Q6707">
        <v>11502</v>
      </c>
      <c r="R6707">
        <v>1372</v>
      </c>
      <c r="S6707">
        <v>1082</v>
      </c>
    </row>
    <row r="6708" spans="11:19" x14ac:dyDescent="0.3">
      <c r="K6708" s="16">
        <f t="shared" si="104"/>
        <v>44295</v>
      </c>
      <c r="L6708" s="17">
        <v>0.41666666666666669</v>
      </c>
      <c r="M6708" s="14">
        <v>932</v>
      </c>
      <c r="N6708" s="14">
        <v>1657</v>
      </c>
      <c r="O6708" s="14">
        <v>0</v>
      </c>
      <c r="P6708" s="14">
        <v>2589</v>
      </c>
      <c r="Q6708">
        <v>11204</v>
      </c>
      <c r="R6708">
        <v>1261</v>
      </c>
      <c r="S6708">
        <v>1819</v>
      </c>
    </row>
    <row r="6709" spans="11:19" x14ac:dyDescent="0.3">
      <c r="K6709" s="16">
        <f t="shared" si="104"/>
        <v>44295</v>
      </c>
      <c r="L6709" s="17">
        <v>0.45833333333333331</v>
      </c>
      <c r="M6709" s="14">
        <v>932</v>
      </c>
      <c r="N6709" s="14">
        <v>1252</v>
      </c>
      <c r="O6709" s="14">
        <v>0</v>
      </c>
      <c r="P6709" s="14">
        <v>2184</v>
      </c>
      <c r="Q6709">
        <v>10985</v>
      </c>
      <c r="R6709">
        <v>1231</v>
      </c>
      <c r="S6709">
        <v>2354</v>
      </c>
    </row>
    <row r="6710" spans="11:19" x14ac:dyDescent="0.3">
      <c r="K6710" s="16">
        <f t="shared" si="104"/>
        <v>44295</v>
      </c>
      <c r="L6710" s="17">
        <v>0.5</v>
      </c>
      <c r="M6710" s="14">
        <v>932</v>
      </c>
      <c r="N6710" s="14">
        <v>872</v>
      </c>
      <c r="O6710" s="14">
        <v>0</v>
      </c>
      <c r="P6710" s="14">
        <v>1804</v>
      </c>
      <c r="Q6710">
        <v>10792</v>
      </c>
      <c r="R6710">
        <v>1081</v>
      </c>
      <c r="S6710">
        <v>2691</v>
      </c>
    </row>
    <row r="6711" spans="11:19" x14ac:dyDescent="0.3">
      <c r="K6711" s="16">
        <f t="shared" si="104"/>
        <v>44295</v>
      </c>
      <c r="L6711" s="17">
        <v>0.54166666666666663</v>
      </c>
      <c r="M6711" s="14">
        <v>932</v>
      </c>
      <c r="N6711" s="14">
        <v>0</v>
      </c>
      <c r="O6711" s="14">
        <v>0</v>
      </c>
      <c r="P6711" s="14">
        <v>932</v>
      </c>
      <c r="Q6711">
        <v>10391</v>
      </c>
      <c r="R6711">
        <v>1115</v>
      </c>
      <c r="S6711">
        <v>2824</v>
      </c>
    </row>
    <row r="6712" spans="11:19" x14ac:dyDescent="0.3">
      <c r="K6712" s="16">
        <f t="shared" si="104"/>
        <v>44295</v>
      </c>
      <c r="L6712" s="17">
        <v>0.58333333333333337</v>
      </c>
      <c r="M6712" s="14">
        <v>932</v>
      </c>
      <c r="N6712" s="14">
        <v>0</v>
      </c>
      <c r="O6712" s="14">
        <v>-5</v>
      </c>
      <c r="P6712" s="14">
        <v>927</v>
      </c>
      <c r="Q6712">
        <v>9986</v>
      </c>
      <c r="R6712">
        <v>1050</v>
      </c>
      <c r="S6712">
        <v>2795</v>
      </c>
    </row>
    <row r="6713" spans="11:19" x14ac:dyDescent="0.3">
      <c r="K6713" s="16">
        <f t="shared" si="104"/>
        <v>44295</v>
      </c>
      <c r="L6713" s="17">
        <v>0.625</v>
      </c>
      <c r="M6713" s="14">
        <v>932</v>
      </c>
      <c r="N6713" s="14">
        <v>0</v>
      </c>
      <c r="O6713" s="14">
        <v>-175</v>
      </c>
      <c r="P6713" s="14">
        <v>757</v>
      </c>
      <c r="Q6713">
        <v>9557</v>
      </c>
      <c r="R6713">
        <v>980</v>
      </c>
      <c r="S6713">
        <v>2607</v>
      </c>
    </row>
    <row r="6714" spans="11:19" x14ac:dyDescent="0.3">
      <c r="K6714" s="16">
        <f t="shared" si="104"/>
        <v>44295</v>
      </c>
      <c r="L6714" s="17">
        <v>0.66666666666666663</v>
      </c>
      <c r="M6714" s="14">
        <v>932</v>
      </c>
      <c r="N6714" s="14">
        <v>0</v>
      </c>
      <c r="O6714" s="14">
        <v>-265</v>
      </c>
      <c r="P6714" s="14">
        <v>667</v>
      </c>
      <c r="Q6714">
        <v>9227</v>
      </c>
      <c r="R6714">
        <v>977</v>
      </c>
      <c r="S6714">
        <v>2210</v>
      </c>
    </row>
    <row r="6715" spans="11:19" x14ac:dyDescent="0.3">
      <c r="K6715" s="16">
        <f t="shared" si="104"/>
        <v>44295</v>
      </c>
      <c r="L6715" s="17">
        <v>0.70833333333333337</v>
      </c>
      <c r="M6715" s="14">
        <v>932</v>
      </c>
      <c r="N6715" s="14">
        <v>0</v>
      </c>
      <c r="O6715" s="14">
        <v>0</v>
      </c>
      <c r="P6715" s="14">
        <v>932</v>
      </c>
      <c r="Q6715">
        <v>9130</v>
      </c>
      <c r="R6715">
        <v>1022</v>
      </c>
      <c r="S6715">
        <v>1639</v>
      </c>
    </row>
    <row r="6716" spans="11:19" x14ac:dyDescent="0.3">
      <c r="K6716" s="16">
        <f t="shared" si="104"/>
        <v>44295</v>
      </c>
      <c r="L6716" s="17">
        <v>0.75</v>
      </c>
      <c r="M6716" s="14">
        <v>932</v>
      </c>
      <c r="N6716" s="14">
        <v>0</v>
      </c>
      <c r="O6716" s="14">
        <v>0</v>
      </c>
      <c r="P6716" s="14">
        <v>932</v>
      </c>
      <c r="Q6716">
        <v>9423</v>
      </c>
      <c r="R6716">
        <v>1010</v>
      </c>
      <c r="S6716">
        <v>923</v>
      </c>
    </row>
    <row r="6717" spans="11:19" x14ac:dyDescent="0.3">
      <c r="K6717" s="16">
        <f t="shared" si="104"/>
        <v>44295</v>
      </c>
      <c r="L6717" s="17">
        <v>0.79166666666666663</v>
      </c>
      <c r="M6717" s="14">
        <v>932</v>
      </c>
      <c r="N6717" s="14">
        <v>0</v>
      </c>
      <c r="O6717" s="14">
        <v>0</v>
      </c>
      <c r="P6717" s="14">
        <v>932</v>
      </c>
      <c r="Q6717">
        <v>9629</v>
      </c>
      <c r="R6717">
        <v>893</v>
      </c>
      <c r="S6717">
        <v>251</v>
      </c>
    </row>
    <row r="6718" spans="11:19" x14ac:dyDescent="0.3">
      <c r="K6718" s="16">
        <f t="shared" si="104"/>
        <v>44295</v>
      </c>
      <c r="L6718" s="17">
        <v>0.83333333333333337</v>
      </c>
      <c r="M6718" s="14">
        <v>932</v>
      </c>
      <c r="N6718" s="14">
        <v>0</v>
      </c>
      <c r="O6718" s="14">
        <v>0</v>
      </c>
      <c r="P6718" s="14">
        <v>932</v>
      </c>
      <c r="Q6718">
        <v>9712</v>
      </c>
      <c r="R6718">
        <v>1033</v>
      </c>
      <c r="S6718">
        <v>10</v>
      </c>
    </row>
    <row r="6719" spans="11:19" x14ac:dyDescent="0.3">
      <c r="K6719" s="16">
        <f t="shared" si="104"/>
        <v>44295</v>
      </c>
      <c r="L6719" s="17">
        <v>0.875</v>
      </c>
      <c r="M6719" s="14">
        <v>932</v>
      </c>
      <c r="N6719" s="14">
        <v>0</v>
      </c>
      <c r="O6719" s="14">
        <v>0</v>
      </c>
      <c r="P6719" s="14">
        <v>932</v>
      </c>
      <c r="Q6719">
        <v>9615</v>
      </c>
      <c r="R6719">
        <v>1028</v>
      </c>
      <c r="S6719">
        <v>0</v>
      </c>
    </row>
    <row r="6720" spans="11:19" x14ac:dyDescent="0.3">
      <c r="K6720" s="16">
        <f t="shared" si="104"/>
        <v>44295</v>
      </c>
      <c r="L6720" s="17">
        <v>0.91666666666666663</v>
      </c>
      <c r="M6720" s="14">
        <v>932</v>
      </c>
      <c r="N6720" s="14">
        <v>50</v>
      </c>
      <c r="O6720" s="14">
        <v>0</v>
      </c>
      <c r="P6720" s="14">
        <v>982</v>
      </c>
      <c r="Q6720">
        <v>9887</v>
      </c>
      <c r="R6720">
        <v>852</v>
      </c>
      <c r="S6720">
        <v>0</v>
      </c>
    </row>
    <row r="6721" spans="11:19" x14ac:dyDescent="0.3">
      <c r="K6721" s="16">
        <f t="shared" si="104"/>
        <v>44295</v>
      </c>
      <c r="L6721" s="17">
        <v>0.95833333333333337</v>
      </c>
      <c r="M6721" s="14">
        <v>932</v>
      </c>
      <c r="N6721" s="14">
        <v>1711</v>
      </c>
      <c r="O6721" s="14">
        <v>0</v>
      </c>
      <c r="P6721" s="14">
        <v>2643</v>
      </c>
      <c r="Q6721">
        <v>10105</v>
      </c>
      <c r="R6721">
        <v>775</v>
      </c>
      <c r="S6721">
        <v>0</v>
      </c>
    </row>
    <row r="6722" spans="11:19" x14ac:dyDescent="0.3">
      <c r="K6722" s="16">
        <f t="shared" si="104"/>
        <v>44296</v>
      </c>
      <c r="L6722" s="17">
        <v>0</v>
      </c>
      <c r="M6722" s="14">
        <v>932</v>
      </c>
      <c r="N6722" s="14">
        <v>0</v>
      </c>
      <c r="O6722" s="14">
        <v>288</v>
      </c>
      <c r="P6722" s="14">
        <v>1220</v>
      </c>
      <c r="Q6722">
        <v>9497</v>
      </c>
      <c r="R6722">
        <v>757</v>
      </c>
      <c r="S6722">
        <v>0</v>
      </c>
    </row>
    <row r="6723" spans="11:19" x14ac:dyDescent="0.3">
      <c r="K6723" s="16">
        <f t="shared" si="104"/>
        <v>44296</v>
      </c>
      <c r="L6723" s="17">
        <v>4.1666666666666664E-2</v>
      </c>
      <c r="M6723" s="14">
        <v>932</v>
      </c>
      <c r="N6723" s="14">
        <v>0</v>
      </c>
      <c r="O6723" s="14">
        <v>1200</v>
      </c>
      <c r="P6723" s="14">
        <v>2132</v>
      </c>
      <c r="Q6723">
        <v>9081</v>
      </c>
      <c r="R6723">
        <v>668</v>
      </c>
      <c r="S6723">
        <v>0</v>
      </c>
    </row>
    <row r="6724" spans="11:19" x14ac:dyDescent="0.3">
      <c r="K6724" s="16">
        <f t="shared" si="104"/>
        <v>44296</v>
      </c>
      <c r="L6724" s="17">
        <v>8.3333333333333329E-2</v>
      </c>
      <c r="M6724" s="14">
        <v>932</v>
      </c>
      <c r="N6724" s="14">
        <v>0</v>
      </c>
      <c r="O6724" s="14">
        <v>0</v>
      </c>
      <c r="P6724" s="14">
        <v>932</v>
      </c>
      <c r="Q6724">
        <v>8761</v>
      </c>
      <c r="R6724">
        <v>642</v>
      </c>
      <c r="S6724">
        <v>0</v>
      </c>
    </row>
    <row r="6725" spans="11:19" x14ac:dyDescent="0.3">
      <c r="K6725" s="16">
        <f t="shared" si="104"/>
        <v>44296</v>
      </c>
      <c r="L6725" s="17">
        <v>0.125</v>
      </c>
      <c r="M6725" s="14">
        <v>932</v>
      </c>
      <c r="N6725" s="14">
        <v>0</v>
      </c>
      <c r="O6725" s="14">
        <v>0</v>
      </c>
      <c r="P6725" s="14">
        <v>932</v>
      </c>
      <c r="Q6725">
        <v>8331</v>
      </c>
      <c r="R6725">
        <v>646</v>
      </c>
      <c r="S6725">
        <v>0</v>
      </c>
    </row>
    <row r="6726" spans="11:19" x14ac:dyDescent="0.3">
      <c r="K6726" s="16">
        <f t="shared" si="104"/>
        <v>44296</v>
      </c>
      <c r="L6726" s="17">
        <v>0.16666666666666666</v>
      </c>
      <c r="M6726" s="14">
        <v>932</v>
      </c>
      <c r="N6726" s="14">
        <v>0</v>
      </c>
      <c r="O6726" s="14">
        <v>0</v>
      </c>
      <c r="P6726" s="14">
        <v>932</v>
      </c>
      <c r="Q6726">
        <v>8185</v>
      </c>
      <c r="R6726">
        <v>484</v>
      </c>
      <c r="S6726">
        <v>0</v>
      </c>
    </row>
    <row r="6727" spans="11:19" x14ac:dyDescent="0.3">
      <c r="K6727" s="16">
        <f t="shared" si="104"/>
        <v>44296</v>
      </c>
      <c r="L6727" s="17">
        <v>0.20833333333333334</v>
      </c>
      <c r="M6727" s="14">
        <v>932</v>
      </c>
      <c r="N6727" s="14">
        <v>0</v>
      </c>
      <c r="O6727" s="14">
        <v>1200</v>
      </c>
      <c r="P6727" s="14">
        <v>2132</v>
      </c>
      <c r="Q6727">
        <v>8378</v>
      </c>
      <c r="R6727">
        <v>480</v>
      </c>
      <c r="S6727">
        <v>0</v>
      </c>
    </row>
    <row r="6728" spans="11:19" x14ac:dyDescent="0.3">
      <c r="K6728" s="16">
        <f t="shared" si="104"/>
        <v>44296</v>
      </c>
      <c r="L6728" s="17">
        <v>0.25</v>
      </c>
      <c r="M6728" s="14">
        <v>932</v>
      </c>
      <c r="N6728" s="14">
        <v>1390</v>
      </c>
      <c r="O6728" s="14">
        <v>563</v>
      </c>
      <c r="P6728" s="14">
        <v>2885</v>
      </c>
      <c r="Q6728">
        <v>8772</v>
      </c>
      <c r="R6728">
        <v>445</v>
      </c>
      <c r="S6728">
        <v>0</v>
      </c>
    </row>
    <row r="6729" spans="11:19" x14ac:dyDescent="0.3">
      <c r="K6729" s="16">
        <f t="shared" si="104"/>
        <v>44296</v>
      </c>
      <c r="L6729" s="17">
        <v>0.29166666666666669</v>
      </c>
      <c r="M6729" s="14">
        <v>932</v>
      </c>
      <c r="N6729" s="14">
        <v>1390</v>
      </c>
      <c r="O6729" s="14">
        <v>0</v>
      </c>
      <c r="P6729" s="14">
        <v>2322</v>
      </c>
      <c r="Q6729">
        <v>9013</v>
      </c>
      <c r="R6729">
        <v>394</v>
      </c>
      <c r="S6729">
        <v>30</v>
      </c>
    </row>
    <row r="6730" spans="11:19" x14ac:dyDescent="0.3">
      <c r="K6730" s="16">
        <f t="shared" si="104"/>
        <v>44296</v>
      </c>
      <c r="L6730" s="17">
        <v>0.33333333333333331</v>
      </c>
      <c r="M6730" s="14">
        <v>932</v>
      </c>
      <c r="N6730" s="14">
        <v>1390</v>
      </c>
      <c r="O6730" s="14">
        <v>0</v>
      </c>
      <c r="P6730" s="14">
        <v>2322</v>
      </c>
      <c r="Q6730">
        <v>9533</v>
      </c>
      <c r="R6730">
        <v>446</v>
      </c>
      <c r="S6730">
        <v>418</v>
      </c>
    </row>
    <row r="6731" spans="11:19" x14ac:dyDescent="0.3">
      <c r="K6731" s="16">
        <f t="shared" si="104"/>
        <v>44296</v>
      </c>
      <c r="L6731" s="17">
        <v>0.375</v>
      </c>
      <c r="M6731" s="14">
        <v>932</v>
      </c>
      <c r="N6731" s="14">
        <v>0</v>
      </c>
      <c r="O6731" s="14">
        <v>0</v>
      </c>
      <c r="P6731" s="14">
        <v>932</v>
      </c>
      <c r="Q6731">
        <v>9878</v>
      </c>
      <c r="R6731">
        <v>467</v>
      </c>
      <c r="S6731">
        <v>1114</v>
      </c>
    </row>
    <row r="6732" spans="11:19" x14ac:dyDescent="0.3">
      <c r="K6732" s="16">
        <f t="shared" si="104"/>
        <v>44296</v>
      </c>
      <c r="L6732" s="17">
        <v>0.41666666666666669</v>
      </c>
      <c r="M6732" s="14">
        <v>932</v>
      </c>
      <c r="N6732" s="14">
        <v>1288</v>
      </c>
      <c r="O6732" s="14">
        <v>0</v>
      </c>
      <c r="P6732" s="14">
        <v>2220</v>
      </c>
      <c r="Q6732">
        <v>9755</v>
      </c>
      <c r="R6732">
        <v>383</v>
      </c>
      <c r="S6732">
        <v>1862</v>
      </c>
    </row>
    <row r="6733" spans="11:19" x14ac:dyDescent="0.3">
      <c r="K6733" s="16">
        <f t="shared" si="104"/>
        <v>44296</v>
      </c>
      <c r="L6733" s="17">
        <v>0.45833333333333331</v>
      </c>
      <c r="M6733" s="14">
        <v>932</v>
      </c>
      <c r="N6733" s="14">
        <v>0</v>
      </c>
      <c r="O6733" s="14">
        <v>0</v>
      </c>
      <c r="P6733" s="14">
        <v>932</v>
      </c>
      <c r="Q6733">
        <v>9595</v>
      </c>
      <c r="R6733">
        <v>315</v>
      </c>
      <c r="S6733">
        <v>2395</v>
      </c>
    </row>
    <row r="6734" spans="11:19" x14ac:dyDescent="0.3">
      <c r="K6734" s="16">
        <f t="shared" si="104"/>
        <v>44296</v>
      </c>
      <c r="L6734" s="17">
        <v>0.5</v>
      </c>
      <c r="M6734" s="14">
        <v>932</v>
      </c>
      <c r="N6734" s="14">
        <v>332</v>
      </c>
      <c r="O6734" s="14">
        <v>0</v>
      </c>
      <c r="P6734" s="14">
        <v>1264</v>
      </c>
      <c r="Q6734">
        <v>9679</v>
      </c>
      <c r="R6734">
        <v>366</v>
      </c>
      <c r="S6734">
        <v>2762</v>
      </c>
    </row>
    <row r="6735" spans="11:19" x14ac:dyDescent="0.3">
      <c r="K6735" s="16">
        <f t="shared" si="104"/>
        <v>44296</v>
      </c>
      <c r="L6735" s="17">
        <v>0.54166666666666663</v>
      </c>
      <c r="M6735" s="14">
        <v>932</v>
      </c>
      <c r="N6735" s="14">
        <v>0</v>
      </c>
      <c r="O6735" s="14">
        <v>-358</v>
      </c>
      <c r="P6735" s="14">
        <v>574</v>
      </c>
      <c r="Q6735">
        <v>9144</v>
      </c>
      <c r="R6735">
        <v>393</v>
      </c>
      <c r="S6735">
        <v>2896</v>
      </c>
    </row>
    <row r="6736" spans="11:19" x14ac:dyDescent="0.3">
      <c r="K6736" s="16">
        <f t="shared" si="104"/>
        <v>44296</v>
      </c>
      <c r="L6736" s="17">
        <v>0.58333333333333337</v>
      </c>
      <c r="M6736" s="14">
        <v>932</v>
      </c>
      <c r="N6736" s="14">
        <v>0</v>
      </c>
      <c r="O6736" s="14">
        <v>-884</v>
      </c>
      <c r="P6736" s="14">
        <v>48</v>
      </c>
      <c r="Q6736">
        <v>8625</v>
      </c>
      <c r="R6736">
        <v>415</v>
      </c>
      <c r="S6736">
        <v>2885</v>
      </c>
    </row>
    <row r="6737" spans="11:19" x14ac:dyDescent="0.3">
      <c r="K6737" s="16">
        <f t="shared" si="104"/>
        <v>44296</v>
      </c>
      <c r="L6737" s="17">
        <v>0.625</v>
      </c>
      <c r="M6737" s="14">
        <v>932</v>
      </c>
      <c r="N6737" s="14">
        <v>0</v>
      </c>
      <c r="O6737" s="14">
        <v>-1142</v>
      </c>
      <c r="P6737" s="14">
        <v>-210</v>
      </c>
      <c r="Q6737">
        <v>8150</v>
      </c>
      <c r="R6737">
        <v>463</v>
      </c>
      <c r="S6737">
        <v>2704</v>
      </c>
    </row>
    <row r="6738" spans="11:19" x14ac:dyDescent="0.3">
      <c r="K6738" s="16">
        <f t="shared" si="104"/>
        <v>44296</v>
      </c>
      <c r="L6738" s="17">
        <v>0.66666666666666663</v>
      </c>
      <c r="M6738" s="14">
        <v>932</v>
      </c>
      <c r="N6738" s="14">
        <v>0</v>
      </c>
      <c r="O6738" s="14">
        <v>-1119</v>
      </c>
      <c r="P6738" s="14">
        <v>-187</v>
      </c>
      <c r="Q6738">
        <v>7840</v>
      </c>
      <c r="R6738">
        <v>562</v>
      </c>
      <c r="S6738">
        <v>2269</v>
      </c>
    </row>
    <row r="6739" spans="11:19" x14ac:dyDescent="0.3">
      <c r="K6739" s="16">
        <f t="shared" si="104"/>
        <v>44296</v>
      </c>
      <c r="L6739" s="17">
        <v>0.70833333333333337</v>
      </c>
      <c r="M6739" s="14">
        <v>932</v>
      </c>
      <c r="N6739" s="14">
        <v>0</v>
      </c>
      <c r="O6739" s="14">
        <v>-725</v>
      </c>
      <c r="P6739" s="14">
        <v>207</v>
      </c>
      <c r="Q6739">
        <v>7792</v>
      </c>
      <c r="R6739">
        <v>696</v>
      </c>
      <c r="S6739">
        <v>1694</v>
      </c>
    </row>
    <row r="6740" spans="11:19" x14ac:dyDescent="0.3">
      <c r="K6740" s="16">
        <f t="shared" si="104"/>
        <v>44296</v>
      </c>
      <c r="L6740" s="17">
        <v>0.75</v>
      </c>
      <c r="M6740" s="14">
        <v>932</v>
      </c>
      <c r="N6740" s="14">
        <v>0</v>
      </c>
      <c r="O6740" s="14">
        <v>0</v>
      </c>
      <c r="P6740" s="14">
        <v>932</v>
      </c>
      <c r="Q6740">
        <v>8164</v>
      </c>
      <c r="R6740">
        <v>717</v>
      </c>
      <c r="S6740">
        <v>962</v>
      </c>
    </row>
    <row r="6741" spans="11:19" x14ac:dyDescent="0.3">
      <c r="K6741" s="16">
        <f t="shared" si="104"/>
        <v>44296</v>
      </c>
      <c r="L6741" s="17">
        <v>0.79166666666666663</v>
      </c>
      <c r="M6741" s="14">
        <v>932</v>
      </c>
      <c r="N6741" s="14">
        <v>1390</v>
      </c>
      <c r="O6741" s="14">
        <v>0</v>
      </c>
      <c r="P6741" s="14">
        <v>2322</v>
      </c>
      <c r="Q6741">
        <v>8522</v>
      </c>
      <c r="R6741">
        <v>609</v>
      </c>
      <c r="S6741">
        <v>268</v>
      </c>
    </row>
    <row r="6742" spans="11:19" x14ac:dyDescent="0.3">
      <c r="K6742" s="16">
        <f t="shared" si="104"/>
        <v>44296</v>
      </c>
      <c r="L6742" s="17">
        <v>0.83333333333333337</v>
      </c>
      <c r="M6742" s="14">
        <v>932</v>
      </c>
      <c r="N6742" s="14">
        <v>0</v>
      </c>
      <c r="O6742" s="14">
        <v>0</v>
      </c>
      <c r="P6742" s="14">
        <v>932</v>
      </c>
      <c r="Q6742">
        <v>8637</v>
      </c>
      <c r="R6742">
        <v>391</v>
      </c>
      <c r="S6742">
        <v>17</v>
      </c>
    </row>
    <row r="6743" spans="11:19" x14ac:dyDescent="0.3">
      <c r="K6743" s="16">
        <f t="shared" si="104"/>
        <v>44296</v>
      </c>
      <c r="L6743" s="17">
        <v>0.875</v>
      </c>
      <c r="M6743" s="14">
        <v>932</v>
      </c>
      <c r="N6743" s="14">
        <v>1390</v>
      </c>
      <c r="O6743" s="14">
        <v>0</v>
      </c>
      <c r="P6743" s="14">
        <v>2322</v>
      </c>
      <c r="Q6743">
        <v>8592</v>
      </c>
      <c r="R6743">
        <v>315</v>
      </c>
      <c r="S6743">
        <v>0</v>
      </c>
    </row>
    <row r="6744" spans="11:19" x14ac:dyDescent="0.3">
      <c r="K6744" s="16">
        <f t="shared" si="104"/>
        <v>44296</v>
      </c>
      <c r="L6744" s="17">
        <v>0.91666666666666663</v>
      </c>
      <c r="M6744" s="14">
        <v>932</v>
      </c>
      <c r="N6744" s="14">
        <v>0</v>
      </c>
      <c r="O6744" s="14">
        <v>0</v>
      </c>
      <c r="P6744" s="14">
        <v>932</v>
      </c>
      <c r="Q6744">
        <v>9022</v>
      </c>
      <c r="R6744">
        <v>373</v>
      </c>
      <c r="S6744">
        <v>0</v>
      </c>
    </row>
    <row r="6745" spans="11:19" x14ac:dyDescent="0.3">
      <c r="K6745" s="16">
        <f t="shared" si="104"/>
        <v>44296</v>
      </c>
      <c r="L6745" s="17">
        <v>0.95833333333333337</v>
      </c>
      <c r="M6745" s="14">
        <v>932</v>
      </c>
      <c r="N6745" s="14">
        <v>0</v>
      </c>
      <c r="O6745" s="14">
        <v>133</v>
      </c>
      <c r="P6745" s="14">
        <v>1065</v>
      </c>
      <c r="Q6745">
        <v>9441</v>
      </c>
      <c r="R6745">
        <v>352</v>
      </c>
      <c r="S6745">
        <v>0</v>
      </c>
    </row>
    <row r="6746" spans="11:19" x14ac:dyDescent="0.3">
      <c r="K6746" s="16">
        <f t="shared" si="104"/>
        <v>44297</v>
      </c>
      <c r="L6746" s="17">
        <v>0</v>
      </c>
      <c r="M6746" s="14">
        <v>932</v>
      </c>
      <c r="N6746" s="14">
        <v>1030</v>
      </c>
      <c r="O6746" s="14">
        <v>383</v>
      </c>
      <c r="P6746" s="14">
        <v>2345</v>
      </c>
      <c r="Q6746">
        <v>9045</v>
      </c>
      <c r="R6746">
        <v>424</v>
      </c>
      <c r="S6746">
        <v>0</v>
      </c>
    </row>
    <row r="6747" spans="11:19" x14ac:dyDescent="0.3">
      <c r="K6747" s="16">
        <f t="shared" ref="K6747:K6810" si="105">K6723+1</f>
        <v>44297</v>
      </c>
      <c r="L6747" s="17">
        <v>4.1666666666666664E-2</v>
      </c>
      <c r="M6747" s="14">
        <v>932</v>
      </c>
      <c r="N6747" s="14">
        <v>1030</v>
      </c>
      <c r="O6747" s="14">
        <v>0</v>
      </c>
      <c r="P6747" s="14">
        <v>1962</v>
      </c>
      <c r="Q6747">
        <v>8717</v>
      </c>
      <c r="R6747">
        <v>382</v>
      </c>
      <c r="S6747">
        <v>0</v>
      </c>
    </row>
    <row r="6748" spans="11:19" x14ac:dyDescent="0.3">
      <c r="K6748" s="16">
        <f t="shared" si="105"/>
        <v>44297</v>
      </c>
      <c r="L6748" s="17">
        <v>8.3333333333333329E-2</v>
      </c>
      <c r="M6748" s="14">
        <v>932</v>
      </c>
      <c r="N6748" s="14">
        <v>1030</v>
      </c>
      <c r="O6748" s="14">
        <v>0</v>
      </c>
      <c r="P6748" s="14">
        <v>1962</v>
      </c>
      <c r="Q6748">
        <v>8400</v>
      </c>
      <c r="R6748">
        <v>525</v>
      </c>
      <c r="S6748">
        <v>0</v>
      </c>
    </row>
    <row r="6749" spans="11:19" x14ac:dyDescent="0.3">
      <c r="K6749" s="16">
        <f t="shared" si="105"/>
        <v>44297</v>
      </c>
      <c r="L6749" s="17">
        <v>0.125</v>
      </c>
      <c r="M6749" s="14">
        <v>932</v>
      </c>
      <c r="N6749" s="14">
        <v>0</v>
      </c>
      <c r="O6749" s="14">
        <v>0</v>
      </c>
      <c r="P6749" s="14">
        <v>932</v>
      </c>
      <c r="Q6749">
        <v>7941</v>
      </c>
      <c r="R6749">
        <v>545</v>
      </c>
      <c r="S6749">
        <v>0</v>
      </c>
    </row>
    <row r="6750" spans="11:19" x14ac:dyDescent="0.3">
      <c r="K6750" s="16">
        <f t="shared" si="105"/>
        <v>44297</v>
      </c>
      <c r="L6750" s="17">
        <v>0.16666666666666666</v>
      </c>
      <c r="M6750" s="14">
        <v>932</v>
      </c>
      <c r="N6750" s="14">
        <v>0</v>
      </c>
      <c r="O6750" s="14">
        <v>840</v>
      </c>
      <c r="P6750" s="14">
        <v>1772</v>
      </c>
      <c r="Q6750">
        <v>7738</v>
      </c>
      <c r="R6750">
        <v>636</v>
      </c>
      <c r="S6750">
        <v>0</v>
      </c>
    </row>
    <row r="6751" spans="11:19" x14ac:dyDescent="0.3">
      <c r="K6751" s="16">
        <f t="shared" si="105"/>
        <v>44297</v>
      </c>
      <c r="L6751" s="17">
        <v>0.20833333333333334</v>
      </c>
      <c r="M6751" s="14">
        <v>932</v>
      </c>
      <c r="N6751" s="14">
        <v>0</v>
      </c>
      <c r="O6751" s="14">
        <v>0</v>
      </c>
      <c r="P6751" s="14">
        <v>932</v>
      </c>
      <c r="Q6751">
        <v>7818</v>
      </c>
      <c r="R6751">
        <v>639</v>
      </c>
      <c r="S6751">
        <v>0</v>
      </c>
    </row>
    <row r="6752" spans="11:19" x14ac:dyDescent="0.3">
      <c r="K6752" s="16">
        <f t="shared" si="105"/>
        <v>44297</v>
      </c>
      <c r="L6752" s="17">
        <v>0.25</v>
      </c>
      <c r="M6752" s="14">
        <v>932</v>
      </c>
      <c r="N6752" s="14">
        <v>0</v>
      </c>
      <c r="O6752" s="14">
        <v>1129</v>
      </c>
      <c r="P6752" s="14">
        <v>2061</v>
      </c>
      <c r="Q6752">
        <v>8042</v>
      </c>
      <c r="R6752">
        <v>618</v>
      </c>
      <c r="S6752">
        <v>0</v>
      </c>
    </row>
    <row r="6753" spans="11:19" x14ac:dyDescent="0.3">
      <c r="K6753" s="16">
        <f t="shared" si="105"/>
        <v>44297</v>
      </c>
      <c r="L6753" s="17">
        <v>0.29166666666666669</v>
      </c>
      <c r="M6753" s="14">
        <v>932</v>
      </c>
      <c r="N6753" s="14">
        <v>0</v>
      </c>
      <c r="O6753" s="14">
        <v>0</v>
      </c>
      <c r="P6753" s="14">
        <v>932</v>
      </c>
      <c r="Q6753">
        <v>8119</v>
      </c>
      <c r="R6753">
        <v>597</v>
      </c>
      <c r="S6753">
        <v>37</v>
      </c>
    </row>
    <row r="6754" spans="11:19" x14ac:dyDescent="0.3">
      <c r="K6754" s="16">
        <f t="shared" si="105"/>
        <v>44297</v>
      </c>
      <c r="L6754" s="17">
        <v>0.33333333333333331</v>
      </c>
      <c r="M6754" s="14">
        <v>932</v>
      </c>
      <c r="N6754" s="14">
        <v>1030</v>
      </c>
      <c r="O6754" s="14">
        <v>292</v>
      </c>
      <c r="P6754" s="14">
        <v>2254</v>
      </c>
      <c r="Q6754">
        <v>8583</v>
      </c>
      <c r="R6754">
        <v>515</v>
      </c>
      <c r="S6754">
        <v>431</v>
      </c>
    </row>
    <row r="6755" spans="11:19" x14ac:dyDescent="0.3">
      <c r="K6755" s="16">
        <f t="shared" si="105"/>
        <v>44297</v>
      </c>
      <c r="L6755" s="17">
        <v>0.375</v>
      </c>
      <c r="M6755" s="14">
        <v>932</v>
      </c>
      <c r="N6755" s="14">
        <v>0</v>
      </c>
      <c r="O6755" s="14">
        <v>0</v>
      </c>
      <c r="P6755" s="14">
        <v>932</v>
      </c>
      <c r="Q6755">
        <v>8936</v>
      </c>
      <c r="R6755">
        <v>496</v>
      </c>
      <c r="S6755">
        <v>1109</v>
      </c>
    </row>
    <row r="6756" spans="11:19" x14ac:dyDescent="0.3">
      <c r="K6756" s="16">
        <f t="shared" si="105"/>
        <v>44297</v>
      </c>
      <c r="L6756" s="17">
        <v>0.41666666666666669</v>
      </c>
      <c r="M6756" s="14">
        <v>932</v>
      </c>
      <c r="N6756" s="14">
        <v>0</v>
      </c>
      <c r="O6756" s="14">
        <v>0</v>
      </c>
      <c r="P6756" s="14">
        <v>932</v>
      </c>
      <c r="Q6756">
        <v>8945</v>
      </c>
      <c r="R6756">
        <v>501</v>
      </c>
      <c r="S6756">
        <v>1854</v>
      </c>
    </row>
    <row r="6757" spans="11:19" x14ac:dyDescent="0.3">
      <c r="K6757" s="16">
        <f t="shared" si="105"/>
        <v>44297</v>
      </c>
      <c r="L6757" s="17">
        <v>0.45833333333333331</v>
      </c>
      <c r="M6757" s="14">
        <v>932</v>
      </c>
      <c r="N6757" s="14">
        <v>0</v>
      </c>
      <c r="O6757" s="14">
        <v>-45</v>
      </c>
      <c r="P6757" s="14">
        <v>887</v>
      </c>
      <c r="Q6757">
        <v>8877</v>
      </c>
      <c r="R6757">
        <v>504</v>
      </c>
      <c r="S6757">
        <v>2355</v>
      </c>
    </row>
    <row r="6758" spans="11:19" x14ac:dyDescent="0.3">
      <c r="K6758" s="16">
        <f t="shared" si="105"/>
        <v>44297</v>
      </c>
      <c r="L6758" s="17">
        <v>0.5</v>
      </c>
      <c r="M6758" s="14">
        <v>932</v>
      </c>
      <c r="N6758" s="14">
        <v>0</v>
      </c>
      <c r="O6758" s="14">
        <v>-318</v>
      </c>
      <c r="P6758" s="14">
        <v>614</v>
      </c>
      <c r="Q6758">
        <v>8999</v>
      </c>
      <c r="R6758">
        <v>605</v>
      </c>
      <c r="S6758">
        <v>2651</v>
      </c>
    </row>
    <row r="6759" spans="11:19" x14ac:dyDescent="0.3">
      <c r="K6759" s="16">
        <f t="shared" si="105"/>
        <v>44297</v>
      </c>
      <c r="L6759" s="17">
        <v>0.54166666666666663</v>
      </c>
      <c r="M6759" s="14">
        <v>932</v>
      </c>
      <c r="N6759" s="14">
        <v>0</v>
      </c>
      <c r="O6759" s="14">
        <v>-1057</v>
      </c>
      <c r="P6759" s="14">
        <v>-125</v>
      </c>
      <c r="Q6759">
        <v>8394</v>
      </c>
      <c r="R6759">
        <v>620</v>
      </c>
      <c r="S6759">
        <v>2776</v>
      </c>
    </row>
    <row r="6760" spans="11:19" x14ac:dyDescent="0.3">
      <c r="K6760" s="16">
        <f t="shared" si="105"/>
        <v>44297</v>
      </c>
      <c r="L6760" s="17">
        <v>0.58333333333333337</v>
      </c>
      <c r="M6760" s="14">
        <v>932</v>
      </c>
      <c r="N6760" s="14">
        <v>0</v>
      </c>
      <c r="O6760" s="14">
        <v>-1200</v>
      </c>
      <c r="P6760" s="14">
        <v>-268</v>
      </c>
      <c r="Q6760">
        <v>7837</v>
      </c>
      <c r="R6760">
        <v>679</v>
      </c>
      <c r="S6760">
        <v>2706</v>
      </c>
    </row>
    <row r="6761" spans="11:19" x14ac:dyDescent="0.3">
      <c r="K6761" s="16">
        <f t="shared" si="105"/>
        <v>44297</v>
      </c>
      <c r="L6761" s="17">
        <v>0.625</v>
      </c>
      <c r="M6761" s="14">
        <v>932</v>
      </c>
      <c r="N6761" s="14">
        <v>0</v>
      </c>
      <c r="O6761" s="14">
        <v>-1200</v>
      </c>
      <c r="P6761" s="14">
        <v>-268</v>
      </c>
      <c r="Q6761">
        <v>7429</v>
      </c>
      <c r="R6761">
        <v>640</v>
      </c>
      <c r="S6761">
        <v>2506</v>
      </c>
    </row>
    <row r="6762" spans="11:19" x14ac:dyDescent="0.3">
      <c r="K6762" s="16">
        <f t="shared" si="105"/>
        <v>44297</v>
      </c>
      <c r="L6762" s="17">
        <v>0.66666666666666663</v>
      </c>
      <c r="M6762" s="14">
        <v>932</v>
      </c>
      <c r="N6762" s="14">
        <v>0</v>
      </c>
      <c r="O6762" s="14">
        <v>-1200</v>
      </c>
      <c r="P6762" s="14">
        <v>-268</v>
      </c>
      <c r="Q6762">
        <v>7191</v>
      </c>
      <c r="R6762">
        <v>577</v>
      </c>
      <c r="S6762">
        <v>2106</v>
      </c>
    </row>
    <row r="6763" spans="11:19" x14ac:dyDescent="0.3">
      <c r="K6763" s="16">
        <f t="shared" si="105"/>
        <v>44297</v>
      </c>
      <c r="L6763" s="17">
        <v>0.70833333333333337</v>
      </c>
      <c r="M6763" s="14">
        <v>932</v>
      </c>
      <c r="N6763" s="14">
        <v>0</v>
      </c>
      <c r="O6763" s="14">
        <v>-1088</v>
      </c>
      <c r="P6763" s="14">
        <v>-156</v>
      </c>
      <c r="Q6763">
        <v>7184</v>
      </c>
      <c r="R6763">
        <v>572</v>
      </c>
      <c r="S6763">
        <v>1571</v>
      </c>
    </row>
    <row r="6764" spans="11:19" x14ac:dyDescent="0.3">
      <c r="K6764" s="16">
        <f t="shared" si="105"/>
        <v>44297</v>
      </c>
      <c r="L6764" s="17">
        <v>0.75</v>
      </c>
      <c r="M6764" s="14">
        <v>932</v>
      </c>
      <c r="N6764" s="14">
        <v>0</v>
      </c>
      <c r="O6764" s="14">
        <v>-32</v>
      </c>
      <c r="P6764" s="14">
        <v>900</v>
      </c>
      <c r="Q6764">
        <v>7579</v>
      </c>
      <c r="R6764">
        <v>617</v>
      </c>
      <c r="S6764">
        <v>864</v>
      </c>
    </row>
    <row r="6765" spans="11:19" x14ac:dyDescent="0.3">
      <c r="K6765" s="16">
        <f t="shared" si="105"/>
        <v>44297</v>
      </c>
      <c r="L6765" s="17">
        <v>0.79166666666666663</v>
      </c>
      <c r="M6765" s="14">
        <v>932</v>
      </c>
      <c r="N6765" s="14">
        <v>0</v>
      </c>
      <c r="O6765" s="14">
        <v>1071</v>
      </c>
      <c r="P6765" s="14">
        <v>2003</v>
      </c>
      <c r="Q6765">
        <v>8054</v>
      </c>
      <c r="R6765">
        <v>629</v>
      </c>
      <c r="S6765">
        <v>228</v>
      </c>
    </row>
    <row r="6766" spans="11:19" x14ac:dyDescent="0.3">
      <c r="K6766" s="16">
        <f t="shared" si="105"/>
        <v>44297</v>
      </c>
      <c r="L6766" s="17">
        <v>0.83333333333333337</v>
      </c>
      <c r="M6766" s="14">
        <v>932</v>
      </c>
      <c r="N6766" s="14">
        <v>0</v>
      </c>
      <c r="O6766" s="14">
        <v>1200</v>
      </c>
      <c r="P6766" s="14">
        <v>2132</v>
      </c>
      <c r="Q6766">
        <v>8386</v>
      </c>
      <c r="R6766">
        <v>619</v>
      </c>
      <c r="S6766">
        <v>11</v>
      </c>
    </row>
    <row r="6767" spans="11:19" x14ac:dyDescent="0.3">
      <c r="K6767" s="16">
        <f t="shared" si="105"/>
        <v>44297</v>
      </c>
      <c r="L6767" s="17">
        <v>0.875</v>
      </c>
      <c r="M6767" s="14">
        <v>932</v>
      </c>
      <c r="N6767" s="14">
        <v>0</v>
      </c>
      <c r="O6767" s="14">
        <v>0</v>
      </c>
      <c r="P6767" s="14">
        <v>932</v>
      </c>
      <c r="Q6767">
        <v>8455</v>
      </c>
      <c r="R6767">
        <v>565</v>
      </c>
      <c r="S6767">
        <v>0</v>
      </c>
    </row>
    <row r="6768" spans="11:19" x14ac:dyDescent="0.3">
      <c r="K6768" s="16">
        <f t="shared" si="105"/>
        <v>44297</v>
      </c>
      <c r="L6768" s="17">
        <v>0.91666666666666663</v>
      </c>
      <c r="M6768" s="14">
        <v>932</v>
      </c>
      <c r="N6768" s="14">
        <v>0</v>
      </c>
      <c r="O6768" s="14">
        <v>0</v>
      </c>
      <c r="P6768" s="14">
        <v>932</v>
      </c>
      <c r="Q6768">
        <v>8803</v>
      </c>
      <c r="R6768">
        <v>438</v>
      </c>
      <c r="S6768">
        <v>0</v>
      </c>
    </row>
    <row r="6769" spans="11:19" x14ac:dyDescent="0.3">
      <c r="K6769" s="16">
        <f t="shared" si="105"/>
        <v>44297</v>
      </c>
      <c r="L6769" s="17">
        <v>0.95833333333333337</v>
      </c>
      <c r="M6769" s="14">
        <v>932</v>
      </c>
      <c r="N6769" s="14">
        <v>0</v>
      </c>
      <c r="O6769" s="14">
        <v>0</v>
      </c>
      <c r="P6769" s="14">
        <v>932</v>
      </c>
      <c r="Q6769">
        <v>9124</v>
      </c>
      <c r="R6769">
        <v>370</v>
      </c>
      <c r="S6769">
        <v>0</v>
      </c>
    </row>
    <row r="6770" spans="11:19" x14ac:dyDescent="0.3">
      <c r="K6770" s="16">
        <f t="shared" si="105"/>
        <v>44298</v>
      </c>
      <c r="L6770" s="17">
        <v>0</v>
      </c>
      <c r="M6770" s="14">
        <v>932</v>
      </c>
      <c r="N6770" s="14">
        <v>1912</v>
      </c>
      <c r="O6770" s="14">
        <v>0</v>
      </c>
      <c r="P6770" s="14">
        <v>2844</v>
      </c>
      <c r="Q6770">
        <v>8719</v>
      </c>
      <c r="R6770">
        <v>392</v>
      </c>
      <c r="S6770">
        <v>0</v>
      </c>
    </row>
    <row r="6771" spans="11:19" x14ac:dyDescent="0.3">
      <c r="K6771" s="16">
        <f t="shared" si="105"/>
        <v>44298</v>
      </c>
      <c r="L6771" s="17">
        <v>4.1666666666666664E-2</v>
      </c>
      <c r="M6771" s="14">
        <v>932</v>
      </c>
      <c r="N6771" s="14">
        <v>1677</v>
      </c>
      <c r="O6771" s="14">
        <v>0</v>
      </c>
      <c r="P6771" s="14">
        <v>2609</v>
      </c>
      <c r="Q6771">
        <v>8451</v>
      </c>
      <c r="R6771">
        <v>359</v>
      </c>
      <c r="S6771">
        <v>0</v>
      </c>
    </row>
    <row r="6772" spans="11:19" x14ac:dyDescent="0.3">
      <c r="K6772" s="16">
        <f t="shared" si="105"/>
        <v>44298</v>
      </c>
      <c r="L6772" s="17">
        <v>8.3333333333333329E-2</v>
      </c>
      <c r="M6772" s="14">
        <v>932</v>
      </c>
      <c r="N6772" s="14">
        <v>1530</v>
      </c>
      <c r="O6772" s="14">
        <v>0</v>
      </c>
      <c r="P6772" s="14">
        <v>2462</v>
      </c>
      <c r="Q6772">
        <v>8213</v>
      </c>
      <c r="R6772">
        <v>268</v>
      </c>
      <c r="S6772">
        <v>0</v>
      </c>
    </row>
    <row r="6773" spans="11:19" x14ac:dyDescent="0.3">
      <c r="K6773" s="16">
        <f t="shared" si="105"/>
        <v>44298</v>
      </c>
      <c r="L6773" s="17">
        <v>0.125</v>
      </c>
      <c r="M6773" s="14">
        <v>932</v>
      </c>
      <c r="N6773" s="14">
        <v>0</v>
      </c>
      <c r="O6773" s="14">
        <v>0</v>
      </c>
      <c r="P6773" s="14">
        <v>932</v>
      </c>
      <c r="Q6773">
        <v>7890</v>
      </c>
      <c r="R6773">
        <v>262</v>
      </c>
      <c r="S6773">
        <v>0</v>
      </c>
    </row>
    <row r="6774" spans="11:19" x14ac:dyDescent="0.3">
      <c r="K6774" s="16">
        <f t="shared" si="105"/>
        <v>44298</v>
      </c>
      <c r="L6774" s="17">
        <v>0.16666666666666666</v>
      </c>
      <c r="M6774" s="14">
        <v>932</v>
      </c>
      <c r="N6774" s="14">
        <v>0</v>
      </c>
      <c r="O6774" s="14">
        <v>0</v>
      </c>
      <c r="P6774" s="14">
        <v>932</v>
      </c>
      <c r="Q6774">
        <v>7908</v>
      </c>
      <c r="R6774">
        <v>204</v>
      </c>
      <c r="S6774">
        <v>0</v>
      </c>
    </row>
    <row r="6775" spans="11:19" x14ac:dyDescent="0.3">
      <c r="K6775" s="16">
        <f t="shared" si="105"/>
        <v>44298</v>
      </c>
      <c r="L6775" s="17">
        <v>0.20833333333333334</v>
      </c>
      <c r="M6775" s="14">
        <v>932</v>
      </c>
      <c r="N6775" s="14">
        <v>1890</v>
      </c>
      <c r="O6775" s="14">
        <v>0</v>
      </c>
      <c r="P6775" s="14">
        <v>2822</v>
      </c>
      <c r="Q6775">
        <v>8537</v>
      </c>
      <c r="R6775">
        <v>199</v>
      </c>
      <c r="S6775">
        <v>0</v>
      </c>
    </row>
    <row r="6776" spans="11:19" x14ac:dyDescent="0.3">
      <c r="K6776" s="16">
        <f t="shared" si="105"/>
        <v>44298</v>
      </c>
      <c r="L6776" s="17">
        <v>0.25</v>
      </c>
      <c r="M6776" s="14">
        <v>932</v>
      </c>
      <c r="N6776" s="14">
        <v>422</v>
      </c>
      <c r="O6776" s="14">
        <v>0</v>
      </c>
      <c r="P6776" s="14">
        <v>1354</v>
      </c>
      <c r="Q6776">
        <v>9681</v>
      </c>
      <c r="R6776">
        <v>249</v>
      </c>
      <c r="S6776">
        <v>0</v>
      </c>
    </row>
    <row r="6777" spans="11:19" x14ac:dyDescent="0.3">
      <c r="K6777" s="16">
        <f t="shared" si="105"/>
        <v>44298</v>
      </c>
      <c r="L6777" s="17">
        <v>0.29166666666666669</v>
      </c>
      <c r="M6777" s="14">
        <v>932</v>
      </c>
      <c r="N6777" s="14">
        <v>2225</v>
      </c>
      <c r="O6777" s="14">
        <v>0</v>
      </c>
      <c r="P6777" s="14">
        <v>3157</v>
      </c>
      <c r="Q6777">
        <v>10430</v>
      </c>
      <c r="R6777">
        <v>277</v>
      </c>
      <c r="S6777">
        <v>35</v>
      </c>
    </row>
    <row r="6778" spans="11:19" x14ac:dyDescent="0.3">
      <c r="K6778" s="16">
        <f t="shared" si="105"/>
        <v>44298</v>
      </c>
      <c r="L6778" s="17">
        <v>0.33333333333333331</v>
      </c>
      <c r="M6778" s="14">
        <v>932</v>
      </c>
      <c r="N6778" s="14">
        <v>2225</v>
      </c>
      <c r="O6778" s="14">
        <v>0</v>
      </c>
      <c r="P6778" s="14">
        <v>3157</v>
      </c>
      <c r="Q6778">
        <v>10855</v>
      </c>
      <c r="R6778">
        <v>258</v>
      </c>
      <c r="S6778">
        <v>370</v>
      </c>
    </row>
    <row r="6779" spans="11:19" x14ac:dyDescent="0.3">
      <c r="K6779" s="16">
        <f t="shared" si="105"/>
        <v>44298</v>
      </c>
      <c r="L6779" s="17">
        <v>0.375</v>
      </c>
      <c r="M6779" s="14">
        <v>932</v>
      </c>
      <c r="N6779" s="14">
        <v>666</v>
      </c>
      <c r="O6779" s="14">
        <v>0</v>
      </c>
      <c r="P6779" s="14">
        <v>1598</v>
      </c>
      <c r="Q6779">
        <v>10945</v>
      </c>
      <c r="R6779">
        <v>244</v>
      </c>
      <c r="S6779">
        <v>1024</v>
      </c>
    </row>
    <row r="6780" spans="11:19" x14ac:dyDescent="0.3">
      <c r="K6780" s="16">
        <f t="shared" si="105"/>
        <v>44298</v>
      </c>
      <c r="L6780" s="17">
        <v>0.41666666666666669</v>
      </c>
      <c r="M6780" s="14">
        <v>932</v>
      </c>
      <c r="N6780" s="14">
        <v>2225</v>
      </c>
      <c r="O6780" s="14">
        <v>0</v>
      </c>
      <c r="P6780" s="14">
        <v>3157</v>
      </c>
      <c r="Q6780">
        <v>10782</v>
      </c>
      <c r="R6780">
        <v>243</v>
      </c>
      <c r="S6780">
        <v>1656</v>
      </c>
    </row>
    <row r="6781" spans="11:19" x14ac:dyDescent="0.3">
      <c r="K6781" s="16">
        <f t="shared" si="105"/>
        <v>44298</v>
      </c>
      <c r="L6781" s="17">
        <v>0.45833333333333331</v>
      </c>
      <c r="M6781" s="14">
        <v>932</v>
      </c>
      <c r="N6781" s="14">
        <v>1919</v>
      </c>
      <c r="O6781" s="14">
        <v>0</v>
      </c>
      <c r="P6781" s="14">
        <v>2851</v>
      </c>
      <c r="Q6781">
        <v>10671</v>
      </c>
      <c r="R6781">
        <v>247</v>
      </c>
      <c r="S6781">
        <v>2035</v>
      </c>
    </row>
    <row r="6782" spans="11:19" x14ac:dyDescent="0.3">
      <c r="K6782" s="16">
        <f t="shared" si="105"/>
        <v>44298</v>
      </c>
      <c r="L6782" s="17">
        <v>0.5</v>
      </c>
      <c r="M6782" s="14">
        <v>932</v>
      </c>
      <c r="N6782" s="14">
        <v>0</v>
      </c>
      <c r="O6782" s="14">
        <v>0</v>
      </c>
      <c r="P6782" s="14">
        <v>932</v>
      </c>
      <c r="Q6782">
        <v>10594</v>
      </c>
      <c r="R6782">
        <v>231</v>
      </c>
      <c r="S6782">
        <v>2189</v>
      </c>
    </row>
    <row r="6783" spans="11:19" x14ac:dyDescent="0.3">
      <c r="K6783" s="16">
        <f t="shared" si="105"/>
        <v>44298</v>
      </c>
      <c r="L6783" s="17">
        <v>0.54166666666666663</v>
      </c>
      <c r="M6783" s="14">
        <v>932</v>
      </c>
      <c r="N6783" s="14">
        <v>0</v>
      </c>
      <c r="O6783" s="14">
        <v>0</v>
      </c>
      <c r="P6783" s="14">
        <v>932</v>
      </c>
      <c r="Q6783">
        <v>10354</v>
      </c>
      <c r="R6783">
        <v>247</v>
      </c>
      <c r="S6783">
        <v>2266</v>
      </c>
    </row>
    <row r="6784" spans="11:19" x14ac:dyDescent="0.3">
      <c r="K6784" s="16">
        <f t="shared" si="105"/>
        <v>44298</v>
      </c>
      <c r="L6784" s="17">
        <v>0.58333333333333337</v>
      </c>
      <c r="M6784" s="14">
        <v>932</v>
      </c>
      <c r="N6784" s="14">
        <v>1230</v>
      </c>
      <c r="O6784" s="14">
        <v>0</v>
      </c>
      <c r="P6784" s="14">
        <v>2162</v>
      </c>
      <c r="Q6784">
        <v>10030</v>
      </c>
      <c r="R6784">
        <v>219</v>
      </c>
      <c r="S6784">
        <v>2193</v>
      </c>
    </row>
    <row r="6785" spans="11:19" x14ac:dyDescent="0.3">
      <c r="K6785" s="16">
        <f t="shared" si="105"/>
        <v>44298</v>
      </c>
      <c r="L6785" s="17">
        <v>0.625</v>
      </c>
      <c r="M6785" s="14">
        <v>932</v>
      </c>
      <c r="N6785" s="14">
        <v>932</v>
      </c>
      <c r="O6785" s="14">
        <v>0</v>
      </c>
      <c r="P6785" s="14">
        <v>1864</v>
      </c>
      <c r="Q6785">
        <v>9627</v>
      </c>
      <c r="R6785">
        <v>248</v>
      </c>
      <c r="S6785">
        <v>2060</v>
      </c>
    </row>
    <row r="6786" spans="11:19" x14ac:dyDescent="0.3">
      <c r="K6786" s="16">
        <f t="shared" si="105"/>
        <v>44298</v>
      </c>
      <c r="L6786" s="17">
        <v>0.66666666666666663</v>
      </c>
      <c r="M6786" s="14">
        <v>932</v>
      </c>
      <c r="N6786" s="14">
        <v>913</v>
      </c>
      <c r="O6786" s="14">
        <v>0</v>
      </c>
      <c r="P6786" s="14">
        <v>1845</v>
      </c>
      <c r="Q6786">
        <v>9334</v>
      </c>
      <c r="R6786">
        <v>219</v>
      </c>
      <c r="S6786">
        <v>1816</v>
      </c>
    </row>
    <row r="6787" spans="11:19" x14ac:dyDescent="0.3">
      <c r="K6787" s="16">
        <f t="shared" si="105"/>
        <v>44298</v>
      </c>
      <c r="L6787" s="17">
        <v>0.70833333333333337</v>
      </c>
      <c r="M6787" s="14">
        <v>932</v>
      </c>
      <c r="N6787" s="14">
        <v>1006</v>
      </c>
      <c r="O6787" s="14">
        <v>0</v>
      </c>
      <c r="P6787" s="14">
        <v>1938</v>
      </c>
      <c r="Q6787">
        <v>9157</v>
      </c>
      <c r="R6787">
        <v>338</v>
      </c>
      <c r="S6787">
        <v>1347</v>
      </c>
    </row>
    <row r="6788" spans="11:19" x14ac:dyDescent="0.3">
      <c r="K6788" s="16">
        <f t="shared" si="105"/>
        <v>44298</v>
      </c>
      <c r="L6788" s="17">
        <v>0.75</v>
      </c>
      <c r="M6788" s="14">
        <v>932</v>
      </c>
      <c r="N6788" s="14">
        <v>1960</v>
      </c>
      <c r="O6788" s="14">
        <v>0</v>
      </c>
      <c r="P6788" s="14">
        <v>2892</v>
      </c>
      <c r="Q6788">
        <v>9439</v>
      </c>
      <c r="R6788">
        <v>290</v>
      </c>
      <c r="S6788">
        <v>726</v>
      </c>
    </row>
    <row r="6789" spans="11:19" x14ac:dyDescent="0.3">
      <c r="K6789" s="16">
        <f t="shared" si="105"/>
        <v>44298</v>
      </c>
      <c r="L6789" s="17">
        <v>0.79166666666666663</v>
      </c>
      <c r="M6789" s="14">
        <v>932</v>
      </c>
      <c r="N6789" s="14">
        <v>56</v>
      </c>
      <c r="O6789" s="14">
        <v>0</v>
      </c>
      <c r="P6789" s="14">
        <v>988</v>
      </c>
      <c r="Q6789">
        <v>9669</v>
      </c>
      <c r="R6789">
        <v>426</v>
      </c>
      <c r="S6789">
        <v>190</v>
      </c>
    </row>
    <row r="6790" spans="11:19" x14ac:dyDescent="0.3">
      <c r="K6790" s="16">
        <f t="shared" si="105"/>
        <v>44298</v>
      </c>
      <c r="L6790" s="17">
        <v>0.83333333333333337</v>
      </c>
      <c r="M6790" s="14">
        <v>932</v>
      </c>
      <c r="N6790" s="14">
        <v>2225</v>
      </c>
      <c r="O6790" s="14">
        <v>0</v>
      </c>
      <c r="P6790" s="14">
        <v>3157</v>
      </c>
      <c r="Q6790">
        <v>9491</v>
      </c>
      <c r="R6790">
        <v>479</v>
      </c>
      <c r="S6790">
        <v>9</v>
      </c>
    </row>
    <row r="6791" spans="11:19" x14ac:dyDescent="0.3">
      <c r="K6791" s="16">
        <f t="shared" si="105"/>
        <v>44298</v>
      </c>
      <c r="L6791" s="17">
        <v>0.875</v>
      </c>
      <c r="M6791" s="14">
        <v>932</v>
      </c>
      <c r="N6791" s="14">
        <v>2225</v>
      </c>
      <c r="O6791" s="14">
        <v>0</v>
      </c>
      <c r="P6791" s="14">
        <v>3157</v>
      </c>
      <c r="Q6791">
        <v>9223</v>
      </c>
      <c r="R6791">
        <v>445</v>
      </c>
      <c r="S6791">
        <v>0</v>
      </c>
    </row>
    <row r="6792" spans="11:19" x14ac:dyDescent="0.3">
      <c r="K6792" s="16">
        <f t="shared" si="105"/>
        <v>44298</v>
      </c>
      <c r="L6792" s="17">
        <v>0.91666666666666663</v>
      </c>
      <c r="M6792" s="14">
        <v>932</v>
      </c>
      <c r="N6792" s="14">
        <v>2225</v>
      </c>
      <c r="O6792" s="14">
        <v>0</v>
      </c>
      <c r="P6792" s="14">
        <v>3157</v>
      </c>
      <c r="Q6792">
        <v>9423</v>
      </c>
      <c r="R6792">
        <v>366</v>
      </c>
      <c r="S6792">
        <v>0</v>
      </c>
    </row>
    <row r="6793" spans="11:19" x14ac:dyDescent="0.3">
      <c r="K6793" s="16">
        <f t="shared" si="105"/>
        <v>44298</v>
      </c>
      <c r="L6793" s="17">
        <v>0.95833333333333337</v>
      </c>
      <c r="M6793" s="14">
        <v>932</v>
      </c>
      <c r="N6793" s="14">
        <v>2225</v>
      </c>
      <c r="O6793" s="14">
        <v>0</v>
      </c>
      <c r="P6793" s="14">
        <v>3157</v>
      </c>
      <c r="Q6793">
        <v>9617</v>
      </c>
      <c r="R6793">
        <v>300</v>
      </c>
      <c r="S6793">
        <v>0</v>
      </c>
    </row>
    <row r="6794" spans="11:19" x14ac:dyDescent="0.3">
      <c r="K6794" s="16">
        <f t="shared" si="105"/>
        <v>44299</v>
      </c>
      <c r="L6794" s="17">
        <v>0</v>
      </c>
      <c r="M6794" s="14">
        <v>932</v>
      </c>
      <c r="N6794" s="14">
        <v>2134</v>
      </c>
      <c r="O6794" s="14">
        <v>0</v>
      </c>
      <c r="P6794" s="14">
        <v>3066</v>
      </c>
      <c r="Q6794">
        <v>9095</v>
      </c>
      <c r="R6794">
        <v>315</v>
      </c>
      <c r="S6794">
        <v>0</v>
      </c>
    </row>
    <row r="6795" spans="11:19" x14ac:dyDescent="0.3">
      <c r="K6795" s="16">
        <f t="shared" si="105"/>
        <v>44299</v>
      </c>
      <c r="L6795" s="17">
        <v>4.1666666666666664E-2</v>
      </c>
      <c r="M6795" s="14">
        <v>932</v>
      </c>
      <c r="N6795" s="14">
        <v>0</v>
      </c>
      <c r="O6795" s="14">
        <v>0</v>
      </c>
      <c r="P6795" s="14">
        <v>932</v>
      </c>
      <c r="Q6795">
        <v>8753</v>
      </c>
      <c r="R6795">
        <v>302</v>
      </c>
      <c r="S6795">
        <v>0</v>
      </c>
    </row>
    <row r="6796" spans="11:19" x14ac:dyDescent="0.3">
      <c r="K6796" s="16">
        <f t="shared" si="105"/>
        <v>44299</v>
      </c>
      <c r="L6796" s="17">
        <v>8.3333333333333329E-2</v>
      </c>
      <c r="M6796" s="14">
        <v>932</v>
      </c>
      <c r="N6796" s="14">
        <v>1772</v>
      </c>
      <c r="O6796" s="14">
        <v>0</v>
      </c>
      <c r="P6796" s="14">
        <v>2704</v>
      </c>
      <c r="Q6796">
        <v>8506</v>
      </c>
      <c r="R6796">
        <v>322</v>
      </c>
      <c r="S6796">
        <v>0</v>
      </c>
    </row>
    <row r="6797" spans="11:19" x14ac:dyDescent="0.3">
      <c r="K6797" s="16">
        <f t="shared" si="105"/>
        <v>44299</v>
      </c>
      <c r="L6797" s="17">
        <v>0.125</v>
      </c>
      <c r="M6797" s="14">
        <v>932</v>
      </c>
      <c r="N6797" s="14">
        <v>0</v>
      </c>
      <c r="O6797" s="14">
        <v>0</v>
      </c>
      <c r="P6797" s="14">
        <v>932</v>
      </c>
      <c r="Q6797">
        <v>8153</v>
      </c>
      <c r="R6797">
        <v>276</v>
      </c>
      <c r="S6797">
        <v>0</v>
      </c>
    </row>
    <row r="6798" spans="11:19" x14ac:dyDescent="0.3">
      <c r="K6798" s="16">
        <f t="shared" si="105"/>
        <v>44299</v>
      </c>
      <c r="L6798" s="17">
        <v>0.16666666666666666</v>
      </c>
      <c r="M6798" s="14">
        <v>932</v>
      </c>
      <c r="N6798" s="14">
        <v>0</v>
      </c>
      <c r="O6798" s="14">
        <v>0</v>
      </c>
      <c r="P6798" s="14">
        <v>932</v>
      </c>
      <c r="Q6798">
        <v>8127</v>
      </c>
      <c r="R6798">
        <v>297</v>
      </c>
      <c r="S6798">
        <v>0</v>
      </c>
    </row>
    <row r="6799" spans="11:19" x14ac:dyDescent="0.3">
      <c r="K6799" s="16">
        <f t="shared" si="105"/>
        <v>44299</v>
      </c>
      <c r="L6799" s="17">
        <v>0.20833333333333334</v>
      </c>
      <c r="M6799" s="14">
        <v>932</v>
      </c>
      <c r="N6799" s="14">
        <v>1845</v>
      </c>
      <c r="O6799" s="14">
        <v>0</v>
      </c>
      <c r="P6799" s="14">
        <v>2777</v>
      </c>
      <c r="Q6799">
        <v>8645</v>
      </c>
      <c r="R6799">
        <v>355</v>
      </c>
      <c r="S6799">
        <v>0</v>
      </c>
    </row>
    <row r="6800" spans="11:19" x14ac:dyDescent="0.3">
      <c r="K6800" s="16">
        <f t="shared" si="105"/>
        <v>44299</v>
      </c>
      <c r="L6800" s="17">
        <v>0.25</v>
      </c>
      <c r="M6800" s="14">
        <v>932</v>
      </c>
      <c r="N6800" s="14">
        <v>341</v>
      </c>
      <c r="O6800" s="14">
        <v>0</v>
      </c>
      <c r="P6800" s="14">
        <v>1273</v>
      </c>
      <c r="Q6800">
        <v>9698</v>
      </c>
      <c r="R6800">
        <v>350</v>
      </c>
      <c r="S6800">
        <v>0</v>
      </c>
    </row>
    <row r="6801" spans="11:19" x14ac:dyDescent="0.3">
      <c r="K6801" s="16">
        <f t="shared" si="105"/>
        <v>44299</v>
      </c>
      <c r="L6801" s="17">
        <v>0.29166666666666669</v>
      </c>
      <c r="M6801" s="14">
        <v>932</v>
      </c>
      <c r="N6801" s="14">
        <v>1015</v>
      </c>
      <c r="O6801" s="14">
        <v>0</v>
      </c>
      <c r="P6801" s="14">
        <v>1947</v>
      </c>
      <c r="Q6801">
        <v>10421</v>
      </c>
      <c r="R6801">
        <v>360</v>
      </c>
      <c r="S6801">
        <v>35</v>
      </c>
    </row>
    <row r="6802" spans="11:19" x14ac:dyDescent="0.3">
      <c r="K6802" s="16">
        <f t="shared" si="105"/>
        <v>44299</v>
      </c>
      <c r="L6802" s="17">
        <v>0.33333333333333331</v>
      </c>
      <c r="M6802" s="14">
        <v>932</v>
      </c>
      <c r="N6802" s="14">
        <v>1173</v>
      </c>
      <c r="O6802" s="14">
        <v>0</v>
      </c>
      <c r="P6802" s="14">
        <v>2105</v>
      </c>
      <c r="Q6802">
        <v>10824</v>
      </c>
      <c r="R6802">
        <v>305</v>
      </c>
      <c r="S6802">
        <v>335</v>
      </c>
    </row>
    <row r="6803" spans="11:19" x14ac:dyDescent="0.3">
      <c r="K6803" s="16">
        <f t="shared" si="105"/>
        <v>44299</v>
      </c>
      <c r="L6803" s="17">
        <v>0.375</v>
      </c>
      <c r="M6803" s="14">
        <v>932</v>
      </c>
      <c r="N6803" s="14">
        <v>2134</v>
      </c>
      <c r="O6803" s="14">
        <v>0</v>
      </c>
      <c r="P6803" s="14">
        <v>3066</v>
      </c>
      <c r="Q6803">
        <v>10879</v>
      </c>
      <c r="R6803">
        <v>303</v>
      </c>
      <c r="S6803">
        <v>976</v>
      </c>
    </row>
    <row r="6804" spans="11:19" x14ac:dyDescent="0.3">
      <c r="K6804" s="16">
        <f t="shared" si="105"/>
        <v>44299</v>
      </c>
      <c r="L6804" s="17">
        <v>0.41666666666666669</v>
      </c>
      <c r="M6804" s="14">
        <v>932</v>
      </c>
      <c r="N6804" s="14">
        <v>0</v>
      </c>
      <c r="O6804" s="14">
        <v>0</v>
      </c>
      <c r="P6804" s="14">
        <v>932</v>
      </c>
      <c r="Q6804">
        <v>10712</v>
      </c>
      <c r="R6804">
        <v>370</v>
      </c>
      <c r="S6804">
        <v>1561</v>
      </c>
    </row>
    <row r="6805" spans="11:19" x14ac:dyDescent="0.3">
      <c r="K6805" s="16">
        <f t="shared" si="105"/>
        <v>44299</v>
      </c>
      <c r="L6805" s="17">
        <v>0.45833333333333331</v>
      </c>
      <c r="M6805" s="14">
        <v>932</v>
      </c>
      <c r="N6805" s="14">
        <v>1816</v>
      </c>
      <c r="O6805" s="14">
        <v>0</v>
      </c>
      <c r="P6805" s="14">
        <v>2748</v>
      </c>
      <c r="Q6805">
        <v>10566</v>
      </c>
      <c r="R6805">
        <v>362</v>
      </c>
      <c r="S6805">
        <v>1922</v>
      </c>
    </row>
    <row r="6806" spans="11:19" x14ac:dyDescent="0.3">
      <c r="K6806" s="16">
        <f t="shared" si="105"/>
        <v>44299</v>
      </c>
      <c r="L6806" s="17">
        <v>0.5</v>
      </c>
      <c r="M6806" s="14">
        <v>932</v>
      </c>
      <c r="N6806" s="14">
        <v>0</v>
      </c>
      <c r="O6806" s="14">
        <v>0</v>
      </c>
      <c r="P6806" s="14">
        <v>932</v>
      </c>
      <c r="Q6806">
        <v>10438</v>
      </c>
      <c r="R6806">
        <v>437</v>
      </c>
      <c r="S6806">
        <v>2087</v>
      </c>
    </row>
    <row r="6807" spans="11:19" x14ac:dyDescent="0.3">
      <c r="K6807" s="16">
        <f t="shared" si="105"/>
        <v>44299</v>
      </c>
      <c r="L6807" s="17">
        <v>0.54166666666666663</v>
      </c>
      <c r="M6807" s="14">
        <v>932</v>
      </c>
      <c r="N6807" s="14">
        <v>0</v>
      </c>
      <c r="O6807" s="14">
        <v>0</v>
      </c>
      <c r="P6807" s="14">
        <v>932</v>
      </c>
      <c r="Q6807">
        <v>10162</v>
      </c>
      <c r="R6807">
        <v>494</v>
      </c>
      <c r="S6807">
        <v>2209</v>
      </c>
    </row>
    <row r="6808" spans="11:19" x14ac:dyDescent="0.3">
      <c r="K6808" s="16">
        <f t="shared" si="105"/>
        <v>44299</v>
      </c>
      <c r="L6808" s="17">
        <v>0.58333333333333337</v>
      </c>
      <c r="M6808" s="14">
        <v>932</v>
      </c>
      <c r="N6808" s="14">
        <v>930</v>
      </c>
      <c r="O6808" s="14">
        <v>0</v>
      </c>
      <c r="P6808" s="14">
        <v>1862</v>
      </c>
      <c r="Q6808">
        <v>9862</v>
      </c>
      <c r="R6808">
        <v>454</v>
      </c>
      <c r="S6808">
        <v>2174</v>
      </c>
    </row>
    <row r="6809" spans="11:19" x14ac:dyDescent="0.3">
      <c r="K6809" s="16">
        <f t="shared" si="105"/>
        <v>44299</v>
      </c>
      <c r="L6809" s="17">
        <v>0.625</v>
      </c>
      <c r="M6809" s="14">
        <v>932</v>
      </c>
      <c r="N6809" s="14">
        <v>0</v>
      </c>
      <c r="O6809" s="14">
        <v>0</v>
      </c>
      <c r="P6809" s="14">
        <v>932</v>
      </c>
      <c r="Q6809">
        <v>9502</v>
      </c>
      <c r="R6809">
        <v>411</v>
      </c>
      <c r="S6809">
        <v>2066</v>
      </c>
    </row>
    <row r="6810" spans="11:19" x14ac:dyDescent="0.3">
      <c r="K6810" s="16">
        <f t="shared" si="105"/>
        <v>44299</v>
      </c>
      <c r="L6810" s="17">
        <v>0.66666666666666663</v>
      </c>
      <c r="M6810" s="14">
        <v>932</v>
      </c>
      <c r="N6810" s="14">
        <v>0</v>
      </c>
      <c r="O6810" s="14">
        <v>0</v>
      </c>
      <c r="P6810" s="14">
        <v>932</v>
      </c>
      <c r="Q6810">
        <v>9240</v>
      </c>
      <c r="R6810">
        <v>397</v>
      </c>
      <c r="S6810">
        <v>1791</v>
      </c>
    </row>
    <row r="6811" spans="11:19" x14ac:dyDescent="0.3">
      <c r="K6811" s="16">
        <f t="shared" ref="K6811:K6874" si="106">K6787+1</f>
        <v>44299</v>
      </c>
      <c r="L6811" s="17">
        <v>0.70833333333333337</v>
      </c>
      <c r="M6811" s="14">
        <v>932</v>
      </c>
      <c r="N6811" s="14">
        <v>0</v>
      </c>
      <c r="O6811" s="14">
        <v>0</v>
      </c>
      <c r="P6811" s="14">
        <v>932</v>
      </c>
      <c r="Q6811">
        <v>9086</v>
      </c>
      <c r="R6811">
        <v>422</v>
      </c>
      <c r="S6811">
        <v>1330</v>
      </c>
    </row>
    <row r="6812" spans="11:19" x14ac:dyDescent="0.3">
      <c r="K6812" s="16">
        <f t="shared" si="106"/>
        <v>44299</v>
      </c>
      <c r="L6812" s="17">
        <v>0.75</v>
      </c>
      <c r="M6812" s="14">
        <v>932</v>
      </c>
      <c r="N6812" s="14">
        <v>1698</v>
      </c>
      <c r="O6812" s="14">
        <v>0</v>
      </c>
      <c r="P6812" s="14">
        <v>2630</v>
      </c>
      <c r="Q6812">
        <v>9342</v>
      </c>
      <c r="R6812">
        <v>463</v>
      </c>
      <c r="S6812">
        <v>721</v>
      </c>
    </row>
    <row r="6813" spans="11:19" x14ac:dyDescent="0.3">
      <c r="K6813" s="16">
        <f t="shared" si="106"/>
        <v>44299</v>
      </c>
      <c r="L6813" s="17">
        <v>0.79166666666666663</v>
      </c>
      <c r="M6813" s="14">
        <v>932</v>
      </c>
      <c r="N6813" s="14">
        <v>2134</v>
      </c>
      <c r="O6813" s="14">
        <v>0</v>
      </c>
      <c r="P6813" s="14">
        <v>3066</v>
      </c>
      <c r="Q6813">
        <v>9447</v>
      </c>
      <c r="R6813">
        <v>471</v>
      </c>
      <c r="S6813">
        <v>217</v>
      </c>
    </row>
    <row r="6814" spans="11:19" x14ac:dyDescent="0.3">
      <c r="K6814" s="16">
        <f t="shared" si="106"/>
        <v>44299</v>
      </c>
      <c r="L6814" s="17">
        <v>0.83333333333333337</v>
      </c>
      <c r="M6814" s="14">
        <v>932</v>
      </c>
      <c r="N6814" s="14">
        <v>0</v>
      </c>
      <c r="O6814" s="14">
        <v>0</v>
      </c>
      <c r="P6814" s="14">
        <v>932</v>
      </c>
      <c r="Q6814">
        <v>9230</v>
      </c>
      <c r="R6814">
        <v>411</v>
      </c>
      <c r="S6814">
        <v>11</v>
      </c>
    </row>
    <row r="6815" spans="11:19" x14ac:dyDescent="0.3">
      <c r="K6815" s="16">
        <f t="shared" si="106"/>
        <v>44299</v>
      </c>
      <c r="L6815" s="17">
        <v>0.875</v>
      </c>
      <c r="M6815" s="14">
        <v>932</v>
      </c>
      <c r="N6815" s="14">
        <v>0</v>
      </c>
      <c r="O6815" s="14">
        <v>0</v>
      </c>
      <c r="P6815" s="14">
        <v>932</v>
      </c>
      <c r="Q6815">
        <v>9038</v>
      </c>
      <c r="R6815">
        <v>437</v>
      </c>
      <c r="S6815">
        <v>0</v>
      </c>
    </row>
    <row r="6816" spans="11:19" x14ac:dyDescent="0.3">
      <c r="K6816" s="16">
        <f t="shared" si="106"/>
        <v>44299</v>
      </c>
      <c r="L6816" s="17">
        <v>0.91666666666666663</v>
      </c>
      <c r="M6816" s="14">
        <v>932</v>
      </c>
      <c r="N6816" s="14">
        <v>0</v>
      </c>
      <c r="O6816" s="14">
        <v>0</v>
      </c>
      <c r="P6816" s="14">
        <v>932</v>
      </c>
      <c r="Q6816">
        <v>9219</v>
      </c>
      <c r="R6816">
        <v>511</v>
      </c>
      <c r="S6816">
        <v>0</v>
      </c>
    </row>
    <row r="6817" spans="11:19" x14ac:dyDescent="0.3">
      <c r="K6817" s="16">
        <f t="shared" si="106"/>
        <v>44299</v>
      </c>
      <c r="L6817" s="17">
        <v>0.95833333333333337</v>
      </c>
      <c r="M6817" s="14">
        <v>932</v>
      </c>
      <c r="N6817" s="14">
        <v>0</v>
      </c>
      <c r="O6817" s="14">
        <v>0</v>
      </c>
      <c r="P6817" s="14">
        <v>932</v>
      </c>
      <c r="Q6817">
        <v>9403</v>
      </c>
      <c r="R6817">
        <v>503</v>
      </c>
      <c r="S6817">
        <v>0</v>
      </c>
    </row>
    <row r="6818" spans="11:19" x14ac:dyDescent="0.3">
      <c r="K6818" s="16">
        <f t="shared" si="106"/>
        <v>44300</v>
      </c>
      <c r="L6818" s="17">
        <v>0</v>
      </c>
      <c r="M6818" s="14">
        <v>932</v>
      </c>
      <c r="N6818" s="14">
        <v>0</v>
      </c>
      <c r="O6818" s="14">
        <v>0</v>
      </c>
      <c r="P6818" s="14">
        <v>932</v>
      </c>
      <c r="Q6818">
        <v>8858</v>
      </c>
      <c r="R6818">
        <v>508</v>
      </c>
      <c r="S6818">
        <v>0</v>
      </c>
    </row>
    <row r="6819" spans="11:19" x14ac:dyDescent="0.3">
      <c r="K6819" s="16">
        <f t="shared" si="106"/>
        <v>44300</v>
      </c>
      <c r="L6819" s="17">
        <v>4.1666666666666664E-2</v>
      </c>
      <c r="M6819" s="14">
        <v>932</v>
      </c>
      <c r="N6819" s="14">
        <v>1524</v>
      </c>
      <c r="O6819" s="14">
        <v>0</v>
      </c>
      <c r="P6819" s="14">
        <v>2456</v>
      </c>
      <c r="Q6819">
        <v>8510</v>
      </c>
      <c r="R6819">
        <v>574</v>
      </c>
      <c r="S6819">
        <v>0</v>
      </c>
    </row>
    <row r="6820" spans="11:19" x14ac:dyDescent="0.3">
      <c r="K6820" s="16">
        <f t="shared" si="106"/>
        <v>44300</v>
      </c>
      <c r="L6820" s="17">
        <v>8.3333333333333329E-2</v>
      </c>
      <c r="M6820" s="14">
        <v>932</v>
      </c>
      <c r="N6820" s="14">
        <v>0</v>
      </c>
      <c r="O6820" s="14">
        <v>0</v>
      </c>
      <c r="P6820" s="14">
        <v>932</v>
      </c>
      <c r="Q6820">
        <v>8259</v>
      </c>
      <c r="R6820">
        <v>622</v>
      </c>
      <c r="S6820">
        <v>0</v>
      </c>
    </row>
    <row r="6821" spans="11:19" x14ac:dyDescent="0.3">
      <c r="K6821" s="16">
        <f t="shared" si="106"/>
        <v>44300</v>
      </c>
      <c r="L6821" s="17">
        <v>0.125</v>
      </c>
      <c r="M6821" s="14">
        <v>932</v>
      </c>
      <c r="N6821" s="14">
        <v>0</v>
      </c>
      <c r="O6821" s="14">
        <v>0</v>
      </c>
      <c r="P6821" s="14">
        <v>932</v>
      </c>
      <c r="Q6821">
        <v>7904</v>
      </c>
      <c r="R6821">
        <v>660</v>
      </c>
      <c r="S6821">
        <v>0</v>
      </c>
    </row>
    <row r="6822" spans="11:19" x14ac:dyDescent="0.3">
      <c r="K6822" s="16">
        <f t="shared" si="106"/>
        <v>44300</v>
      </c>
      <c r="L6822" s="17">
        <v>0.16666666666666666</v>
      </c>
      <c r="M6822" s="14">
        <v>932</v>
      </c>
      <c r="N6822" s="14">
        <v>778</v>
      </c>
      <c r="O6822" s="14">
        <v>0</v>
      </c>
      <c r="P6822" s="14">
        <v>1710</v>
      </c>
      <c r="Q6822">
        <v>7872</v>
      </c>
      <c r="R6822">
        <v>669</v>
      </c>
      <c r="S6822">
        <v>0</v>
      </c>
    </row>
    <row r="6823" spans="11:19" x14ac:dyDescent="0.3">
      <c r="K6823" s="16">
        <f t="shared" si="106"/>
        <v>44300</v>
      </c>
      <c r="L6823" s="17">
        <v>0.20833333333333334</v>
      </c>
      <c r="M6823" s="14">
        <v>932</v>
      </c>
      <c r="N6823" s="14">
        <v>0</v>
      </c>
      <c r="O6823" s="14">
        <v>0</v>
      </c>
      <c r="P6823" s="14">
        <v>932</v>
      </c>
      <c r="Q6823">
        <v>8381</v>
      </c>
      <c r="R6823">
        <v>554</v>
      </c>
      <c r="S6823">
        <v>0</v>
      </c>
    </row>
    <row r="6824" spans="11:19" x14ac:dyDescent="0.3">
      <c r="K6824" s="16">
        <f t="shared" si="106"/>
        <v>44300</v>
      </c>
      <c r="L6824" s="17">
        <v>0.25</v>
      </c>
      <c r="M6824" s="14">
        <v>932</v>
      </c>
      <c r="N6824" s="14">
        <v>0</v>
      </c>
      <c r="O6824" s="14">
        <v>0</v>
      </c>
      <c r="P6824" s="14">
        <v>932</v>
      </c>
      <c r="Q6824">
        <v>9426</v>
      </c>
      <c r="R6824">
        <v>510</v>
      </c>
      <c r="S6824">
        <v>0</v>
      </c>
    </row>
    <row r="6825" spans="11:19" x14ac:dyDescent="0.3">
      <c r="K6825" s="16">
        <f t="shared" si="106"/>
        <v>44300</v>
      </c>
      <c r="L6825" s="17">
        <v>0.29166666666666669</v>
      </c>
      <c r="M6825" s="14">
        <v>932</v>
      </c>
      <c r="N6825" s="14">
        <v>551</v>
      </c>
      <c r="O6825" s="14">
        <v>0</v>
      </c>
      <c r="P6825" s="14">
        <v>1483</v>
      </c>
      <c r="Q6825">
        <v>10145</v>
      </c>
      <c r="R6825">
        <v>546</v>
      </c>
      <c r="S6825">
        <v>37</v>
      </c>
    </row>
    <row r="6826" spans="11:19" x14ac:dyDescent="0.3">
      <c r="K6826" s="16">
        <f t="shared" si="106"/>
        <v>44300</v>
      </c>
      <c r="L6826" s="17">
        <v>0.33333333333333331</v>
      </c>
      <c r="M6826" s="14">
        <v>932</v>
      </c>
      <c r="N6826" s="14">
        <v>685</v>
      </c>
      <c r="O6826" s="14">
        <v>0</v>
      </c>
      <c r="P6826" s="14">
        <v>1617</v>
      </c>
      <c r="Q6826">
        <v>10551</v>
      </c>
      <c r="R6826">
        <v>501</v>
      </c>
      <c r="S6826">
        <v>354</v>
      </c>
    </row>
    <row r="6827" spans="11:19" x14ac:dyDescent="0.3">
      <c r="K6827" s="16">
        <f t="shared" si="106"/>
        <v>44300</v>
      </c>
      <c r="L6827" s="17">
        <v>0.375</v>
      </c>
      <c r="M6827" s="14">
        <v>932</v>
      </c>
      <c r="N6827" s="14">
        <v>90</v>
      </c>
      <c r="O6827" s="14">
        <v>0</v>
      </c>
      <c r="P6827" s="14">
        <v>1022</v>
      </c>
      <c r="Q6827">
        <v>10610</v>
      </c>
      <c r="R6827">
        <v>543</v>
      </c>
      <c r="S6827">
        <v>970</v>
      </c>
    </row>
    <row r="6828" spans="11:19" x14ac:dyDescent="0.3">
      <c r="K6828" s="16">
        <f t="shared" si="106"/>
        <v>44300</v>
      </c>
      <c r="L6828" s="17">
        <v>0.41666666666666669</v>
      </c>
      <c r="M6828" s="14">
        <v>932</v>
      </c>
      <c r="N6828" s="14">
        <v>0</v>
      </c>
      <c r="O6828" s="14">
        <v>0</v>
      </c>
      <c r="P6828" s="14">
        <v>932</v>
      </c>
      <c r="Q6828">
        <v>10493</v>
      </c>
      <c r="R6828">
        <v>594</v>
      </c>
      <c r="S6828">
        <v>1465</v>
      </c>
    </row>
    <row r="6829" spans="11:19" x14ac:dyDescent="0.3">
      <c r="K6829" s="16">
        <f t="shared" si="106"/>
        <v>44300</v>
      </c>
      <c r="L6829" s="17">
        <v>0.45833333333333331</v>
      </c>
      <c r="M6829" s="14">
        <v>932</v>
      </c>
      <c r="N6829" s="14">
        <v>1410</v>
      </c>
      <c r="O6829" s="14">
        <v>0</v>
      </c>
      <c r="P6829" s="14">
        <v>2342</v>
      </c>
      <c r="Q6829">
        <v>10389</v>
      </c>
      <c r="R6829">
        <v>737</v>
      </c>
      <c r="S6829">
        <v>1776</v>
      </c>
    </row>
    <row r="6830" spans="11:19" x14ac:dyDescent="0.3">
      <c r="K6830" s="16">
        <f t="shared" si="106"/>
        <v>44300</v>
      </c>
      <c r="L6830" s="17">
        <v>0.5</v>
      </c>
      <c r="M6830" s="14">
        <v>932</v>
      </c>
      <c r="N6830" s="14">
        <v>1210</v>
      </c>
      <c r="O6830" s="14">
        <v>0</v>
      </c>
      <c r="P6830" s="14">
        <v>2142</v>
      </c>
      <c r="Q6830">
        <v>10307</v>
      </c>
      <c r="R6830">
        <v>738</v>
      </c>
      <c r="S6830">
        <v>1893</v>
      </c>
    </row>
    <row r="6831" spans="11:19" x14ac:dyDescent="0.3">
      <c r="K6831" s="16">
        <f t="shared" si="106"/>
        <v>44300</v>
      </c>
      <c r="L6831" s="17">
        <v>0.54166666666666663</v>
      </c>
      <c r="M6831" s="14">
        <v>932</v>
      </c>
      <c r="N6831" s="14">
        <v>0</v>
      </c>
      <c r="O6831" s="14">
        <v>0</v>
      </c>
      <c r="P6831" s="14">
        <v>932</v>
      </c>
      <c r="Q6831">
        <v>10073</v>
      </c>
      <c r="R6831">
        <v>782</v>
      </c>
      <c r="S6831">
        <v>1983</v>
      </c>
    </row>
    <row r="6832" spans="11:19" x14ac:dyDescent="0.3">
      <c r="K6832" s="16">
        <f t="shared" si="106"/>
        <v>44300</v>
      </c>
      <c r="L6832" s="17">
        <v>0.58333333333333337</v>
      </c>
      <c r="M6832" s="14">
        <v>932</v>
      </c>
      <c r="N6832" s="14">
        <v>0</v>
      </c>
      <c r="O6832" s="14">
        <v>0</v>
      </c>
      <c r="P6832" s="14">
        <v>932</v>
      </c>
      <c r="Q6832">
        <v>9814</v>
      </c>
      <c r="R6832">
        <v>746</v>
      </c>
      <c r="S6832">
        <v>1964</v>
      </c>
    </row>
    <row r="6833" spans="11:19" x14ac:dyDescent="0.3">
      <c r="K6833" s="16">
        <f t="shared" si="106"/>
        <v>44300</v>
      </c>
      <c r="L6833" s="17">
        <v>0.625</v>
      </c>
      <c r="M6833" s="14">
        <v>932</v>
      </c>
      <c r="N6833" s="14">
        <v>366</v>
      </c>
      <c r="O6833" s="14">
        <v>0</v>
      </c>
      <c r="P6833" s="14">
        <v>1298</v>
      </c>
      <c r="Q6833">
        <v>9479</v>
      </c>
      <c r="R6833">
        <v>868</v>
      </c>
      <c r="S6833">
        <v>1861</v>
      </c>
    </row>
    <row r="6834" spans="11:19" x14ac:dyDescent="0.3">
      <c r="K6834" s="16">
        <f t="shared" si="106"/>
        <v>44300</v>
      </c>
      <c r="L6834" s="17">
        <v>0.66666666666666663</v>
      </c>
      <c r="M6834" s="14">
        <v>932</v>
      </c>
      <c r="N6834" s="14">
        <v>424</v>
      </c>
      <c r="O6834" s="14">
        <v>0</v>
      </c>
      <c r="P6834" s="14">
        <v>1356</v>
      </c>
      <c r="Q6834">
        <v>9236</v>
      </c>
      <c r="R6834">
        <v>824</v>
      </c>
      <c r="S6834">
        <v>1605</v>
      </c>
    </row>
    <row r="6835" spans="11:19" x14ac:dyDescent="0.3">
      <c r="K6835" s="16">
        <f t="shared" si="106"/>
        <v>44300</v>
      </c>
      <c r="L6835" s="17">
        <v>0.70833333333333337</v>
      </c>
      <c r="M6835" s="14">
        <v>932</v>
      </c>
      <c r="N6835" s="14">
        <v>0</v>
      </c>
      <c r="O6835" s="14">
        <v>0</v>
      </c>
      <c r="P6835" s="14">
        <v>932</v>
      </c>
      <c r="Q6835">
        <v>9099</v>
      </c>
      <c r="R6835">
        <v>704</v>
      </c>
      <c r="S6835">
        <v>1204</v>
      </c>
    </row>
    <row r="6836" spans="11:19" x14ac:dyDescent="0.3">
      <c r="K6836" s="16">
        <f t="shared" si="106"/>
        <v>44300</v>
      </c>
      <c r="L6836" s="17">
        <v>0.75</v>
      </c>
      <c r="M6836" s="14">
        <v>932</v>
      </c>
      <c r="N6836" s="14">
        <v>0</v>
      </c>
      <c r="O6836" s="14">
        <v>0</v>
      </c>
      <c r="P6836" s="14">
        <v>932</v>
      </c>
      <c r="Q6836">
        <v>9373</v>
      </c>
      <c r="R6836">
        <v>584</v>
      </c>
      <c r="S6836">
        <v>648</v>
      </c>
    </row>
    <row r="6837" spans="11:19" x14ac:dyDescent="0.3">
      <c r="K6837" s="16">
        <f t="shared" si="106"/>
        <v>44300</v>
      </c>
      <c r="L6837" s="17">
        <v>0.79166666666666663</v>
      </c>
      <c r="M6837" s="14">
        <v>932</v>
      </c>
      <c r="N6837" s="14">
        <v>1895</v>
      </c>
      <c r="O6837" s="14">
        <v>0</v>
      </c>
      <c r="P6837" s="14">
        <v>2827</v>
      </c>
      <c r="Q6837">
        <v>9464</v>
      </c>
      <c r="R6837">
        <v>598</v>
      </c>
      <c r="S6837">
        <v>176</v>
      </c>
    </row>
    <row r="6838" spans="11:19" x14ac:dyDescent="0.3">
      <c r="K6838" s="16">
        <f t="shared" si="106"/>
        <v>44300</v>
      </c>
      <c r="L6838" s="17">
        <v>0.83333333333333337</v>
      </c>
      <c r="M6838" s="14">
        <v>932</v>
      </c>
      <c r="N6838" s="14">
        <v>0</v>
      </c>
      <c r="O6838" s="14">
        <v>0</v>
      </c>
      <c r="P6838" s="14">
        <v>932</v>
      </c>
      <c r="Q6838">
        <v>9234</v>
      </c>
      <c r="R6838">
        <v>455</v>
      </c>
      <c r="S6838">
        <v>7</v>
      </c>
    </row>
    <row r="6839" spans="11:19" x14ac:dyDescent="0.3">
      <c r="K6839" s="16">
        <f t="shared" si="106"/>
        <v>44300</v>
      </c>
      <c r="L6839" s="17">
        <v>0.875</v>
      </c>
      <c r="M6839" s="14">
        <v>932</v>
      </c>
      <c r="N6839" s="14">
        <v>1895</v>
      </c>
      <c r="O6839" s="14">
        <v>0</v>
      </c>
      <c r="P6839" s="14">
        <v>2827</v>
      </c>
      <c r="Q6839">
        <v>9021</v>
      </c>
      <c r="R6839">
        <v>344</v>
      </c>
      <c r="S6839">
        <v>0</v>
      </c>
    </row>
    <row r="6840" spans="11:19" x14ac:dyDescent="0.3">
      <c r="K6840" s="16">
        <f t="shared" si="106"/>
        <v>44300</v>
      </c>
      <c r="L6840" s="17">
        <v>0.91666666666666663</v>
      </c>
      <c r="M6840" s="14">
        <v>932</v>
      </c>
      <c r="N6840" s="14">
        <v>1895</v>
      </c>
      <c r="O6840" s="14">
        <v>0</v>
      </c>
      <c r="P6840" s="14">
        <v>2827</v>
      </c>
      <c r="Q6840">
        <v>9191</v>
      </c>
      <c r="R6840">
        <v>280</v>
      </c>
      <c r="S6840">
        <v>0</v>
      </c>
    </row>
    <row r="6841" spans="11:19" x14ac:dyDescent="0.3">
      <c r="K6841" s="16">
        <f t="shared" si="106"/>
        <v>44300</v>
      </c>
      <c r="L6841" s="17">
        <v>0.95833333333333337</v>
      </c>
      <c r="M6841" s="14">
        <v>932</v>
      </c>
      <c r="N6841" s="14">
        <v>1895</v>
      </c>
      <c r="O6841" s="14">
        <v>0</v>
      </c>
      <c r="P6841" s="14">
        <v>2827</v>
      </c>
      <c r="Q6841">
        <v>9371</v>
      </c>
      <c r="R6841">
        <v>307</v>
      </c>
      <c r="S6841">
        <v>0</v>
      </c>
    </row>
    <row r="6842" spans="11:19" x14ac:dyDescent="0.3">
      <c r="K6842" s="16">
        <f t="shared" si="106"/>
        <v>44301</v>
      </c>
      <c r="L6842" s="17">
        <v>0</v>
      </c>
      <c r="M6842" s="14">
        <v>932</v>
      </c>
      <c r="N6842" s="14">
        <v>0</v>
      </c>
      <c r="O6842" s="14">
        <v>0</v>
      </c>
      <c r="P6842" s="14">
        <v>932</v>
      </c>
      <c r="Q6842">
        <v>8818</v>
      </c>
      <c r="R6842">
        <v>259</v>
      </c>
      <c r="S6842">
        <v>0</v>
      </c>
    </row>
    <row r="6843" spans="11:19" x14ac:dyDescent="0.3">
      <c r="K6843" s="16">
        <f t="shared" si="106"/>
        <v>44301</v>
      </c>
      <c r="L6843" s="17">
        <v>4.1666666666666664E-2</v>
      </c>
      <c r="M6843" s="14">
        <v>932</v>
      </c>
      <c r="N6843" s="14">
        <v>0</v>
      </c>
      <c r="O6843" s="14">
        <v>0</v>
      </c>
      <c r="P6843" s="14">
        <v>932</v>
      </c>
      <c r="Q6843">
        <v>8466</v>
      </c>
      <c r="R6843">
        <v>187</v>
      </c>
      <c r="S6843">
        <v>0</v>
      </c>
    </row>
    <row r="6844" spans="11:19" x14ac:dyDescent="0.3">
      <c r="K6844" s="16">
        <f t="shared" si="106"/>
        <v>44301</v>
      </c>
      <c r="L6844" s="17">
        <v>8.3333333333333329E-2</v>
      </c>
      <c r="M6844" s="14">
        <v>932</v>
      </c>
      <c r="N6844" s="14">
        <v>0</v>
      </c>
      <c r="O6844" s="14">
        <v>0</v>
      </c>
      <c r="P6844" s="14">
        <v>932</v>
      </c>
      <c r="Q6844">
        <v>8212</v>
      </c>
      <c r="R6844">
        <v>165</v>
      </c>
      <c r="S6844">
        <v>0</v>
      </c>
    </row>
    <row r="6845" spans="11:19" x14ac:dyDescent="0.3">
      <c r="K6845" s="16">
        <f t="shared" si="106"/>
        <v>44301</v>
      </c>
      <c r="L6845" s="17">
        <v>0.125</v>
      </c>
      <c r="M6845" s="14">
        <v>932</v>
      </c>
      <c r="N6845" s="14">
        <v>1285</v>
      </c>
      <c r="O6845" s="14">
        <v>0</v>
      </c>
      <c r="P6845" s="14">
        <v>2217</v>
      </c>
      <c r="Q6845">
        <v>7856</v>
      </c>
      <c r="R6845">
        <v>154</v>
      </c>
      <c r="S6845">
        <v>0</v>
      </c>
    </row>
    <row r="6846" spans="11:19" x14ac:dyDescent="0.3">
      <c r="K6846" s="16">
        <f t="shared" si="106"/>
        <v>44301</v>
      </c>
      <c r="L6846" s="17">
        <v>0.16666666666666666</v>
      </c>
      <c r="M6846" s="14">
        <v>932</v>
      </c>
      <c r="N6846" s="14">
        <v>1192</v>
      </c>
      <c r="O6846" s="14">
        <v>0</v>
      </c>
      <c r="P6846" s="14">
        <v>2124</v>
      </c>
      <c r="Q6846">
        <v>7824</v>
      </c>
      <c r="R6846">
        <v>205</v>
      </c>
      <c r="S6846">
        <v>0</v>
      </c>
    </row>
    <row r="6847" spans="11:19" x14ac:dyDescent="0.3">
      <c r="K6847" s="16">
        <f t="shared" si="106"/>
        <v>44301</v>
      </c>
      <c r="L6847" s="17">
        <v>0.20833333333333334</v>
      </c>
      <c r="M6847" s="14">
        <v>932</v>
      </c>
      <c r="N6847" s="14">
        <v>1666</v>
      </c>
      <c r="O6847" s="14">
        <v>0</v>
      </c>
      <c r="P6847" s="14">
        <v>2598</v>
      </c>
      <c r="Q6847">
        <v>8328</v>
      </c>
      <c r="R6847">
        <v>216</v>
      </c>
      <c r="S6847">
        <v>0</v>
      </c>
    </row>
    <row r="6848" spans="11:19" x14ac:dyDescent="0.3">
      <c r="K6848" s="16">
        <f t="shared" si="106"/>
        <v>44301</v>
      </c>
      <c r="L6848" s="17">
        <v>0.25</v>
      </c>
      <c r="M6848" s="14">
        <v>932</v>
      </c>
      <c r="N6848" s="14">
        <v>1600</v>
      </c>
      <c r="O6848" s="14">
        <v>0</v>
      </c>
      <c r="P6848" s="14">
        <v>2532</v>
      </c>
      <c r="Q6848">
        <v>9366</v>
      </c>
      <c r="R6848">
        <v>241</v>
      </c>
      <c r="S6848">
        <v>0</v>
      </c>
    </row>
    <row r="6849" spans="11:19" x14ac:dyDescent="0.3">
      <c r="K6849" s="16">
        <f t="shared" si="106"/>
        <v>44301</v>
      </c>
      <c r="L6849" s="17">
        <v>0.29166666666666669</v>
      </c>
      <c r="M6849" s="14">
        <v>932</v>
      </c>
      <c r="N6849" s="14">
        <v>786</v>
      </c>
      <c r="O6849" s="14">
        <v>0</v>
      </c>
      <c r="P6849" s="14">
        <v>1718</v>
      </c>
      <c r="Q6849">
        <v>10072</v>
      </c>
      <c r="R6849">
        <v>225</v>
      </c>
      <c r="S6849">
        <v>48</v>
      </c>
    </row>
    <row r="6850" spans="11:19" x14ac:dyDescent="0.3">
      <c r="K6850" s="16">
        <f t="shared" si="106"/>
        <v>44301</v>
      </c>
      <c r="L6850" s="17">
        <v>0.33333333333333331</v>
      </c>
      <c r="M6850" s="14">
        <v>932</v>
      </c>
      <c r="N6850" s="14">
        <v>1793</v>
      </c>
      <c r="O6850" s="14">
        <v>0</v>
      </c>
      <c r="P6850" s="14">
        <v>2725</v>
      </c>
      <c r="Q6850">
        <v>10462</v>
      </c>
      <c r="R6850">
        <v>247</v>
      </c>
      <c r="S6850">
        <v>381</v>
      </c>
    </row>
    <row r="6851" spans="11:19" x14ac:dyDescent="0.3">
      <c r="K6851" s="16">
        <f t="shared" si="106"/>
        <v>44301</v>
      </c>
      <c r="L6851" s="17">
        <v>0.375</v>
      </c>
      <c r="M6851" s="14">
        <v>932</v>
      </c>
      <c r="N6851" s="14">
        <v>157</v>
      </c>
      <c r="O6851" s="14">
        <v>0</v>
      </c>
      <c r="P6851" s="14">
        <v>1089</v>
      </c>
      <c r="Q6851">
        <v>10509</v>
      </c>
      <c r="R6851">
        <v>350</v>
      </c>
      <c r="S6851">
        <v>993</v>
      </c>
    </row>
    <row r="6852" spans="11:19" x14ac:dyDescent="0.3">
      <c r="K6852" s="16">
        <f t="shared" si="106"/>
        <v>44301</v>
      </c>
      <c r="L6852" s="17">
        <v>0.41666666666666669</v>
      </c>
      <c r="M6852" s="14">
        <v>932</v>
      </c>
      <c r="N6852" s="14">
        <v>0</v>
      </c>
      <c r="O6852" s="14">
        <v>0</v>
      </c>
      <c r="P6852" s="14">
        <v>932</v>
      </c>
      <c r="Q6852">
        <v>10383</v>
      </c>
      <c r="R6852">
        <v>442</v>
      </c>
      <c r="S6852">
        <v>1552</v>
      </c>
    </row>
    <row r="6853" spans="11:19" x14ac:dyDescent="0.3">
      <c r="K6853" s="16">
        <f t="shared" si="106"/>
        <v>44301</v>
      </c>
      <c r="L6853" s="17">
        <v>0.45833333333333331</v>
      </c>
      <c r="M6853" s="14">
        <v>932</v>
      </c>
      <c r="N6853" s="14">
        <v>0</v>
      </c>
      <c r="O6853" s="14">
        <v>0</v>
      </c>
      <c r="P6853" s="14">
        <v>932</v>
      </c>
      <c r="Q6853">
        <v>10268</v>
      </c>
      <c r="R6853">
        <v>490</v>
      </c>
      <c r="S6853">
        <v>1909</v>
      </c>
    </row>
    <row r="6854" spans="11:19" x14ac:dyDescent="0.3">
      <c r="K6854" s="16">
        <f t="shared" si="106"/>
        <v>44301</v>
      </c>
      <c r="L6854" s="17">
        <v>0.5</v>
      </c>
      <c r="M6854" s="14">
        <v>932</v>
      </c>
      <c r="N6854" s="14">
        <v>0</v>
      </c>
      <c r="O6854" s="14">
        <v>0</v>
      </c>
      <c r="P6854" s="14">
        <v>932</v>
      </c>
      <c r="Q6854">
        <v>10177</v>
      </c>
      <c r="R6854">
        <v>473</v>
      </c>
      <c r="S6854">
        <v>2112</v>
      </c>
    </row>
    <row r="6855" spans="11:19" x14ac:dyDescent="0.3">
      <c r="K6855" s="16">
        <f t="shared" si="106"/>
        <v>44301</v>
      </c>
      <c r="L6855" s="17">
        <v>0.54166666666666663</v>
      </c>
      <c r="M6855" s="14">
        <v>932</v>
      </c>
      <c r="N6855" s="14">
        <v>0</v>
      </c>
      <c r="O6855" s="14">
        <v>0</v>
      </c>
      <c r="P6855" s="14">
        <v>932</v>
      </c>
      <c r="Q6855">
        <v>9937</v>
      </c>
      <c r="R6855">
        <v>549</v>
      </c>
      <c r="S6855">
        <v>2215</v>
      </c>
    </row>
    <row r="6856" spans="11:19" x14ac:dyDescent="0.3">
      <c r="K6856" s="16">
        <f t="shared" si="106"/>
        <v>44301</v>
      </c>
      <c r="L6856" s="17">
        <v>0.58333333333333337</v>
      </c>
      <c r="M6856" s="14">
        <v>932</v>
      </c>
      <c r="N6856" s="14">
        <v>490</v>
      </c>
      <c r="O6856" s="14">
        <v>0</v>
      </c>
      <c r="P6856" s="14">
        <v>1422</v>
      </c>
      <c r="Q6856">
        <v>9682</v>
      </c>
      <c r="R6856">
        <v>603</v>
      </c>
      <c r="S6856">
        <v>2203</v>
      </c>
    </row>
    <row r="6857" spans="11:19" x14ac:dyDescent="0.3">
      <c r="K6857" s="16">
        <f t="shared" si="106"/>
        <v>44301</v>
      </c>
      <c r="L6857" s="17">
        <v>0.625</v>
      </c>
      <c r="M6857" s="14">
        <v>932</v>
      </c>
      <c r="N6857" s="14">
        <v>0</v>
      </c>
      <c r="O6857" s="14">
        <v>0</v>
      </c>
      <c r="P6857" s="14">
        <v>932</v>
      </c>
      <c r="Q6857">
        <v>9345</v>
      </c>
      <c r="R6857">
        <v>591</v>
      </c>
      <c r="S6857">
        <v>2141</v>
      </c>
    </row>
    <row r="6858" spans="11:19" x14ac:dyDescent="0.3">
      <c r="K6858" s="16">
        <f t="shared" si="106"/>
        <v>44301</v>
      </c>
      <c r="L6858" s="17">
        <v>0.66666666666666663</v>
      </c>
      <c r="M6858" s="14">
        <v>932</v>
      </c>
      <c r="N6858" s="14">
        <v>234</v>
      </c>
      <c r="O6858" s="14">
        <v>0</v>
      </c>
      <c r="P6858" s="14">
        <v>1166</v>
      </c>
      <c r="Q6858">
        <v>9081</v>
      </c>
      <c r="R6858">
        <v>542</v>
      </c>
      <c r="S6858">
        <v>1921</v>
      </c>
    </row>
    <row r="6859" spans="11:19" x14ac:dyDescent="0.3">
      <c r="K6859" s="16">
        <f t="shared" si="106"/>
        <v>44301</v>
      </c>
      <c r="L6859" s="17">
        <v>0.70833333333333337</v>
      </c>
      <c r="M6859" s="14">
        <v>932</v>
      </c>
      <c r="N6859" s="14">
        <v>0</v>
      </c>
      <c r="O6859" s="14">
        <v>0</v>
      </c>
      <c r="P6859" s="14">
        <v>932</v>
      </c>
      <c r="Q6859">
        <v>8903</v>
      </c>
      <c r="R6859">
        <v>615</v>
      </c>
      <c r="S6859">
        <v>1492</v>
      </c>
    </row>
    <row r="6860" spans="11:19" x14ac:dyDescent="0.3">
      <c r="K6860" s="16">
        <f t="shared" si="106"/>
        <v>44301</v>
      </c>
      <c r="L6860" s="17">
        <v>0.75</v>
      </c>
      <c r="M6860" s="14">
        <v>932</v>
      </c>
      <c r="N6860" s="14">
        <v>1205</v>
      </c>
      <c r="O6860" s="14">
        <v>0</v>
      </c>
      <c r="P6860" s="14">
        <v>2137</v>
      </c>
      <c r="Q6860">
        <v>9109</v>
      </c>
      <c r="R6860">
        <v>670</v>
      </c>
      <c r="S6860">
        <v>853</v>
      </c>
    </row>
    <row r="6861" spans="11:19" x14ac:dyDescent="0.3">
      <c r="K6861" s="16">
        <f t="shared" si="106"/>
        <v>44301</v>
      </c>
      <c r="L6861" s="17">
        <v>0.79166666666666663</v>
      </c>
      <c r="M6861" s="14">
        <v>932</v>
      </c>
      <c r="N6861" s="14">
        <v>0</v>
      </c>
      <c r="O6861" s="14">
        <v>0</v>
      </c>
      <c r="P6861" s="14">
        <v>932</v>
      </c>
      <c r="Q6861">
        <v>9223</v>
      </c>
      <c r="R6861">
        <v>889</v>
      </c>
      <c r="S6861">
        <v>262</v>
      </c>
    </row>
    <row r="6862" spans="11:19" x14ac:dyDescent="0.3">
      <c r="K6862" s="16">
        <f t="shared" si="106"/>
        <v>44301</v>
      </c>
      <c r="L6862" s="17">
        <v>0.83333333333333337</v>
      </c>
      <c r="M6862" s="14">
        <v>932</v>
      </c>
      <c r="N6862" s="14">
        <v>0</v>
      </c>
      <c r="O6862" s="14">
        <v>0</v>
      </c>
      <c r="P6862" s="14">
        <v>932</v>
      </c>
      <c r="Q6862">
        <v>8997</v>
      </c>
      <c r="R6862">
        <v>1040</v>
      </c>
      <c r="S6862">
        <v>16</v>
      </c>
    </row>
    <row r="6863" spans="11:19" x14ac:dyDescent="0.3">
      <c r="K6863" s="16">
        <f t="shared" si="106"/>
        <v>44301</v>
      </c>
      <c r="L6863" s="17">
        <v>0.875</v>
      </c>
      <c r="M6863" s="14">
        <v>932</v>
      </c>
      <c r="N6863" s="14">
        <v>0</v>
      </c>
      <c r="O6863" s="14">
        <v>0</v>
      </c>
      <c r="P6863" s="14">
        <v>932</v>
      </c>
      <c r="Q6863">
        <v>8806</v>
      </c>
      <c r="R6863">
        <v>1002</v>
      </c>
      <c r="S6863">
        <v>0</v>
      </c>
    </row>
    <row r="6864" spans="11:19" x14ac:dyDescent="0.3">
      <c r="K6864" s="16">
        <f t="shared" si="106"/>
        <v>44301</v>
      </c>
      <c r="L6864" s="17">
        <v>0.91666666666666663</v>
      </c>
      <c r="M6864" s="14">
        <v>932</v>
      </c>
      <c r="N6864" s="14">
        <v>0</v>
      </c>
      <c r="O6864" s="14">
        <v>0</v>
      </c>
      <c r="P6864" s="14">
        <v>932</v>
      </c>
      <c r="Q6864">
        <v>8991</v>
      </c>
      <c r="R6864">
        <v>950</v>
      </c>
      <c r="S6864">
        <v>0</v>
      </c>
    </row>
    <row r="6865" spans="11:19" x14ac:dyDescent="0.3">
      <c r="K6865" s="16">
        <f t="shared" si="106"/>
        <v>44301</v>
      </c>
      <c r="L6865" s="17">
        <v>0.95833333333333337</v>
      </c>
      <c r="M6865" s="14">
        <v>932</v>
      </c>
      <c r="N6865" s="14">
        <v>1793</v>
      </c>
      <c r="O6865" s="14">
        <v>0</v>
      </c>
      <c r="P6865" s="14">
        <v>2725</v>
      </c>
      <c r="Q6865">
        <v>9184</v>
      </c>
      <c r="R6865">
        <v>935</v>
      </c>
      <c r="S6865">
        <v>0</v>
      </c>
    </row>
    <row r="6866" spans="11:19" x14ac:dyDescent="0.3">
      <c r="K6866" s="16">
        <f t="shared" si="106"/>
        <v>44302</v>
      </c>
      <c r="L6866" s="17">
        <v>0</v>
      </c>
      <c r="M6866" s="14">
        <v>932</v>
      </c>
      <c r="N6866" s="14">
        <v>0</v>
      </c>
      <c r="O6866" s="14">
        <v>0</v>
      </c>
      <c r="P6866" s="14">
        <v>932</v>
      </c>
      <c r="Q6866">
        <v>8678</v>
      </c>
      <c r="R6866">
        <v>944</v>
      </c>
      <c r="S6866">
        <v>0</v>
      </c>
    </row>
    <row r="6867" spans="11:19" x14ac:dyDescent="0.3">
      <c r="K6867" s="16">
        <f t="shared" si="106"/>
        <v>44302</v>
      </c>
      <c r="L6867" s="17">
        <v>4.1666666666666664E-2</v>
      </c>
      <c r="M6867" s="14">
        <v>932</v>
      </c>
      <c r="N6867" s="14">
        <v>0</v>
      </c>
      <c r="O6867" s="14">
        <v>1200</v>
      </c>
      <c r="P6867" s="14">
        <v>2132</v>
      </c>
      <c r="Q6867">
        <v>8307</v>
      </c>
      <c r="R6867">
        <v>628</v>
      </c>
      <c r="S6867">
        <v>0</v>
      </c>
    </row>
    <row r="6868" spans="11:19" x14ac:dyDescent="0.3">
      <c r="K6868" s="16">
        <f t="shared" si="106"/>
        <v>44302</v>
      </c>
      <c r="L6868" s="17">
        <v>8.3333333333333329E-2</v>
      </c>
      <c r="M6868" s="14">
        <v>932</v>
      </c>
      <c r="N6868" s="14">
        <v>1188</v>
      </c>
      <c r="O6868" s="14">
        <v>0</v>
      </c>
      <c r="P6868" s="14">
        <v>2120</v>
      </c>
      <c r="Q6868">
        <v>8037</v>
      </c>
      <c r="R6868">
        <v>506</v>
      </c>
      <c r="S6868">
        <v>0</v>
      </c>
    </row>
    <row r="6869" spans="11:19" x14ac:dyDescent="0.3">
      <c r="K6869" s="16">
        <f t="shared" si="106"/>
        <v>44302</v>
      </c>
      <c r="L6869" s="17">
        <v>0.125</v>
      </c>
      <c r="M6869" s="14">
        <v>932</v>
      </c>
      <c r="N6869" s="14">
        <v>0</v>
      </c>
      <c r="O6869" s="14">
        <v>0</v>
      </c>
      <c r="P6869" s="14">
        <v>932</v>
      </c>
      <c r="Q6869">
        <v>7677</v>
      </c>
      <c r="R6869">
        <v>413</v>
      </c>
      <c r="S6869">
        <v>0</v>
      </c>
    </row>
    <row r="6870" spans="11:19" x14ac:dyDescent="0.3">
      <c r="K6870" s="16">
        <f t="shared" si="106"/>
        <v>44302</v>
      </c>
      <c r="L6870" s="17">
        <v>0.16666666666666666</v>
      </c>
      <c r="M6870" s="14">
        <v>932</v>
      </c>
      <c r="N6870" s="14">
        <v>983</v>
      </c>
      <c r="O6870" s="14">
        <v>0</v>
      </c>
      <c r="P6870" s="14">
        <v>1915</v>
      </c>
      <c r="Q6870">
        <v>7637</v>
      </c>
      <c r="R6870">
        <v>387</v>
      </c>
      <c r="S6870">
        <v>0</v>
      </c>
    </row>
    <row r="6871" spans="11:19" x14ac:dyDescent="0.3">
      <c r="K6871" s="16">
        <f t="shared" si="106"/>
        <v>44302</v>
      </c>
      <c r="L6871" s="17">
        <v>0.20833333333333334</v>
      </c>
      <c r="M6871" s="14">
        <v>932</v>
      </c>
      <c r="N6871" s="14">
        <v>1188</v>
      </c>
      <c r="O6871" s="14">
        <v>0</v>
      </c>
      <c r="P6871" s="14">
        <v>2120</v>
      </c>
      <c r="Q6871">
        <v>8111</v>
      </c>
      <c r="R6871">
        <v>437</v>
      </c>
      <c r="S6871">
        <v>0</v>
      </c>
    </row>
    <row r="6872" spans="11:19" x14ac:dyDescent="0.3">
      <c r="K6872" s="16">
        <f t="shared" si="106"/>
        <v>44302</v>
      </c>
      <c r="L6872" s="17">
        <v>0.25</v>
      </c>
      <c r="M6872" s="14">
        <v>932</v>
      </c>
      <c r="N6872" s="14">
        <v>0</v>
      </c>
      <c r="O6872" s="14">
        <v>1200</v>
      </c>
      <c r="P6872" s="14">
        <v>2132</v>
      </c>
      <c r="Q6872">
        <v>9100</v>
      </c>
      <c r="R6872">
        <v>403</v>
      </c>
      <c r="S6872">
        <v>1</v>
      </c>
    </row>
    <row r="6873" spans="11:19" x14ac:dyDescent="0.3">
      <c r="K6873" s="16">
        <f t="shared" si="106"/>
        <v>44302</v>
      </c>
      <c r="L6873" s="17">
        <v>0.29166666666666669</v>
      </c>
      <c r="M6873" s="14">
        <v>932</v>
      </c>
      <c r="N6873" s="14">
        <v>0</v>
      </c>
      <c r="O6873" s="14">
        <v>344</v>
      </c>
      <c r="P6873" s="14">
        <v>1276</v>
      </c>
      <c r="Q6873">
        <v>9747</v>
      </c>
      <c r="R6873">
        <v>461</v>
      </c>
      <c r="S6873">
        <v>71</v>
      </c>
    </row>
    <row r="6874" spans="11:19" x14ac:dyDescent="0.3">
      <c r="K6874" s="16">
        <f t="shared" si="106"/>
        <v>44302</v>
      </c>
      <c r="L6874" s="17">
        <v>0.33333333333333331</v>
      </c>
      <c r="M6874" s="14">
        <v>932</v>
      </c>
      <c r="N6874" s="14">
        <v>0</v>
      </c>
      <c r="O6874" s="14">
        <v>0</v>
      </c>
      <c r="P6874" s="14">
        <v>932</v>
      </c>
      <c r="Q6874">
        <v>10047</v>
      </c>
      <c r="R6874">
        <v>635</v>
      </c>
      <c r="S6874">
        <v>503</v>
      </c>
    </row>
    <row r="6875" spans="11:19" x14ac:dyDescent="0.3">
      <c r="K6875" s="16">
        <f t="shared" ref="K6875:K6938" si="107">K6851+1</f>
        <v>44302</v>
      </c>
      <c r="L6875" s="17">
        <v>0.375</v>
      </c>
      <c r="M6875" s="14">
        <v>932</v>
      </c>
      <c r="N6875" s="14">
        <v>0</v>
      </c>
      <c r="O6875" s="14">
        <v>0</v>
      </c>
      <c r="P6875" s="14">
        <v>932</v>
      </c>
      <c r="Q6875">
        <v>10080</v>
      </c>
      <c r="R6875">
        <v>789</v>
      </c>
      <c r="S6875">
        <v>1223</v>
      </c>
    </row>
    <row r="6876" spans="11:19" x14ac:dyDescent="0.3">
      <c r="K6876" s="16">
        <f t="shared" si="107"/>
        <v>44302</v>
      </c>
      <c r="L6876" s="17">
        <v>0.41666666666666669</v>
      </c>
      <c r="M6876" s="14">
        <v>932</v>
      </c>
      <c r="N6876" s="14">
        <v>0</v>
      </c>
      <c r="O6876" s="14">
        <v>0</v>
      </c>
      <c r="P6876" s="14">
        <v>932</v>
      </c>
      <c r="Q6876">
        <v>9908</v>
      </c>
      <c r="R6876">
        <v>796</v>
      </c>
      <c r="S6876">
        <v>1943</v>
      </c>
    </row>
    <row r="6877" spans="11:19" x14ac:dyDescent="0.3">
      <c r="K6877" s="16">
        <f t="shared" si="107"/>
        <v>44302</v>
      </c>
      <c r="L6877" s="17">
        <v>0.45833333333333331</v>
      </c>
      <c r="M6877" s="14">
        <v>932</v>
      </c>
      <c r="N6877" s="14">
        <v>0</v>
      </c>
      <c r="O6877" s="14">
        <v>0</v>
      </c>
      <c r="P6877" s="14">
        <v>932</v>
      </c>
      <c r="Q6877">
        <v>9820</v>
      </c>
      <c r="R6877">
        <v>921</v>
      </c>
      <c r="S6877">
        <v>2383</v>
      </c>
    </row>
    <row r="6878" spans="11:19" x14ac:dyDescent="0.3">
      <c r="K6878" s="16">
        <f t="shared" si="107"/>
        <v>44302</v>
      </c>
      <c r="L6878" s="17">
        <v>0.5</v>
      </c>
      <c r="M6878" s="14">
        <v>932</v>
      </c>
      <c r="N6878" s="14">
        <v>0</v>
      </c>
      <c r="O6878" s="14">
        <v>-69</v>
      </c>
      <c r="P6878" s="14">
        <v>863</v>
      </c>
      <c r="Q6878">
        <v>9820</v>
      </c>
      <c r="R6878">
        <v>1143</v>
      </c>
      <c r="S6878">
        <v>2678</v>
      </c>
    </row>
    <row r="6879" spans="11:19" x14ac:dyDescent="0.3">
      <c r="K6879" s="16">
        <f t="shared" si="107"/>
        <v>44302</v>
      </c>
      <c r="L6879" s="17">
        <v>0.54166666666666663</v>
      </c>
      <c r="M6879" s="14">
        <v>932</v>
      </c>
      <c r="N6879" s="14">
        <v>0</v>
      </c>
      <c r="O6879" s="14">
        <v>-523</v>
      </c>
      <c r="P6879" s="14">
        <v>409</v>
      </c>
      <c r="Q6879">
        <v>9586</v>
      </c>
      <c r="R6879">
        <v>1262</v>
      </c>
      <c r="S6879">
        <v>2781</v>
      </c>
    </row>
    <row r="6880" spans="11:19" x14ac:dyDescent="0.3">
      <c r="K6880" s="16">
        <f t="shared" si="107"/>
        <v>44302</v>
      </c>
      <c r="L6880" s="17">
        <v>0.58333333333333337</v>
      </c>
      <c r="M6880" s="14">
        <v>932</v>
      </c>
      <c r="N6880" s="14">
        <v>0</v>
      </c>
      <c r="O6880" s="14">
        <v>-657</v>
      </c>
      <c r="P6880" s="14">
        <v>275</v>
      </c>
      <c r="Q6880">
        <v>9346</v>
      </c>
      <c r="R6880">
        <v>1209</v>
      </c>
      <c r="S6880">
        <v>2728</v>
      </c>
    </row>
    <row r="6881" spans="11:19" x14ac:dyDescent="0.3">
      <c r="K6881" s="16">
        <f t="shared" si="107"/>
        <v>44302</v>
      </c>
      <c r="L6881" s="17">
        <v>0.625</v>
      </c>
      <c r="M6881" s="14">
        <v>932</v>
      </c>
      <c r="N6881" s="14">
        <v>0</v>
      </c>
      <c r="O6881" s="14">
        <v>-856</v>
      </c>
      <c r="P6881" s="14">
        <v>76</v>
      </c>
      <c r="Q6881">
        <v>9016</v>
      </c>
      <c r="R6881">
        <v>1240</v>
      </c>
      <c r="S6881">
        <v>2567</v>
      </c>
    </row>
    <row r="6882" spans="11:19" x14ac:dyDescent="0.3">
      <c r="K6882" s="16">
        <f t="shared" si="107"/>
        <v>44302</v>
      </c>
      <c r="L6882" s="17">
        <v>0.66666666666666663</v>
      </c>
      <c r="M6882" s="14">
        <v>932</v>
      </c>
      <c r="N6882" s="14">
        <v>0</v>
      </c>
      <c r="O6882" s="14">
        <v>-886</v>
      </c>
      <c r="P6882" s="14">
        <v>46</v>
      </c>
      <c r="Q6882">
        <v>8750</v>
      </c>
      <c r="R6882">
        <v>1200</v>
      </c>
      <c r="S6882">
        <v>2211</v>
      </c>
    </row>
    <row r="6883" spans="11:19" x14ac:dyDescent="0.3">
      <c r="K6883" s="16">
        <f t="shared" si="107"/>
        <v>44302</v>
      </c>
      <c r="L6883" s="17">
        <v>0.70833333333333337</v>
      </c>
      <c r="M6883" s="14">
        <v>932</v>
      </c>
      <c r="N6883" s="14">
        <v>0</v>
      </c>
      <c r="O6883" s="14">
        <v>-437</v>
      </c>
      <c r="P6883" s="14">
        <v>495</v>
      </c>
      <c r="Q6883">
        <v>8635</v>
      </c>
      <c r="R6883">
        <v>1167</v>
      </c>
      <c r="S6883">
        <v>1681</v>
      </c>
    </row>
    <row r="6884" spans="11:19" x14ac:dyDescent="0.3">
      <c r="K6884" s="16">
        <f t="shared" si="107"/>
        <v>44302</v>
      </c>
      <c r="L6884" s="17">
        <v>0.75</v>
      </c>
      <c r="M6884" s="14">
        <v>932</v>
      </c>
      <c r="N6884" s="14">
        <v>519</v>
      </c>
      <c r="O6884" s="14">
        <v>0</v>
      </c>
      <c r="P6884" s="14">
        <v>1451</v>
      </c>
      <c r="Q6884">
        <v>8751</v>
      </c>
      <c r="R6884">
        <v>1032</v>
      </c>
      <c r="S6884">
        <v>979</v>
      </c>
    </row>
    <row r="6885" spans="11:19" x14ac:dyDescent="0.3">
      <c r="K6885" s="16">
        <f t="shared" si="107"/>
        <v>44302</v>
      </c>
      <c r="L6885" s="17">
        <v>0.79166666666666663</v>
      </c>
      <c r="M6885" s="14">
        <v>932</v>
      </c>
      <c r="N6885" s="14">
        <v>0</v>
      </c>
      <c r="O6885" s="14">
        <v>0</v>
      </c>
      <c r="P6885" s="14">
        <v>932</v>
      </c>
      <c r="Q6885">
        <v>8846</v>
      </c>
      <c r="R6885">
        <v>1346</v>
      </c>
      <c r="S6885">
        <v>310</v>
      </c>
    </row>
    <row r="6886" spans="11:19" x14ac:dyDescent="0.3">
      <c r="K6886" s="16">
        <f t="shared" si="107"/>
        <v>44302</v>
      </c>
      <c r="L6886" s="17">
        <v>0.83333333333333337</v>
      </c>
      <c r="M6886" s="14">
        <v>932</v>
      </c>
      <c r="N6886" s="14">
        <v>0</v>
      </c>
      <c r="O6886" s="14">
        <v>0</v>
      </c>
      <c r="P6886" s="14">
        <v>932</v>
      </c>
      <c r="Q6886">
        <v>8625</v>
      </c>
      <c r="R6886">
        <v>1359</v>
      </c>
      <c r="S6886">
        <v>15</v>
      </c>
    </row>
    <row r="6887" spans="11:19" x14ac:dyDescent="0.3">
      <c r="K6887" s="16">
        <f t="shared" si="107"/>
        <v>44302</v>
      </c>
      <c r="L6887" s="17">
        <v>0.875</v>
      </c>
      <c r="M6887" s="14">
        <v>932</v>
      </c>
      <c r="N6887" s="14">
        <v>0</v>
      </c>
      <c r="O6887" s="14">
        <v>0</v>
      </c>
      <c r="P6887" s="14">
        <v>932</v>
      </c>
      <c r="Q6887">
        <v>8498</v>
      </c>
      <c r="R6887">
        <v>1237</v>
      </c>
      <c r="S6887">
        <v>0</v>
      </c>
    </row>
    <row r="6888" spans="11:19" x14ac:dyDescent="0.3">
      <c r="K6888" s="16">
        <f t="shared" si="107"/>
        <v>44302</v>
      </c>
      <c r="L6888" s="17">
        <v>0.91666666666666663</v>
      </c>
      <c r="M6888" s="14">
        <v>932</v>
      </c>
      <c r="N6888" s="14">
        <v>0</v>
      </c>
      <c r="O6888" s="14">
        <v>0</v>
      </c>
      <c r="P6888" s="14">
        <v>932</v>
      </c>
      <c r="Q6888">
        <v>8722</v>
      </c>
      <c r="R6888">
        <v>1080</v>
      </c>
      <c r="S6888">
        <v>0</v>
      </c>
    </row>
    <row r="6889" spans="11:19" x14ac:dyDescent="0.3">
      <c r="K6889" s="16">
        <f t="shared" si="107"/>
        <v>44302</v>
      </c>
      <c r="L6889" s="17">
        <v>0.95833333333333337</v>
      </c>
      <c r="M6889" s="14">
        <v>932</v>
      </c>
      <c r="N6889" s="14">
        <v>1188</v>
      </c>
      <c r="O6889" s="14">
        <v>0</v>
      </c>
      <c r="P6889" s="14">
        <v>2120</v>
      </c>
      <c r="Q6889">
        <v>8909</v>
      </c>
      <c r="R6889">
        <v>1131</v>
      </c>
      <c r="S6889">
        <v>0</v>
      </c>
    </row>
    <row r="6890" spans="11:19" x14ac:dyDescent="0.3">
      <c r="K6890" s="16">
        <f t="shared" si="107"/>
        <v>44303</v>
      </c>
      <c r="L6890" s="17">
        <v>0</v>
      </c>
      <c r="M6890" s="14">
        <v>932</v>
      </c>
      <c r="N6890" s="14">
        <v>0</v>
      </c>
      <c r="O6890" s="14">
        <v>1146</v>
      </c>
      <c r="P6890" s="14">
        <v>2078</v>
      </c>
      <c r="Q6890">
        <v>8281</v>
      </c>
      <c r="R6890">
        <v>1121</v>
      </c>
      <c r="S6890">
        <v>0</v>
      </c>
    </row>
    <row r="6891" spans="11:19" x14ac:dyDescent="0.3">
      <c r="K6891" s="16">
        <f t="shared" si="107"/>
        <v>44303</v>
      </c>
      <c r="L6891" s="17">
        <v>4.1666666666666664E-2</v>
      </c>
      <c r="M6891" s="14">
        <v>932</v>
      </c>
      <c r="N6891" s="14">
        <v>0</v>
      </c>
      <c r="O6891" s="14">
        <v>930</v>
      </c>
      <c r="P6891" s="14">
        <v>1862</v>
      </c>
      <c r="Q6891">
        <v>7868</v>
      </c>
      <c r="R6891">
        <v>931</v>
      </c>
      <c r="S6891">
        <v>0</v>
      </c>
    </row>
    <row r="6892" spans="11:19" x14ac:dyDescent="0.3">
      <c r="K6892" s="16">
        <f t="shared" si="107"/>
        <v>44303</v>
      </c>
      <c r="L6892" s="17">
        <v>8.3333333333333329E-2</v>
      </c>
      <c r="M6892" s="14">
        <v>932</v>
      </c>
      <c r="N6892" s="14">
        <v>572</v>
      </c>
      <c r="O6892" s="14">
        <v>27</v>
      </c>
      <c r="P6892" s="14">
        <v>1531</v>
      </c>
      <c r="Q6892">
        <v>7519</v>
      </c>
      <c r="R6892">
        <v>914</v>
      </c>
      <c r="S6892">
        <v>0</v>
      </c>
    </row>
    <row r="6893" spans="11:19" x14ac:dyDescent="0.3">
      <c r="K6893" s="16">
        <f t="shared" si="107"/>
        <v>44303</v>
      </c>
      <c r="L6893" s="17">
        <v>0.125</v>
      </c>
      <c r="M6893" s="14">
        <v>932</v>
      </c>
      <c r="N6893" s="14">
        <v>0</v>
      </c>
      <c r="O6893" s="14">
        <v>248</v>
      </c>
      <c r="P6893" s="14">
        <v>1180</v>
      </c>
      <c r="Q6893">
        <v>7072</v>
      </c>
      <c r="R6893">
        <v>816</v>
      </c>
      <c r="S6893">
        <v>0</v>
      </c>
    </row>
    <row r="6894" spans="11:19" x14ac:dyDescent="0.3">
      <c r="K6894" s="16">
        <f t="shared" si="107"/>
        <v>44303</v>
      </c>
      <c r="L6894" s="17">
        <v>0.16666666666666666</v>
      </c>
      <c r="M6894" s="14">
        <v>932</v>
      </c>
      <c r="N6894" s="14">
        <v>0</v>
      </c>
      <c r="O6894" s="14">
        <v>143</v>
      </c>
      <c r="P6894" s="14">
        <v>1075</v>
      </c>
      <c r="Q6894">
        <v>6906</v>
      </c>
      <c r="R6894">
        <v>747</v>
      </c>
      <c r="S6894">
        <v>0</v>
      </c>
    </row>
    <row r="6895" spans="11:19" x14ac:dyDescent="0.3">
      <c r="K6895" s="16">
        <f t="shared" si="107"/>
        <v>44303</v>
      </c>
      <c r="L6895" s="17">
        <v>0.20833333333333334</v>
      </c>
      <c r="M6895" s="14">
        <v>932</v>
      </c>
      <c r="N6895" s="14">
        <v>0</v>
      </c>
      <c r="O6895" s="14">
        <v>260</v>
      </c>
      <c r="P6895" s="14">
        <v>1192</v>
      </c>
      <c r="Q6895">
        <v>7027</v>
      </c>
      <c r="R6895">
        <v>735</v>
      </c>
      <c r="S6895">
        <v>0</v>
      </c>
    </row>
    <row r="6896" spans="11:19" x14ac:dyDescent="0.3">
      <c r="K6896" s="16">
        <f t="shared" si="107"/>
        <v>44303</v>
      </c>
      <c r="L6896" s="17">
        <v>0.25</v>
      </c>
      <c r="M6896" s="14">
        <v>932</v>
      </c>
      <c r="N6896" s="14">
        <v>0</v>
      </c>
      <c r="O6896" s="14">
        <v>528</v>
      </c>
      <c r="P6896" s="14">
        <v>1460</v>
      </c>
      <c r="Q6896">
        <v>7336</v>
      </c>
      <c r="R6896">
        <v>758</v>
      </c>
      <c r="S6896">
        <v>1</v>
      </c>
    </row>
    <row r="6897" spans="11:19" x14ac:dyDescent="0.3">
      <c r="K6897" s="16">
        <f t="shared" si="107"/>
        <v>44303</v>
      </c>
      <c r="L6897" s="17">
        <v>0.29166666666666669</v>
      </c>
      <c r="M6897" s="14">
        <v>932</v>
      </c>
      <c r="N6897" s="14">
        <v>537</v>
      </c>
      <c r="O6897" s="14">
        <v>31</v>
      </c>
      <c r="P6897" s="14">
        <v>1500</v>
      </c>
      <c r="Q6897">
        <v>7531</v>
      </c>
      <c r="R6897">
        <v>819</v>
      </c>
      <c r="S6897">
        <v>81</v>
      </c>
    </row>
    <row r="6898" spans="11:19" x14ac:dyDescent="0.3">
      <c r="K6898" s="16">
        <f t="shared" si="107"/>
        <v>44303</v>
      </c>
      <c r="L6898" s="17">
        <v>0.33333333333333331</v>
      </c>
      <c r="M6898" s="14">
        <v>932</v>
      </c>
      <c r="N6898" s="14">
        <v>0</v>
      </c>
      <c r="O6898" s="14">
        <v>539</v>
      </c>
      <c r="P6898" s="14">
        <v>1471</v>
      </c>
      <c r="Q6898">
        <v>8012</v>
      </c>
      <c r="R6898">
        <v>889</v>
      </c>
      <c r="S6898">
        <v>516</v>
      </c>
    </row>
    <row r="6899" spans="11:19" x14ac:dyDescent="0.3">
      <c r="K6899" s="16">
        <f t="shared" si="107"/>
        <v>44303</v>
      </c>
      <c r="L6899" s="17">
        <v>0.375</v>
      </c>
      <c r="M6899" s="14">
        <v>932</v>
      </c>
      <c r="N6899" s="14">
        <v>0</v>
      </c>
      <c r="O6899" s="14">
        <v>-215</v>
      </c>
      <c r="P6899" s="14">
        <v>717</v>
      </c>
      <c r="Q6899">
        <v>8301</v>
      </c>
      <c r="R6899">
        <v>1205</v>
      </c>
      <c r="S6899">
        <v>1248</v>
      </c>
    </row>
    <row r="6900" spans="11:19" x14ac:dyDescent="0.3">
      <c r="K6900" s="16">
        <f t="shared" si="107"/>
        <v>44303</v>
      </c>
      <c r="L6900" s="17">
        <v>0.41666666666666669</v>
      </c>
      <c r="M6900" s="14">
        <v>932</v>
      </c>
      <c r="N6900" s="14">
        <v>0</v>
      </c>
      <c r="O6900" s="14">
        <v>-928</v>
      </c>
      <c r="P6900" s="14">
        <v>4</v>
      </c>
      <c r="Q6900">
        <v>8298</v>
      </c>
      <c r="R6900">
        <v>1186</v>
      </c>
      <c r="S6900">
        <v>1982</v>
      </c>
    </row>
    <row r="6901" spans="11:19" x14ac:dyDescent="0.3">
      <c r="K6901" s="16">
        <f t="shared" si="107"/>
        <v>44303</v>
      </c>
      <c r="L6901" s="17">
        <v>0.45833333333333331</v>
      </c>
      <c r="M6901" s="14">
        <v>932</v>
      </c>
      <c r="N6901" s="14">
        <v>0</v>
      </c>
      <c r="O6901" s="14">
        <v>-1200</v>
      </c>
      <c r="P6901" s="14">
        <v>-268</v>
      </c>
      <c r="Q6901">
        <v>8359</v>
      </c>
      <c r="R6901">
        <v>1392</v>
      </c>
      <c r="S6901">
        <v>2474</v>
      </c>
    </row>
    <row r="6902" spans="11:19" x14ac:dyDescent="0.3">
      <c r="K6902" s="16">
        <f t="shared" si="107"/>
        <v>44303</v>
      </c>
      <c r="L6902" s="17">
        <v>0.5</v>
      </c>
      <c r="M6902" s="14">
        <v>932</v>
      </c>
      <c r="N6902" s="14">
        <v>0</v>
      </c>
      <c r="O6902" s="14">
        <v>-1200</v>
      </c>
      <c r="P6902" s="14">
        <v>-268</v>
      </c>
      <c r="Q6902">
        <v>8671</v>
      </c>
      <c r="R6902">
        <v>1516</v>
      </c>
      <c r="S6902">
        <v>2762</v>
      </c>
    </row>
    <row r="6903" spans="11:19" x14ac:dyDescent="0.3">
      <c r="K6903" s="16">
        <f t="shared" si="107"/>
        <v>44303</v>
      </c>
      <c r="L6903" s="17">
        <v>0.54166666666666663</v>
      </c>
      <c r="M6903" s="14">
        <v>932</v>
      </c>
      <c r="N6903" s="14">
        <v>0</v>
      </c>
      <c r="O6903" s="14">
        <v>-1200</v>
      </c>
      <c r="P6903" s="14">
        <v>-268</v>
      </c>
      <c r="Q6903">
        <v>8351</v>
      </c>
      <c r="R6903">
        <v>1396</v>
      </c>
      <c r="S6903">
        <v>2918</v>
      </c>
    </row>
    <row r="6904" spans="11:19" x14ac:dyDescent="0.3">
      <c r="K6904" s="16">
        <f t="shared" si="107"/>
        <v>44303</v>
      </c>
      <c r="L6904" s="17">
        <v>0.58333333333333337</v>
      </c>
      <c r="M6904" s="14">
        <v>932</v>
      </c>
      <c r="N6904" s="14">
        <v>0</v>
      </c>
      <c r="O6904" s="14">
        <v>-1200</v>
      </c>
      <c r="P6904" s="14">
        <v>-268</v>
      </c>
      <c r="Q6904">
        <v>8028</v>
      </c>
      <c r="R6904">
        <v>1282</v>
      </c>
      <c r="S6904">
        <v>2877</v>
      </c>
    </row>
    <row r="6905" spans="11:19" x14ac:dyDescent="0.3">
      <c r="K6905" s="16">
        <f t="shared" si="107"/>
        <v>44303</v>
      </c>
      <c r="L6905" s="17">
        <v>0.625</v>
      </c>
      <c r="M6905" s="14">
        <v>932</v>
      </c>
      <c r="N6905" s="14">
        <v>0</v>
      </c>
      <c r="O6905" s="14">
        <v>-1200</v>
      </c>
      <c r="P6905" s="14">
        <v>-268</v>
      </c>
      <c r="Q6905">
        <v>7714</v>
      </c>
      <c r="R6905">
        <v>1308</v>
      </c>
      <c r="S6905">
        <v>2654</v>
      </c>
    </row>
    <row r="6906" spans="11:19" x14ac:dyDescent="0.3">
      <c r="K6906" s="16">
        <f t="shared" si="107"/>
        <v>44303</v>
      </c>
      <c r="L6906" s="17">
        <v>0.66666666666666663</v>
      </c>
      <c r="M6906" s="14">
        <v>932</v>
      </c>
      <c r="N6906" s="14">
        <v>0</v>
      </c>
      <c r="O6906" s="14">
        <v>-1200</v>
      </c>
      <c r="P6906" s="14">
        <v>-268</v>
      </c>
      <c r="Q6906">
        <v>7514</v>
      </c>
      <c r="R6906">
        <v>1236</v>
      </c>
      <c r="S6906">
        <v>2245</v>
      </c>
    </row>
    <row r="6907" spans="11:19" x14ac:dyDescent="0.3">
      <c r="K6907" s="16">
        <f t="shared" si="107"/>
        <v>44303</v>
      </c>
      <c r="L6907" s="17">
        <v>0.70833333333333337</v>
      </c>
      <c r="M6907" s="14">
        <v>932</v>
      </c>
      <c r="N6907" s="14">
        <v>0</v>
      </c>
      <c r="O6907" s="14">
        <v>-1200</v>
      </c>
      <c r="P6907" s="14">
        <v>-268</v>
      </c>
      <c r="Q6907">
        <v>7460</v>
      </c>
      <c r="R6907">
        <v>1156</v>
      </c>
      <c r="S6907">
        <v>1698</v>
      </c>
    </row>
    <row r="6908" spans="11:19" x14ac:dyDescent="0.3">
      <c r="K6908" s="16">
        <f t="shared" si="107"/>
        <v>44303</v>
      </c>
      <c r="L6908" s="17">
        <v>0.75</v>
      </c>
      <c r="M6908" s="14">
        <v>932</v>
      </c>
      <c r="N6908" s="14">
        <v>0</v>
      </c>
      <c r="O6908" s="14">
        <v>-376</v>
      </c>
      <c r="P6908" s="14">
        <v>556</v>
      </c>
      <c r="Q6908">
        <v>7685</v>
      </c>
      <c r="R6908">
        <v>1028</v>
      </c>
      <c r="S6908">
        <v>989</v>
      </c>
    </row>
    <row r="6909" spans="11:19" x14ac:dyDescent="0.3">
      <c r="K6909" s="16">
        <f t="shared" si="107"/>
        <v>44303</v>
      </c>
      <c r="L6909" s="17">
        <v>0.79166666666666663</v>
      </c>
      <c r="M6909" s="14">
        <v>932</v>
      </c>
      <c r="N6909" s="14">
        <v>0</v>
      </c>
      <c r="O6909" s="14">
        <v>561</v>
      </c>
      <c r="P6909" s="14">
        <v>1493</v>
      </c>
      <c r="Q6909">
        <v>7881</v>
      </c>
      <c r="R6909">
        <v>956</v>
      </c>
      <c r="S6909">
        <v>324</v>
      </c>
    </row>
    <row r="6910" spans="11:19" x14ac:dyDescent="0.3">
      <c r="K6910" s="16">
        <f t="shared" si="107"/>
        <v>44303</v>
      </c>
      <c r="L6910" s="17">
        <v>0.83333333333333337</v>
      </c>
      <c r="M6910" s="14">
        <v>932</v>
      </c>
      <c r="N6910" s="14">
        <v>0</v>
      </c>
      <c r="O6910" s="14">
        <v>706</v>
      </c>
      <c r="P6910" s="14">
        <v>1638</v>
      </c>
      <c r="Q6910">
        <v>7774</v>
      </c>
      <c r="R6910">
        <v>923</v>
      </c>
      <c r="S6910">
        <v>22</v>
      </c>
    </row>
    <row r="6911" spans="11:19" x14ac:dyDescent="0.3">
      <c r="K6911" s="16">
        <f t="shared" si="107"/>
        <v>44303</v>
      </c>
      <c r="L6911" s="17">
        <v>0.875</v>
      </c>
      <c r="M6911" s="14">
        <v>932</v>
      </c>
      <c r="N6911" s="14">
        <v>0</v>
      </c>
      <c r="O6911" s="14">
        <v>667</v>
      </c>
      <c r="P6911" s="14">
        <v>1599</v>
      </c>
      <c r="Q6911">
        <v>7697</v>
      </c>
      <c r="R6911">
        <v>913</v>
      </c>
      <c r="S6911">
        <v>0</v>
      </c>
    </row>
    <row r="6912" spans="11:19" x14ac:dyDescent="0.3">
      <c r="K6912" s="16">
        <f t="shared" si="107"/>
        <v>44303</v>
      </c>
      <c r="L6912" s="17">
        <v>0.91666666666666663</v>
      </c>
      <c r="M6912" s="14">
        <v>932</v>
      </c>
      <c r="N6912" s="14">
        <v>0</v>
      </c>
      <c r="O6912" s="14">
        <v>954</v>
      </c>
      <c r="P6912" s="14">
        <v>1886</v>
      </c>
      <c r="Q6912">
        <v>8045</v>
      </c>
      <c r="R6912">
        <v>979</v>
      </c>
      <c r="S6912">
        <v>0</v>
      </c>
    </row>
    <row r="6913" spans="11:19" x14ac:dyDescent="0.3">
      <c r="K6913" s="16">
        <f t="shared" si="107"/>
        <v>44303</v>
      </c>
      <c r="L6913" s="17">
        <v>0.95833333333333337</v>
      </c>
      <c r="M6913" s="14">
        <v>932</v>
      </c>
      <c r="N6913" s="14">
        <v>0</v>
      </c>
      <c r="O6913" s="14">
        <v>1200</v>
      </c>
      <c r="P6913" s="14">
        <v>2132</v>
      </c>
      <c r="Q6913">
        <v>8353</v>
      </c>
      <c r="R6913">
        <v>992</v>
      </c>
      <c r="S6913">
        <v>0</v>
      </c>
    </row>
    <row r="6914" spans="11:19" x14ac:dyDescent="0.3">
      <c r="K6914" s="16">
        <f t="shared" si="107"/>
        <v>44304</v>
      </c>
      <c r="L6914" s="17">
        <v>0</v>
      </c>
      <c r="M6914" s="14">
        <v>932</v>
      </c>
      <c r="N6914" s="14">
        <v>0</v>
      </c>
      <c r="O6914" s="14">
        <v>812</v>
      </c>
      <c r="P6914" s="14">
        <v>1744</v>
      </c>
      <c r="Q6914">
        <v>7862</v>
      </c>
      <c r="R6914">
        <v>958</v>
      </c>
      <c r="S6914">
        <v>0</v>
      </c>
    </row>
    <row r="6915" spans="11:19" x14ac:dyDescent="0.3">
      <c r="K6915" s="16">
        <f t="shared" si="107"/>
        <v>44304</v>
      </c>
      <c r="L6915" s="17">
        <v>4.1666666666666664E-2</v>
      </c>
      <c r="M6915" s="14">
        <v>932</v>
      </c>
      <c r="N6915" s="14">
        <v>0</v>
      </c>
      <c r="O6915" s="14">
        <v>434</v>
      </c>
      <c r="P6915" s="14">
        <v>1366</v>
      </c>
      <c r="Q6915">
        <v>7493</v>
      </c>
      <c r="R6915">
        <v>1054</v>
      </c>
      <c r="S6915">
        <v>0</v>
      </c>
    </row>
    <row r="6916" spans="11:19" x14ac:dyDescent="0.3">
      <c r="K6916" s="16">
        <f t="shared" si="107"/>
        <v>44304</v>
      </c>
      <c r="L6916" s="17">
        <v>8.3333333333333329E-2</v>
      </c>
      <c r="M6916" s="14">
        <v>932</v>
      </c>
      <c r="N6916" s="14">
        <v>0</v>
      </c>
      <c r="O6916" s="14">
        <v>288</v>
      </c>
      <c r="P6916" s="14">
        <v>1220</v>
      </c>
      <c r="Q6916">
        <v>7137</v>
      </c>
      <c r="R6916">
        <v>845</v>
      </c>
      <c r="S6916">
        <v>0</v>
      </c>
    </row>
    <row r="6917" spans="11:19" x14ac:dyDescent="0.3">
      <c r="K6917" s="16">
        <f t="shared" si="107"/>
        <v>44304</v>
      </c>
      <c r="L6917" s="17">
        <v>0.125</v>
      </c>
      <c r="M6917" s="14">
        <v>932</v>
      </c>
      <c r="N6917" s="14">
        <v>0</v>
      </c>
      <c r="O6917" s="14">
        <v>0</v>
      </c>
      <c r="P6917" s="14">
        <v>932</v>
      </c>
      <c r="Q6917">
        <v>6659</v>
      </c>
      <c r="R6917">
        <v>786</v>
      </c>
      <c r="S6917">
        <v>0</v>
      </c>
    </row>
    <row r="6918" spans="11:19" x14ac:dyDescent="0.3">
      <c r="K6918" s="16">
        <f t="shared" si="107"/>
        <v>44304</v>
      </c>
      <c r="L6918" s="17">
        <v>0.16666666666666666</v>
      </c>
      <c r="M6918" s="14">
        <v>932</v>
      </c>
      <c r="N6918" s="14">
        <v>0</v>
      </c>
      <c r="O6918" s="14">
        <v>0</v>
      </c>
      <c r="P6918" s="14">
        <v>932</v>
      </c>
      <c r="Q6918">
        <v>6432</v>
      </c>
      <c r="R6918">
        <v>765</v>
      </c>
      <c r="S6918">
        <v>0</v>
      </c>
    </row>
    <row r="6919" spans="11:19" x14ac:dyDescent="0.3">
      <c r="K6919" s="16">
        <f t="shared" si="107"/>
        <v>44304</v>
      </c>
      <c r="L6919" s="17">
        <v>0.20833333333333334</v>
      </c>
      <c r="M6919" s="14">
        <v>932</v>
      </c>
      <c r="N6919" s="14">
        <v>0</v>
      </c>
      <c r="O6919" s="14">
        <v>0</v>
      </c>
      <c r="P6919" s="14">
        <v>932</v>
      </c>
      <c r="Q6919">
        <v>6449</v>
      </c>
      <c r="R6919">
        <v>661</v>
      </c>
      <c r="S6919">
        <v>0</v>
      </c>
    </row>
    <row r="6920" spans="11:19" x14ac:dyDescent="0.3">
      <c r="K6920" s="16">
        <f t="shared" si="107"/>
        <v>44304</v>
      </c>
      <c r="L6920" s="17">
        <v>0.25</v>
      </c>
      <c r="M6920" s="14">
        <v>932</v>
      </c>
      <c r="N6920" s="14">
        <v>0</v>
      </c>
      <c r="O6920" s="14">
        <v>0</v>
      </c>
      <c r="P6920" s="14">
        <v>932</v>
      </c>
      <c r="Q6920">
        <v>6599</v>
      </c>
      <c r="R6920">
        <v>808</v>
      </c>
      <c r="S6920">
        <v>1</v>
      </c>
    </row>
    <row r="6921" spans="11:19" x14ac:dyDescent="0.3">
      <c r="K6921" s="16">
        <f t="shared" si="107"/>
        <v>44304</v>
      </c>
      <c r="L6921" s="17">
        <v>0.29166666666666669</v>
      </c>
      <c r="M6921" s="14">
        <v>932</v>
      </c>
      <c r="N6921" s="14">
        <v>0</v>
      </c>
      <c r="O6921" s="14">
        <v>0</v>
      </c>
      <c r="P6921" s="14">
        <v>932</v>
      </c>
      <c r="Q6921">
        <v>6647</v>
      </c>
      <c r="R6921">
        <v>849</v>
      </c>
      <c r="S6921">
        <v>84</v>
      </c>
    </row>
    <row r="6922" spans="11:19" x14ac:dyDescent="0.3">
      <c r="K6922" s="16">
        <f t="shared" si="107"/>
        <v>44304</v>
      </c>
      <c r="L6922" s="17">
        <v>0.33333333333333331</v>
      </c>
      <c r="M6922" s="14">
        <v>932</v>
      </c>
      <c r="N6922" s="14">
        <v>0</v>
      </c>
      <c r="O6922" s="14">
        <v>0</v>
      </c>
      <c r="P6922" s="14">
        <v>932</v>
      </c>
      <c r="Q6922">
        <v>7090</v>
      </c>
      <c r="R6922">
        <v>851</v>
      </c>
      <c r="S6922">
        <v>496</v>
      </c>
    </row>
    <row r="6923" spans="11:19" x14ac:dyDescent="0.3">
      <c r="K6923" s="16">
        <f t="shared" si="107"/>
        <v>44304</v>
      </c>
      <c r="L6923" s="17">
        <v>0.375</v>
      </c>
      <c r="M6923" s="14">
        <v>932</v>
      </c>
      <c r="N6923" s="14">
        <v>0</v>
      </c>
      <c r="O6923" s="14">
        <v>0</v>
      </c>
      <c r="P6923" s="14">
        <v>932</v>
      </c>
      <c r="Q6923">
        <v>7446</v>
      </c>
      <c r="R6923">
        <v>1043</v>
      </c>
      <c r="S6923">
        <v>1207</v>
      </c>
    </row>
    <row r="6924" spans="11:19" x14ac:dyDescent="0.3">
      <c r="K6924" s="16">
        <f t="shared" si="107"/>
        <v>44304</v>
      </c>
      <c r="L6924" s="17">
        <v>0.41666666666666669</v>
      </c>
      <c r="M6924" s="14">
        <v>932</v>
      </c>
      <c r="N6924" s="14">
        <v>0</v>
      </c>
      <c r="O6924" s="14">
        <v>0</v>
      </c>
      <c r="P6924" s="14">
        <v>932</v>
      </c>
      <c r="Q6924">
        <v>7653</v>
      </c>
      <c r="R6924">
        <v>1063</v>
      </c>
      <c r="S6924">
        <v>1823</v>
      </c>
    </row>
    <row r="6925" spans="11:19" x14ac:dyDescent="0.3">
      <c r="K6925" s="16">
        <f t="shared" si="107"/>
        <v>44304</v>
      </c>
      <c r="L6925" s="17">
        <v>0.45833333333333331</v>
      </c>
      <c r="M6925" s="14">
        <v>932</v>
      </c>
      <c r="N6925" s="14">
        <v>0</v>
      </c>
      <c r="O6925" s="14">
        <v>-532</v>
      </c>
      <c r="P6925" s="14">
        <v>400</v>
      </c>
      <c r="Q6925">
        <v>7815</v>
      </c>
      <c r="R6925">
        <v>1185</v>
      </c>
      <c r="S6925">
        <v>2200</v>
      </c>
    </row>
    <row r="6926" spans="11:19" x14ac:dyDescent="0.3">
      <c r="K6926" s="16">
        <f t="shared" si="107"/>
        <v>44304</v>
      </c>
      <c r="L6926" s="17">
        <v>0.5</v>
      </c>
      <c r="M6926" s="14">
        <v>932</v>
      </c>
      <c r="N6926" s="14">
        <v>0</v>
      </c>
      <c r="O6926" s="14">
        <v>0</v>
      </c>
      <c r="P6926" s="14">
        <v>932</v>
      </c>
      <c r="Q6926">
        <v>8161</v>
      </c>
      <c r="R6926">
        <v>1213</v>
      </c>
      <c r="S6926">
        <v>2453</v>
      </c>
    </row>
    <row r="6927" spans="11:19" x14ac:dyDescent="0.3">
      <c r="K6927" s="16">
        <f t="shared" si="107"/>
        <v>44304</v>
      </c>
      <c r="L6927" s="17">
        <v>0.54166666666666663</v>
      </c>
      <c r="M6927" s="14">
        <v>932</v>
      </c>
      <c r="N6927" s="14">
        <v>0</v>
      </c>
      <c r="O6927" s="14">
        <v>-490</v>
      </c>
      <c r="P6927" s="14">
        <v>442</v>
      </c>
      <c r="Q6927">
        <v>7753</v>
      </c>
      <c r="R6927">
        <v>1369</v>
      </c>
      <c r="S6927">
        <v>2577</v>
      </c>
    </row>
    <row r="6928" spans="11:19" x14ac:dyDescent="0.3">
      <c r="K6928" s="16">
        <f t="shared" si="107"/>
        <v>44304</v>
      </c>
      <c r="L6928" s="17">
        <v>0.58333333333333337</v>
      </c>
      <c r="M6928" s="14">
        <v>932</v>
      </c>
      <c r="N6928" s="14">
        <v>0</v>
      </c>
      <c r="O6928" s="14">
        <v>-1001</v>
      </c>
      <c r="P6928" s="14">
        <v>-69</v>
      </c>
      <c r="Q6928">
        <v>7363</v>
      </c>
      <c r="R6928">
        <v>1526</v>
      </c>
      <c r="S6928">
        <v>2544</v>
      </c>
    </row>
    <row r="6929" spans="11:19" x14ac:dyDescent="0.3">
      <c r="K6929" s="16">
        <f t="shared" si="107"/>
        <v>44304</v>
      </c>
      <c r="L6929" s="17">
        <v>0.625</v>
      </c>
      <c r="M6929" s="14">
        <v>932</v>
      </c>
      <c r="N6929" s="14">
        <v>0</v>
      </c>
      <c r="O6929" s="14">
        <v>-1200</v>
      </c>
      <c r="P6929" s="14">
        <v>-268</v>
      </c>
      <c r="Q6929">
        <v>7087</v>
      </c>
      <c r="R6929">
        <v>1688</v>
      </c>
      <c r="S6929">
        <v>2387</v>
      </c>
    </row>
    <row r="6930" spans="11:19" x14ac:dyDescent="0.3">
      <c r="K6930" s="16">
        <f t="shared" si="107"/>
        <v>44304</v>
      </c>
      <c r="L6930" s="17">
        <v>0.66666666666666663</v>
      </c>
      <c r="M6930" s="14">
        <v>932</v>
      </c>
      <c r="N6930" s="14">
        <v>0</v>
      </c>
      <c r="O6930" s="14">
        <v>-1163</v>
      </c>
      <c r="P6930" s="14">
        <v>-231</v>
      </c>
      <c r="Q6930">
        <v>6930</v>
      </c>
      <c r="R6930">
        <v>1760</v>
      </c>
      <c r="S6930">
        <v>2041</v>
      </c>
    </row>
    <row r="6931" spans="11:19" x14ac:dyDescent="0.3">
      <c r="K6931" s="16">
        <f t="shared" si="107"/>
        <v>44304</v>
      </c>
      <c r="L6931" s="17">
        <v>0.70833333333333337</v>
      </c>
      <c r="M6931" s="14">
        <v>932</v>
      </c>
      <c r="N6931" s="14">
        <v>0</v>
      </c>
      <c r="O6931" s="14">
        <v>-479</v>
      </c>
      <c r="P6931" s="14">
        <v>453</v>
      </c>
      <c r="Q6931">
        <v>6920</v>
      </c>
      <c r="R6931">
        <v>1533</v>
      </c>
      <c r="S6931">
        <v>1575</v>
      </c>
    </row>
    <row r="6932" spans="11:19" x14ac:dyDescent="0.3">
      <c r="K6932" s="16">
        <f t="shared" si="107"/>
        <v>44304</v>
      </c>
      <c r="L6932" s="17">
        <v>0.75</v>
      </c>
      <c r="M6932" s="14">
        <v>932</v>
      </c>
      <c r="N6932" s="14">
        <v>0</v>
      </c>
      <c r="O6932" s="14">
        <v>0</v>
      </c>
      <c r="P6932" s="14">
        <v>932</v>
      </c>
      <c r="Q6932">
        <v>7243</v>
      </c>
      <c r="R6932">
        <v>1423</v>
      </c>
      <c r="S6932">
        <v>896</v>
      </c>
    </row>
    <row r="6933" spans="11:19" x14ac:dyDescent="0.3">
      <c r="K6933" s="16">
        <f t="shared" si="107"/>
        <v>44304</v>
      </c>
      <c r="L6933" s="17">
        <v>0.79166666666666663</v>
      </c>
      <c r="M6933" s="14">
        <v>932</v>
      </c>
      <c r="N6933" s="14">
        <v>0</v>
      </c>
      <c r="O6933" s="14">
        <v>0</v>
      </c>
      <c r="P6933" s="14">
        <v>932</v>
      </c>
      <c r="Q6933">
        <v>7571</v>
      </c>
      <c r="R6933">
        <v>1367</v>
      </c>
      <c r="S6933">
        <v>293</v>
      </c>
    </row>
    <row r="6934" spans="11:19" x14ac:dyDescent="0.3">
      <c r="K6934" s="16">
        <f t="shared" si="107"/>
        <v>44304</v>
      </c>
      <c r="L6934" s="17">
        <v>0.83333333333333337</v>
      </c>
      <c r="M6934" s="14">
        <v>932</v>
      </c>
      <c r="N6934" s="14">
        <v>0</v>
      </c>
      <c r="O6934" s="14">
        <v>326</v>
      </c>
      <c r="P6934" s="14">
        <v>1258</v>
      </c>
      <c r="Q6934">
        <v>7679</v>
      </c>
      <c r="R6934">
        <v>1297</v>
      </c>
      <c r="S6934">
        <v>16</v>
      </c>
    </row>
    <row r="6935" spans="11:19" x14ac:dyDescent="0.3">
      <c r="K6935" s="16">
        <f t="shared" si="107"/>
        <v>44304</v>
      </c>
      <c r="L6935" s="17">
        <v>0.875</v>
      </c>
      <c r="M6935" s="14">
        <v>932</v>
      </c>
      <c r="N6935" s="14">
        <v>0</v>
      </c>
      <c r="O6935" s="14">
        <v>515</v>
      </c>
      <c r="P6935" s="14">
        <v>1447</v>
      </c>
      <c r="Q6935">
        <v>7678</v>
      </c>
      <c r="R6935">
        <v>1049</v>
      </c>
      <c r="S6935">
        <v>0</v>
      </c>
    </row>
    <row r="6936" spans="11:19" x14ac:dyDescent="0.3">
      <c r="K6936" s="16">
        <f t="shared" si="107"/>
        <v>44304</v>
      </c>
      <c r="L6936" s="17">
        <v>0.91666666666666663</v>
      </c>
      <c r="M6936" s="14">
        <v>932</v>
      </c>
      <c r="N6936" s="14">
        <v>0</v>
      </c>
      <c r="O6936" s="14">
        <v>862</v>
      </c>
      <c r="P6936" s="14">
        <v>1794</v>
      </c>
      <c r="Q6936">
        <v>7957</v>
      </c>
      <c r="R6936">
        <v>986</v>
      </c>
      <c r="S6936">
        <v>0</v>
      </c>
    </row>
    <row r="6937" spans="11:19" x14ac:dyDescent="0.3">
      <c r="K6937" s="16">
        <f t="shared" si="107"/>
        <v>44304</v>
      </c>
      <c r="L6937" s="17">
        <v>0.95833333333333337</v>
      </c>
      <c r="M6937" s="14">
        <v>932</v>
      </c>
      <c r="N6937" s="14">
        <v>0</v>
      </c>
      <c r="O6937" s="14">
        <v>657</v>
      </c>
      <c r="P6937" s="14">
        <v>1589</v>
      </c>
      <c r="Q6937">
        <v>8165</v>
      </c>
      <c r="R6937">
        <v>1418</v>
      </c>
      <c r="S6937">
        <v>0</v>
      </c>
    </row>
    <row r="6938" spans="11:19" x14ac:dyDescent="0.3">
      <c r="K6938" s="16">
        <f t="shared" si="107"/>
        <v>44305</v>
      </c>
      <c r="L6938" s="17">
        <v>0</v>
      </c>
      <c r="M6938" s="14">
        <v>932</v>
      </c>
      <c r="N6938" s="14">
        <v>0</v>
      </c>
      <c r="O6938" s="14">
        <v>0</v>
      </c>
      <c r="P6938" s="14">
        <v>932</v>
      </c>
      <c r="Q6938">
        <v>7707</v>
      </c>
      <c r="R6938">
        <v>1391</v>
      </c>
      <c r="S6938">
        <v>0</v>
      </c>
    </row>
    <row r="6939" spans="11:19" x14ac:dyDescent="0.3">
      <c r="K6939" s="16">
        <f t="shared" ref="K6939:K7002" si="108">K6915+1</f>
        <v>44305</v>
      </c>
      <c r="L6939" s="17">
        <v>4.1666666666666664E-2</v>
      </c>
      <c r="M6939" s="14">
        <v>932</v>
      </c>
      <c r="N6939" s="14">
        <v>0</v>
      </c>
      <c r="O6939" s="14">
        <v>-5</v>
      </c>
      <c r="P6939" s="14">
        <v>927</v>
      </c>
      <c r="Q6939">
        <v>7369</v>
      </c>
      <c r="R6939">
        <v>1286</v>
      </c>
      <c r="S6939">
        <v>0</v>
      </c>
    </row>
    <row r="6940" spans="11:19" x14ac:dyDescent="0.3">
      <c r="K6940" s="16">
        <f t="shared" si="108"/>
        <v>44305</v>
      </c>
      <c r="L6940" s="17">
        <v>8.3333333333333329E-2</v>
      </c>
      <c r="M6940" s="14">
        <v>932</v>
      </c>
      <c r="N6940" s="14">
        <v>0</v>
      </c>
      <c r="O6940" s="14">
        <v>-165</v>
      </c>
      <c r="P6940" s="14">
        <v>767</v>
      </c>
      <c r="Q6940">
        <v>7087</v>
      </c>
      <c r="R6940">
        <v>1244</v>
      </c>
      <c r="S6940">
        <v>0</v>
      </c>
    </row>
    <row r="6941" spans="11:19" x14ac:dyDescent="0.3">
      <c r="K6941" s="16">
        <f t="shared" si="108"/>
        <v>44305</v>
      </c>
      <c r="L6941" s="17">
        <v>0.125</v>
      </c>
      <c r="M6941" s="14">
        <v>932</v>
      </c>
      <c r="N6941" s="14">
        <v>0</v>
      </c>
      <c r="O6941" s="14">
        <v>-629</v>
      </c>
      <c r="P6941" s="14">
        <v>303</v>
      </c>
      <c r="Q6941">
        <v>6716</v>
      </c>
      <c r="R6941">
        <v>1333</v>
      </c>
      <c r="S6941">
        <v>0</v>
      </c>
    </row>
    <row r="6942" spans="11:19" x14ac:dyDescent="0.3">
      <c r="K6942" s="16">
        <f t="shared" si="108"/>
        <v>44305</v>
      </c>
      <c r="L6942" s="17">
        <v>0.16666666666666666</v>
      </c>
      <c r="M6942" s="14">
        <v>932</v>
      </c>
      <c r="N6942" s="14">
        <v>0</v>
      </c>
      <c r="O6942" s="14">
        <v>-625</v>
      </c>
      <c r="P6942" s="14">
        <v>307</v>
      </c>
      <c r="Q6942">
        <v>6686</v>
      </c>
      <c r="R6942">
        <v>1289</v>
      </c>
      <c r="S6942">
        <v>0</v>
      </c>
    </row>
    <row r="6943" spans="11:19" x14ac:dyDescent="0.3">
      <c r="K6943" s="16">
        <f t="shared" si="108"/>
        <v>44305</v>
      </c>
      <c r="L6943" s="17">
        <v>0.20833333333333334</v>
      </c>
      <c r="M6943" s="14">
        <v>932</v>
      </c>
      <c r="N6943" s="14">
        <v>0</v>
      </c>
      <c r="O6943" s="14">
        <v>-186</v>
      </c>
      <c r="P6943" s="14">
        <v>746</v>
      </c>
      <c r="Q6943">
        <v>7229</v>
      </c>
      <c r="R6943">
        <v>1374</v>
      </c>
      <c r="S6943">
        <v>0</v>
      </c>
    </row>
    <row r="6944" spans="11:19" x14ac:dyDescent="0.3">
      <c r="K6944" s="16">
        <f t="shared" si="108"/>
        <v>44305</v>
      </c>
      <c r="L6944" s="17">
        <v>0.25</v>
      </c>
      <c r="M6944" s="14">
        <v>932</v>
      </c>
      <c r="N6944" s="14">
        <v>762</v>
      </c>
      <c r="O6944" s="14">
        <v>0</v>
      </c>
      <c r="P6944" s="14">
        <v>1694</v>
      </c>
      <c r="Q6944">
        <v>8275</v>
      </c>
      <c r="R6944">
        <v>1449</v>
      </c>
      <c r="S6944">
        <v>2</v>
      </c>
    </row>
    <row r="6945" spans="11:19" x14ac:dyDescent="0.3">
      <c r="K6945" s="16">
        <f t="shared" si="108"/>
        <v>44305</v>
      </c>
      <c r="L6945" s="17">
        <v>0.29166666666666669</v>
      </c>
      <c r="M6945" s="14">
        <v>932</v>
      </c>
      <c r="N6945" s="14">
        <v>0</v>
      </c>
      <c r="O6945" s="14">
        <v>1200</v>
      </c>
      <c r="P6945" s="14">
        <v>2132</v>
      </c>
      <c r="Q6945">
        <v>8972</v>
      </c>
      <c r="R6945">
        <v>1392</v>
      </c>
      <c r="S6945">
        <v>65</v>
      </c>
    </row>
    <row r="6946" spans="11:19" x14ac:dyDescent="0.3">
      <c r="K6946" s="16">
        <f t="shared" si="108"/>
        <v>44305</v>
      </c>
      <c r="L6946" s="17">
        <v>0.33333333333333331</v>
      </c>
      <c r="M6946" s="14">
        <v>932</v>
      </c>
      <c r="N6946" s="14">
        <v>857</v>
      </c>
      <c r="O6946" s="14">
        <v>792</v>
      </c>
      <c r="P6946" s="14">
        <v>2581</v>
      </c>
      <c r="Q6946">
        <v>9483</v>
      </c>
      <c r="R6946">
        <v>1282</v>
      </c>
      <c r="S6946">
        <v>406</v>
      </c>
    </row>
    <row r="6947" spans="11:19" x14ac:dyDescent="0.3">
      <c r="K6947" s="16">
        <f t="shared" si="108"/>
        <v>44305</v>
      </c>
      <c r="L6947" s="17">
        <v>0.375</v>
      </c>
      <c r="M6947" s="14">
        <v>932</v>
      </c>
      <c r="N6947" s="14">
        <v>857</v>
      </c>
      <c r="O6947" s="14">
        <v>0</v>
      </c>
      <c r="P6947" s="14">
        <v>1789</v>
      </c>
      <c r="Q6947">
        <v>9718</v>
      </c>
      <c r="R6947">
        <v>1265</v>
      </c>
      <c r="S6947">
        <v>1033</v>
      </c>
    </row>
    <row r="6948" spans="11:19" x14ac:dyDescent="0.3">
      <c r="K6948" s="16">
        <f t="shared" si="108"/>
        <v>44305</v>
      </c>
      <c r="L6948" s="17">
        <v>0.41666666666666669</v>
      </c>
      <c r="M6948" s="14">
        <v>932</v>
      </c>
      <c r="N6948" s="14">
        <v>0</v>
      </c>
      <c r="O6948" s="14">
        <v>617</v>
      </c>
      <c r="P6948" s="14">
        <v>1549</v>
      </c>
      <c r="Q6948">
        <v>9775</v>
      </c>
      <c r="R6948">
        <v>1387</v>
      </c>
      <c r="S6948">
        <v>1569</v>
      </c>
    </row>
    <row r="6949" spans="11:19" x14ac:dyDescent="0.3">
      <c r="K6949" s="16">
        <f t="shared" si="108"/>
        <v>44305</v>
      </c>
      <c r="L6949" s="17">
        <v>0.45833333333333331</v>
      </c>
      <c r="M6949" s="14">
        <v>932</v>
      </c>
      <c r="N6949" s="14">
        <v>410</v>
      </c>
      <c r="O6949" s="14">
        <v>0</v>
      </c>
      <c r="P6949" s="14">
        <v>1342</v>
      </c>
      <c r="Q6949">
        <v>9860</v>
      </c>
      <c r="R6949">
        <v>1371</v>
      </c>
      <c r="S6949">
        <v>1938</v>
      </c>
    </row>
    <row r="6950" spans="11:19" x14ac:dyDescent="0.3">
      <c r="K6950" s="16">
        <f t="shared" si="108"/>
        <v>44305</v>
      </c>
      <c r="L6950" s="17">
        <v>0.5</v>
      </c>
      <c r="M6950" s="14">
        <v>932</v>
      </c>
      <c r="N6950" s="14">
        <v>0</v>
      </c>
      <c r="O6950" s="14">
        <v>135</v>
      </c>
      <c r="P6950" s="14">
        <v>1067</v>
      </c>
      <c r="Q6950">
        <v>9915</v>
      </c>
      <c r="R6950">
        <v>1521</v>
      </c>
      <c r="S6950">
        <v>2118</v>
      </c>
    </row>
    <row r="6951" spans="11:19" x14ac:dyDescent="0.3">
      <c r="K6951" s="16">
        <f t="shared" si="108"/>
        <v>44305</v>
      </c>
      <c r="L6951" s="17">
        <v>0.54166666666666663</v>
      </c>
      <c r="M6951" s="14">
        <v>932</v>
      </c>
      <c r="N6951" s="14">
        <v>0</v>
      </c>
      <c r="O6951" s="14">
        <v>-269</v>
      </c>
      <c r="P6951" s="14">
        <v>663</v>
      </c>
      <c r="Q6951">
        <v>9762</v>
      </c>
      <c r="R6951">
        <v>1716</v>
      </c>
      <c r="S6951">
        <v>2175</v>
      </c>
    </row>
    <row r="6952" spans="11:19" x14ac:dyDescent="0.3">
      <c r="K6952" s="16">
        <f t="shared" si="108"/>
        <v>44305</v>
      </c>
      <c r="L6952" s="17">
        <v>0.58333333333333337</v>
      </c>
      <c r="M6952" s="14">
        <v>932</v>
      </c>
      <c r="N6952" s="14">
        <v>0</v>
      </c>
      <c r="O6952" s="14">
        <v>-716</v>
      </c>
      <c r="P6952" s="14">
        <v>216</v>
      </c>
      <c r="Q6952">
        <v>9568</v>
      </c>
      <c r="R6952">
        <v>2007</v>
      </c>
      <c r="S6952">
        <v>2137</v>
      </c>
    </row>
    <row r="6953" spans="11:19" x14ac:dyDescent="0.3">
      <c r="K6953" s="16">
        <f t="shared" si="108"/>
        <v>44305</v>
      </c>
      <c r="L6953" s="17">
        <v>0.625</v>
      </c>
      <c r="M6953" s="14">
        <v>932</v>
      </c>
      <c r="N6953" s="14">
        <v>0</v>
      </c>
      <c r="O6953" s="14">
        <v>-1132</v>
      </c>
      <c r="P6953" s="14">
        <v>-200</v>
      </c>
      <c r="Q6953">
        <v>9267</v>
      </c>
      <c r="R6953">
        <v>2258</v>
      </c>
      <c r="S6953">
        <v>2002</v>
      </c>
    </row>
    <row r="6954" spans="11:19" x14ac:dyDescent="0.3">
      <c r="K6954" s="16">
        <f t="shared" si="108"/>
        <v>44305</v>
      </c>
      <c r="L6954" s="17">
        <v>0.66666666666666663</v>
      </c>
      <c r="M6954" s="14">
        <v>932</v>
      </c>
      <c r="N6954" s="14">
        <v>0</v>
      </c>
      <c r="O6954" s="14">
        <v>-740</v>
      </c>
      <c r="P6954" s="14">
        <v>192</v>
      </c>
      <c r="Q6954">
        <v>9025</v>
      </c>
      <c r="R6954">
        <v>1949</v>
      </c>
      <c r="S6954">
        <v>1678</v>
      </c>
    </row>
    <row r="6955" spans="11:19" x14ac:dyDescent="0.3">
      <c r="K6955" s="16">
        <f t="shared" si="108"/>
        <v>44305</v>
      </c>
      <c r="L6955" s="17">
        <v>0.70833333333333337</v>
      </c>
      <c r="M6955" s="14">
        <v>932</v>
      </c>
      <c r="N6955" s="14">
        <v>0</v>
      </c>
      <c r="O6955" s="14">
        <v>-459</v>
      </c>
      <c r="P6955" s="14">
        <v>473</v>
      </c>
      <c r="Q6955">
        <v>8866</v>
      </c>
      <c r="R6955">
        <v>1918</v>
      </c>
      <c r="S6955">
        <v>1269</v>
      </c>
    </row>
    <row r="6956" spans="11:19" x14ac:dyDescent="0.3">
      <c r="K6956" s="16">
        <f t="shared" si="108"/>
        <v>44305</v>
      </c>
      <c r="L6956" s="17">
        <v>0.75</v>
      </c>
      <c r="M6956" s="14">
        <v>932</v>
      </c>
      <c r="N6956" s="14">
        <v>564</v>
      </c>
      <c r="O6956" s="14">
        <v>0</v>
      </c>
      <c r="P6956" s="14">
        <v>1496</v>
      </c>
      <c r="Q6956">
        <v>9105</v>
      </c>
      <c r="R6956">
        <v>1714</v>
      </c>
      <c r="S6956">
        <v>692</v>
      </c>
    </row>
    <row r="6957" spans="11:19" x14ac:dyDescent="0.3">
      <c r="K6957" s="16">
        <f t="shared" si="108"/>
        <v>44305</v>
      </c>
      <c r="L6957" s="17">
        <v>0.79166666666666663</v>
      </c>
      <c r="M6957" s="14">
        <v>932</v>
      </c>
      <c r="N6957" s="14">
        <v>857</v>
      </c>
      <c r="O6957" s="14">
        <v>0</v>
      </c>
      <c r="P6957" s="14">
        <v>1789</v>
      </c>
      <c r="Q6957">
        <v>9246</v>
      </c>
      <c r="R6957">
        <v>1597</v>
      </c>
      <c r="S6957">
        <v>214</v>
      </c>
    </row>
    <row r="6958" spans="11:19" x14ac:dyDescent="0.3">
      <c r="K6958" s="16">
        <f t="shared" si="108"/>
        <v>44305</v>
      </c>
      <c r="L6958" s="17">
        <v>0.83333333333333337</v>
      </c>
      <c r="M6958" s="14">
        <v>932</v>
      </c>
      <c r="N6958" s="14">
        <v>857</v>
      </c>
      <c r="O6958" s="14">
        <v>0</v>
      </c>
      <c r="P6958" s="14">
        <v>1789</v>
      </c>
      <c r="Q6958">
        <v>8921</v>
      </c>
      <c r="R6958">
        <v>1466</v>
      </c>
      <c r="S6958">
        <v>16</v>
      </c>
    </row>
    <row r="6959" spans="11:19" x14ac:dyDescent="0.3">
      <c r="K6959" s="16">
        <f t="shared" si="108"/>
        <v>44305</v>
      </c>
      <c r="L6959" s="17">
        <v>0.875</v>
      </c>
      <c r="M6959" s="14">
        <v>932</v>
      </c>
      <c r="N6959" s="14">
        <v>0</v>
      </c>
      <c r="O6959" s="14">
        <v>1200</v>
      </c>
      <c r="P6959" s="14">
        <v>2132</v>
      </c>
      <c r="Q6959">
        <v>8761</v>
      </c>
      <c r="R6959">
        <v>1314</v>
      </c>
      <c r="S6959">
        <v>0</v>
      </c>
    </row>
    <row r="6960" spans="11:19" x14ac:dyDescent="0.3">
      <c r="K6960" s="16">
        <f t="shared" si="108"/>
        <v>44305</v>
      </c>
      <c r="L6960" s="17">
        <v>0.91666666666666663</v>
      </c>
      <c r="M6960" s="14">
        <v>932</v>
      </c>
      <c r="N6960" s="14">
        <v>0</v>
      </c>
      <c r="O6960" s="14">
        <v>0</v>
      </c>
      <c r="P6960" s="14">
        <v>932</v>
      </c>
      <c r="Q6960">
        <v>8951</v>
      </c>
      <c r="R6960">
        <v>1250</v>
      </c>
      <c r="S6960">
        <v>0</v>
      </c>
    </row>
    <row r="6961" spans="11:19" x14ac:dyDescent="0.3">
      <c r="K6961" s="16">
        <f t="shared" si="108"/>
        <v>44305</v>
      </c>
      <c r="L6961" s="17">
        <v>0.95833333333333337</v>
      </c>
      <c r="M6961" s="14">
        <v>932</v>
      </c>
      <c r="N6961" s="14">
        <v>857</v>
      </c>
      <c r="O6961" s="14">
        <v>0</v>
      </c>
      <c r="P6961" s="14">
        <v>1789</v>
      </c>
      <c r="Q6961">
        <v>9124</v>
      </c>
      <c r="R6961">
        <v>1294</v>
      </c>
      <c r="S6961">
        <v>0</v>
      </c>
    </row>
    <row r="6962" spans="11:19" x14ac:dyDescent="0.3">
      <c r="K6962" s="16">
        <f t="shared" si="108"/>
        <v>44306</v>
      </c>
      <c r="L6962" s="17">
        <v>0</v>
      </c>
      <c r="M6962" s="14">
        <v>932</v>
      </c>
      <c r="N6962" s="14">
        <v>1091</v>
      </c>
      <c r="O6962" s="14">
        <v>0</v>
      </c>
      <c r="P6962" s="14">
        <v>2023</v>
      </c>
      <c r="Q6962">
        <v>8596</v>
      </c>
      <c r="R6962">
        <v>1256</v>
      </c>
      <c r="S6962">
        <v>0</v>
      </c>
    </row>
    <row r="6963" spans="11:19" x14ac:dyDescent="0.3">
      <c r="K6963" s="16">
        <f t="shared" si="108"/>
        <v>44306</v>
      </c>
      <c r="L6963" s="17">
        <v>4.1666666666666664E-2</v>
      </c>
      <c r="M6963" s="14">
        <v>932</v>
      </c>
      <c r="N6963" s="14">
        <v>0</v>
      </c>
      <c r="O6963" s="14">
        <v>0</v>
      </c>
      <c r="P6963" s="14">
        <v>932</v>
      </c>
      <c r="Q6963">
        <v>8242</v>
      </c>
      <c r="R6963">
        <v>1132</v>
      </c>
      <c r="S6963">
        <v>0</v>
      </c>
    </row>
    <row r="6964" spans="11:19" x14ac:dyDescent="0.3">
      <c r="K6964" s="16">
        <f t="shared" si="108"/>
        <v>44306</v>
      </c>
      <c r="L6964" s="17">
        <v>8.3333333333333329E-2</v>
      </c>
      <c r="M6964" s="14">
        <v>932</v>
      </c>
      <c r="N6964" s="14">
        <v>592</v>
      </c>
      <c r="O6964" s="14">
        <v>0</v>
      </c>
      <c r="P6964" s="14">
        <v>1524</v>
      </c>
      <c r="Q6964">
        <v>7957</v>
      </c>
      <c r="R6964">
        <v>1117</v>
      </c>
      <c r="S6964">
        <v>0</v>
      </c>
    </row>
    <row r="6965" spans="11:19" x14ac:dyDescent="0.3">
      <c r="K6965" s="16">
        <f t="shared" si="108"/>
        <v>44306</v>
      </c>
      <c r="L6965" s="17">
        <v>0.125</v>
      </c>
      <c r="M6965" s="14">
        <v>932</v>
      </c>
      <c r="N6965" s="14">
        <v>0</v>
      </c>
      <c r="O6965" s="14">
        <v>0</v>
      </c>
      <c r="P6965" s="14">
        <v>932</v>
      </c>
      <c r="Q6965">
        <v>7602</v>
      </c>
      <c r="R6965">
        <v>1076</v>
      </c>
      <c r="S6965">
        <v>0</v>
      </c>
    </row>
    <row r="6966" spans="11:19" x14ac:dyDescent="0.3">
      <c r="K6966" s="16">
        <f t="shared" si="108"/>
        <v>44306</v>
      </c>
      <c r="L6966" s="17">
        <v>0.16666666666666666</v>
      </c>
      <c r="M6966" s="14">
        <v>932</v>
      </c>
      <c r="N6966" s="14">
        <v>230</v>
      </c>
      <c r="O6966" s="14">
        <v>0</v>
      </c>
      <c r="P6966" s="14">
        <v>1162</v>
      </c>
      <c r="Q6966">
        <v>7557</v>
      </c>
      <c r="R6966">
        <v>1066</v>
      </c>
      <c r="S6966">
        <v>0</v>
      </c>
    </row>
    <row r="6967" spans="11:19" x14ac:dyDescent="0.3">
      <c r="K6967" s="16">
        <f t="shared" si="108"/>
        <v>44306</v>
      </c>
      <c r="L6967" s="17">
        <v>0.20833333333333334</v>
      </c>
      <c r="M6967" s="14">
        <v>932</v>
      </c>
      <c r="N6967" s="14">
        <v>684</v>
      </c>
      <c r="O6967" s="14">
        <v>0</v>
      </c>
      <c r="P6967" s="14">
        <v>1616</v>
      </c>
      <c r="Q6967">
        <v>8034</v>
      </c>
      <c r="R6967">
        <v>1070</v>
      </c>
      <c r="S6967">
        <v>0</v>
      </c>
    </row>
    <row r="6968" spans="11:19" x14ac:dyDescent="0.3">
      <c r="K6968" s="16">
        <f t="shared" si="108"/>
        <v>44306</v>
      </c>
      <c r="L6968" s="17">
        <v>0.25</v>
      </c>
      <c r="M6968" s="14">
        <v>932</v>
      </c>
      <c r="N6968" s="14">
        <v>0</v>
      </c>
      <c r="O6968" s="14">
        <v>1039</v>
      </c>
      <c r="P6968" s="14">
        <v>1971</v>
      </c>
      <c r="Q6968">
        <v>8992</v>
      </c>
      <c r="R6968">
        <v>1008</v>
      </c>
      <c r="S6968">
        <v>1</v>
      </c>
    </row>
    <row r="6969" spans="11:19" x14ac:dyDescent="0.3">
      <c r="K6969" s="16">
        <f t="shared" si="108"/>
        <v>44306</v>
      </c>
      <c r="L6969" s="17">
        <v>0.29166666666666669</v>
      </c>
      <c r="M6969" s="14">
        <v>932</v>
      </c>
      <c r="N6969" s="14">
        <v>1102</v>
      </c>
      <c r="O6969" s="14">
        <v>0</v>
      </c>
      <c r="P6969" s="14">
        <v>2034</v>
      </c>
      <c r="Q6969">
        <v>9670</v>
      </c>
      <c r="R6969">
        <v>1112</v>
      </c>
      <c r="S6969">
        <v>64</v>
      </c>
    </row>
    <row r="6970" spans="11:19" x14ac:dyDescent="0.3">
      <c r="K6970" s="16">
        <f t="shared" si="108"/>
        <v>44306</v>
      </c>
      <c r="L6970" s="17">
        <v>0.33333333333333331</v>
      </c>
      <c r="M6970" s="14">
        <v>932</v>
      </c>
      <c r="N6970" s="14">
        <v>0</v>
      </c>
      <c r="O6970" s="14">
        <v>0</v>
      </c>
      <c r="P6970" s="14">
        <v>932</v>
      </c>
      <c r="Q6970">
        <v>10124</v>
      </c>
      <c r="R6970">
        <v>1364</v>
      </c>
      <c r="S6970">
        <v>384</v>
      </c>
    </row>
    <row r="6971" spans="11:19" x14ac:dyDescent="0.3">
      <c r="K6971" s="16">
        <f t="shared" si="108"/>
        <v>44306</v>
      </c>
      <c r="L6971" s="17">
        <v>0.375</v>
      </c>
      <c r="M6971" s="14">
        <v>932</v>
      </c>
      <c r="N6971" s="14">
        <v>1102</v>
      </c>
      <c r="O6971" s="14">
        <v>600</v>
      </c>
      <c r="P6971" s="14">
        <v>2634</v>
      </c>
      <c r="Q6971">
        <v>10354</v>
      </c>
      <c r="R6971">
        <v>1374</v>
      </c>
      <c r="S6971">
        <v>896</v>
      </c>
    </row>
    <row r="6972" spans="11:19" x14ac:dyDescent="0.3">
      <c r="K6972" s="16">
        <f t="shared" si="108"/>
        <v>44306</v>
      </c>
      <c r="L6972" s="17">
        <v>0.41666666666666669</v>
      </c>
      <c r="M6972" s="14">
        <v>932</v>
      </c>
      <c r="N6972" s="14">
        <v>1102</v>
      </c>
      <c r="O6972" s="14">
        <v>0</v>
      </c>
      <c r="P6972" s="14">
        <v>2034</v>
      </c>
      <c r="Q6972">
        <v>10407</v>
      </c>
      <c r="R6972">
        <v>1513</v>
      </c>
      <c r="S6972">
        <v>1343</v>
      </c>
    </row>
    <row r="6973" spans="11:19" x14ac:dyDescent="0.3">
      <c r="K6973" s="16">
        <f t="shared" si="108"/>
        <v>44306</v>
      </c>
      <c r="L6973" s="17">
        <v>0.45833333333333331</v>
      </c>
      <c r="M6973" s="14">
        <v>932</v>
      </c>
      <c r="N6973" s="14">
        <v>910</v>
      </c>
      <c r="O6973" s="14">
        <v>0</v>
      </c>
      <c r="P6973" s="14">
        <v>1842</v>
      </c>
      <c r="Q6973">
        <v>10486</v>
      </c>
      <c r="R6973">
        <v>1552</v>
      </c>
      <c r="S6973">
        <v>1643</v>
      </c>
    </row>
    <row r="6974" spans="11:19" x14ac:dyDescent="0.3">
      <c r="K6974" s="16">
        <f t="shared" si="108"/>
        <v>44306</v>
      </c>
      <c r="L6974" s="17">
        <v>0.5</v>
      </c>
      <c r="M6974" s="14">
        <v>932</v>
      </c>
      <c r="N6974" s="14">
        <v>0</v>
      </c>
      <c r="O6974" s="14">
        <v>0</v>
      </c>
      <c r="P6974" s="14">
        <v>932</v>
      </c>
      <c r="Q6974">
        <v>10529</v>
      </c>
      <c r="R6974">
        <v>1816</v>
      </c>
      <c r="S6974">
        <v>1801</v>
      </c>
    </row>
    <row r="6975" spans="11:19" x14ac:dyDescent="0.3">
      <c r="K6975" s="16">
        <f t="shared" si="108"/>
        <v>44306</v>
      </c>
      <c r="L6975" s="17">
        <v>0.54166666666666663</v>
      </c>
      <c r="M6975" s="14">
        <v>932</v>
      </c>
      <c r="N6975" s="14">
        <v>412</v>
      </c>
      <c r="O6975" s="14">
        <v>0</v>
      </c>
      <c r="P6975" s="14">
        <v>1344</v>
      </c>
      <c r="Q6975">
        <v>10360</v>
      </c>
      <c r="R6975">
        <v>1970</v>
      </c>
      <c r="S6975">
        <v>1918</v>
      </c>
    </row>
    <row r="6976" spans="11:19" x14ac:dyDescent="0.3">
      <c r="K6976" s="16">
        <f t="shared" si="108"/>
        <v>44306</v>
      </c>
      <c r="L6976" s="17">
        <v>0.58333333333333337</v>
      </c>
      <c r="M6976" s="14">
        <v>932</v>
      </c>
      <c r="N6976" s="14">
        <v>0</v>
      </c>
      <c r="O6976" s="14">
        <v>-8</v>
      </c>
      <c r="P6976" s="14">
        <v>924</v>
      </c>
      <c r="Q6976">
        <v>10125</v>
      </c>
      <c r="R6976">
        <v>2071</v>
      </c>
      <c r="S6976">
        <v>2003</v>
      </c>
    </row>
    <row r="6977" spans="11:19" x14ac:dyDescent="0.3">
      <c r="K6977" s="16">
        <f t="shared" si="108"/>
        <v>44306</v>
      </c>
      <c r="L6977" s="17">
        <v>0.625</v>
      </c>
      <c r="M6977" s="14">
        <v>932</v>
      </c>
      <c r="N6977" s="14">
        <v>0</v>
      </c>
      <c r="O6977" s="14">
        <v>-433</v>
      </c>
      <c r="P6977" s="14">
        <v>499</v>
      </c>
      <c r="Q6977">
        <v>9750</v>
      </c>
      <c r="R6977">
        <v>2212</v>
      </c>
      <c r="S6977">
        <v>1912</v>
      </c>
    </row>
    <row r="6978" spans="11:19" x14ac:dyDescent="0.3">
      <c r="K6978" s="16">
        <f t="shared" si="108"/>
        <v>44306</v>
      </c>
      <c r="L6978" s="17">
        <v>0.66666666666666663</v>
      </c>
      <c r="M6978" s="14">
        <v>932</v>
      </c>
      <c r="N6978" s="14">
        <v>0</v>
      </c>
      <c r="O6978" s="14">
        <v>-660</v>
      </c>
      <c r="P6978" s="14">
        <v>272</v>
      </c>
      <c r="Q6978">
        <v>9498</v>
      </c>
      <c r="R6978">
        <v>2377</v>
      </c>
      <c r="S6978">
        <v>1723</v>
      </c>
    </row>
    <row r="6979" spans="11:19" x14ac:dyDescent="0.3">
      <c r="K6979" s="16">
        <f t="shared" si="108"/>
        <v>44306</v>
      </c>
      <c r="L6979" s="17">
        <v>0.70833333333333337</v>
      </c>
      <c r="M6979" s="14">
        <v>932</v>
      </c>
      <c r="N6979" s="14">
        <v>0</v>
      </c>
      <c r="O6979" s="14">
        <v>-590</v>
      </c>
      <c r="P6979" s="14">
        <v>342</v>
      </c>
      <c r="Q6979">
        <v>9354</v>
      </c>
      <c r="R6979">
        <v>2576</v>
      </c>
      <c r="S6979">
        <v>1310</v>
      </c>
    </row>
    <row r="6980" spans="11:19" x14ac:dyDescent="0.3">
      <c r="K6980" s="16">
        <f t="shared" si="108"/>
        <v>44306</v>
      </c>
      <c r="L6980" s="17">
        <v>0.75</v>
      </c>
      <c r="M6980" s="14">
        <v>932</v>
      </c>
      <c r="N6980" s="14">
        <v>0</v>
      </c>
      <c r="O6980" s="14">
        <v>-356</v>
      </c>
      <c r="P6980" s="14">
        <v>576</v>
      </c>
      <c r="Q6980">
        <v>9605</v>
      </c>
      <c r="R6980">
        <v>2977</v>
      </c>
      <c r="S6980">
        <v>769</v>
      </c>
    </row>
    <row r="6981" spans="11:19" x14ac:dyDescent="0.3">
      <c r="K6981" s="16">
        <f t="shared" si="108"/>
        <v>44306</v>
      </c>
      <c r="L6981" s="17">
        <v>0.79166666666666663</v>
      </c>
      <c r="M6981" s="14">
        <v>932</v>
      </c>
      <c r="N6981" s="14">
        <v>0</v>
      </c>
      <c r="O6981" s="14">
        <v>0</v>
      </c>
      <c r="P6981" s="14">
        <v>932</v>
      </c>
      <c r="Q6981">
        <v>9939</v>
      </c>
      <c r="R6981">
        <v>2792</v>
      </c>
      <c r="S6981">
        <v>259</v>
      </c>
    </row>
    <row r="6982" spans="11:19" x14ac:dyDescent="0.3">
      <c r="K6982" s="16">
        <f t="shared" si="108"/>
        <v>44306</v>
      </c>
      <c r="L6982" s="17">
        <v>0.83333333333333337</v>
      </c>
      <c r="M6982" s="14">
        <v>932</v>
      </c>
      <c r="N6982" s="14">
        <v>628</v>
      </c>
      <c r="O6982" s="14">
        <v>0</v>
      </c>
      <c r="P6982" s="14">
        <v>1560</v>
      </c>
      <c r="Q6982">
        <v>9579</v>
      </c>
      <c r="R6982">
        <v>2709</v>
      </c>
      <c r="S6982">
        <v>36</v>
      </c>
    </row>
    <row r="6983" spans="11:19" x14ac:dyDescent="0.3">
      <c r="K6983" s="16">
        <f t="shared" si="108"/>
        <v>44306</v>
      </c>
      <c r="L6983" s="17">
        <v>0.875</v>
      </c>
      <c r="M6983" s="14">
        <v>932</v>
      </c>
      <c r="N6983" s="14">
        <v>0</v>
      </c>
      <c r="O6983" s="14">
        <v>0</v>
      </c>
      <c r="P6983" s="14">
        <v>932</v>
      </c>
      <c r="Q6983">
        <v>9337</v>
      </c>
      <c r="R6983">
        <v>2446</v>
      </c>
      <c r="S6983">
        <v>0</v>
      </c>
    </row>
    <row r="6984" spans="11:19" x14ac:dyDescent="0.3">
      <c r="K6984" s="16">
        <f t="shared" si="108"/>
        <v>44306</v>
      </c>
      <c r="L6984" s="17">
        <v>0.91666666666666663</v>
      </c>
      <c r="M6984" s="14">
        <v>932</v>
      </c>
      <c r="N6984" s="14">
        <v>1102</v>
      </c>
      <c r="O6984" s="14">
        <v>0</v>
      </c>
      <c r="P6984" s="14">
        <v>2034</v>
      </c>
      <c r="Q6984">
        <v>9552</v>
      </c>
      <c r="R6984">
        <v>2095</v>
      </c>
      <c r="S6984">
        <v>0</v>
      </c>
    </row>
    <row r="6985" spans="11:19" x14ac:dyDescent="0.3">
      <c r="K6985" s="16">
        <f t="shared" si="108"/>
        <v>44306</v>
      </c>
      <c r="L6985" s="17">
        <v>0.95833333333333337</v>
      </c>
      <c r="M6985" s="14">
        <v>932</v>
      </c>
      <c r="N6985" s="14">
        <v>1102</v>
      </c>
      <c r="O6985" s="14">
        <v>0</v>
      </c>
      <c r="P6985" s="14">
        <v>2034</v>
      </c>
      <c r="Q6985">
        <v>9758</v>
      </c>
      <c r="R6985">
        <v>1476</v>
      </c>
      <c r="S6985">
        <v>0</v>
      </c>
    </row>
    <row r="6986" spans="11:19" x14ac:dyDescent="0.3">
      <c r="K6986" s="16">
        <f t="shared" si="108"/>
        <v>44307</v>
      </c>
      <c r="L6986" s="17">
        <v>0</v>
      </c>
      <c r="M6986" s="14">
        <v>932</v>
      </c>
      <c r="N6986" s="14">
        <v>0</v>
      </c>
      <c r="O6986" s="14">
        <v>348</v>
      </c>
      <c r="P6986" s="14">
        <v>1280</v>
      </c>
      <c r="Q6986">
        <v>9225</v>
      </c>
      <c r="R6986">
        <v>1528</v>
      </c>
      <c r="S6986">
        <v>0</v>
      </c>
    </row>
    <row r="6987" spans="11:19" x14ac:dyDescent="0.3">
      <c r="K6987" s="16">
        <f t="shared" si="108"/>
        <v>44307</v>
      </c>
      <c r="L6987" s="17">
        <v>4.1666666666666664E-2</v>
      </c>
      <c r="M6987" s="14">
        <v>932</v>
      </c>
      <c r="N6987" s="14">
        <v>1527</v>
      </c>
      <c r="O6987" s="14">
        <v>0</v>
      </c>
      <c r="P6987" s="14">
        <v>2459</v>
      </c>
      <c r="Q6987">
        <v>8902</v>
      </c>
      <c r="R6987">
        <v>1127</v>
      </c>
      <c r="S6987">
        <v>0</v>
      </c>
    </row>
    <row r="6988" spans="11:19" x14ac:dyDescent="0.3">
      <c r="K6988" s="16">
        <f t="shared" si="108"/>
        <v>44307</v>
      </c>
      <c r="L6988" s="17">
        <v>8.3333333333333329E-2</v>
      </c>
      <c r="M6988" s="14">
        <v>932</v>
      </c>
      <c r="N6988" s="14">
        <v>1426</v>
      </c>
      <c r="O6988" s="14">
        <v>0</v>
      </c>
      <c r="P6988" s="14">
        <v>2358</v>
      </c>
      <c r="Q6988">
        <v>8642</v>
      </c>
      <c r="R6988">
        <v>968</v>
      </c>
      <c r="S6988">
        <v>0</v>
      </c>
    </row>
    <row r="6989" spans="11:19" x14ac:dyDescent="0.3">
      <c r="K6989" s="16">
        <f t="shared" si="108"/>
        <v>44307</v>
      </c>
      <c r="L6989" s="17">
        <v>0.125</v>
      </c>
      <c r="M6989" s="14">
        <v>932</v>
      </c>
      <c r="N6989" s="14">
        <v>0</v>
      </c>
      <c r="O6989" s="14">
        <v>0</v>
      </c>
      <c r="P6989" s="14">
        <v>932</v>
      </c>
      <c r="Q6989">
        <v>8304</v>
      </c>
      <c r="R6989">
        <v>781</v>
      </c>
      <c r="S6989">
        <v>0</v>
      </c>
    </row>
    <row r="6990" spans="11:19" x14ac:dyDescent="0.3">
      <c r="K6990" s="16">
        <f t="shared" si="108"/>
        <v>44307</v>
      </c>
      <c r="L6990" s="17">
        <v>0.16666666666666666</v>
      </c>
      <c r="M6990" s="14">
        <v>932</v>
      </c>
      <c r="N6990" s="14">
        <v>0</v>
      </c>
      <c r="O6990" s="14">
        <v>1065</v>
      </c>
      <c r="P6990" s="14">
        <v>1997</v>
      </c>
      <c r="Q6990">
        <v>8287</v>
      </c>
      <c r="R6990">
        <v>801</v>
      </c>
      <c r="S6990">
        <v>0</v>
      </c>
    </row>
    <row r="6991" spans="11:19" x14ac:dyDescent="0.3">
      <c r="K6991" s="16">
        <f t="shared" si="108"/>
        <v>44307</v>
      </c>
      <c r="L6991" s="17">
        <v>0.20833333333333334</v>
      </c>
      <c r="M6991" s="14">
        <v>932</v>
      </c>
      <c r="N6991" s="14">
        <v>1531</v>
      </c>
      <c r="O6991" s="14">
        <v>0</v>
      </c>
      <c r="P6991" s="14">
        <v>2463</v>
      </c>
      <c r="Q6991">
        <v>8807</v>
      </c>
      <c r="R6991">
        <v>799</v>
      </c>
      <c r="S6991">
        <v>0</v>
      </c>
    </row>
    <row r="6992" spans="11:19" x14ac:dyDescent="0.3">
      <c r="K6992" s="16">
        <f t="shared" si="108"/>
        <v>44307</v>
      </c>
      <c r="L6992" s="17">
        <v>0.25</v>
      </c>
      <c r="M6992" s="14">
        <v>932</v>
      </c>
      <c r="N6992" s="14">
        <v>0</v>
      </c>
      <c r="O6992" s="14">
        <v>0</v>
      </c>
      <c r="P6992" s="14">
        <v>932</v>
      </c>
      <c r="Q6992">
        <v>9790</v>
      </c>
      <c r="R6992">
        <v>787</v>
      </c>
      <c r="S6992">
        <v>1</v>
      </c>
    </row>
    <row r="6993" spans="11:19" x14ac:dyDescent="0.3">
      <c r="K6993" s="16">
        <f t="shared" si="108"/>
        <v>44307</v>
      </c>
      <c r="L6993" s="17">
        <v>0.29166666666666669</v>
      </c>
      <c r="M6993" s="14">
        <v>932</v>
      </c>
      <c r="N6993" s="14">
        <v>1531</v>
      </c>
      <c r="O6993" s="14">
        <v>0</v>
      </c>
      <c r="P6993" s="14">
        <v>2463</v>
      </c>
      <c r="Q6993">
        <v>10468</v>
      </c>
      <c r="R6993">
        <v>705</v>
      </c>
      <c r="S6993">
        <v>85</v>
      </c>
    </row>
    <row r="6994" spans="11:19" x14ac:dyDescent="0.3">
      <c r="K6994" s="16">
        <f t="shared" si="108"/>
        <v>44307</v>
      </c>
      <c r="L6994" s="17">
        <v>0.33333333333333331</v>
      </c>
      <c r="M6994" s="14">
        <v>932</v>
      </c>
      <c r="N6994" s="14">
        <v>1531</v>
      </c>
      <c r="O6994" s="14">
        <v>0</v>
      </c>
      <c r="P6994" s="14">
        <v>2463</v>
      </c>
      <c r="Q6994">
        <v>10829</v>
      </c>
      <c r="R6994">
        <v>759</v>
      </c>
      <c r="S6994">
        <v>460</v>
      </c>
    </row>
    <row r="6995" spans="11:19" x14ac:dyDescent="0.3">
      <c r="K6995" s="16">
        <f t="shared" si="108"/>
        <v>44307</v>
      </c>
      <c r="L6995" s="17">
        <v>0.375</v>
      </c>
      <c r="M6995" s="14">
        <v>932</v>
      </c>
      <c r="N6995" s="14">
        <v>1531</v>
      </c>
      <c r="O6995" s="14">
        <v>0</v>
      </c>
      <c r="P6995" s="14">
        <v>2463</v>
      </c>
      <c r="Q6995">
        <v>10918</v>
      </c>
      <c r="R6995">
        <v>762</v>
      </c>
      <c r="S6995">
        <v>1109</v>
      </c>
    </row>
    <row r="6996" spans="11:19" x14ac:dyDescent="0.3">
      <c r="K6996" s="16">
        <f t="shared" si="108"/>
        <v>44307</v>
      </c>
      <c r="L6996" s="17">
        <v>0.41666666666666669</v>
      </c>
      <c r="M6996" s="14">
        <v>932</v>
      </c>
      <c r="N6996" s="14">
        <v>1531</v>
      </c>
      <c r="O6996" s="14">
        <v>0</v>
      </c>
      <c r="P6996" s="14">
        <v>2463</v>
      </c>
      <c r="Q6996">
        <v>10803</v>
      </c>
      <c r="R6996">
        <v>827</v>
      </c>
      <c r="S6996">
        <v>1754</v>
      </c>
    </row>
    <row r="6997" spans="11:19" x14ac:dyDescent="0.3">
      <c r="K6997" s="16">
        <f t="shared" si="108"/>
        <v>44307</v>
      </c>
      <c r="L6997" s="17">
        <v>0.45833333333333331</v>
      </c>
      <c r="M6997" s="14">
        <v>932</v>
      </c>
      <c r="N6997" s="14">
        <v>0</v>
      </c>
      <c r="O6997" s="14">
        <v>0</v>
      </c>
      <c r="P6997" s="14">
        <v>932</v>
      </c>
      <c r="Q6997">
        <v>10732</v>
      </c>
      <c r="R6997">
        <v>845</v>
      </c>
      <c r="S6997">
        <v>2234</v>
      </c>
    </row>
    <row r="6998" spans="11:19" x14ac:dyDescent="0.3">
      <c r="K6998" s="16">
        <f t="shared" si="108"/>
        <v>44307</v>
      </c>
      <c r="L6998" s="17">
        <v>0.5</v>
      </c>
      <c r="M6998" s="14">
        <v>932</v>
      </c>
      <c r="N6998" s="14">
        <v>0</v>
      </c>
      <c r="O6998" s="14">
        <v>0</v>
      </c>
      <c r="P6998" s="14">
        <v>932</v>
      </c>
      <c r="Q6998">
        <v>10656</v>
      </c>
      <c r="R6998">
        <v>1018</v>
      </c>
      <c r="S6998">
        <v>2471</v>
      </c>
    </row>
    <row r="6999" spans="11:19" x14ac:dyDescent="0.3">
      <c r="K6999" s="16">
        <f t="shared" si="108"/>
        <v>44307</v>
      </c>
      <c r="L6999" s="17">
        <v>0.54166666666666663</v>
      </c>
      <c r="M6999" s="14">
        <v>932</v>
      </c>
      <c r="N6999" s="14">
        <v>341</v>
      </c>
      <c r="O6999" s="14">
        <v>0</v>
      </c>
      <c r="P6999" s="14">
        <v>1273</v>
      </c>
      <c r="Q6999">
        <v>10384</v>
      </c>
      <c r="R6999">
        <v>1120</v>
      </c>
      <c r="S6999">
        <v>2623</v>
      </c>
    </row>
    <row r="7000" spans="11:19" x14ac:dyDescent="0.3">
      <c r="K7000" s="16">
        <f t="shared" si="108"/>
        <v>44307</v>
      </c>
      <c r="L7000" s="17">
        <v>0.58333333333333337</v>
      </c>
      <c r="M7000" s="14">
        <v>932</v>
      </c>
      <c r="N7000" s="14">
        <v>0</v>
      </c>
      <c r="O7000" s="14">
        <v>-37</v>
      </c>
      <c r="P7000" s="14">
        <v>895</v>
      </c>
      <c r="Q7000">
        <v>10087</v>
      </c>
      <c r="R7000">
        <v>1371</v>
      </c>
      <c r="S7000">
        <v>2613</v>
      </c>
    </row>
    <row r="7001" spans="11:19" x14ac:dyDescent="0.3">
      <c r="K7001" s="16">
        <f t="shared" si="108"/>
        <v>44307</v>
      </c>
      <c r="L7001" s="17">
        <v>0.625</v>
      </c>
      <c r="M7001" s="14">
        <v>932</v>
      </c>
      <c r="N7001" s="14">
        <v>0</v>
      </c>
      <c r="O7001" s="14">
        <v>-544</v>
      </c>
      <c r="P7001" s="14">
        <v>388</v>
      </c>
      <c r="Q7001">
        <v>9715</v>
      </c>
      <c r="R7001">
        <v>1666</v>
      </c>
      <c r="S7001">
        <v>2454</v>
      </c>
    </row>
    <row r="7002" spans="11:19" x14ac:dyDescent="0.3">
      <c r="K7002" s="16">
        <f t="shared" si="108"/>
        <v>44307</v>
      </c>
      <c r="L7002" s="17">
        <v>0.66666666666666663</v>
      </c>
      <c r="M7002" s="14">
        <v>932</v>
      </c>
      <c r="N7002" s="14">
        <v>0</v>
      </c>
      <c r="O7002" s="14">
        <v>-665</v>
      </c>
      <c r="P7002" s="14">
        <v>267</v>
      </c>
      <c r="Q7002">
        <v>9463</v>
      </c>
      <c r="R7002">
        <v>1849</v>
      </c>
      <c r="S7002">
        <v>2141</v>
      </c>
    </row>
    <row r="7003" spans="11:19" x14ac:dyDescent="0.3">
      <c r="K7003" s="16">
        <f t="shared" ref="K7003:K7066" si="109">K6979+1</f>
        <v>44307</v>
      </c>
      <c r="L7003" s="17">
        <v>0.70833333333333337</v>
      </c>
      <c r="M7003" s="14">
        <v>932</v>
      </c>
      <c r="N7003" s="14">
        <v>0</v>
      </c>
      <c r="O7003" s="14">
        <v>-518</v>
      </c>
      <c r="P7003" s="14">
        <v>414</v>
      </c>
      <c r="Q7003">
        <v>9346</v>
      </c>
      <c r="R7003">
        <v>2096</v>
      </c>
      <c r="S7003">
        <v>1630</v>
      </c>
    </row>
    <row r="7004" spans="11:19" x14ac:dyDescent="0.3">
      <c r="K7004" s="16">
        <f t="shared" si="109"/>
        <v>44307</v>
      </c>
      <c r="L7004" s="17">
        <v>0.75</v>
      </c>
      <c r="M7004" s="14">
        <v>932</v>
      </c>
      <c r="N7004" s="14">
        <v>516</v>
      </c>
      <c r="O7004" s="14">
        <v>0</v>
      </c>
      <c r="P7004" s="14">
        <v>1448</v>
      </c>
      <c r="Q7004">
        <v>9659</v>
      </c>
      <c r="R7004">
        <v>2068</v>
      </c>
      <c r="S7004">
        <v>940</v>
      </c>
    </row>
    <row r="7005" spans="11:19" x14ac:dyDescent="0.3">
      <c r="K7005" s="16">
        <f t="shared" si="109"/>
        <v>44307</v>
      </c>
      <c r="L7005" s="17">
        <v>0.79166666666666663</v>
      </c>
      <c r="M7005" s="14">
        <v>932</v>
      </c>
      <c r="N7005" s="14">
        <v>0</v>
      </c>
      <c r="O7005" s="14">
        <v>0</v>
      </c>
      <c r="P7005" s="14">
        <v>932</v>
      </c>
      <c r="Q7005">
        <v>9986</v>
      </c>
      <c r="R7005">
        <v>1916</v>
      </c>
      <c r="S7005">
        <v>329</v>
      </c>
    </row>
    <row r="7006" spans="11:19" x14ac:dyDescent="0.3">
      <c r="K7006" s="16">
        <f t="shared" si="109"/>
        <v>44307</v>
      </c>
      <c r="L7006" s="17">
        <v>0.83333333333333337</v>
      </c>
      <c r="M7006" s="14">
        <v>932</v>
      </c>
      <c r="N7006" s="14">
        <v>1531</v>
      </c>
      <c r="O7006" s="14">
        <v>0</v>
      </c>
      <c r="P7006" s="14">
        <v>2463</v>
      </c>
      <c r="Q7006">
        <v>9623</v>
      </c>
      <c r="R7006">
        <v>1581</v>
      </c>
      <c r="S7006">
        <v>42</v>
      </c>
    </row>
    <row r="7007" spans="11:19" x14ac:dyDescent="0.3">
      <c r="K7007" s="16">
        <f t="shared" si="109"/>
        <v>44307</v>
      </c>
      <c r="L7007" s="17">
        <v>0.875</v>
      </c>
      <c r="M7007" s="14">
        <v>932</v>
      </c>
      <c r="N7007" s="14">
        <v>1531</v>
      </c>
      <c r="O7007" s="14">
        <v>0</v>
      </c>
      <c r="P7007" s="14">
        <v>2463</v>
      </c>
      <c r="Q7007">
        <v>9424</v>
      </c>
      <c r="R7007">
        <v>1564</v>
      </c>
      <c r="S7007">
        <v>0</v>
      </c>
    </row>
    <row r="7008" spans="11:19" x14ac:dyDescent="0.3">
      <c r="K7008" s="16">
        <f t="shared" si="109"/>
        <v>44307</v>
      </c>
      <c r="L7008" s="17">
        <v>0.91666666666666663</v>
      </c>
      <c r="M7008" s="14">
        <v>932</v>
      </c>
      <c r="N7008" s="14">
        <v>1531</v>
      </c>
      <c r="O7008" s="14">
        <v>0</v>
      </c>
      <c r="P7008" s="14">
        <v>2463</v>
      </c>
      <c r="Q7008">
        <v>9645</v>
      </c>
      <c r="R7008">
        <v>1293</v>
      </c>
      <c r="S7008">
        <v>0</v>
      </c>
    </row>
    <row r="7009" spans="11:19" x14ac:dyDescent="0.3">
      <c r="K7009" s="16">
        <f t="shared" si="109"/>
        <v>44307</v>
      </c>
      <c r="L7009" s="17">
        <v>0.95833333333333337</v>
      </c>
      <c r="M7009" s="14">
        <v>932</v>
      </c>
      <c r="N7009" s="14">
        <v>1531</v>
      </c>
      <c r="O7009" s="14">
        <v>0</v>
      </c>
      <c r="P7009" s="14">
        <v>2463</v>
      </c>
      <c r="Q7009">
        <v>9851</v>
      </c>
      <c r="R7009">
        <v>1107</v>
      </c>
      <c r="S7009">
        <v>0</v>
      </c>
    </row>
    <row r="7010" spans="11:19" x14ac:dyDescent="0.3">
      <c r="K7010" s="16">
        <f t="shared" si="109"/>
        <v>44308</v>
      </c>
      <c r="L7010" s="17">
        <v>0</v>
      </c>
      <c r="M7010" s="14">
        <v>932</v>
      </c>
      <c r="N7010" s="14">
        <v>1378</v>
      </c>
      <c r="O7010" s="14">
        <v>0</v>
      </c>
      <c r="P7010" s="14">
        <v>2310</v>
      </c>
      <c r="Q7010">
        <v>9327</v>
      </c>
      <c r="R7010">
        <v>1209</v>
      </c>
      <c r="S7010">
        <v>0</v>
      </c>
    </row>
    <row r="7011" spans="11:19" x14ac:dyDescent="0.3">
      <c r="K7011" s="16">
        <f t="shared" si="109"/>
        <v>44308</v>
      </c>
      <c r="L7011" s="17">
        <v>4.1666666666666664E-2</v>
      </c>
      <c r="M7011" s="14">
        <v>932</v>
      </c>
      <c r="N7011" s="14">
        <v>1378</v>
      </c>
      <c r="O7011" s="14">
        <v>0</v>
      </c>
      <c r="P7011" s="14">
        <v>2310</v>
      </c>
      <c r="Q7011">
        <v>9011</v>
      </c>
      <c r="R7011">
        <v>944</v>
      </c>
      <c r="S7011">
        <v>0</v>
      </c>
    </row>
    <row r="7012" spans="11:19" x14ac:dyDescent="0.3">
      <c r="K7012" s="16">
        <f t="shared" si="109"/>
        <v>44308</v>
      </c>
      <c r="L7012" s="17">
        <v>8.3333333333333329E-2</v>
      </c>
      <c r="M7012" s="14">
        <v>932</v>
      </c>
      <c r="N7012" s="14">
        <v>1378</v>
      </c>
      <c r="O7012" s="14">
        <v>0</v>
      </c>
      <c r="P7012" s="14">
        <v>2310</v>
      </c>
      <c r="Q7012">
        <v>8746</v>
      </c>
      <c r="R7012">
        <v>796</v>
      </c>
      <c r="S7012">
        <v>0</v>
      </c>
    </row>
    <row r="7013" spans="11:19" x14ac:dyDescent="0.3">
      <c r="K7013" s="16">
        <f t="shared" si="109"/>
        <v>44308</v>
      </c>
      <c r="L7013" s="17">
        <v>0.125</v>
      </c>
      <c r="M7013" s="14">
        <v>932</v>
      </c>
      <c r="N7013" s="14">
        <v>1267</v>
      </c>
      <c r="O7013" s="14">
        <v>0</v>
      </c>
      <c r="P7013" s="14">
        <v>2199</v>
      </c>
      <c r="Q7013">
        <v>8393</v>
      </c>
      <c r="R7013">
        <v>792</v>
      </c>
      <c r="S7013">
        <v>0</v>
      </c>
    </row>
    <row r="7014" spans="11:19" x14ac:dyDescent="0.3">
      <c r="K7014" s="16">
        <f t="shared" si="109"/>
        <v>44308</v>
      </c>
      <c r="L7014" s="17">
        <v>0.16666666666666666</v>
      </c>
      <c r="M7014" s="14">
        <v>932</v>
      </c>
      <c r="N7014" s="14">
        <v>1331</v>
      </c>
      <c r="O7014" s="14">
        <v>0</v>
      </c>
      <c r="P7014" s="14">
        <v>2263</v>
      </c>
      <c r="Q7014">
        <v>8356</v>
      </c>
      <c r="R7014">
        <v>683</v>
      </c>
      <c r="S7014">
        <v>0</v>
      </c>
    </row>
    <row r="7015" spans="11:19" x14ac:dyDescent="0.3">
      <c r="K7015" s="16">
        <f t="shared" si="109"/>
        <v>44308</v>
      </c>
      <c r="L7015" s="17">
        <v>0.20833333333333334</v>
      </c>
      <c r="M7015" s="14">
        <v>932</v>
      </c>
      <c r="N7015" s="14">
        <v>1378</v>
      </c>
      <c r="O7015" s="14">
        <v>0</v>
      </c>
      <c r="P7015" s="14">
        <v>2310</v>
      </c>
      <c r="Q7015">
        <v>8858</v>
      </c>
      <c r="R7015">
        <v>611</v>
      </c>
      <c r="S7015">
        <v>0</v>
      </c>
    </row>
    <row r="7016" spans="11:19" x14ac:dyDescent="0.3">
      <c r="K7016" s="16">
        <f t="shared" si="109"/>
        <v>44308</v>
      </c>
      <c r="L7016" s="17">
        <v>0.25</v>
      </c>
      <c r="M7016" s="14">
        <v>932</v>
      </c>
      <c r="N7016" s="14">
        <v>432</v>
      </c>
      <c r="O7016" s="14">
        <v>74</v>
      </c>
      <c r="P7016" s="14">
        <v>1438</v>
      </c>
      <c r="Q7016">
        <v>9818</v>
      </c>
      <c r="R7016">
        <v>548</v>
      </c>
      <c r="S7016">
        <v>2</v>
      </c>
    </row>
    <row r="7017" spans="11:19" x14ac:dyDescent="0.3">
      <c r="K7017" s="16">
        <f t="shared" si="109"/>
        <v>44308</v>
      </c>
      <c r="L7017" s="17">
        <v>0.29166666666666669</v>
      </c>
      <c r="M7017" s="14">
        <v>932</v>
      </c>
      <c r="N7017" s="14">
        <v>0</v>
      </c>
      <c r="O7017" s="14">
        <v>788</v>
      </c>
      <c r="P7017" s="14">
        <v>1720</v>
      </c>
      <c r="Q7017">
        <v>10469</v>
      </c>
      <c r="R7017">
        <v>575</v>
      </c>
      <c r="S7017">
        <v>98</v>
      </c>
    </row>
    <row r="7018" spans="11:19" x14ac:dyDescent="0.3">
      <c r="K7018" s="16">
        <f t="shared" si="109"/>
        <v>44308</v>
      </c>
      <c r="L7018" s="17">
        <v>0.33333333333333331</v>
      </c>
      <c r="M7018" s="14">
        <v>932</v>
      </c>
      <c r="N7018" s="14">
        <v>1378</v>
      </c>
      <c r="O7018" s="14">
        <v>0</v>
      </c>
      <c r="P7018" s="14">
        <v>2310</v>
      </c>
      <c r="Q7018">
        <v>10787</v>
      </c>
      <c r="R7018">
        <v>634</v>
      </c>
      <c r="S7018">
        <v>502</v>
      </c>
    </row>
    <row r="7019" spans="11:19" x14ac:dyDescent="0.3">
      <c r="K7019" s="16">
        <f t="shared" si="109"/>
        <v>44308</v>
      </c>
      <c r="L7019" s="17">
        <v>0.375</v>
      </c>
      <c r="M7019" s="14">
        <v>932</v>
      </c>
      <c r="N7019" s="14">
        <v>1378</v>
      </c>
      <c r="O7019" s="14">
        <v>0</v>
      </c>
      <c r="P7019" s="14">
        <v>2310</v>
      </c>
      <c r="Q7019">
        <v>10827</v>
      </c>
      <c r="R7019">
        <v>735</v>
      </c>
      <c r="S7019">
        <v>1171</v>
      </c>
    </row>
    <row r="7020" spans="11:19" x14ac:dyDescent="0.3">
      <c r="K7020" s="16">
        <f t="shared" si="109"/>
        <v>44308</v>
      </c>
      <c r="L7020" s="17">
        <v>0.41666666666666669</v>
      </c>
      <c r="M7020" s="14">
        <v>932</v>
      </c>
      <c r="N7020" s="14">
        <v>0</v>
      </c>
      <c r="O7020" s="14">
        <v>0</v>
      </c>
      <c r="P7020" s="14">
        <v>932</v>
      </c>
      <c r="Q7020">
        <v>10675</v>
      </c>
      <c r="R7020">
        <v>746</v>
      </c>
      <c r="S7020">
        <v>1771</v>
      </c>
    </row>
    <row r="7021" spans="11:19" x14ac:dyDescent="0.3">
      <c r="K7021" s="16">
        <f t="shared" si="109"/>
        <v>44308</v>
      </c>
      <c r="L7021" s="17">
        <v>0.45833333333333331</v>
      </c>
      <c r="M7021" s="14">
        <v>932</v>
      </c>
      <c r="N7021" s="14">
        <v>0</v>
      </c>
      <c r="O7021" s="14">
        <v>0</v>
      </c>
      <c r="P7021" s="14">
        <v>932</v>
      </c>
      <c r="Q7021">
        <v>10596</v>
      </c>
      <c r="R7021">
        <v>995</v>
      </c>
      <c r="S7021">
        <v>2220</v>
      </c>
    </row>
    <row r="7022" spans="11:19" x14ac:dyDescent="0.3">
      <c r="K7022" s="16">
        <f t="shared" si="109"/>
        <v>44308</v>
      </c>
      <c r="L7022" s="17">
        <v>0.5</v>
      </c>
      <c r="M7022" s="14">
        <v>932</v>
      </c>
      <c r="N7022" s="14">
        <v>578</v>
      </c>
      <c r="O7022" s="14">
        <v>0</v>
      </c>
      <c r="P7022" s="14">
        <v>1510</v>
      </c>
      <c r="Q7022">
        <v>10511</v>
      </c>
      <c r="R7022">
        <v>1072</v>
      </c>
      <c r="S7022">
        <v>2478</v>
      </c>
    </row>
    <row r="7023" spans="11:19" x14ac:dyDescent="0.3">
      <c r="K7023" s="16">
        <f t="shared" si="109"/>
        <v>44308</v>
      </c>
      <c r="L7023" s="17">
        <v>0.54166666666666663</v>
      </c>
      <c r="M7023" s="14">
        <v>932</v>
      </c>
      <c r="N7023" s="14">
        <v>0</v>
      </c>
      <c r="O7023" s="14">
        <v>-227</v>
      </c>
      <c r="P7023" s="14">
        <v>705</v>
      </c>
      <c r="Q7023">
        <v>10237</v>
      </c>
      <c r="R7023">
        <v>1463</v>
      </c>
      <c r="S7023">
        <v>2620</v>
      </c>
    </row>
    <row r="7024" spans="11:19" x14ac:dyDescent="0.3">
      <c r="K7024" s="16">
        <f t="shared" si="109"/>
        <v>44308</v>
      </c>
      <c r="L7024" s="17">
        <v>0.58333333333333337</v>
      </c>
      <c r="M7024" s="14">
        <v>932</v>
      </c>
      <c r="N7024" s="14">
        <v>0</v>
      </c>
      <c r="O7024" s="14">
        <v>-610</v>
      </c>
      <c r="P7024" s="14">
        <v>322</v>
      </c>
      <c r="Q7024">
        <v>9921</v>
      </c>
      <c r="R7024">
        <v>1584</v>
      </c>
      <c r="S7024">
        <v>2566</v>
      </c>
    </row>
    <row r="7025" spans="11:19" x14ac:dyDescent="0.3">
      <c r="K7025" s="16">
        <f t="shared" si="109"/>
        <v>44308</v>
      </c>
      <c r="L7025" s="17">
        <v>0.625</v>
      </c>
      <c r="M7025" s="14">
        <v>932</v>
      </c>
      <c r="N7025" s="14">
        <v>0</v>
      </c>
      <c r="O7025" s="14">
        <v>-766</v>
      </c>
      <c r="P7025" s="14">
        <v>166</v>
      </c>
      <c r="Q7025">
        <v>9519</v>
      </c>
      <c r="R7025">
        <v>1757</v>
      </c>
      <c r="S7025">
        <v>2388</v>
      </c>
    </row>
    <row r="7026" spans="11:19" x14ac:dyDescent="0.3">
      <c r="K7026" s="16">
        <f t="shared" si="109"/>
        <v>44308</v>
      </c>
      <c r="L7026" s="17">
        <v>0.66666666666666663</v>
      </c>
      <c r="M7026" s="14">
        <v>932</v>
      </c>
      <c r="N7026" s="14">
        <v>0</v>
      </c>
      <c r="O7026" s="14">
        <v>-906</v>
      </c>
      <c r="P7026" s="14">
        <v>26</v>
      </c>
      <c r="Q7026">
        <v>9235</v>
      </c>
      <c r="R7026">
        <v>1924</v>
      </c>
      <c r="S7026">
        <v>2077</v>
      </c>
    </row>
    <row r="7027" spans="11:19" x14ac:dyDescent="0.3">
      <c r="K7027" s="16">
        <f t="shared" si="109"/>
        <v>44308</v>
      </c>
      <c r="L7027" s="17">
        <v>0.70833333333333337</v>
      </c>
      <c r="M7027" s="14">
        <v>932</v>
      </c>
      <c r="N7027" s="14">
        <v>0</v>
      </c>
      <c r="O7027" s="14">
        <v>-740</v>
      </c>
      <c r="P7027" s="14">
        <v>192</v>
      </c>
      <c r="Q7027">
        <v>9068</v>
      </c>
      <c r="R7027">
        <v>2070</v>
      </c>
      <c r="S7027">
        <v>1598</v>
      </c>
    </row>
    <row r="7028" spans="11:19" x14ac:dyDescent="0.3">
      <c r="K7028" s="16">
        <f t="shared" si="109"/>
        <v>44308</v>
      </c>
      <c r="L7028" s="17">
        <v>0.75</v>
      </c>
      <c r="M7028" s="14">
        <v>932</v>
      </c>
      <c r="N7028" s="14">
        <v>0</v>
      </c>
      <c r="O7028" s="14">
        <v>0</v>
      </c>
      <c r="P7028" s="14">
        <v>932</v>
      </c>
      <c r="Q7028">
        <v>9309</v>
      </c>
      <c r="R7028">
        <v>2142</v>
      </c>
      <c r="S7028">
        <v>957</v>
      </c>
    </row>
    <row r="7029" spans="11:19" x14ac:dyDescent="0.3">
      <c r="K7029" s="16">
        <f t="shared" si="109"/>
        <v>44308</v>
      </c>
      <c r="L7029" s="17">
        <v>0.79166666666666663</v>
      </c>
      <c r="M7029" s="14">
        <v>932</v>
      </c>
      <c r="N7029" s="14">
        <v>925</v>
      </c>
      <c r="O7029" s="14">
        <v>0</v>
      </c>
      <c r="P7029" s="14">
        <v>1857</v>
      </c>
      <c r="Q7029">
        <v>9436</v>
      </c>
      <c r="R7029">
        <v>2049</v>
      </c>
      <c r="S7029">
        <v>331</v>
      </c>
    </row>
    <row r="7030" spans="11:19" x14ac:dyDescent="0.3">
      <c r="K7030" s="16">
        <f t="shared" si="109"/>
        <v>44308</v>
      </c>
      <c r="L7030" s="17">
        <v>0.83333333333333337</v>
      </c>
      <c r="M7030" s="14">
        <v>932</v>
      </c>
      <c r="N7030" s="14">
        <v>0</v>
      </c>
      <c r="O7030" s="14">
        <v>672</v>
      </c>
      <c r="P7030" s="14">
        <v>1604</v>
      </c>
      <c r="Q7030">
        <v>9109</v>
      </c>
      <c r="R7030">
        <v>2110</v>
      </c>
      <c r="S7030">
        <v>39</v>
      </c>
    </row>
    <row r="7031" spans="11:19" x14ac:dyDescent="0.3">
      <c r="K7031" s="16">
        <f t="shared" si="109"/>
        <v>44308</v>
      </c>
      <c r="L7031" s="17">
        <v>0.875</v>
      </c>
      <c r="M7031" s="14">
        <v>932</v>
      </c>
      <c r="N7031" s="14">
        <v>762</v>
      </c>
      <c r="O7031" s="14">
        <v>0</v>
      </c>
      <c r="P7031" s="14">
        <v>1694</v>
      </c>
      <c r="Q7031">
        <v>8988</v>
      </c>
      <c r="R7031">
        <v>1943</v>
      </c>
      <c r="S7031">
        <v>0</v>
      </c>
    </row>
    <row r="7032" spans="11:19" x14ac:dyDescent="0.3">
      <c r="K7032" s="16">
        <f t="shared" si="109"/>
        <v>44308</v>
      </c>
      <c r="L7032" s="17">
        <v>0.91666666666666663</v>
      </c>
      <c r="M7032" s="14">
        <v>932</v>
      </c>
      <c r="N7032" s="14">
        <v>0</v>
      </c>
      <c r="O7032" s="14">
        <v>1067</v>
      </c>
      <c r="P7032" s="14">
        <v>1999</v>
      </c>
      <c r="Q7032">
        <v>9194</v>
      </c>
      <c r="R7032">
        <v>1847</v>
      </c>
      <c r="S7032">
        <v>0</v>
      </c>
    </row>
    <row r="7033" spans="11:19" x14ac:dyDescent="0.3">
      <c r="K7033" s="16">
        <f t="shared" si="109"/>
        <v>44308</v>
      </c>
      <c r="L7033" s="17">
        <v>0.95833333333333337</v>
      </c>
      <c r="M7033" s="14">
        <v>932</v>
      </c>
      <c r="N7033" s="14">
        <v>1375</v>
      </c>
      <c r="O7033" s="14">
        <v>0</v>
      </c>
      <c r="P7033" s="14">
        <v>2307</v>
      </c>
      <c r="Q7033">
        <v>9393</v>
      </c>
      <c r="R7033">
        <v>1757</v>
      </c>
      <c r="S7033">
        <v>0</v>
      </c>
    </row>
    <row r="7034" spans="11:19" x14ac:dyDescent="0.3">
      <c r="K7034" s="16">
        <f t="shared" si="109"/>
        <v>44309</v>
      </c>
      <c r="L7034" s="17">
        <v>0</v>
      </c>
      <c r="M7034" s="14">
        <v>932</v>
      </c>
      <c r="N7034" s="14">
        <v>0</v>
      </c>
      <c r="O7034" s="14">
        <v>802</v>
      </c>
      <c r="P7034" s="14">
        <v>1734</v>
      </c>
      <c r="Q7034">
        <v>8886</v>
      </c>
      <c r="R7034">
        <v>1836</v>
      </c>
      <c r="S7034">
        <v>0</v>
      </c>
    </row>
    <row r="7035" spans="11:19" x14ac:dyDescent="0.3">
      <c r="K7035" s="16">
        <f t="shared" si="109"/>
        <v>44309</v>
      </c>
      <c r="L7035" s="17">
        <v>4.1666666666666664E-2</v>
      </c>
      <c r="M7035" s="14">
        <v>932</v>
      </c>
      <c r="N7035" s="14">
        <v>617</v>
      </c>
      <c r="O7035" s="14">
        <v>0</v>
      </c>
      <c r="P7035" s="14">
        <v>1549</v>
      </c>
      <c r="Q7035">
        <v>8541</v>
      </c>
      <c r="R7035">
        <v>1916</v>
      </c>
      <c r="S7035">
        <v>0</v>
      </c>
    </row>
    <row r="7036" spans="11:19" x14ac:dyDescent="0.3">
      <c r="K7036" s="16">
        <f t="shared" si="109"/>
        <v>44309</v>
      </c>
      <c r="L7036" s="17">
        <v>8.3333333333333329E-2</v>
      </c>
      <c r="M7036" s="14">
        <v>932</v>
      </c>
      <c r="N7036" s="14">
        <v>0</v>
      </c>
      <c r="O7036" s="14">
        <v>121</v>
      </c>
      <c r="P7036" s="14">
        <v>1053</v>
      </c>
      <c r="Q7036">
        <v>8260</v>
      </c>
      <c r="R7036">
        <v>2131</v>
      </c>
      <c r="S7036">
        <v>0</v>
      </c>
    </row>
    <row r="7037" spans="11:19" x14ac:dyDescent="0.3">
      <c r="K7037" s="16">
        <f t="shared" si="109"/>
        <v>44309</v>
      </c>
      <c r="L7037" s="17">
        <v>0.125</v>
      </c>
      <c r="M7037" s="14">
        <v>932</v>
      </c>
      <c r="N7037" s="14">
        <v>0</v>
      </c>
      <c r="O7037" s="14">
        <v>-251</v>
      </c>
      <c r="P7037" s="14">
        <v>681</v>
      </c>
      <c r="Q7037">
        <v>7889</v>
      </c>
      <c r="R7037">
        <v>2128</v>
      </c>
      <c r="S7037">
        <v>0</v>
      </c>
    </row>
    <row r="7038" spans="11:19" x14ac:dyDescent="0.3">
      <c r="K7038" s="16">
        <f t="shared" si="109"/>
        <v>44309</v>
      </c>
      <c r="L7038" s="17">
        <v>0.16666666666666666</v>
      </c>
      <c r="M7038" s="14">
        <v>932</v>
      </c>
      <c r="N7038" s="14">
        <v>0</v>
      </c>
      <c r="O7038" s="14">
        <v>-467</v>
      </c>
      <c r="P7038" s="14">
        <v>465</v>
      </c>
      <c r="Q7038">
        <v>7833</v>
      </c>
      <c r="R7038">
        <v>2279</v>
      </c>
      <c r="S7038">
        <v>0</v>
      </c>
    </row>
    <row r="7039" spans="11:19" x14ac:dyDescent="0.3">
      <c r="K7039" s="16">
        <f t="shared" si="109"/>
        <v>44309</v>
      </c>
      <c r="L7039" s="17">
        <v>0.20833333333333334</v>
      </c>
      <c r="M7039" s="14">
        <v>932</v>
      </c>
      <c r="N7039" s="14">
        <v>0</v>
      </c>
      <c r="O7039" s="14">
        <v>-88</v>
      </c>
      <c r="P7039" s="14">
        <v>844</v>
      </c>
      <c r="Q7039">
        <v>8296</v>
      </c>
      <c r="R7039">
        <v>2344</v>
      </c>
      <c r="S7039">
        <v>0</v>
      </c>
    </row>
    <row r="7040" spans="11:19" x14ac:dyDescent="0.3">
      <c r="K7040" s="16">
        <f t="shared" si="109"/>
        <v>44309</v>
      </c>
      <c r="L7040" s="17">
        <v>0.25</v>
      </c>
      <c r="M7040" s="14">
        <v>932</v>
      </c>
      <c r="N7040" s="14">
        <v>681</v>
      </c>
      <c r="O7040" s="14">
        <v>82</v>
      </c>
      <c r="P7040" s="14">
        <v>1695</v>
      </c>
      <c r="Q7040">
        <v>9205</v>
      </c>
      <c r="R7040">
        <v>2299</v>
      </c>
      <c r="S7040">
        <v>2</v>
      </c>
    </row>
    <row r="7041" spans="11:19" x14ac:dyDescent="0.3">
      <c r="K7041" s="16">
        <f t="shared" si="109"/>
        <v>44309</v>
      </c>
      <c r="L7041" s="17">
        <v>0.29166666666666669</v>
      </c>
      <c r="M7041" s="14">
        <v>932</v>
      </c>
      <c r="N7041" s="14">
        <v>0</v>
      </c>
      <c r="O7041" s="14">
        <v>1140</v>
      </c>
      <c r="P7041" s="14">
        <v>2072</v>
      </c>
      <c r="Q7041">
        <v>9917</v>
      </c>
      <c r="R7041">
        <v>2527</v>
      </c>
      <c r="S7041">
        <v>104</v>
      </c>
    </row>
    <row r="7042" spans="11:19" x14ac:dyDescent="0.3">
      <c r="K7042" s="16">
        <f t="shared" si="109"/>
        <v>44309</v>
      </c>
      <c r="L7042" s="17">
        <v>0.33333333333333331</v>
      </c>
      <c r="M7042" s="14">
        <v>932</v>
      </c>
      <c r="N7042" s="14">
        <v>0</v>
      </c>
      <c r="O7042" s="14">
        <v>1081</v>
      </c>
      <c r="P7042" s="14">
        <v>2013</v>
      </c>
      <c r="Q7042">
        <v>10386</v>
      </c>
      <c r="R7042">
        <v>2369</v>
      </c>
      <c r="S7042">
        <v>490</v>
      </c>
    </row>
    <row r="7043" spans="11:19" x14ac:dyDescent="0.3">
      <c r="K7043" s="16">
        <f t="shared" si="109"/>
        <v>44309</v>
      </c>
      <c r="L7043" s="17">
        <v>0.375</v>
      </c>
      <c r="M7043" s="14">
        <v>932</v>
      </c>
      <c r="N7043" s="14">
        <v>681</v>
      </c>
      <c r="O7043" s="14">
        <v>0</v>
      </c>
      <c r="P7043" s="14">
        <v>1613</v>
      </c>
      <c r="Q7043">
        <v>10551</v>
      </c>
      <c r="R7043">
        <v>2424</v>
      </c>
      <c r="S7043">
        <v>1134</v>
      </c>
    </row>
    <row r="7044" spans="11:19" x14ac:dyDescent="0.3">
      <c r="K7044" s="16">
        <f t="shared" si="109"/>
        <v>44309</v>
      </c>
      <c r="L7044" s="17">
        <v>0.41666666666666669</v>
      </c>
      <c r="M7044" s="14">
        <v>932</v>
      </c>
      <c r="N7044" s="14">
        <v>0</v>
      </c>
      <c r="O7044" s="14">
        <v>0</v>
      </c>
      <c r="P7044" s="14">
        <v>932</v>
      </c>
      <c r="Q7044">
        <v>10496</v>
      </c>
      <c r="R7044">
        <v>2322</v>
      </c>
      <c r="S7044">
        <v>1637</v>
      </c>
    </row>
    <row r="7045" spans="11:19" x14ac:dyDescent="0.3">
      <c r="K7045" s="16">
        <f t="shared" si="109"/>
        <v>44309</v>
      </c>
      <c r="L7045" s="17">
        <v>0.45833333333333331</v>
      </c>
      <c r="M7045" s="14">
        <v>932</v>
      </c>
      <c r="N7045" s="14">
        <v>0</v>
      </c>
      <c r="O7045" s="14">
        <v>-90</v>
      </c>
      <c r="P7045" s="14">
        <v>842</v>
      </c>
      <c r="Q7045">
        <v>10453</v>
      </c>
      <c r="R7045">
        <v>2430</v>
      </c>
      <c r="S7045">
        <v>2052</v>
      </c>
    </row>
    <row r="7046" spans="11:19" x14ac:dyDescent="0.3">
      <c r="K7046" s="16">
        <f t="shared" si="109"/>
        <v>44309</v>
      </c>
      <c r="L7046" s="17">
        <v>0.5</v>
      </c>
      <c r="M7046" s="14">
        <v>932</v>
      </c>
      <c r="N7046" s="14">
        <v>0</v>
      </c>
      <c r="O7046" s="14">
        <v>-403</v>
      </c>
      <c r="P7046" s="14">
        <v>529</v>
      </c>
      <c r="Q7046">
        <v>10432</v>
      </c>
      <c r="R7046">
        <v>2556</v>
      </c>
      <c r="S7046">
        <v>2219</v>
      </c>
    </row>
    <row r="7047" spans="11:19" x14ac:dyDescent="0.3">
      <c r="K7047" s="16">
        <f t="shared" si="109"/>
        <v>44309</v>
      </c>
      <c r="L7047" s="17">
        <v>0.54166666666666663</v>
      </c>
      <c r="M7047" s="14">
        <v>932</v>
      </c>
      <c r="N7047" s="14">
        <v>0</v>
      </c>
      <c r="O7047" s="14">
        <v>-1054</v>
      </c>
      <c r="P7047" s="14">
        <v>-122</v>
      </c>
      <c r="Q7047">
        <v>10149</v>
      </c>
      <c r="R7047">
        <v>2866</v>
      </c>
      <c r="S7047">
        <v>2278</v>
      </c>
    </row>
    <row r="7048" spans="11:19" x14ac:dyDescent="0.3">
      <c r="K7048" s="16">
        <f t="shared" si="109"/>
        <v>44309</v>
      </c>
      <c r="L7048" s="17">
        <v>0.58333333333333337</v>
      </c>
      <c r="M7048" s="14">
        <v>932</v>
      </c>
      <c r="N7048" s="14">
        <v>0</v>
      </c>
      <c r="O7048" s="14">
        <v>-1200</v>
      </c>
      <c r="P7048" s="14">
        <v>-268</v>
      </c>
      <c r="Q7048">
        <v>9820</v>
      </c>
      <c r="R7048">
        <v>3089</v>
      </c>
      <c r="S7048">
        <v>2258</v>
      </c>
    </row>
    <row r="7049" spans="11:19" x14ac:dyDescent="0.3">
      <c r="K7049" s="16">
        <f t="shared" si="109"/>
        <v>44309</v>
      </c>
      <c r="L7049" s="17">
        <v>0.625</v>
      </c>
      <c r="M7049" s="14">
        <v>932</v>
      </c>
      <c r="N7049" s="14">
        <v>0</v>
      </c>
      <c r="O7049" s="14">
        <v>-1200</v>
      </c>
      <c r="P7049" s="14">
        <v>-268</v>
      </c>
      <c r="Q7049">
        <v>9412</v>
      </c>
      <c r="R7049">
        <v>3028</v>
      </c>
      <c r="S7049">
        <v>2091</v>
      </c>
    </row>
    <row r="7050" spans="11:19" x14ac:dyDescent="0.3">
      <c r="K7050" s="16">
        <f t="shared" si="109"/>
        <v>44309</v>
      </c>
      <c r="L7050" s="17">
        <v>0.66666666666666663</v>
      </c>
      <c r="M7050" s="14">
        <v>932</v>
      </c>
      <c r="N7050" s="14">
        <v>0</v>
      </c>
      <c r="O7050" s="14">
        <v>-1200</v>
      </c>
      <c r="P7050" s="14">
        <v>-268</v>
      </c>
      <c r="Q7050">
        <v>9091</v>
      </c>
      <c r="R7050">
        <v>3194</v>
      </c>
      <c r="S7050">
        <v>1824</v>
      </c>
    </row>
    <row r="7051" spans="11:19" x14ac:dyDescent="0.3">
      <c r="K7051" s="16">
        <f t="shared" si="109"/>
        <v>44309</v>
      </c>
      <c r="L7051" s="17">
        <v>0.70833333333333337</v>
      </c>
      <c r="M7051" s="14">
        <v>932</v>
      </c>
      <c r="N7051" s="14">
        <v>0</v>
      </c>
      <c r="O7051" s="14">
        <v>-1200</v>
      </c>
      <c r="P7051" s="14">
        <v>-268</v>
      </c>
      <c r="Q7051">
        <v>8984</v>
      </c>
      <c r="R7051">
        <v>3506</v>
      </c>
      <c r="S7051">
        <v>1414</v>
      </c>
    </row>
    <row r="7052" spans="11:19" x14ac:dyDescent="0.3">
      <c r="K7052" s="16">
        <f t="shared" si="109"/>
        <v>44309</v>
      </c>
      <c r="L7052" s="17">
        <v>0.75</v>
      </c>
      <c r="M7052" s="14">
        <v>932</v>
      </c>
      <c r="N7052" s="14">
        <v>0</v>
      </c>
      <c r="O7052" s="14">
        <v>-936</v>
      </c>
      <c r="P7052" s="14">
        <v>-4</v>
      </c>
      <c r="Q7052">
        <v>9220</v>
      </c>
      <c r="R7052">
        <v>3274</v>
      </c>
      <c r="S7052">
        <v>828</v>
      </c>
    </row>
    <row r="7053" spans="11:19" x14ac:dyDescent="0.3">
      <c r="K7053" s="16">
        <f t="shared" si="109"/>
        <v>44309</v>
      </c>
      <c r="L7053" s="17">
        <v>0.79166666666666663</v>
      </c>
      <c r="M7053" s="14">
        <v>932</v>
      </c>
      <c r="N7053" s="14">
        <v>0</v>
      </c>
      <c r="O7053" s="14">
        <v>62</v>
      </c>
      <c r="P7053" s="14">
        <v>994</v>
      </c>
      <c r="Q7053">
        <v>9315</v>
      </c>
      <c r="R7053">
        <v>2929</v>
      </c>
      <c r="S7053">
        <v>275</v>
      </c>
    </row>
    <row r="7054" spans="11:19" x14ac:dyDescent="0.3">
      <c r="K7054" s="16">
        <f t="shared" si="109"/>
        <v>44309</v>
      </c>
      <c r="L7054" s="17">
        <v>0.83333333333333337</v>
      </c>
      <c r="M7054" s="14">
        <v>932</v>
      </c>
      <c r="N7054" s="14">
        <v>539</v>
      </c>
      <c r="O7054" s="14">
        <v>0</v>
      </c>
      <c r="P7054" s="14">
        <v>1471</v>
      </c>
      <c r="Q7054">
        <v>9042</v>
      </c>
      <c r="R7054">
        <v>2423</v>
      </c>
      <c r="S7054">
        <v>35</v>
      </c>
    </row>
    <row r="7055" spans="11:19" x14ac:dyDescent="0.3">
      <c r="K7055" s="16">
        <f t="shared" si="109"/>
        <v>44309</v>
      </c>
      <c r="L7055" s="17">
        <v>0.875</v>
      </c>
      <c r="M7055" s="14">
        <v>932</v>
      </c>
      <c r="N7055" s="14">
        <v>0</v>
      </c>
      <c r="O7055" s="14">
        <v>787</v>
      </c>
      <c r="P7055" s="14">
        <v>1719</v>
      </c>
      <c r="Q7055">
        <v>8995</v>
      </c>
      <c r="R7055">
        <v>2007</v>
      </c>
      <c r="S7055">
        <v>0</v>
      </c>
    </row>
    <row r="7056" spans="11:19" x14ac:dyDescent="0.3">
      <c r="K7056" s="16">
        <f t="shared" si="109"/>
        <v>44309</v>
      </c>
      <c r="L7056" s="17">
        <v>0.91666666666666663</v>
      </c>
      <c r="M7056" s="14">
        <v>932</v>
      </c>
      <c r="N7056" s="14">
        <v>0</v>
      </c>
      <c r="O7056" s="14">
        <v>1200</v>
      </c>
      <c r="P7056" s="14">
        <v>2132</v>
      </c>
      <c r="Q7056">
        <v>9242</v>
      </c>
      <c r="R7056">
        <v>1672</v>
      </c>
      <c r="S7056">
        <v>0</v>
      </c>
    </row>
    <row r="7057" spans="11:19" x14ac:dyDescent="0.3">
      <c r="K7057" s="16">
        <f t="shared" si="109"/>
        <v>44309</v>
      </c>
      <c r="L7057" s="17">
        <v>0.95833333333333337</v>
      </c>
      <c r="M7057" s="14">
        <v>932</v>
      </c>
      <c r="N7057" s="14">
        <v>0</v>
      </c>
      <c r="O7057" s="14">
        <v>1200</v>
      </c>
      <c r="P7057" s="14">
        <v>2132</v>
      </c>
      <c r="Q7057">
        <v>9446</v>
      </c>
      <c r="R7057">
        <v>1121</v>
      </c>
      <c r="S7057">
        <v>0</v>
      </c>
    </row>
    <row r="7058" spans="11:19" x14ac:dyDescent="0.3">
      <c r="K7058" s="16">
        <f t="shared" si="109"/>
        <v>44310</v>
      </c>
      <c r="L7058" s="17">
        <v>0</v>
      </c>
      <c r="M7058" s="14">
        <v>932</v>
      </c>
      <c r="N7058" s="14">
        <v>1143</v>
      </c>
      <c r="O7058" s="14">
        <v>335</v>
      </c>
      <c r="P7058" s="14">
        <v>2410</v>
      </c>
      <c r="Q7058">
        <v>8883</v>
      </c>
      <c r="R7058">
        <v>1077</v>
      </c>
      <c r="S7058">
        <v>0</v>
      </c>
    </row>
    <row r="7059" spans="11:19" x14ac:dyDescent="0.3">
      <c r="K7059" s="16">
        <f t="shared" si="109"/>
        <v>44310</v>
      </c>
      <c r="L7059" s="17">
        <v>4.1666666666666664E-2</v>
      </c>
      <c r="M7059" s="14">
        <v>932</v>
      </c>
      <c r="N7059" s="14">
        <v>0</v>
      </c>
      <c r="O7059" s="14">
        <v>1071</v>
      </c>
      <c r="P7059" s="14">
        <v>2003</v>
      </c>
      <c r="Q7059">
        <v>8485</v>
      </c>
      <c r="R7059">
        <v>977</v>
      </c>
      <c r="S7059">
        <v>0</v>
      </c>
    </row>
    <row r="7060" spans="11:19" x14ac:dyDescent="0.3">
      <c r="K7060" s="16">
        <f t="shared" si="109"/>
        <v>44310</v>
      </c>
      <c r="L7060" s="17">
        <v>8.3333333333333329E-2</v>
      </c>
      <c r="M7060" s="14">
        <v>932</v>
      </c>
      <c r="N7060" s="14">
        <v>0</v>
      </c>
      <c r="O7060" s="14">
        <v>1090</v>
      </c>
      <c r="P7060" s="14">
        <v>2022</v>
      </c>
      <c r="Q7060">
        <v>8175</v>
      </c>
      <c r="R7060">
        <v>845</v>
      </c>
      <c r="S7060">
        <v>0</v>
      </c>
    </row>
    <row r="7061" spans="11:19" x14ac:dyDescent="0.3">
      <c r="K7061" s="16">
        <f t="shared" si="109"/>
        <v>44310</v>
      </c>
      <c r="L7061" s="17">
        <v>0.125</v>
      </c>
      <c r="M7061" s="14">
        <v>932</v>
      </c>
      <c r="N7061" s="14">
        <v>865</v>
      </c>
      <c r="O7061" s="14">
        <v>0</v>
      </c>
      <c r="P7061" s="14">
        <v>1797</v>
      </c>
      <c r="Q7061">
        <v>7777</v>
      </c>
      <c r="R7061">
        <v>670</v>
      </c>
      <c r="S7061">
        <v>0</v>
      </c>
    </row>
    <row r="7062" spans="11:19" x14ac:dyDescent="0.3">
      <c r="K7062" s="16">
        <f t="shared" si="109"/>
        <v>44310</v>
      </c>
      <c r="L7062" s="17">
        <v>0.16666666666666666</v>
      </c>
      <c r="M7062" s="14">
        <v>932</v>
      </c>
      <c r="N7062" s="14">
        <v>0</v>
      </c>
      <c r="O7062" s="14">
        <v>802</v>
      </c>
      <c r="P7062" s="14">
        <v>1734</v>
      </c>
      <c r="Q7062">
        <v>7668</v>
      </c>
      <c r="R7062">
        <v>616</v>
      </c>
      <c r="S7062">
        <v>0</v>
      </c>
    </row>
    <row r="7063" spans="11:19" x14ac:dyDescent="0.3">
      <c r="K7063" s="16">
        <f t="shared" si="109"/>
        <v>44310</v>
      </c>
      <c r="L7063" s="17">
        <v>0.20833333333333334</v>
      </c>
      <c r="M7063" s="14">
        <v>932</v>
      </c>
      <c r="N7063" s="14">
        <v>0</v>
      </c>
      <c r="O7063" s="14">
        <v>0</v>
      </c>
      <c r="P7063" s="14">
        <v>932</v>
      </c>
      <c r="Q7063">
        <v>7873</v>
      </c>
      <c r="R7063">
        <v>597</v>
      </c>
      <c r="S7063">
        <v>0</v>
      </c>
    </row>
    <row r="7064" spans="11:19" x14ac:dyDescent="0.3">
      <c r="K7064" s="16">
        <f t="shared" si="109"/>
        <v>44310</v>
      </c>
      <c r="L7064" s="17">
        <v>0.25</v>
      </c>
      <c r="M7064" s="14">
        <v>932</v>
      </c>
      <c r="N7064" s="14">
        <v>0</v>
      </c>
      <c r="O7064" s="14">
        <v>0</v>
      </c>
      <c r="P7064" s="14">
        <v>932</v>
      </c>
      <c r="Q7064">
        <v>8215</v>
      </c>
      <c r="R7064">
        <v>532</v>
      </c>
      <c r="S7064">
        <v>2</v>
      </c>
    </row>
    <row r="7065" spans="11:19" x14ac:dyDescent="0.3">
      <c r="K7065" s="16">
        <f t="shared" si="109"/>
        <v>44310</v>
      </c>
      <c r="L7065" s="17">
        <v>0.29166666666666669</v>
      </c>
      <c r="M7065" s="14">
        <v>932</v>
      </c>
      <c r="N7065" s="14">
        <v>0</v>
      </c>
      <c r="O7065" s="14">
        <v>0</v>
      </c>
      <c r="P7065" s="14">
        <v>932</v>
      </c>
      <c r="Q7065">
        <v>8560</v>
      </c>
      <c r="R7065">
        <v>454</v>
      </c>
      <c r="S7065">
        <v>119</v>
      </c>
    </row>
    <row r="7066" spans="11:19" x14ac:dyDescent="0.3">
      <c r="K7066" s="16">
        <f t="shared" si="109"/>
        <v>44310</v>
      </c>
      <c r="L7066" s="17">
        <v>0.33333333333333331</v>
      </c>
      <c r="M7066" s="14">
        <v>932</v>
      </c>
      <c r="N7066" s="14">
        <v>1143</v>
      </c>
      <c r="O7066" s="14">
        <v>0</v>
      </c>
      <c r="P7066" s="14">
        <v>2075</v>
      </c>
      <c r="Q7066">
        <v>9166</v>
      </c>
      <c r="R7066">
        <v>429</v>
      </c>
      <c r="S7066">
        <v>546</v>
      </c>
    </row>
    <row r="7067" spans="11:19" x14ac:dyDescent="0.3">
      <c r="K7067" s="16">
        <f t="shared" ref="K7067:K7130" si="110">K7043+1</f>
        <v>44310</v>
      </c>
      <c r="L7067" s="17">
        <v>0.375</v>
      </c>
      <c r="M7067" s="14">
        <v>932</v>
      </c>
      <c r="N7067" s="14">
        <v>0</v>
      </c>
      <c r="O7067" s="14">
        <v>0</v>
      </c>
      <c r="P7067" s="14">
        <v>932</v>
      </c>
      <c r="Q7067">
        <v>9575</v>
      </c>
      <c r="R7067">
        <v>446</v>
      </c>
      <c r="S7067">
        <v>1257</v>
      </c>
    </row>
    <row r="7068" spans="11:19" x14ac:dyDescent="0.3">
      <c r="K7068" s="16">
        <f t="shared" si="110"/>
        <v>44310</v>
      </c>
      <c r="L7068" s="17">
        <v>0.41666666666666669</v>
      </c>
      <c r="M7068" s="14">
        <v>932</v>
      </c>
      <c r="N7068" s="14">
        <v>0</v>
      </c>
      <c r="O7068" s="14">
        <v>0</v>
      </c>
      <c r="P7068" s="14">
        <v>932</v>
      </c>
      <c r="Q7068">
        <v>9593</v>
      </c>
      <c r="R7068">
        <v>442</v>
      </c>
      <c r="S7068">
        <v>1848</v>
      </c>
    </row>
    <row r="7069" spans="11:19" x14ac:dyDescent="0.3">
      <c r="K7069" s="16">
        <f t="shared" si="110"/>
        <v>44310</v>
      </c>
      <c r="L7069" s="17">
        <v>0.45833333333333331</v>
      </c>
      <c r="M7069" s="14">
        <v>932</v>
      </c>
      <c r="N7069" s="14">
        <v>0</v>
      </c>
      <c r="O7069" s="14">
        <v>0</v>
      </c>
      <c r="P7069" s="14">
        <v>932</v>
      </c>
      <c r="Q7069">
        <v>9563</v>
      </c>
      <c r="R7069">
        <v>490</v>
      </c>
      <c r="S7069">
        <v>2329</v>
      </c>
    </row>
    <row r="7070" spans="11:19" x14ac:dyDescent="0.3">
      <c r="K7070" s="16">
        <f t="shared" si="110"/>
        <v>44310</v>
      </c>
      <c r="L7070" s="17">
        <v>0.5</v>
      </c>
      <c r="M7070" s="14">
        <v>932</v>
      </c>
      <c r="N7070" s="14">
        <v>0</v>
      </c>
      <c r="O7070" s="14">
        <v>0</v>
      </c>
      <c r="P7070" s="14">
        <v>932</v>
      </c>
      <c r="Q7070">
        <v>9734</v>
      </c>
      <c r="R7070">
        <v>553</v>
      </c>
      <c r="S7070">
        <v>2573</v>
      </c>
    </row>
    <row r="7071" spans="11:19" x14ac:dyDescent="0.3">
      <c r="K7071" s="16">
        <f t="shared" si="110"/>
        <v>44310</v>
      </c>
      <c r="L7071" s="17">
        <v>0.54166666666666663</v>
      </c>
      <c r="M7071" s="14">
        <v>932</v>
      </c>
      <c r="N7071" s="14">
        <v>0</v>
      </c>
      <c r="O7071" s="14">
        <v>-242</v>
      </c>
      <c r="P7071" s="14">
        <v>690</v>
      </c>
      <c r="Q7071">
        <v>9281</v>
      </c>
      <c r="R7071">
        <v>617</v>
      </c>
      <c r="S7071">
        <v>2705</v>
      </c>
    </row>
    <row r="7072" spans="11:19" x14ac:dyDescent="0.3">
      <c r="K7072" s="16">
        <f t="shared" si="110"/>
        <v>44310</v>
      </c>
      <c r="L7072" s="17">
        <v>0.58333333333333337</v>
      </c>
      <c r="M7072" s="14">
        <v>932</v>
      </c>
      <c r="N7072" s="14">
        <v>0</v>
      </c>
      <c r="O7072" s="14">
        <v>-833</v>
      </c>
      <c r="P7072" s="14">
        <v>99</v>
      </c>
      <c r="Q7072">
        <v>8868</v>
      </c>
      <c r="R7072">
        <v>868</v>
      </c>
      <c r="S7072">
        <v>2635</v>
      </c>
    </row>
    <row r="7073" spans="11:19" x14ac:dyDescent="0.3">
      <c r="K7073" s="16">
        <f t="shared" si="110"/>
        <v>44310</v>
      </c>
      <c r="L7073" s="17">
        <v>0.625</v>
      </c>
      <c r="M7073" s="14">
        <v>932</v>
      </c>
      <c r="N7073" s="14">
        <v>0</v>
      </c>
      <c r="O7073" s="14">
        <v>-1029</v>
      </c>
      <c r="P7073" s="14">
        <v>-97</v>
      </c>
      <c r="Q7073">
        <v>8505</v>
      </c>
      <c r="R7073">
        <v>922</v>
      </c>
      <c r="S7073">
        <v>2419</v>
      </c>
    </row>
    <row r="7074" spans="11:19" x14ac:dyDescent="0.3">
      <c r="K7074" s="16">
        <f t="shared" si="110"/>
        <v>44310</v>
      </c>
      <c r="L7074" s="17">
        <v>0.66666666666666663</v>
      </c>
      <c r="M7074" s="14">
        <v>932</v>
      </c>
      <c r="N7074" s="14">
        <v>0</v>
      </c>
      <c r="O7074" s="14">
        <v>-1138</v>
      </c>
      <c r="P7074" s="14">
        <v>-206</v>
      </c>
      <c r="Q7074">
        <v>8317</v>
      </c>
      <c r="R7074">
        <v>1125</v>
      </c>
      <c r="S7074">
        <v>2054</v>
      </c>
    </row>
    <row r="7075" spans="11:19" x14ac:dyDescent="0.3">
      <c r="K7075" s="16">
        <f t="shared" si="110"/>
        <v>44310</v>
      </c>
      <c r="L7075" s="17">
        <v>0.70833333333333337</v>
      </c>
      <c r="M7075" s="14">
        <v>932</v>
      </c>
      <c r="N7075" s="14">
        <v>0</v>
      </c>
      <c r="O7075" s="14">
        <v>-878</v>
      </c>
      <c r="P7075" s="14">
        <v>54</v>
      </c>
      <c r="Q7075">
        <v>8365</v>
      </c>
      <c r="R7075">
        <v>1381</v>
      </c>
      <c r="S7075">
        <v>1587</v>
      </c>
    </row>
    <row r="7076" spans="11:19" x14ac:dyDescent="0.3">
      <c r="K7076" s="16">
        <f t="shared" si="110"/>
        <v>44310</v>
      </c>
      <c r="L7076" s="17">
        <v>0.75</v>
      </c>
      <c r="M7076" s="14">
        <v>932</v>
      </c>
      <c r="N7076" s="14">
        <v>0</v>
      </c>
      <c r="O7076" s="14">
        <v>0</v>
      </c>
      <c r="P7076" s="14">
        <v>932</v>
      </c>
      <c r="Q7076">
        <v>8756</v>
      </c>
      <c r="R7076">
        <v>1263</v>
      </c>
      <c r="S7076">
        <v>880</v>
      </c>
    </row>
    <row r="7077" spans="11:19" x14ac:dyDescent="0.3">
      <c r="K7077" s="16">
        <f t="shared" si="110"/>
        <v>44310</v>
      </c>
      <c r="L7077" s="17">
        <v>0.79166666666666663</v>
      </c>
      <c r="M7077" s="14">
        <v>932</v>
      </c>
      <c r="N7077" s="14">
        <v>0</v>
      </c>
      <c r="O7077" s="14">
        <v>0</v>
      </c>
      <c r="P7077" s="14">
        <v>932</v>
      </c>
      <c r="Q7077">
        <v>9005</v>
      </c>
      <c r="R7077">
        <v>1233</v>
      </c>
      <c r="S7077">
        <v>344</v>
      </c>
    </row>
    <row r="7078" spans="11:19" x14ac:dyDescent="0.3">
      <c r="K7078" s="16">
        <f t="shared" si="110"/>
        <v>44310</v>
      </c>
      <c r="L7078" s="17">
        <v>0.83333333333333337</v>
      </c>
      <c r="M7078" s="14">
        <v>932</v>
      </c>
      <c r="N7078" s="14">
        <v>0</v>
      </c>
      <c r="O7078" s="14">
        <v>0</v>
      </c>
      <c r="P7078" s="14">
        <v>932</v>
      </c>
      <c r="Q7078">
        <v>8834</v>
      </c>
      <c r="R7078">
        <v>1281</v>
      </c>
      <c r="S7078">
        <v>37</v>
      </c>
    </row>
    <row r="7079" spans="11:19" x14ac:dyDescent="0.3">
      <c r="K7079" s="16">
        <f t="shared" si="110"/>
        <v>44310</v>
      </c>
      <c r="L7079" s="17">
        <v>0.875</v>
      </c>
      <c r="M7079" s="14">
        <v>932</v>
      </c>
      <c r="N7079" s="14">
        <v>1143</v>
      </c>
      <c r="O7079" s="14">
        <v>0</v>
      </c>
      <c r="P7079" s="14">
        <v>2075</v>
      </c>
      <c r="Q7079">
        <v>8812</v>
      </c>
      <c r="R7079">
        <v>1272</v>
      </c>
      <c r="S7079">
        <v>0</v>
      </c>
    </row>
    <row r="7080" spans="11:19" x14ac:dyDescent="0.3">
      <c r="K7080" s="16">
        <f t="shared" si="110"/>
        <v>44310</v>
      </c>
      <c r="L7080" s="17">
        <v>0.91666666666666663</v>
      </c>
      <c r="M7080" s="14">
        <v>932</v>
      </c>
      <c r="N7080" s="14">
        <v>0</v>
      </c>
      <c r="O7080" s="14">
        <v>0</v>
      </c>
      <c r="P7080" s="14">
        <v>932</v>
      </c>
      <c r="Q7080">
        <v>9175</v>
      </c>
      <c r="R7080">
        <v>1269</v>
      </c>
      <c r="S7080">
        <v>0</v>
      </c>
    </row>
    <row r="7081" spans="11:19" x14ac:dyDescent="0.3">
      <c r="K7081" s="16">
        <f t="shared" si="110"/>
        <v>44310</v>
      </c>
      <c r="L7081" s="17">
        <v>0.95833333333333337</v>
      </c>
      <c r="M7081" s="14">
        <v>932</v>
      </c>
      <c r="N7081" s="14">
        <v>0</v>
      </c>
      <c r="O7081" s="14">
        <v>0</v>
      </c>
      <c r="P7081" s="14">
        <v>932</v>
      </c>
      <c r="Q7081">
        <v>9486</v>
      </c>
      <c r="R7081">
        <v>1399</v>
      </c>
      <c r="S7081">
        <v>0</v>
      </c>
    </row>
    <row r="7082" spans="11:19" x14ac:dyDescent="0.3">
      <c r="K7082" s="16">
        <f t="shared" si="110"/>
        <v>44311</v>
      </c>
      <c r="L7082" s="17">
        <v>0</v>
      </c>
      <c r="M7082" s="14">
        <v>932</v>
      </c>
      <c r="N7082" s="14">
        <v>0</v>
      </c>
      <c r="O7082" s="14">
        <v>1200</v>
      </c>
      <c r="P7082" s="14">
        <v>2132</v>
      </c>
      <c r="Q7082">
        <v>9018</v>
      </c>
      <c r="R7082">
        <v>1153</v>
      </c>
      <c r="S7082">
        <v>0</v>
      </c>
    </row>
    <row r="7083" spans="11:19" x14ac:dyDescent="0.3">
      <c r="K7083" s="16">
        <f t="shared" si="110"/>
        <v>44311</v>
      </c>
      <c r="L7083" s="17">
        <v>4.1666666666666664E-2</v>
      </c>
      <c r="M7083" s="14">
        <v>932</v>
      </c>
      <c r="N7083" s="14">
        <v>0</v>
      </c>
      <c r="O7083" s="14">
        <v>999</v>
      </c>
      <c r="P7083" s="14">
        <v>1931</v>
      </c>
      <c r="Q7083">
        <v>8641</v>
      </c>
      <c r="R7083">
        <v>1323</v>
      </c>
      <c r="S7083">
        <v>0</v>
      </c>
    </row>
    <row r="7084" spans="11:19" x14ac:dyDescent="0.3">
      <c r="K7084" s="16">
        <f t="shared" si="110"/>
        <v>44311</v>
      </c>
      <c r="L7084" s="17">
        <v>8.3333333333333329E-2</v>
      </c>
      <c r="M7084" s="14">
        <v>932</v>
      </c>
      <c r="N7084" s="14">
        <v>0</v>
      </c>
      <c r="O7084" s="14">
        <v>691</v>
      </c>
      <c r="P7084" s="14">
        <v>1623</v>
      </c>
      <c r="Q7084">
        <v>8276</v>
      </c>
      <c r="R7084">
        <v>1587</v>
      </c>
      <c r="S7084">
        <v>0</v>
      </c>
    </row>
    <row r="7085" spans="11:19" x14ac:dyDescent="0.3">
      <c r="K7085" s="16">
        <f t="shared" si="110"/>
        <v>44311</v>
      </c>
      <c r="L7085" s="17">
        <v>0.125</v>
      </c>
      <c r="M7085" s="14">
        <v>932</v>
      </c>
      <c r="N7085" s="14">
        <v>0</v>
      </c>
      <c r="O7085" s="14">
        <v>-55</v>
      </c>
      <c r="P7085" s="14">
        <v>877</v>
      </c>
      <c r="Q7085">
        <v>7783</v>
      </c>
      <c r="R7085">
        <v>1838</v>
      </c>
      <c r="S7085">
        <v>0</v>
      </c>
    </row>
    <row r="7086" spans="11:19" x14ac:dyDescent="0.3">
      <c r="K7086" s="16">
        <f t="shared" si="110"/>
        <v>44311</v>
      </c>
      <c r="L7086" s="17">
        <v>0.16666666666666666</v>
      </c>
      <c r="M7086" s="14">
        <v>932</v>
      </c>
      <c r="N7086" s="14">
        <v>0</v>
      </c>
      <c r="O7086" s="14">
        <v>-514</v>
      </c>
      <c r="P7086" s="14">
        <v>418</v>
      </c>
      <c r="Q7086">
        <v>7516</v>
      </c>
      <c r="R7086">
        <v>2023</v>
      </c>
      <c r="S7086">
        <v>0</v>
      </c>
    </row>
    <row r="7087" spans="11:19" x14ac:dyDescent="0.3">
      <c r="K7087" s="16">
        <f t="shared" si="110"/>
        <v>44311</v>
      </c>
      <c r="L7087" s="17">
        <v>0.20833333333333334</v>
      </c>
      <c r="M7087" s="14">
        <v>932</v>
      </c>
      <c r="N7087" s="14">
        <v>0</v>
      </c>
      <c r="O7087" s="14">
        <v>-796</v>
      </c>
      <c r="P7087" s="14">
        <v>136</v>
      </c>
      <c r="Q7087">
        <v>7539</v>
      </c>
      <c r="R7087">
        <v>2313</v>
      </c>
      <c r="S7087">
        <v>0</v>
      </c>
    </row>
    <row r="7088" spans="11:19" x14ac:dyDescent="0.3">
      <c r="K7088" s="16">
        <f t="shared" si="110"/>
        <v>44311</v>
      </c>
      <c r="L7088" s="17">
        <v>0.25</v>
      </c>
      <c r="M7088" s="14">
        <v>932</v>
      </c>
      <c r="N7088" s="14">
        <v>0</v>
      </c>
      <c r="O7088" s="14">
        <v>-913</v>
      </c>
      <c r="P7088" s="14">
        <v>19</v>
      </c>
      <c r="Q7088">
        <v>7598</v>
      </c>
      <c r="R7088">
        <v>2770</v>
      </c>
      <c r="S7088">
        <v>3</v>
      </c>
    </row>
    <row r="7089" spans="11:19" x14ac:dyDescent="0.3">
      <c r="K7089" s="16">
        <f t="shared" si="110"/>
        <v>44311</v>
      </c>
      <c r="L7089" s="17">
        <v>0.29166666666666669</v>
      </c>
      <c r="M7089" s="14">
        <v>932</v>
      </c>
      <c r="N7089" s="14">
        <v>0</v>
      </c>
      <c r="O7089" s="14">
        <v>-1200</v>
      </c>
      <c r="P7089" s="14">
        <v>-268</v>
      </c>
      <c r="Q7089">
        <v>7691</v>
      </c>
      <c r="R7089">
        <v>2982</v>
      </c>
      <c r="S7089">
        <v>73</v>
      </c>
    </row>
    <row r="7090" spans="11:19" x14ac:dyDescent="0.3">
      <c r="K7090" s="16">
        <f t="shared" si="110"/>
        <v>44311</v>
      </c>
      <c r="L7090" s="17">
        <v>0.33333333333333331</v>
      </c>
      <c r="M7090" s="14">
        <v>932</v>
      </c>
      <c r="N7090" s="14">
        <v>0</v>
      </c>
      <c r="O7090" s="14">
        <v>-713</v>
      </c>
      <c r="P7090" s="14">
        <v>219</v>
      </c>
      <c r="Q7090">
        <v>8266</v>
      </c>
      <c r="R7090">
        <v>2571</v>
      </c>
      <c r="S7090">
        <v>352</v>
      </c>
    </row>
    <row r="7091" spans="11:19" x14ac:dyDescent="0.3">
      <c r="K7091" s="16">
        <f t="shared" si="110"/>
        <v>44311</v>
      </c>
      <c r="L7091" s="17">
        <v>0.375</v>
      </c>
      <c r="M7091" s="14">
        <v>932</v>
      </c>
      <c r="N7091" s="14">
        <v>0</v>
      </c>
      <c r="O7091" s="14">
        <v>-539</v>
      </c>
      <c r="P7091" s="14">
        <v>393</v>
      </c>
      <c r="Q7091">
        <v>8877</v>
      </c>
      <c r="R7091">
        <v>2605</v>
      </c>
      <c r="S7091">
        <v>760</v>
      </c>
    </row>
    <row r="7092" spans="11:19" x14ac:dyDescent="0.3">
      <c r="K7092" s="16">
        <f t="shared" si="110"/>
        <v>44311</v>
      </c>
      <c r="L7092" s="17">
        <v>0.41666666666666669</v>
      </c>
      <c r="M7092" s="14">
        <v>932</v>
      </c>
      <c r="N7092" s="14">
        <v>0</v>
      </c>
      <c r="O7092" s="14">
        <v>0</v>
      </c>
      <c r="P7092" s="14">
        <v>932</v>
      </c>
      <c r="Q7092">
        <v>9289</v>
      </c>
      <c r="R7092">
        <v>2583</v>
      </c>
      <c r="S7092">
        <v>989</v>
      </c>
    </row>
    <row r="7093" spans="11:19" x14ac:dyDescent="0.3">
      <c r="K7093" s="16">
        <f t="shared" si="110"/>
        <v>44311</v>
      </c>
      <c r="L7093" s="17">
        <v>0.45833333333333331</v>
      </c>
      <c r="M7093" s="14">
        <v>932</v>
      </c>
      <c r="N7093" s="14">
        <v>0</v>
      </c>
      <c r="O7093" s="14">
        <v>-477</v>
      </c>
      <c r="P7093" s="14">
        <v>455</v>
      </c>
      <c r="Q7093">
        <v>9564</v>
      </c>
      <c r="R7093">
        <v>2846</v>
      </c>
      <c r="S7093">
        <v>1150</v>
      </c>
    </row>
    <row r="7094" spans="11:19" x14ac:dyDescent="0.3">
      <c r="K7094" s="16">
        <f t="shared" si="110"/>
        <v>44311</v>
      </c>
      <c r="L7094" s="17">
        <v>0.5</v>
      </c>
      <c r="M7094" s="14">
        <v>932</v>
      </c>
      <c r="N7094" s="14">
        <v>0</v>
      </c>
      <c r="O7094" s="14">
        <v>0</v>
      </c>
      <c r="P7094" s="14">
        <v>932</v>
      </c>
      <c r="Q7094">
        <v>9912</v>
      </c>
      <c r="R7094">
        <v>2832</v>
      </c>
      <c r="S7094">
        <v>1100</v>
      </c>
    </row>
    <row r="7095" spans="11:19" x14ac:dyDescent="0.3">
      <c r="K7095" s="16">
        <f t="shared" si="110"/>
        <v>44311</v>
      </c>
      <c r="L7095" s="17">
        <v>0.54166666666666663</v>
      </c>
      <c r="M7095" s="14">
        <v>932</v>
      </c>
      <c r="N7095" s="14">
        <v>0</v>
      </c>
      <c r="O7095" s="14">
        <v>-398</v>
      </c>
      <c r="P7095" s="14">
        <v>534</v>
      </c>
      <c r="Q7095">
        <v>9511</v>
      </c>
      <c r="R7095">
        <v>2696</v>
      </c>
      <c r="S7095">
        <v>1174</v>
      </c>
    </row>
    <row r="7096" spans="11:19" x14ac:dyDescent="0.3">
      <c r="K7096" s="16">
        <f t="shared" si="110"/>
        <v>44311</v>
      </c>
      <c r="L7096" s="17">
        <v>0.58333333333333337</v>
      </c>
      <c r="M7096" s="14">
        <v>932</v>
      </c>
      <c r="N7096" s="14">
        <v>0</v>
      </c>
      <c r="O7096" s="14">
        <v>-1050</v>
      </c>
      <c r="P7096" s="14">
        <v>-118</v>
      </c>
      <c r="Q7096">
        <v>9051</v>
      </c>
      <c r="R7096">
        <v>2865</v>
      </c>
      <c r="S7096">
        <v>1201</v>
      </c>
    </row>
    <row r="7097" spans="11:19" x14ac:dyDescent="0.3">
      <c r="K7097" s="16">
        <f t="shared" si="110"/>
        <v>44311</v>
      </c>
      <c r="L7097" s="17">
        <v>0.625</v>
      </c>
      <c r="M7097" s="14">
        <v>932</v>
      </c>
      <c r="N7097" s="14">
        <v>0</v>
      </c>
      <c r="O7097" s="14">
        <v>-1200</v>
      </c>
      <c r="P7097" s="14">
        <v>-268</v>
      </c>
      <c r="Q7097">
        <v>8740</v>
      </c>
      <c r="R7097">
        <v>3053</v>
      </c>
      <c r="S7097">
        <v>1146</v>
      </c>
    </row>
    <row r="7098" spans="11:19" x14ac:dyDescent="0.3">
      <c r="K7098" s="16">
        <f t="shared" si="110"/>
        <v>44311</v>
      </c>
      <c r="L7098" s="17">
        <v>0.66666666666666663</v>
      </c>
      <c r="M7098" s="14">
        <v>932</v>
      </c>
      <c r="N7098" s="14">
        <v>0</v>
      </c>
      <c r="O7098" s="14">
        <v>-1200</v>
      </c>
      <c r="P7098" s="14">
        <v>-268</v>
      </c>
      <c r="Q7098">
        <v>8657</v>
      </c>
      <c r="R7098">
        <v>3074</v>
      </c>
      <c r="S7098">
        <v>1141</v>
      </c>
    </row>
    <row r="7099" spans="11:19" x14ac:dyDescent="0.3">
      <c r="K7099" s="16">
        <f t="shared" si="110"/>
        <v>44311</v>
      </c>
      <c r="L7099" s="17">
        <v>0.70833333333333337</v>
      </c>
      <c r="M7099" s="14">
        <v>932</v>
      </c>
      <c r="N7099" s="14">
        <v>0</v>
      </c>
      <c r="O7099" s="14">
        <v>-1200</v>
      </c>
      <c r="P7099" s="14">
        <v>-268</v>
      </c>
      <c r="Q7099">
        <v>8806</v>
      </c>
      <c r="R7099">
        <v>3309</v>
      </c>
      <c r="S7099">
        <v>889</v>
      </c>
    </row>
    <row r="7100" spans="11:19" x14ac:dyDescent="0.3">
      <c r="K7100" s="16">
        <f t="shared" si="110"/>
        <v>44311</v>
      </c>
      <c r="L7100" s="17">
        <v>0.75</v>
      </c>
      <c r="M7100" s="14">
        <v>932</v>
      </c>
      <c r="N7100" s="14">
        <v>0</v>
      </c>
      <c r="O7100" s="14">
        <v>-71</v>
      </c>
      <c r="P7100" s="14">
        <v>861</v>
      </c>
      <c r="Q7100">
        <v>9267</v>
      </c>
      <c r="R7100">
        <v>3296</v>
      </c>
      <c r="S7100">
        <v>623</v>
      </c>
    </row>
    <row r="7101" spans="11:19" x14ac:dyDescent="0.3">
      <c r="K7101" s="16">
        <f t="shared" si="110"/>
        <v>44311</v>
      </c>
      <c r="L7101" s="17">
        <v>0.79166666666666663</v>
      </c>
      <c r="M7101" s="14">
        <v>932</v>
      </c>
      <c r="N7101" s="14">
        <v>0</v>
      </c>
      <c r="O7101" s="14">
        <v>585</v>
      </c>
      <c r="P7101" s="14">
        <v>1517</v>
      </c>
      <c r="Q7101">
        <v>9629</v>
      </c>
      <c r="R7101">
        <v>2814</v>
      </c>
      <c r="S7101">
        <v>200</v>
      </c>
    </row>
    <row r="7102" spans="11:19" x14ac:dyDescent="0.3">
      <c r="K7102" s="16">
        <f t="shared" si="110"/>
        <v>44311</v>
      </c>
      <c r="L7102" s="17">
        <v>0.83333333333333337</v>
      </c>
      <c r="M7102" s="14">
        <v>932</v>
      </c>
      <c r="N7102" s="14">
        <v>0</v>
      </c>
      <c r="O7102" s="14">
        <v>1189</v>
      </c>
      <c r="P7102" s="14">
        <v>2121</v>
      </c>
      <c r="Q7102">
        <v>9585</v>
      </c>
      <c r="R7102">
        <v>2327</v>
      </c>
      <c r="S7102">
        <v>36</v>
      </c>
    </row>
    <row r="7103" spans="11:19" x14ac:dyDescent="0.3">
      <c r="K7103" s="16">
        <f t="shared" si="110"/>
        <v>44311</v>
      </c>
      <c r="L7103" s="17">
        <v>0.875</v>
      </c>
      <c r="M7103" s="14">
        <v>932</v>
      </c>
      <c r="N7103" s="14">
        <v>498</v>
      </c>
      <c r="O7103" s="14">
        <v>1200</v>
      </c>
      <c r="P7103" s="14">
        <v>2630</v>
      </c>
      <c r="Q7103">
        <v>9652</v>
      </c>
      <c r="R7103">
        <v>1927</v>
      </c>
      <c r="S7103">
        <v>0</v>
      </c>
    </row>
    <row r="7104" spans="11:19" x14ac:dyDescent="0.3">
      <c r="K7104" s="16">
        <f t="shared" si="110"/>
        <v>44311</v>
      </c>
      <c r="L7104" s="17">
        <v>0.91666666666666663</v>
      </c>
      <c r="M7104" s="14">
        <v>932</v>
      </c>
      <c r="N7104" s="14">
        <v>648</v>
      </c>
      <c r="O7104" s="14">
        <v>1200</v>
      </c>
      <c r="P7104" s="14">
        <v>2780</v>
      </c>
      <c r="Q7104">
        <v>9951</v>
      </c>
      <c r="R7104">
        <v>1675</v>
      </c>
      <c r="S7104">
        <v>0</v>
      </c>
    </row>
    <row r="7105" spans="11:19" x14ac:dyDescent="0.3">
      <c r="K7105" s="16">
        <f t="shared" si="110"/>
        <v>44311</v>
      </c>
      <c r="L7105" s="17">
        <v>0.95833333333333337</v>
      </c>
      <c r="M7105" s="14">
        <v>932</v>
      </c>
      <c r="N7105" s="14">
        <v>0</v>
      </c>
      <c r="O7105" s="14">
        <v>1200</v>
      </c>
      <c r="P7105" s="14">
        <v>2132</v>
      </c>
      <c r="Q7105">
        <v>10161</v>
      </c>
      <c r="R7105">
        <v>1461</v>
      </c>
      <c r="S7105">
        <v>0</v>
      </c>
    </row>
    <row r="7106" spans="11:19" x14ac:dyDescent="0.3">
      <c r="K7106" s="16">
        <f t="shared" si="110"/>
        <v>44312</v>
      </c>
      <c r="L7106" s="17">
        <v>0</v>
      </c>
      <c r="M7106" s="14">
        <v>932</v>
      </c>
      <c r="N7106" s="14">
        <v>0</v>
      </c>
      <c r="O7106" s="14">
        <v>0</v>
      </c>
      <c r="P7106" s="14">
        <v>932</v>
      </c>
      <c r="Q7106">
        <v>9717</v>
      </c>
      <c r="R7106">
        <v>1514</v>
      </c>
      <c r="S7106">
        <v>0</v>
      </c>
    </row>
    <row r="7107" spans="11:19" x14ac:dyDescent="0.3">
      <c r="K7107" s="16">
        <f t="shared" si="110"/>
        <v>44312</v>
      </c>
      <c r="L7107" s="17">
        <v>4.1666666666666664E-2</v>
      </c>
      <c r="M7107" s="14">
        <v>932</v>
      </c>
      <c r="N7107" s="14">
        <v>1836</v>
      </c>
      <c r="O7107" s="14">
        <v>0</v>
      </c>
      <c r="P7107" s="14">
        <v>2768</v>
      </c>
      <c r="Q7107">
        <v>9443</v>
      </c>
      <c r="R7107">
        <v>1285</v>
      </c>
      <c r="S7107">
        <v>0</v>
      </c>
    </row>
    <row r="7108" spans="11:19" x14ac:dyDescent="0.3">
      <c r="K7108" s="16">
        <f t="shared" si="110"/>
        <v>44312</v>
      </c>
      <c r="L7108" s="17">
        <v>8.3333333333333329E-2</v>
      </c>
      <c r="M7108" s="14">
        <v>932</v>
      </c>
      <c r="N7108" s="14">
        <v>1768</v>
      </c>
      <c r="O7108" s="14">
        <v>0</v>
      </c>
      <c r="P7108" s="14">
        <v>2700</v>
      </c>
      <c r="Q7108">
        <v>9219</v>
      </c>
      <c r="R7108">
        <v>1129</v>
      </c>
      <c r="S7108">
        <v>0</v>
      </c>
    </row>
    <row r="7109" spans="11:19" x14ac:dyDescent="0.3">
      <c r="K7109" s="16">
        <f t="shared" si="110"/>
        <v>44312</v>
      </c>
      <c r="L7109" s="17">
        <v>0.125</v>
      </c>
      <c r="M7109" s="14">
        <v>932</v>
      </c>
      <c r="N7109" s="14">
        <v>0</v>
      </c>
      <c r="O7109" s="14">
        <v>0</v>
      </c>
      <c r="P7109" s="14">
        <v>932</v>
      </c>
      <c r="Q7109">
        <v>8885</v>
      </c>
      <c r="R7109">
        <v>789</v>
      </c>
      <c r="S7109">
        <v>0</v>
      </c>
    </row>
    <row r="7110" spans="11:19" x14ac:dyDescent="0.3">
      <c r="K7110" s="16">
        <f t="shared" si="110"/>
        <v>44312</v>
      </c>
      <c r="L7110" s="17">
        <v>0.16666666666666666</v>
      </c>
      <c r="M7110" s="14">
        <v>932</v>
      </c>
      <c r="N7110" s="14">
        <v>0</v>
      </c>
      <c r="O7110" s="14">
        <v>0</v>
      </c>
      <c r="P7110" s="14">
        <v>932</v>
      </c>
      <c r="Q7110">
        <v>8907</v>
      </c>
      <c r="R7110">
        <v>756</v>
      </c>
      <c r="S7110">
        <v>0</v>
      </c>
    </row>
    <row r="7111" spans="11:19" x14ac:dyDescent="0.3">
      <c r="K7111" s="16">
        <f t="shared" si="110"/>
        <v>44312</v>
      </c>
      <c r="L7111" s="17">
        <v>0.20833333333333334</v>
      </c>
      <c r="M7111" s="14">
        <v>932</v>
      </c>
      <c r="N7111" s="14">
        <v>2532</v>
      </c>
      <c r="O7111" s="14">
        <v>0</v>
      </c>
      <c r="P7111" s="14">
        <v>3464</v>
      </c>
      <c r="Q7111">
        <v>9549</v>
      </c>
      <c r="R7111">
        <v>664</v>
      </c>
      <c r="S7111">
        <v>0</v>
      </c>
    </row>
    <row r="7112" spans="11:19" x14ac:dyDescent="0.3">
      <c r="K7112" s="16">
        <f t="shared" si="110"/>
        <v>44312</v>
      </c>
      <c r="L7112" s="17">
        <v>0.25</v>
      </c>
      <c r="M7112" s="14">
        <v>932</v>
      </c>
      <c r="N7112" s="14">
        <v>2808</v>
      </c>
      <c r="O7112" s="14">
        <v>0</v>
      </c>
      <c r="P7112" s="14">
        <v>3740</v>
      </c>
      <c r="Q7112">
        <v>10612</v>
      </c>
      <c r="R7112">
        <v>608</v>
      </c>
      <c r="S7112">
        <v>0</v>
      </c>
    </row>
    <row r="7113" spans="11:19" x14ac:dyDescent="0.3">
      <c r="K7113" s="16">
        <f t="shared" si="110"/>
        <v>44312</v>
      </c>
      <c r="L7113" s="17">
        <v>0.29166666666666669</v>
      </c>
      <c r="M7113" s="14">
        <v>932</v>
      </c>
      <c r="N7113" s="14">
        <v>2808</v>
      </c>
      <c r="O7113" s="14">
        <v>0</v>
      </c>
      <c r="P7113" s="14">
        <v>3740</v>
      </c>
      <c r="Q7113">
        <v>11394</v>
      </c>
      <c r="R7113">
        <v>586</v>
      </c>
      <c r="S7113">
        <v>111</v>
      </c>
    </row>
    <row r="7114" spans="11:19" x14ac:dyDescent="0.3">
      <c r="K7114" s="16">
        <f t="shared" si="110"/>
        <v>44312</v>
      </c>
      <c r="L7114" s="17">
        <v>0.33333333333333331</v>
      </c>
      <c r="M7114" s="14">
        <v>932</v>
      </c>
      <c r="N7114" s="14">
        <v>1722</v>
      </c>
      <c r="O7114" s="14">
        <v>0</v>
      </c>
      <c r="P7114" s="14">
        <v>2654</v>
      </c>
      <c r="Q7114">
        <v>11897</v>
      </c>
      <c r="R7114">
        <v>656</v>
      </c>
      <c r="S7114">
        <v>521</v>
      </c>
    </row>
    <row r="7115" spans="11:19" x14ac:dyDescent="0.3">
      <c r="K7115" s="16">
        <f t="shared" si="110"/>
        <v>44312</v>
      </c>
      <c r="L7115" s="17">
        <v>0.375</v>
      </c>
      <c r="M7115" s="14">
        <v>932</v>
      </c>
      <c r="N7115" s="14">
        <v>1208</v>
      </c>
      <c r="O7115" s="14">
        <v>0</v>
      </c>
      <c r="P7115" s="14">
        <v>2140</v>
      </c>
      <c r="Q7115">
        <v>12105</v>
      </c>
      <c r="R7115">
        <v>699</v>
      </c>
      <c r="S7115">
        <v>1204</v>
      </c>
    </row>
    <row r="7116" spans="11:19" x14ac:dyDescent="0.3">
      <c r="K7116" s="16">
        <f t="shared" si="110"/>
        <v>44312</v>
      </c>
      <c r="L7116" s="17">
        <v>0.41666666666666669</v>
      </c>
      <c r="M7116" s="14">
        <v>932</v>
      </c>
      <c r="N7116" s="14">
        <v>571</v>
      </c>
      <c r="O7116" s="14">
        <v>0</v>
      </c>
      <c r="P7116" s="14">
        <v>1503</v>
      </c>
      <c r="Q7116">
        <v>12084</v>
      </c>
      <c r="R7116">
        <v>828</v>
      </c>
      <c r="S7116">
        <v>1692</v>
      </c>
    </row>
    <row r="7117" spans="11:19" x14ac:dyDescent="0.3">
      <c r="K7117" s="16">
        <f t="shared" si="110"/>
        <v>44312</v>
      </c>
      <c r="L7117" s="17">
        <v>0.45833333333333331</v>
      </c>
      <c r="M7117" s="14">
        <v>932</v>
      </c>
      <c r="N7117" s="14">
        <v>29</v>
      </c>
      <c r="O7117" s="14">
        <v>0</v>
      </c>
      <c r="P7117" s="14">
        <v>961</v>
      </c>
      <c r="Q7117">
        <v>12102</v>
      </c>
      <c r="R7117">
        <v>1037</v>
      </c>
      <c r="S7117">
        <v>2042</v>
      </c>
    </row>
    <row r="7118" spans="11:19" x14ac:dyDescent="0.3">
      <c r="K7118" s="16">
        <f t="shared" si="110"/>
        <v>44312</v>
      </c>
      <c r="L7118" s="17">
        <v>0.5</v>
      </c>
      <c r="M7118" s="14">
        <v>932</v>
      </c>
      <c r="N7118" s="14">
        <v>0</v>
      </c>
      <c r="O7118" s="14">
        <v>0</v>
      </c>
      <c r="P7118" s="14">
        <v>932</v>
      </c>
      <c r="Q7118">
        <v>12154</v>
      </c>
      <c r="R7118">
        <v>1191</v>
      </c>
      <c r="S7118">
        <v>2132</v>
      </c>
    </row>
    <row r="7119" spans="11:19" x14ac:dyDescent="0.3">
      <c r="K7119" s="16">
        <f t="shared" si="110"/>
        <v>44312</v>
      </c>
      <c r="L7119" s="17">
        <v>0.54166666666666663</v>
      </c>
      <c r="M7119" s="14">
        <v>932</v>
      </c>
      <c r="N7119" s="14">
        <v>0</v>
      </c>
      <c r="O7119" s="14">
        <v>0</v>
      </c>
      <c r="P7119" s="14">
        <v>932</v>
      </c>
      <c r="Q7119">
        <v>12007</v>
      </c>
      <c r="R7119">
        <v>1442</v>
      </c>
      <c r="S7119">
        <v>2203</v>
      </c>
    </row>
    <row r="7120" spans="11:19" x14ac:dyDescent="0.3">
      <c r="K7120" s="16">
        <f t="shared" si="110"/>
        <v>44312</v>
      </c>
      <c r="L7120" s="17">
        <v>0.58333333333333337</v>
      </c>
      <c r="M7120" s="14">
        <v>932</v>
      </c>
      <c r="N7120" s="14">
        <v>1565</v>
      </c>
      <c r="O7120" s="14">
        <v>0</v>
      </c>
      <c r="P7120" s="14">
        <v>2497</v>
      </c>
      <c r="Q7120">
        <v>11685</v>
      </c>
      <c r="R7120">
        <v>1537</v>
      </c>
      <c r="S7120">
        <v>2212</v>
      </c>
    </row>
    <row r="7121" spans="11:19" x14ac:dyDescent="0.3">
      <c r="K7121" s="16">
        <f t="shared" si="110"/>
        <v>44312</v>
      </c>
      <c r="L7121" s="17">
        <v>0.625</v>
      </c>
      <c r="M7121" s="14">
        <v>932</v>
      </c>
      <c r="N7121" s="14">
        <v>1019</v>
      </c>
      <c r="O7121" s="14">
        <v>0</v>
      </c>
      <c r="P7121" s="14">
        <v>1951</v>
      </c>
      <c r="Q7121">
        <v>11245</v>
      </c>
      <c r="R7121">
        <v>1762</v>
      </c>
      <c r="S7121">
        <v>2093</v>
      </c>
    </row>
    <row r="7122" spans="11:19" x14ac:dyDescent="0.3">
      <c r="K7122" s="16">
        <f t="shared" si="110"/>
        <v>44312</v>
      </c>
      <c r="L7122" s="17">
        <v>0.66666666666666663</v>
      </c>
      <c r="M7122" s="14">
        <v>932</v>
      </c>
      <c r="N7122" s="14">
        <v>1032</v>
      </c>
      <c r="O7122" s="14">
        <v>0</v>
      </c>
      <c r="P7122" s="14">
        <v>1964</v>
      </c>
      <c r="Q7122">
        <v>11045</v>
      </c>
      <c r="R7122">
        <v>1775</v>
      </c>
      <c r="S7122">
        <v>1868</v>
      </c>
    </row>
    <row r="7123" spans="11:19" x14ac:dyDescent="0.3">
      <c r="K7123" s="16">
        <f t="shared" si="110"/>
        <v>44312</v>
      </c>
      <c r="L7123" s="17">
        <v>0.70833333333333337</v>
      </c>
      <c r="M7123" s="14">
        <v>932</v>
      </c>
      <c r="N7123" s="14">
        <v>0</v>
      </c>
      <c r="O7123" s="14">
        <v>0</v>
      </c>
      <c r="P7123" s="14">
        <v>932</v>
      </c>
      <c r="Q7123">
        <v>11015</v>
      </c>
      <c r="R7123">
        <v>2174</v>
      </c>
      <c r="S7123">
        <v>1459</v>
      </c>
    </row>
    <row r="7124" spans="11:19" x14ac:dyDescent="0.3">
      <c r="K7124" s="16">
        <f t="shared" si="110"/>
        <v>44312</v>
      </c>
      <c r="L7124" s="17">
        <v>0.75</v>
      </c>
      <c r="M7124" s="14">
        <v>932</v>
      </c>
      <c r="N7124" s="14">
        <v>1481</v>
      </c>
      <c r="O7124" s="14">
        <v>0</v>
      </c>
      <c r="P7124" s="14">
        <v>2413</v>
      </c>
      <c r="Q7124">
        <v>11428</v>
      </c>
      <c r="R7124">
        <v>1919</v>
      </c>
      <c r="S7124">
        <v>867</v>
      </c>
    </row>
    <row r="7125" spans="11:19" x14ac:dyDescent="0.3">
      <c r="K7125" s="16">
        <f t="shared" si="110"/>
        <v>44312</v>
      </c>
      <c r="L7125" s="17">
        <v>0.79166666666666663</v>
      </c>
      <c r="M7125" s="14">
        <v>932</v>
      </c>
      <c r="N7125" s="14">
        <v>1034</v>
      </c>
      <c r="O7125" s="14">
        <v>0</v>
      </c>
      <c r="P7125" s="14">
        <v>1966</v>
      </c>
      <c r="Q7125">
        <v>11770</v>
      </c>
      <c r="R7125">
        <v>1447</v>
      </c>
      <c r="S7125">
        <v>307</v>
      </c>
    </row>
    <row r="7126" spans="11:19" x14ac:dyDescent="0.3">
      <c r="K7126" s="16">
        <f t="shared" si="110"/>
        <v>44312</v>
      </c>
      <c r="L7126" s="17">
        <v>0.83333333333333337</v>
      </c>
      <c r="M7126" s="14">
        <v>932</v>
      </c>
      <c r="N7126" s="14">
        <v>2808</v>
      </c>
      <c r="O7126" s="14">
        <v>0</v>
      </c>
      <c r="P7126" s="14">
        <v>3740</v>
      </c>
      <c r="Q7126">
        <v>11349</v>
      </c>
      <c r="R7126">
        <v>1078</v>
      </c>
      <c r="S7126">
        <v>44</v>
      </c>
    </row>
    <row r="7127" spans="11:19" x14ac:dyDescent="0.3">
      <c r="K7127" s="16">
        <f t="shared" si="110"/>
        <v>44312</v>
      </c>
      <c r="L7127" s="17">
        <v>0.875</v>
      </c>
      <c r="M7127" s="14">
        <v>932</v>
      </c>
      <c r="N7127" s="14">
        <v>1329</v>
      </c>
      <c r="O7127" s="14">
        <v>0</v>
      </c>
      <c r="P7127" s="14">
        <v>2261</v>
      </c>
      <c r="Q7127">
        <v>11128</v>
      </c>
      <c r="R7127">
        <v>825</v>
      </c>
      <c r="S7127">
        <v>0</v>
      </c>
    </row>
    <row r="7128" spans="11:19" x14ac:dyDescent="0.3">
      <c r="K7128" s="16">
        <f t="shared" si="110"/>
        <v>44312</v>
      </c>
      <c r="L7128" s="17">
        <v>0.91666666666666663</v>
      </c>
      <c r="M7128" s="14">
        <v>932</v>
      </c>
      <c r="N7128" s="14">
        <v>1736</v>
      </c>
      <c r="O7128" s="14">
        <v>0</v>
      </c>
      <c r="P7128" s="14">
        <v>2668</v>
      </c>
      <c r="Q7128">
        <v>11347</v>
      </c>
      <c r="R7128">
        <v>639</v>
      </c>
      <c r="S7128">
        <v>0</v>
      </c>
    </row>
    <row r="7129" spans="11:19" x14ac:dyDescent="0.3">
      <c r="K7129" s="16">
        <f t="shared" si="110"/>
        <v>44312</v>
      </c>
      <c r="L7129" s="17">
        <v>0.95833333333333337</v>
      </c>
      <c r="M7129" s="14">
        <v>932</v>
      </c>
      <c r="N7129" s="14">
        <v>1988</v>
      </c>
      <c r="O7129" s="14">
        <v>0</v>
      </c>
      <c r="P7129" s="14">
        <v>2920</v>
      </c>
      <c r="Q7129">
        <v>11506</v>
      </c>
      <c r="R7129">
        <v>565</v>
      </c>
      <c r="S7129">
        <v>0</v>
      </c>
    </row>
    <row r="7130" spans="11:19" x14ac:dyDescent="0.3">
      <c r="K7130" s="16">
        <f t="shared" si="110"/>
        <v>44313</v>
      </c>
      <c r="L7130" s="17">
        <v>0</v>
      </c>
      <c r="M7130" s="14">
        <v>932</v>
      </c>
      <c r="N7130" s="14">
        <v>1443</v>
      </c>
      <c r="O7130" s="14">
        <v>0</v>
      </c>
      <c r="P7130" s="14">
        <v>2375</v>
      </c>
      <c r="Q7130">
        <v>11008</v>
      </c>
      <c r="R7130">
        <v>626</v>
      </c>
      <c r="S7130">
        <v>0</v>
      </c>
    </row>
    <row r="7131" spans="11:19" x14ac:dyDescent="0.3">
      <c r="K7131" s="16">
        <f t="shared" ref="K7131:K7194" si="111">K7107+1</f>
        <v>44313</v>
      </c>
      <c r="L7131" s="17">
        <v>4.1666666666666664E-2</v>
      </c>
      <c r="M7131" s="14">
        <v>932</v>
      </c>
      <c r="N7131" s="14">
        <v>1098</v>
      </c>
      <c r="O7131" s="14">
        <v>0</v>
      </c>
      <c r="P7131" s="14">
        <v>2030</v>
      </c>
      <c r="Q7131">
        <v>10715</v>
      </c>
      <c r="R7131">
        <v>678</v>
      </c>
      <c r="S7131">
        <v>0</v>
      </c>
    </row>
    <row r="7132" spans="11:19" x14ac:dyDescent="0.3">
      <c r="K7132" s="16">
        <f t="shared" si="111"/>
        <v>44313</v>
      </c>
      <c r="L7132" s="17">
        <v>8.3333333333333329E-2</v>
      </c>
      <c r="M7132" s="14">
        <v>932</v>
      </c>
      <c r="N7132" s="14">
        <v>855</v>
      </c>
      <c r="O7132" s="14">
        <v>0</v>
      </c>
      <c r="P7132" s="14">
        <v>1787</v>
      </c>
      <c r="Q7132">
        <v>10497</v>
      </c>
      <c r="R7132">
        <v>703</v>
      </c>
      <c r="S7132">
        <v>0</v>
      </c>
    </row>
    <row r="7133" spans="11:19" x14ac:dyDescent="0.3">
      <c r="K7133" s="16">
        <f t="shared" si="111"/>
        <v>44313</v>
      </c>
      <c r="L7133" s="17">
        <v>0.125</v>
      </c>
      <c r="M7133" s="14">
        <v>932</v>
      </c>
      <c r="N7133" s="14">
        <v>3092</v>
      </c>
      <c r="O7133" s="14">
        <v>0</v>
      </c>
      <c r="P7133" s="14">
        <v>4024</v>
      </c>
      <c r="Q7133">
        <v>10156</v>
      </c>
      <c r="R7133">
        <v>662</v>
      </c>
      <c r="S7133">
        <v>0</v>
      </c>
    </row>
    <row r="7134" spans="11:19" x14ac:dyDescent="0.3">
      <c r="K7134" s="16">
        <f t="shared" si="111"/>
        <v>44313</v>
      </c>
      <c r="L7134" s="17">
        <v>0.16666666666666666</v>
      </c>
      <c r="M7134" s="14">
        <v>932</v>
      </c>
      <c r="N7134" s="14">
        <v>525</v>
      </c>
      <c r="O7134" s="14">
        <v>0</v>
      </c>
      <c r="P7134" s="14">
        <v>1457</v>
      </c>
      <c r="Q7134">
        <v>10120</v>
      </c>
      <c r="R7134">
        <v>644</v>
      </c>
      <c r="S7134">
        <v>0</v>
      </c>
    </row>
    <row r="7135" spans="11:19" x14ac:dyDescent="0.3">
      <c r="K7135" s="16">
        <f t="shared" si="111"/>
        <v>44313</v>
      </c>
      <c r="L7135" s="17">
        <v>0.20833333333333334</v>
      </c>
      <c r="M7135" s="14">
        <v>932</v>
      </c>
      <c r="N7135" s="14">
        <v>3588</v>
      </c>
      <c r="O7135" s="14">
        <v>0</v>
      </c>
      <c r="P7135" s="14">
        <v>4520</v>
      </c>
      <c r="Q7135">
        <v>10667</v>
      </c>
      <c r="R7135">
        <v>650</v>
      </c>
      <c r="S7135">
        <v>0</v>
      </c>
    </row>
    <row r="7136" spans="11:19" x14ac:dyDescent="0.3">
      <c r="K7136" s="16">
        <f t="shared" si="111"/>
        <v>44313</v>
      </c>
      <c r="L7136" s="17">
        <v>0.25</v>
      </c>
      <c r="M7136" s="14">
        <v>932</v>
      </c>
      <c r="N7136" s="14">
        <v>2002</v>
      </c>
      <c r="O7136" s="14">
        <v>0</v>
      </c>
      <c r="P7136" s="14">
        <v>2934</v>
      </c>
      <c r="Q7136">
        <v>11642</v>
      </c>
      <c r="R7136">
        <v>649</v>
      </c>
      <c r="S7136">
        <v>2</v>
      </c>
    </row>
    <row r="7137" spans="11:19" x14ac:dyDescent="0.3">
      <c r="K7137" s="16">
        <f t="shared" si="111"/>
        <v>44313</v>
      </c>
      <c r="L7137" s="17">
        <v>0.29166666666666669</v>
      </c>
      <c r="M7137" s="14">
        <v>932</v>
      </c>
      <c r="N7137" s="14">
        <v>2660</v>
      </c>
      <c r="O7137" s="14">
        <v>0</v>
      </c>
      <c r="P7137" s="14">
        <v>3592</v>
      </c>
      <c r="Q7137">
        <v>12361</v>
      </c>
      <c r="R7137">
        <v>594</v>
      </c>
      <c r="S7137">
        <v>113</v>
      </c>
    </row>
    <row r="7138" spans="11:19" x14ac:dyDescent="0.3">
      <c r="K7138" s="16">
        <f t="shared" si="111"/>
        <v>44313</v>
      </c>
      <c r="L7138" s="17">
        <v>0.33333333333333331</v>
      </c>
      <c r="M7138" s="14">
        <v>932</v>
      </c>
      <c r="N7138" s="14">
        <v>2550</v>
      </c>
      <c r="O7138" s="14">
        <v>0</v>
      </c>
      <c r="P7138" s="14">
        <v>3482</v>
      </c>
      <c r="Q7138">
        <v>12667</v>
      </c>
      <c r="R7138">
        <v>605</v>
      </c>
      <c r="S7138">
        <v>519</v>
      </c>
    </row>
    <row r="7139" spans="11:19" x14ac:dyDescent="0.3">
      <c r="K7139" s="16">
        <f t="shared" si="111"/>
        <v>44313</v>
      </c>
      <c r="L7139" s="17">
        <v>0.375</v>
      </c>
      <c r="M7139" s="14">
        <v>932</v>
      </c>
      <c r="N7139" s="14">
        <v>1871</v>
      </c>
      <c r="O7139" s="14">
        <v>0</v>
      </c>
      <c r="P7139" s="14">
        <v>2803</v>
      </c>
      <c r="Q7139">
        <v>12662</v>
      </c>
      <c r="R7139">
        <v>650</v>
      </c>
      <c r="S7139">
        <v>1152</v>
      </c>
    </row>
    <row r="7140" spans="11:19" x14ac:dyDescent="0.3">
      <c r="K7140" s="16">
        <f t="shared" si="111"/>
        <v>44313</v>
      </c>
      <c r="L7140" s="17">
        <v>0.41666666666666669</v>
      </c>
      <c r="M7140" s="14">
        <v>932</v>
      </c>
      <c r="N7140" s="14">
        <v>3674</v>
      </c>
      <c r="O7140" s="14">
        <v>0</v>
      </c>
      <c r="P7140" s="14">
        <v>4606</v>
      </c>
      <c r="Q7140">
        <v>12477</v>
      </c>
      <c r="R7140">
        <v>706</v>
      </c>
      <c r="S7140">
        <v>1649</v>
      </c>
    </row>
    <row r="7141" spans="11:19" x14ac:dyDescent="0.3">
      <c r="K7141" s="16">
        <f t="shared" si="111"/>
        <v>44313</v>
      </c>
      <c r="L7141" s="17">
        <v>0.45833333333333331</v>
      </c>
      <c r="M7141" s="14">
        <v>932</v>
      </c>
      <c r="N7141" s="14">
        <v>800</v>
      </c>
      <c r="O7141" s="14">
        <v>0</v>
      </c>
      <c r="P7141" s="14">
        <v>1732</v>
      </c>
      <c r="Q7141">
        <v>12390</v>
      </c>
      <c r="R7141">
        <v>699</v>
      </c>
      <c r="S7141">
        <v>1902</v>
      </c>
    </row>
    <row r="7142" spans="11:19" x14ac:dyDescent="0.3">
      <c r="K7142" s="16">
        <f t="shared" si="111"/>
        <v>44313</v>
      </c>
      <c r="L7142" s="17">
        <v>0.5</v>
      </c>
      <c r="M7142" s="14">
        <v>932</v>
      </c>
      <c r="N7142" s="14">
        <v>3166</v>
      </c>
      <c r="O7142" s="14">
        <v>0</v>
      </c>
      <c r="P7142" s="14">
        <v>4098</v>
      </c>
      <c r="Q7142">
        <v>12329</v>
      </c>
      <c r="R7142">
        <v>722</v>
      </c>
      <c r="S7142">
        <v>1992</v>
      </c>
    </row>
    <row r="7143" spans="11:19" x14ac:dyDescent="0.3">
      <c r="K7143" s="16">
        <f t="shared" si="111"/>
        <v>44313</v>
      </c>
      <c r="L7143" s="17">
        <v>0.54166666666666663</v>
      </c>
      <c r="M7143" s="14">
        <v>932</v>
      </c>
      <c r="N7143" s="14">
        <v>2752</v>
      </c>
      <c r="O7143" s="14">
        <v>0</v>
      </c>
      <c r="P7143" s="14">
        <v>3684</v>
      </c>
      <c r="Q7143">
        <v>12092</v>
      </c>
      <c r="R7143">
        <v>825</v>
      </c>
      <c r="S7143">
        <v>2068</v>
      </c>
    </row>
    <row r="7144" spans="11:19" x14ac:dyDescent="0.3">
      <c r="K7144" s="16">
        <f t="shared" si="111"/>
        <v>44313</v>
      </c>
      <c r="L7144" s="17">
        <v>0.58333333333333337</v>
      </c>
      <c r="M7144" s="14">
        <v>932</v>
      </c>
      <c r="N7144" s="14">
        <v>0</v>
      </c>
      <c r="O7144" s="14">
        <v>0</v>
      </c>
      <c r="P7144" s="14">
        <v>932</v>
      </c>
      <c r="Q7144">
        <v>11757</v>
      </c>
      <c r="R7144">
        <v>939</v>
      </c>
      <c r="S7144">
        <v>2023</v>
      </c>
    </row>
    <row r="7145" spans="11:19" x14ac:dyDescent="0.3">
      <c r="K7145" s="16">
        <f t="shared" si="111"/>
        <v>44313</v>
      </c>
      <c r="L7145" s="17">
        <v>0.625</v>
      </c>
      <c r="M7145" s="14">
        <v>932</v>
      </c>
      <c r="N7145" s="14">
        <v>1754</v>
      </c>
      <c r="O7145" s="14">
        <v>0</v>
      </c>
      <c r="P7145" s="14">
        <v>2686</v>
      </c>
      <c r="Q7145">
        <v>11341</v>
      </c>
      <c r="R7145">
        <v>1212</v>
      </c>
      <c r="S7145">
        <v>1928</v>
      </c>
    </row>
    <row r="7146" spans="11:19" x14ac:dyDescent="0.3">
      <c r="K7146" s="16">
        <f t="shared" si="111"/>
        <v>44313</v>
      </c>
      <c r="L7146" s="17">
        <v>0.66666666666666663</v>
      </c>
      <c r="M7146" s="14">
        <v>932</v>
      </c>
      <c r="N7146" s="14">
        <v>0</v>
      </c>
      <c r="O7146" s="14">
        <v>0</v>
      </c>
      <c r="P7146" s="14">
        <v>932</v>
      </c>
      <c r="Q7146">
        <v>11091</v>
      </c>
      <c r="R7146">
        <v>1273</v>
      </c>
      <c r="S7146">
        <v>1742</v>
      </c>
    </row>
    <row r="7147" spans="11:19" x14ac:dyDescent="0.3">
      <c r="K7147" s="16">
        <f t="shared" si="111"/>
        <v>44313</v>
      </c>
      <c r="L7147" s="17">
        <v>0.70833333333333337</v>
      </c>
      <c r="M7147" s="14">
        <v>932</v>
      </c>
      <c r="N7147" s="14">
        <v>0</v>
      </c>
      <c r="O7147" s="14">
        <v>0</v>
      </c>
      <c r="P7147" s="14">
        <v>932</v>
      </c>
      <c r="Q7147">
        <v>11021</v>
      </c>
      <c r="R7147">
        <v>1619</v>
      </c>
      <c r="S7147">
        <v>1363</v>
      </c>
    </row>
    <row r="7148" spans="11:19" x14ac:dyDescent="0.3">
      <c r="K7148" s="16">
        <f t="shared" si="111"/>
        <v>44313</v>
      </c>
      <c r="L7148" s="17">
        <v>0.75</v>
      </c>
      <c r="M7148" s="14">
        <v>932</v>
      </c>
      <c r="N7148" s="14">
        <v>2633</v>
      </c>
      <c r="O7148" s="14">
        <v>0</v>
      </c>
      <c r="P7148" s="14">
        <v>3565</v>
      </c>
      <c r="Q7148">
        <v>11427</v>
      </c>
      <c r="R7148">
        <v>1549</v>
      </c>
      <c r="S7148">
        <v>802</v>
      </c>
    </row>
    <row r="7149" spans="11:19" x14ac:dyDescent="0.3">
      <c r="K7149" s="16">
        <f t="shared" si="111"/>
        <v>44313</v>
      </c>
      <c r="L7149" s="17">
        <v>0.79166666666666663</v>
      </c>
      <c r="M7149" s="14">
        <v>932</v>
      </c>
      <c r="N7149" s="14">
        <v>1081</v>
      </c>
      <c r="O7149" s="14">
        <v>0</v>
      </c>
      <c r="P7149" s="14">
        <v>2013</v>
      </c>
      <c r="Q7149">
        <v>11633</v>
      </c>
      <c r="R7149">
        <v>1276</v>
      </c>
      <c r="S7149">
        <v>299</v>
      </c>
    </row>
    <row r="7150" spans="11:19" x14ac:dyDescent="0.3">
      <c r="K7150" s="16">
        <f t="shared" si="111"/>
        <v>44313</v>
      </c>
      <c r="L7150" s="17">
        <v>0.83333333333333337</v>
      </c>
      <c r="M7150" s="14">
        <v>932</v>
      </c>
      <c r="N7150" s="14">
        <v>3786</v>
      </c>
      <c r="O7150" s="14">
        <v>0</v>
      </c>
      <c r="P7150" s="14">
        <v>4718</v>
      </c>
      <c r="Q7150">
        <v>11197</v>
      </c>
      <c r="R7150">
        <v>886</v>
      </c>
      <c r="S7150">
        <v>47</v>
      </c>
    </row>
    <row r="7151" spans="11:19" x14ac:dyDescent="0.3">
      <c r="K7151" s="16">
        <f t="shared" si="111"/>
        <v>44313</v>
      </c>
      <c r="L7151" s="17">
        <v>0.875</v>
      </c>
      <c r="M7151" s="14">
        <v>932</v>
      </c>
      <c r="N7151" s="14">
        <v>1444</v>
      </c>
      <c r="O7151" s="14">
        <v>0</v>
      </c>
      <c r="P7151" s="14">
        <v>2376</v>
      </c>
      <c r="Q7151">
        <v>11105</v>
      </c>
      <c r="R7151">
        <v>691</v>
      </c>
      <c r="S7151">
        <v>0</v>
      </c>
    </row>
    <row r="7152" spans="11:19" x14ac:dyDescent="0.3">
      <c r="K7152" s="16">
        <f t="shared" si="111"/>
        <v>44313</v>
      </c>
      <c r="L7152" s="17">
        <v>0.91666666666666663</v>
      </c>
      <c r="M7152" s="14">
        <v>932</v>
      </c>
      <c r="N7152" s="14">
        <v>1868</v>
      </c>
      <c r="O7152" s="14">
        <v>0</v>
      </c>
      <c r="P7152" s="14">
        <v>2800</v>
      </c>
      <c r="Q7152">
        <v>11363</v>
      </c>
      <c r="R7152">
        <v>527</v>
      </c>
      <c r="S7152">
        <v>0</v>
      </c>
    </row>
    <row r="7153" spans="11:19" x14ac:dyDescent="0.3">
      <c r="K7153" s="16">
        <f t="shared" si="111"/>
        <v>44313</v>
      </c>
      <c r="L7153" s="17">
        <v>0.95833333333333337</v>
      </c>
      <c r="M7153" s="14">
        <v>932</v>
      </c>
      <c r="N7153" s="14">
        <v>2056</v>
      </c>
      <c r="O7153" s="14">
        <v>0</v>
      </c>
      <c r="P7153" s="14">
        <v>2988</v>
      </c>
      <c r="Q7153">
        <v>11538</v>
      </c>
      <c r="R7153">
        <v>532</v>
      </c>
      <c r="S7153">
        <v>0</v>
      </c>
    </row>
    <row r="7154" spans="11:19" x14ac:dyDescent="0.3">
      <c r="K7154" s="16">
        <f t="shared" si="111"/>
        <v>44314</v>
      </c>
      <c r="L7154" s="17">
        <v>0</v>
      </c>
      <c r="M7154" s="14">
        <v>932</v>
      </c>
      <c r="N7154" s="14">
        <v>379</v>
      </c>
      <c r="O7154" s="14">
        <v>1200</v>
      </c>
      <c r="P7154" s="14">
        <v>2511</v>
      </c>
      <c r="Q7154">
        <v>11103</v>
      </c>
      <c r="R7154">
        <v>586</v>
      </c>
      <c r="S7154">
        <v>0</v>
      </c>
    </row>
    <row r="7155" spans="11:19" x14ac:dyDescent="0.3">
      <c r="K7155" s="16">
        <f t="shared" si="111"/>
        <v>44314</v>
      </c>
      <c r="L7155" s="17">
        <v>4.1666666666666664E-2</v>
      </c>
      <c r="M7155" s="14">
        <v>932</v>
      </c>
      <c r="N7155" s="14">
        <v>167</v>
      </c>
      <c r="O7155" s="14">
        <v>1200</v>
      </c>
      <c r="P7155" s="14">
        <v>2299</v>
      </c>
      <c r="Q7155">
        <v>10818</v>
      </c>
      <c r="R7155">
        <v>513</v>
      </c>
      <c r="S7155">
        <v>0</v>
      </c>
    </row>
    <row r="7156" spans="11:19" x14ac:dyDescent="0.3">
      <c r="K7156" s="16">
        <f t="shared" si="111"/>
        <v>44314</v>
      </c>
      <c r="L7156" s="17">
        <v>8.3333333333333329E-2</v>
      </c>
      <c r="M7156" s="14">
        <v>932</v>
      </c>
      <c r="N7156" s="14">
        <v>1569</v>
      </c>
      <c r="O7156" s="14">
        <v>0</v>
      </c>
      <c r="P7156" s="14">
        <v>2501</v>
      </c>
      <c r="Q7156">
        <v>10604</v>
      </c>
      <c r="R7156">
        <v>672</v>
      </c>
      <c r="S7156">
        <v>0</v>
      </c>
    </row>
    <row r="7157" spans="11:19" x14ac:dyDescent="0.3">
      <c r="K7157" s="16">
        <f t="shared" si="111"/>
        <v>44314</v>
      </c>
      <c r="L7157" s="17">
        <v>0.125</v>
      </c>
      <c r="M7157" s="14">
        <v>932</v>
      </c>
      <c r="N7157" s="14">
        <v>551</v>
      </c>
      <c r="O7157" s="14">
        <v>0</v>
      </c>
      <c r="P7157" s="14">
        <v>1483</v>
      </c>
      <c r="Q7157">
        <v>10259</v>
      </c>
      <c r="R7157">
        <v>767</v>
      </c>
      <c r="S7157">
        <v>0</v>
      </c>
    </row>
    <row r="7158" spans="11:19" x14ac:dyDescent="0.3">
      <c r="K7158" s="16">
        <f t="shared" si="111"/>
        <v>44314</v>
      </c>
      <c r="L7158" s="17">
        <v>0.16666666666666666</v>
      </c>
      <c r="M7158" s="14">
        <v>932</v>
      </c>
      <c r="N7158" s="14">
        <v>1569</v>
      </c>
      <c r="O7158" s="14">
        <v>0</v>
      </c>
      <c r="P7158" s="14">
        <v>2501</v>
      </c>
      <c r="Q7158">
        <v>10217</v>
      </c>
      <c r="R7158">
        <v>1068</v>
      </c>
      <c r="S7158">
        <v>0</v>
      </c>
    </row>
    <row r="7159" spans="11:19" x14ac:dyDescent="0.3">
      <c r="K7159" s="16">
        <f t="shared" si="111"/>
        <v>44314</v>
      </c>
      <c r="L7159" s="17">
        <v>0.20833333333333334</v>
      </c>
      <c r="M7159" s="14">
        <v>932</v>
      </c>
      <c r="N7159" s="14">
        <v>0</v>
      </c>
      <c r="O7159" s="14">
        <v>505</v>
      </c>
      <c r="P7159" s="14">
        <v>1437</v>
      </c>
      <c r="Q7159">
        <v>10762</v>
      </c>
      <c r="R7159">
        <v>1289</v>
      </c>
      <c r="S7159">
        <v>0</v>
      </c>
    </row>
    <row r="7160" spans="11:19" x14ac:dyDescent="0.3">
      <c r="K7160" s="16">
        <f t="shared" si="111"/>
        <v>44314</v>
      </c>
      <c r="L7160" s="17">
        <v>0.25</v>
      </c>
      <c r="M7160" s="14">
        <v>932</v>
      </c>
      <c r="N7160" s="14">
        <v>1038</v>
      </c>
      <c r="O7160" s="14">
        <v>257</v>
      </c>
      <c r="P7160" s="14">
        <v>2227</v>
      </c>
      <c r="Q7160">
        <v>11735</v>
      </c>
      <c r="R7160">
        <v>1448</v>
      </c>
      <c r="S7160">
        <v>4</v>
      </c>
    </row>
    <row r="7161" spans="11:19" x14ac:dyDescent="0.3">
      <c r="K7161" s="16">
        <f t="shared" si="111"/>
        <v>44314</v>
      </c>
      <c r="L7161" s="17">
        <v>0.29166666666666669</v>
      </c>
      <c r="M7161" s="14">
        <v>932</v>
      </c>
      <c r="N7161" s="14">
        <v>1569</v>
      </c>
      <c r="O7161" s="14">
        <v>96</v>
      </c>
      <c r="P7161" s="14">
        <v>2597</v>
      </c>
      <c r="Q7161">
        <v>12453</v>
      </c>
      <c r="R7161">
        <v>1666</v>
      </c>
      <c r="S7161">
        <v>129</v>
      </c>
    </row>
    <row r="7162" spans="11:19" x14ac:dyDescent="0.3">
      <c r="K7162" s="16">
        <f t="shared" si="111"/>
        <v>44314</v>
      </c>
      <c r="L7162" s="17">
        <v>0.33333333333333331</v>
      </c>
      <c r="M7162" s="14">
        <v>932</v>
      </c>
      <c r="N7162" s="14">
        <v>0</v>
      </c>
      <c r="O7162" s="14">
        <v>977</v>
      </c>
      <c r="P7162" s="14">
        <v>1909</v>
      </c>
      <c r="Q7162">
        <v>12751</v>
      </c>
      <c r="R7162">
        <v>2198</v>
      </c>
      <c r="S7162">
        <v>584</v>
      </c>
    </row>
    <row r="7163" spans="11:19" x14ac:dyDescent="0.3">
      <c r="K7163" s="16">
        <f t="shared" si="111"/>
        <v>44314</v>
      </c>
      <c r="L7163" s="17">
        <v>0.375</v>
      </c>
      <c r="M7163" s="14">
        <v>932</v>
      </c>
      <c r="N7163" s="14">
        <v>0</v>
      </c>
      <c r="O7163" s="14">
        <v>0</v>
      </c>
      <c r="P7163" s="14">
        <v>932</v>
      </c>
      <c r="Q7163">
        <v>12704</v>
      </c>
      <c r="R7163">
        <v>2497</v>
      </c>
      <c r="S7163">
        <v>1275</v>
      </c>
    </row>
    <row r="7164" spans="11:19" x14ac:dyDescent="0.3">
      <c r="K7164" s="16">
        <f t="shared" si="111"/>
        <v>44314</v>
      </c>
      <c r="L7164" s="17">
        <v>0.41666666666666669</v>
      </c>
      <c r="M7164" s="14">
        <v>932</v>
      </c>
      <c r="N7164" s="14">
        <v>1569</v>
      </c>
      <c r="O7164" s="14">
        <v>0</v>
      </c>
      <c r="P7164" s="14">
        <v>2501</v>
      </c>
      <c r="Q7164">
        <v>12452</v>
      </c>
      <c r="R7164">
        <v>2767</v>
      </c>
      <c r="S7164">
        <v>1803</v>
      </c>
    </row>
    <row r="7165" spans="11:19" x14ac:dyDescent="0.3">
      <c r="K7165" s="16">
        <f t="shared" si="111"/>
        <v>44314</v>
      </c>
      <c r="L7165" s="17">
        <v>0.45833333333333331</v>
      </c>
      <c r="M7165" s="14">
        <v>932</v>
      </c>
      <c r="N7165" s="14">
        <v>709</v>
      </c>
      <c r="O7165" s="14">
        <v>0</v>
      </c>
      <c r="P7165" s="14">
        <v>1641</v>
      </c>
      <c r="Q7165">
        <v>12259</v>
      </c>
      <c r="R7165">
        <v>3156</v>
      </c>
      <c r="S7165">
        <v>2186</v>
      </c>
    </row>
    <row r="7166" spans="11:19" x14ac:dyDescent="0.3">
      <c r="K7166" s="16">
        <f t="shared" si="111"/>
        <v>44314</v>
      </c>
      <c r="L7166" s="17">
        <v>0.5</v>
      </c>
      <c r="M7166" s="14">
        <v>932</v>
      </c>
      <c r="N7166" s="14">
        <v>0</v>
      </c>
      <c r="O7166" s="14">
        <v>0</v>
      </c>
      <c r="P7166" s="14">
        <v>932</v>
      </c>
      <c r="Q7166">
        <v>12062</v>
      </c>
      <c r="R7166">
        <v>3229</v>
      </c>
      <c r="S7166">
        <v>2387</v>
      </c>
    </row>
    <row r="7167" spans="11:19" x14ac:dyDescent="0.3">
      <c r="K7167" s="16">
        <f t="shared" si="111"/>
        <v>44314</v>
      </c>
      <c r="L7167" s="17">
        <v>0.54166666666666663</v>
      </c>
      <c r="M7167" s="14">
        <v>932</v>
      </c>
      <c r="N7167" s="14">
        <v>0</v>
      </c>
      <c r="O7167" s="14">
        <v>-444</v>
      </c>
      <c r="P7167" s="14">
        <v>488</v>
      </c>
      <c r="Q7167">
        <v>11719</v>
      </c>
      <c r="R7167">
        <v>3462</v>
      </c>
      <c r="S7167">
        <v>2495</v>
      </c>
    </row>
    <row r="7168" spans="11:19" x14ac:dyDescent="0.3">
      <c r="K7168" s="16">
        <f t="shared" si="111"/>
        <v>44314</v>
      </c>
      <c r="L7168" s="17">
        <v>0.58333333333333337</v>
      </c>
      <c r="M7168" s="14">
        <v>932</v>
      </c>
      <c r="N7168" s="14">
        <v>0</v>
      </c>
      <c r="O7168" s="14">
        <v>-906</v>
      </c>
      <c r="P7168" s="14">
        <v>26</v>
      </c>
      <c r="Q7168">
        <v>11305</v>
      </c>
      <c r="R7168">
        <v>3614</v>
      </c>
      <c r="S7168">
        <v>2391</v>
      </c>
    </row>
    <row r="7169" spans="11:19" x14ac:dyDescent="0.3">
      <c r="K7169" s="16">
        <f t="shared" si="111"/>
        <v>44314</v>
      </c>
      <c r="L7169" s="17">
        <v>0.625</v>
      </c>
      <c r="M7169" s="14">
        <v>932</v>
      </c>
      <c r="N7169" s="14">
        <v>0</v>
      </c>
      <c r="O7169" s="14">
        <v>-1200</v>
      </c>
      <c r="P7169" s="14">
        <v>-268</v>
      </c>
      <c r="Q7169">
        <v>10799</v>
      </c>
      <c r="R7169">
        <v>3756</v>
      </c>
      <c r="S7169">
        <v>2256</v>
      </c>
    </row>
    <row r="7170" spans="11:19" x14ac:dyDescent="0.3">
      <c r="K7170" s="16">
        <f t="shared" si="111"/>
        <v>44314</v>
      </c>
      <c r="L7170" s="17">
        <v>0.66666666666666663</v>
      </c>
      <c r="M7170" s="14">
        <v>932</v>
      </c>
      <c r="N7170" s="14">
        <v>0</v>
      </c>
      <c r="O7170" s="14">
        <v>-1200</v>
      </c>
      <c r="P7170" s="14">
        <v>-268</v>
      </c>
      <c r="Q7170">
        <v>10454</v>
      </c>
      <c r="R7170">
        <v>3753</v>
      </c>
      <c r="S7170">
        <v>1972</v>
      </c>
    </row>
    <row r="7171" spans="11:19" x14ac:dyDescent="0.3">
      <c r="K7171" s="16">
        <f t="shared" si="111"/>
        <v>44314</v>
      </c>
      <c r="L7171" s="17">
        <v>0.70833333333333337</v>
      </c>
      <c r="M7171" s="14">
        <v>932</v>
      </c>
      <c r="N7171" s="14">
        <v>0</v>
      </c>
      <c r="O7171" s="14">
        <v>-1200</v>
      </c>
      <c r="P7171" s="14">
        <v>-268</v>
      </c>
      <c r="Q7171">
        <v>10321</v>
      </c>
      <c r="R7171">
        <v>3896</v>
      </c>
      <c r="S7171">
        <v>1523</v>
      </c>
    </row>
    <row r="7172" spans="11:19" x14ac:dyDescent="0.3">
      <c r="K7172" s="16">
        <f t="shared" si="111"/>
        <v>44314</v>
      </c>
      <c r="L7172" s="17">
        <v>0.75</v>
      </c>
      <c r="M7172" s="14">
        <v>932</v>
      </c>
      <c r="N7172" s="14">
        <v>0</v>
      </c>
      <c r="O7172" s="14">
        <v>-342</v>
      </c>
      <c r="P7172" s="14">
        <v>590</v>
      </c>
      <c r="Q7172">
        <v>10663</v>
      </c>
      <c r="R7172">
        <v>3944</v>
      </c>
      <c r="S7172">
        <v>940</v>
      </c>
    </row>
    <row r="7173" spans="11:19" x14ac:dyDescent="0.3">
      <c r="K7173" s="16">
        <f t="shared" si="111"/>
        <v>44314</v>
      </c>
      <c r="L7173" s="17">
        <v>0.79166666666666663</v>
      </c>
      <c r="M7173" s="14">
        <v>932</v>
      </c>
      <c r="N7173" s="14">
        <v>0</v>
      </c>
      <c r="O7173" s="14">
        <v>0</v>
      </c>
      <c r="P7173" s="14">
        <v>932</v>
      </c>
      <c r="Q7173">
        <v>10700</v>
      </c>
      <c r="R7173">
        <v>3924</v>
      </c>
      <c r="S7173">
        <v>366</v>
      </c>
    </row>
    <row r="7174" spans="11:19" x14ac:dyDescent="0.3">
      <c r="K7174" s="16">
        <f t="shared" si="111"/>
        <v>44314</v>
      </c>
      <c r="L7174" s="17">
        <v>0.83333333333333337</v>
      </c>
      <c r="M7174" s="14">
        <v>932</v>
      </c>
      <c r="N7174" s="14">
        <v>0</v>
      </c>
      <c r="O7174" s="14">
        <v>0</v>
      </c>
      <c r="P7174" s="14">
        <v>932</v>
      </c>
      <c r="Q7174">
        <v>10308</v>
      </c>
      <c r="R7174">
        <v>3818</v>
      </c>
      <c r="S7174">
        <v>54</v>
      </c>
    </row>
    <row r="7175" spans="11:19" x14ac:dyDescent="0.3">
      <c r="K7175" s="16">
        <f t="shared" si="111"/>
        <v>44314</v>
      </c>
      <c r="L7175" s="17">
        <v>0.875</v>
      </c>
      <c r="M7175" s="14">
        <v>932</v>
      </c>
      <c r="N7175" s="14">
        <v>0</v>
      </c>
      <c r="O7175" s="14">
        <v>0</v>
      </c>
      <c r="P7175" s="14">
        <v>932</v>
      </c>
      <c r="Q7175">
        <v>10302</v>
      </c>
      <c r="R7175">
        <v>3845</v>
      </c>
      <c r="S7175">
        <v>0</v>
      </c>
    </row>
    <row r="7176" spans="11:19" x14ac:dyDescent="0.3">
      <c r="K7176" s="16">
        <f t="shared" si="111"/>
        <v>44314</v>
      </c>
      <c r="L7176" s="17">
        <v>0.91666666666666663</v>
      </c>
      <c r="M7176" s="14">
        <v>932</v>
      </c>
      <c r="N7176" s="14">
        <v>0</v>
      </c>
      <c r="O7176" s="14">
        <v>0</v>
      </c>
      <c r="P7176" s="14">
        <v>932</v>
      </c>
      <c r="Q7176">
        <v>10497</v>
      </c>
      <c r="R7176">
        <v>3753</v>
      </c>
      <c r="S7176">
        <v>0</v>
      </c>
    </row>
    <row r="7177" spans="11:19" x14ac:dyDescent="0.3">
      <c r="K7177" s="16">
        <f t="shared" si="111"/>
        <v>44314</v>
      </c>
      <c r="L7177" s="17">
        <v>0.95833333333333337</v>
      </c>
      <c r="M7177" s="14">
        <v>932</v>
      </c>
      <c r="N7177" s="14">
        <v>858</v>
      </c>
      <c r="O7177" s="14">
        <v>0</v>
      </c>
      <c r="P7177" s="14">
        <v>1790</v>
      </c>
      <c r="Q7177">
        <v>10619</v>
      </c>
      <c r="R7177">
        <v>3593</v>
      </c>
      <c r="S7177">
        <v>0</v>
      </c>
    </row>
    <row r="7178" spans="11:19" x14ac:dyDescent="0.3">
      <c r="K7178" s="16">
        <f t="shared" si="111"/>
        <v>44315</v>
      </c>
      <c r="L7178" s="17">
        <v>0</v>
      </c>
      <c r="M7178" s="14">
        <v>932</v>
      </c>
      <c r="N7178" s="14">
        <v>0</v>
      </c>
      <c r="O7178" s="14">
        <v>561</v>
      </c>
      <c r="P7178" s="14">
        <v>1493</v>
      </c>
      <c r="Q7178">
        <v>10109</v>
      </c>
      <c r="R7178">
        <v>3388</v>
      </c>
      <c r="S7178">
        <v>0</v>
      </c>
    </row>
    <row r="7179" spans="11:19" x14ac:dyDescent="0.3">
      <c r="K7179" s="16">
        <f t="shared" si="111"/>
        <v>44315</v>
      </c>
      <c r="L7179" s="17">
        <v>4.1666666666666664E-2</v>
      </c>
      <c r="M7179" s="14">
        <v>932</v>
      </c>
      <c r="N7179" s="14">
        <v>0</v>
      </c>
      <c r="O7179" s="14">
        <v>458</v>
      </c>
      <c r="P7179" s="14">
        <v>1390</v>
      </c>
      <c r="Q7179">
        <v>9738</v>
      </c>
      <c r="R7179">
        <v>3280</v>
      </c>
      <c r="S7179">
        <v>0</v>
      </c>
    </row>
    <row r="7180" spans="11:19" x14ac:dyDescent="0.3">
      <c r="K7180" s="16">
        <f t="shared" si="111"/>
        <v>44315</v>
      </c>
      <c r="L7180" s="17">
        <v>8.3333333333333329E-2</v>
      </c>
      <c r="M7180" s="14">
        <v>932</v>
      </c>
      <c r="N7180" s="14">
        <v>0</v>
      </c>
      <c r="O7180" s="14">
        <v>143</v>
      </c>
      <c r="P7180" s="14">
        <v>1075</v>
      </c>
      <c r="Q7180">
        <v>9435</v>
      </c>
      <c r="R7180">
        <v>3292</v>
      </c>
      <c r="S7180">
        <v>0</v>
      </c>
    </row>
    <row r="7181" spans="11:19" x14ac:dyDescent="0.3">
      <c r="K7181" s="16">
        <f t="shared" si="111"/>
        <v>44315</v>
      </c>
      <c r="L7181" s="17">
        <v>0.125</v>
      </c>
      <c r="M7181" s="14">
        <v>932</v>
      </c>
      <c r="N7181" s="14">
        <v>0</v>
      </c>
      <c r="O7181" s="14">
        <v>-438</v>
      </c>
      <c r="P7181" s="14">
        <v>494</v>
      </c>
      <c r="Q7181">
        <v>9016</v>
      </c>
      <c r="R7181">
        <v>3451</v>
      </c>
      <c r="S7181">
        <v>0</v>
      </c>
    </row>
    <row r="7182" spans="11:19" x14ac:dyDescent="0.3">
      <c r="K7182" s="16">
        <f t="shared" si="111"/>
        <v>44315</v>
      </c>
      <c r="L7182" s="17">
        <v>0.16666666666666666</v>
      </c>
      <c r="M7182" s="14">
        <v>932</v>
      </c>
      <c r="N7182" s="14">
        <v>0</v>
      </c>
      <c r="O7182" s="14">
        <v>-634</v>
      </c>
      <c r="P7182" s="14">
        <v>298</v>
      </c>
      <c r="Q7182">
        <v>8904</v>
      </c>
      <c r="R7182">
        <v>3526</v>
      </c>
      <c r="S7182">
        <v>0</v>
      </c>
    </row>
    <row r="7183" spans="11:19" x14ac:dyDescent="0.3">
      <c r="K7183" s="16">
        <f t="shared" si="111"/>
        <v>44315</v>
      </c>
      <c r="L7183" s="17">
        <v>0.20833333333333334</v>
      </c>
      <c r="M7183" s="14">
        <v>932</v>
      </c>
      <c r="N7183" s="14">
        <v>0</v>
      </c>
      <c r="O7183" s="14">
        <v>-128</v>
      </c>
      <c r="P7183" s="14">
        <v>804</v>
      </c>
      <c r="Q7183">
        <v>9374</v>
      </c>
      <c r="R7183">
        <v>3472</v>
      </c>
      <c r="S7183">
        <v>0</v>
      </c>
    </row>
    <row r="7184" spans="11:19" x14ac:dyDescent="0.3">
      <c r="K7184" s="16">
        <f t="shared" si="111"/>
        <v>44315</v>
      </c>
      <c r="L7184" s="17">
        <v>0.25</v>
      </c>
      <c r="M7184" s="14">
        <v>932</v>
      </c>
      <c r="N7184" s="14">
        <v>0</v>
      </c>
      <c r="O7184" s="14">
        <v>785</v>
      </c>
      <c r="P7184" s="14">
        <v>1717</v>
      </c>
      <c r="Q7184">
        <v>10287</v>
      </c>
      <c r="R7184">
        <v>3447</v>
      </c>
      <c r="S7184">
        <v>5</v>
      </c>
    </row>
    <row r="7185" spans="11:19" x14ac:dyDescent="0.3">
      <c r="K7185" s="16">
        <f t="shared" si="111"/>
        <v>44315</v>
      </c>
      <c r="L7185" s="17">
        <v>0.29166666666666669</v>
      </c>
      <c r="M7185" s="14">
        <v>932</v>
      </c>
      <c r="N7185" s="14">
        <v>0</v>
      </c>
      <c r="O7185" s="14">
        <v>1089</v>
      </c>
      <c r="P7185" s="14">
        <v>2021</v>
      </c>
      <c r="Q7185">
        <v>10976</v>
      </c>
      <c r="R7185">
        <v>3692</v>
      </c>
      <c r="S7185">
        <v>140</v>
      </c>
    </row>
    <row r="7186" spans="11:19" x14ac:dyDescent="0.3">
      <c r="K7186" s="16">
        <f t="shared" si="111"/>
        <v>44315</v>
      </c>
      <c r="L7186" s="17">
        <v>0.33333333333333331</v>
      </c>
      <c r="M7186" s="14">
        <v>932</v>
      </c>
      <c r="N7186" s="14">
        <v>0</v>
      </c>
      <c r="O7186" s="14">
        <v>1194</v>
      </c>
      <c r="P7186" s="14">
        <v>2126</v>
      </c>
      <c r="Q7186">
        <v>11323</v>
      </c>
      <c r="R7186">
        <v>3506</v>
      </c>
      <c r="S7186">
        <v>568</v>
      </c>
    </row>
    <row r="7187" spans="11:19" x14ac:dyDescent="0.3">
      <c r="K7187" s="16">
        <f t="shared" si="111"/>
        <v>44315</v>
      </c>
      <c r="L7187" s="17">
        <v>0.375</v>
      </c>
      <c r="M7187" s="14">
        <v>932</v>
      </c>
      <c r="N7187" s="14">
        <v>0</v>
      </c>
      <c r="O7187" s="14">
        <v>798</v>
      </c>
      <c r="P7187" s="14">
        <v>1730</v>
      </c>
      <c r="Q7187">
        <v>11328</v>
      </c>
      <c r="R7187">
        <v>3273</v>
      </c>
      <c r="S7187">
        <v>1207</v>
      </c>
    </row>
    <row r="7188" spans="11:19" x14ac:dyDescent="0.3">
      <c r="K7188" s="16">
        <f t="shared" si="111"/>
        <v>44315</v>
      </c>
      <c r="L7188" s="17">
        <v>0.41666666666666669</v>
      </c>
      <c r="M7188" s="14">
        <v>932</v>
      </c>
      <c r="N7188" s="14">
        <v>0</v>
      </c>
      <c r="O7188" s="14">
        <v>138</v>
      </c>
      <c r="P7188" s="14">
        <v>1070</v>
      </c>
      <c r="Q7188">
        <v>11137</v>
      </c>
      <c r="R7188">
        <v>3183</v>
      </c>
      <c r="S7188">
        <v>1767</v>
      </c>
    </row>
    <row r="7189" spans="11:19" x14ac:dyDescent="0.3">
      <c r="K7189" s="16">
        <f t="shared" si="111"/>
        <v>44315</v>
      </c>
      <c r="L7189" s="17">
        <v>0.45833333333333331</v>
      </c>
      <c r="M7189" s="14">
        <v>932</v>
      </c>
      <c r="N7189" s="14">
        <v>0</v>
      </c>
      <c r="O7189" s="14">
        <v>-431</v>
      </c>
      <c r="P7189" s="14">
        <v>501</v>
      </c>
      <c r="Q7189">
        <v>10963</v>
      </c>
      <c r="R7189">
        <v>3121</v>
      </c>
      <c r="S7189">
        <v>2223</v>
      </c>
    </row>
    <row r="7190" spans="11:19" x14ac:dyDescent="0.3">
      <c r="K7190" s="16">
        <f t="shared" si="111"/>
        <v>44315</v>
      </c>
      <c r="L7190" s="17">
        <v>0.5</v>
      </c>
      <c r="M7190" s="14">
        <v>932</v>
      </c>
      <c r="N7190" s="14">
        <v>0</v>
      </c>
      <c r="O7190" s="14">
        <v>-600</v>
      </c>
      <c r="P7190" s="14">
        <v>332</v>
      </c>
      <c r="Q7190">
        <v>10751</v>
      </c>
      <c r="R7190">
        <v>3376</v>
      </c>
      <c r="S7190">
        <v>2540</v>
      </c>
    </row>
    <row r="7191" spans="11:19" x14ac:dyDescent="0.3">
      <c r="K7191" s="16">
        <f t="shared" si="111"/>
        <v>44315</v>
      </c>
      <c r="L7191" s="17">
        <v>0.54166666666666663</v>
      </c>
      <c r="M7191" s="14">
        <v>932</v>
      </c>
      <c r="N7191" s="14">
        <v>0</v>
      </c>
      <c r="O7191" s="14">
        <v>-1086</v>
      </c>
      <c r="P7191" s="14">
        <v>-154</v>
      </c>
      <c r="Q7191">
        <v>10357</v>
      </c>
      <c r="R7191">
        <v>3349</v>
      </c>
      <c r="S7191">
        <v>2660</v>
      </c>
    </row>
    <row r="7192" spans="11:19" x14ac:dyDescent="0.3">
      <c r="K7192" s="16">
        <f t="shared" si="111"/>
        <v>44315</v>
      </c>
      <c r="L7192" s="17">
        <v>0.58333333333333337</v>
      </c>
      <c r="M7192" s="14">
        <v>932</v>
      </c>
      <c r="N7192" s="14">
        <v>0</v>
      </c>
      <c r="O7192" s="14">
        <v>-1200</v>
      </c>
      <c r="P7192" s="14">
        <v>-268</v>
      </c>
      <c r="Q7192">
        <v>9946</v>
      </c>
      <c r="R7192">
        <v>3571</v>
      </c>
      <c r="S7192">
        <v>2669</v>
      </c>
    </row>
    <row r="7193" spans="11:19" x14ac:dyDescent="0.3">
      <c r="K7193" s="16">
        <f t="shared" si="111"/>
        <v>44315</v>
      </c>
      <c r="L7193" s="17">
        <v>0.625</v>
      </c>
      <c r="M7193" s="14">
        <v>932</v>
      </c>
      <c r="N7193" s="14">
        <v>0</v>
      </c>
      <c r="O7193" s="14">
        <v>-1200</v>
      </c>
      <c r="P7193" s="14">
        <v>-268</v>
      </c>
      <c r="Q7193">
        <v>9468</v>
      </c>
      <c r="R7193">
        <v>3543</v>
      </c>
      <c r="S7193">
        <v>2492</v>
      </c>
    </row>
    <row r="7194" spans="11:19" x14ac:dyDescent="0.3">
      <c r="K7194" s="16">
        <f t="shared" si="111"/>
        <v>44315</v>
      </c>
      <c r="L7194" s="17">
        <v>0.66666666666666663</v>
      </c>
      <c r="M7194" s="14">
        <v>932</v>
      </c>
      <c r="N7194" s="14">
        <v>0</v>
      </c>
      <c r="O7194" s="14">
        <v>-1200</v>
      </c>
      <c r="P7194" s="14">
        <v>-268</v>
      </c>
      <c r="Q7194">
        <v>9116</v>
      </c>
      <c r="R7194">
        <v>3496</v>
      </c>
      <c r="S7194">
        <v>2170</v>
      </c>
    </row>
    <row r="7195" spans="11:19" x14ac:dyDescent="0.3">
      <c r="K7195" s="16">
        <f t="shared" ref="K7195:K7258" si="112">K7171+1</f>
        <v>44315</v>
      </c>
      <c r="L7195" s="17">
        <v>0.70833333333333337</v>
      </c>
      <c r="M7195" s="14">
        <v>932</v>
      </c>
      <c r="N7195" s="14">
        <v>0</v>
      </c>
      <c r="O7195" s="14">
        <v>-1200</v>
      </c>
      <c r="P7195" s="14">
        <v>-268</v>
      </c>
      <c r="Q7195">
        <v>8939</v>
      </c>
      <c r="R7195">
        <v>3476</v>
      </c>
      <c r="S7195">
        <v>1678</v>
      </c>
    </row>
    <row r="7196" spans="11:19" x14ac:dyDescent="0.3">
      <c r="K7196" s="16">
        <f t="shared" si="112"/>
        <v>44315</v>
      </c>
      <c r="L7196" s="17">
        <v>0.75</v>
      </c>
      <c r="M7196" s="14">
        <v>932</v>
      </c>
      <c r="N7196" s="14">
        <v>0</v>
      </c>
      <c r="O7196" s="14">
        <v>-549</v>
      </c>
      <c r="P7196" s="14">
        <v>383</v>
      </c>
      <c r="Q7196">
        <v>9252</v>
      </c>
      <c r="R7196">
        <v>3235</v>
      </c>
      <c r="S7196">
        <v>1014</v>
      </c>
    </row>
    <row r="7197" spans="11:19" x14ac:dyDescent="0.3">
      <c r="K7197" s="16">
        <f t="shared" si="112"/>
        <v>44315</v>
      </c>
      <c r="L7197" s="17">
        <v>0.79166666666666663</v>
      </c>
      <c r="M7197" s="14">
        <v>932</v>
      </c>
      <c r="N7197" s="14">
        <v>0</v>
      </c>
      <c r="O7197" s="14">
        <v>0</v>
      </c>
      <c r="P7197" s="14">
        <v>932</v>
      </c>
      <c r="Q7197">
        <v>9179</v>
      </c>
      <c r="R7197">
        <v>2844</v>
      </c>
      <c r="S7197">
        <v>396</v>
      </c>
    </row>
    <row r="7198" spans="11:19" x14ac:dyDescent="0.3">
      <c r="K7198" s="16">
        <f t="shared" si="112"/>
        <v>44315</v>
      </c>
      <c r="L7198" s="17">
        <v>0.83333333333333337</v>
      </c>
      <c r="M7198" s="14">
        <v>932</v>
      </c>
      <c r="N7198" s="14">
        <v>0</v>
      </c>
      <c r="O7198" s="14">
        <v>78</v>
      </c>
      <c r="P7198" s="14">
        <v>1010</v>
      </c>
      <c r="Q7198">
        <v>8892</v>
      </c>
      <c r="R7198">
        <v>2715</v>
      </c>
      <c r="S7198">
        <v>64</v>
      </c>
    </row>
    <row r="7199" spans="11:19" x14ac:dyDescent="0.3">
      <c r="K7199" s="16">
        <f t="shared" si="112"/>
        <v>44315</v>
      </c>
      <c r="L7199" s="17">
        <v>0.875</v>
      </c>
      <c r="M7199" s="14">
        <v>932</v>
      </c>
      <c r="N7199" s="14">
        <v>0</v>
      </c>
      <c r="O7199" s="14">
        <v>268</v>
      </c>
      <c r="P7199" s="14">
        <v>1200</v>
      </c>
      <c r="Q7199">
        <v>8993</v>
      </c>
      <c r="R7199">
        <v>2694</v>
      </c>
      <c r="S7199">
        <v>0</v>
      </c>
    </row>
    <row r="7200" spans="11:19" x14ac:dyDescent="0.3">
      <c r="K7200" s="16">
        <f t="shared" si="112"/>
        <v>44315</v>
      </c>
      <c r="L7200" s="17">
        <v>0.91666666666666663</v>
      </c>
      <c r="M7200" s="14">
        <v>932</v>
      </c>
      <c r="N7200" s="14">
        <v>0</v>
      </c>
      <c r="O7200" s="14">
        <v>558</v>
      </c>
      <c r="P7200" s="14">
        <v>1490</v>
      </c>
      <c r="Q7200">
        <v>9218</v>
      </c>
      <c r="R7200">
        <v>2632</v>
      </c>
      <c r="S7200">
        <v>0</v>
      </c>
    </row>
    <row r="7201" spans="11:19" x14ac:dyDescent="0.3">
      <c r="K7201" s="16">
        <f t="shared" si="112"/>
        <v>44315</v>
      </c>
      <c r="L7201" s="17">
        <v>0.95833333333333337</v>
      </c>
      <c r="M7201" s="14">
        <v>932</v>
      </c>
      <c r="N7201" s="14">
        <v>0</v>
      </c>
      <c r="O7201" s="14">
        <v>867</v>
      </c>
      <c r="P7201" s="14">
        <v>1799</v>
      </c>
      <c r="Q7201">
        <v>9402</v>
      </c>
      <c r="R7201">
        <v>2524</v>
      </c>
      <c r="S7201">
        <v>0</v>
      </c>
    </row>
    <row r="7202" spans="11:19" x14ac:dyDescent="0.3">
      <c r="K7202" s="16">
        <f t="shared" si="112"/>
        <v>44316</v>
      </c>
      <c r="L7202" s="17">
        <v>0</v>
      </c>
      <c r="M7202" s="14">
        <v>932</v>
      </c>
      <c r="N7202" s="14">
        <v>0</v>
      </c>
      <c r="O7202" s="14">
        <v>432</v>
      </c>
      <c r="P7202" s="14">
        <v>1364</v>
      </c>
      <c r="Q7202">
        <v>8865</v>
      </c>
      <c r="R7202">
        <v>2432</v>
      </c>
      <c r="S7202">
        <v>0</v>
      </c>
    </row>
    <row r="7203" spans="11:19" x14ac:dyDescent="0.3">
      <c r="K7203" s="16">
        <f t="shared" si="112"/>
        <v>44316</v>
      </c>
      <c r="L7203" s="17">
        <v>4.1666666666666664E-2</v>
      </c>
      <c r="M7203" s="14">
        <v>932</v>
      </c>
      <c r="N7203" s="14">
        <v>111</v>
      </c>
      <c r="O7203" s="14">
        <v>0</v>
      </c>
      <c r="P7203" s="14">
        <v>1043</v>
      </c>
      <c r="Q7203">
        <v>8521</v>
      </c>
      <c r="R7203">
        <v>2409</v>
      </c>
      <c r="S7203">
        <v>0</v>
      </c>
    </row>
    <row r="7204" spans="11:19" x14ac:dyDescent="0.3">
      <c r="K7204" s="16">
        <f t="shared" si="112"/>
        <v>44316</v>
      </c>
      <c r="L7204" s="17">
        <v>8.3333333333333329E-2</v>
      </c>
      <c r="M7204" s="14">
        <v>932</v>
      </c>
      <c r="N7204" s="14">
        <v>0</v>
      </c>
      <c r="O7204" s="14">
        <v>-217</v>
      </c>
      <c r="P7204" s="14">
        <v>715</v>
      </c>
      <c r="Q7204">
        <v>8247</v>
      </c>
      <c r="R7204">
        <v>2303</v>
      </c>
      <c r="S7204">
        <v>0</v>
      </c>
    </row>
    <row r="7205" spans="11:19" x14ac:dyDescent="0.3">
      <c r="K7205" s="16">
        <f t="shared" si="112"/>
        <v>44316</v>
      </c>
      <c r="L7205" s="17">
        <v>0.125</v>
      </c>
      <c r="M7205" s="14">
        <v>932</v>
      </c>
      <c r="N7205" s="14">
        <v>0</v>
      </c>
      <c r="O7205" s="14">
        <v>-271</v>
      </c>
      <c r="P7205" s="14">
        <v>661</v>
      </c>
      <c r="Q7205">
        <v>7914</v>
      </c>
      <c r="R7205">
        <v>2020</v>
      </c>
      <c r="S7205">
        <v>0</v>
      </c>
    </row>
    <row r="7206" spans="11:19" x14ac:dyDescent="0.3">
      <c r="K7206" s="16">
        <f t="shared" si="112"/>
        <v>44316</v>
      </c>
      <c r="L7206" s="17">
        <v>0.16666666666666666</v>
      </c>
      <c r="M7206" s="14">
        <v>932</v>
      </c>
      <c r="N7206" s="14">
        <v>0</v>
      </c>
      <c r="O7206" s="14">
        <v>27</v>
      </c>
      <c r="P7206" s="14">
        <v>959</v>
      </c>
      <c r="Q7206">
        <v>7908</v>
      </c>
      <c r="R7206">
        <v>1708</v>
      </c>
      <c r="S7206">
        <v>0</v>
      </c>
    </row>
    <row r="7207" spans="11:19" x14ac:dyDescent="0.3">
      <c r="K7207" s="16">
        <f t="shared" si="112"/>
        <v>44316</v>
      </c>
      <c r="L7207" s="17">
        <v>0.20833333333333334</v>
      </c>
      <c r="M7207" s="14">
        <v>932</v>
      </c>
      <c r="N7207" s="14">
        <v>0</v>
      </c>
      <c r="O7207" s="14">
        <v>0</v>
      </c>
      <c r="P7207" s="14">
        <v>932</v>
      </c>
      <c r="Q7207">
        <v>8419</v>
      </c>
      <c r="R7207">
        <v>1540</v>
      </c>
      <c r="S7207">
        <v>0</v>
      </c>
    </row>
    <row r="7208" spans="11:19" x14ac:dyDescent="0.3">
      <c r="K7208" s="16">
        <f t="shared" si="112"/>
        <v>44316</v>
      </c>
      <c r="L7208" s="17">
        <v>0.25</v>
      </c>
      <c r="M7208" s="14">
        <v>932</v>
      </c>
      <c r="N7208" s="14">
        <v>0</v>
      </c>
      <c r="O7208" s="14">
        <v>1200</v>
      </c>
      <c r="P7208" s="14">
        <v>2132</v>
      </c>
      <c r="Q7208">
        <v>9358</v>
      </c>
      <c r="R7208">
        <v>1424</v>
      </c>
      <c r="S7208">
        <v>10</v>
      </c>
    </row>
    <row r="7209" spans="11:19" x14ac:dyDescent="0.3">
      <c r="K7209" s="16">
        <f t="shared" si="112"/>
        <v>44316</v>
      </c>
      <c r="L7209" s="17">
        <v>0.29166666666666669</v>
      </c>
      <c r="M7209" s="14">
        <v>932</v>
      </c>
      <c r="N7209" s="14">
        <v>942</v>
      </c>
      <c r="O7209" s="14">
        <v>1200</v>
      </c>
      <c r="P7209" s="14">
        <v>3074</v>
      </c>
      <c r="Q7209">
        <v>10115</v>
      </c>
      <c r="R7209">
        <v>1375</v>
      </c>
      <c r="S7209">
        <v>164</v>
      </c>
    </row>
    <row r="7210" spans="11:19" x14ac:dyDescent="0.3">
      <c r="K7210" s="16">
        <f t="shared" si="112"/>
        <v>44316</v>
      </c>
      <c r="L7210" s="17">
        <v>0.33333333333333331</v>
      </c>
      <c r="M7210" s="14">
        <v>932</v>
      </c>
      <c r="N7210" s="14">
        <v>0</v>
      </c>
      <c r="O7210" s="14">
        <v>464</v>
      </c>
      <c r="P7210" s="14">
        <v>1396</v>
      </c>
      <c r="Q7210">
        <v>10489</v>
      </c>
      <c r="R7210">
        <v>1516</v>
      </c>
      <c r="S7210">
        <v>668</v>
      </c>
    </row>
    <row r="7211" spans="11:19" x14ac:dyDescent="0.3">
      <c r="K7211" s="16">
        <f t="shared" si="112"/>
        <v>44316</v>
      </c>
      <c r="L7211" s="17">
        <v>0.375</v>
      </c>
      <c r="M7211" s="14">
        <v>932</v>
      </c>
      <c r="N7211" s="14">
        <v>0</v>
      </c>
      <c r="O7211" s="14">
        <v>0</v>
      </c>
      <c r="P7211" s="14">
        <v>932</v>
      </c>
      <c r="Q7211">
        <v>10502</v>
      </c>
      <c r="R7211">
        <v>1525</v>
      </c>
      <c r="S7211">
        <v>1414</v>
      </c>
    </row>
    <row r="7212" spans="11:19" x14ac:dyDescent="0.3">
      <c r="K7212" s="16">
        <f t="shared" si="112"/>
        <v>44316</v>
      </c>
      <c r="L7212" s="17">
        <v>0.41666666666666669</v>
      </c>
      <c r="M7212" s="14">
        <v>932</v>
      </c>
      <c r="N7212" s="14">
        <v>0</v>
      </c>
      <c r="O7212" s="14">
        <v>0</v>
      </c>
      <c r="P7212" s="14">
        <v>932</v>
      </c>
      <c r="Q7212">
        <v>10234</v>
      </c>
      <c r="R7212">
        <v>1454</v>
      </c>
      <c r="S7212">
        <v>2068</v>
      </c>
    </row>
    <row r="7213" spans="11:19" x14ac:dyDescent="0.3">
      <c r="K7213" s="16">
        <f t="shared" si="112"/>
        <v>44316</v>
      </c>
      <c r="L7213" s="17">
        <v>0.45833333333333331</v>
      </c>
      <c r="M7213" s="14">
        <v>932</v>
      </c>
      <c r="N7213" s="14">
        <v>0</v>
      </c>
      <c r="O7213" s="14">
        <v>-293</v>
      </c>
      <c r="P7213" s="14">
        <v>639</v>
      </c>
      <c r="Q7213">
        <v>9995</v>
      </c>
      <c r="R7213">
        <v>1387</v>
      </c>
      <c r="S7213">
        <v>2530</v>
      </c>
    </row>
    <row r="7214" spans="11:19" x14ac:dyDescent="0.3">
      <c r="K7214" s="16">
        <f t="shared" si="112"/>
        <v>44316</v>
      </c>
      <c r="L7214" s="17">
        <v>0.5</v>
      </c>
      <c r="M7214" s="14">
        <v>932</v>
      </c>
      <c r="N7214" s="14">
        <v>0</v>
      </c>
      <c r="O7214" s="14">
        <v>-285</v>
      </c>
      <c r="P7214" s="14">
        <v>647</v>
      </c>
      <c r="Q7214">
        <v>9863</v>
      </c>
      <c r="R7214">
        <v>1296</v>
      </c>
      <c r="S7214">
        <v>2801</v>
      </c>
    </row>
    <row r="7215" spans="11:19" x14ac:dyDescent="0.3">
      <c r="K7215" s="16">
        <f t="shared" si="112"/>
        <v>44316</v>
      </c>
      <c r="L7215" s="17">
        <v>0.54166666666666663</v>
      </c>
      <c r="M7215" s="14">
        <v>932</v>
      </c>
      <c r="N7215" s="14">
        <v>0</v>
      </c>
      <c r="O7215" s="14">
        <v>-855</v>
      </c>
      <c r="P7215" s="14">
        <v>77</v>
      </c>
      <c r="Q7215">
        <v>9506</v>
      </c>
      <c r="R7215">
        <v>1370</v>
      </c>
      <c r="S7215">
        <v>2941</v>
      </c>
    </row>
    <row r="7216" spans="11:19" x14ac:dyDescent="0.3">
      <c r="K7216" s="16">
        <f t="shared" si="112"/>
        <v>44316</v>
      </c>
      <c r="L7216" s="17">
        <v>0.58333333333333337</v>
      </c>
      <c r="M7216" s="14">
        <v>932</v>
      </c>
      <c r="N7216" s="14">
        <v>0</v>
      </c>
      <c r="O7216" s="14">
        <v>-973</v>
      </c>
      <c r="P7216" s="14">
        <v>-41</v>
      </c>
      <c r="Q7216">
        <v>9224</v>
      </c>
      <c r="R7216">
        <v>1255</v>
      </c>
      <c r="S7216">
        <v>2893</v>
      </c>
    </row>
    <row r="7217" spans="11:19" x14ac:dyDescent="0.3">
      <c r="K7217" s="16">
        <f t="shared" si="112"/>
        <v>44316</v>
      </c>
      <c r="L7217" s="17">
        <v>0.625</v>
      </c>
      <c r="M7217" s="14">
        <v>932</v>
      </c>
      <c r="N7217" s="14">
        <v>0</v>
      </c>
      <c r="O7217" s="14">
        <v>-1125</v>
      </c>
      <c r="P7217" s="14">
        <v>-193</v>
      </c>
      <c r="Q7217">
        <v>8866</v>
      </c>
      <c r="R7217">
        <v>1262</v>
      </c>
      <c r="S7217">
        <v>2680</v>
      </c>
    </row>
    <row r="7218" spans="11:19" x14ac:dyDescent="0.3">
      <c r="K7218" s="16">
        <f t="shared" si="112"/>
        <v>44316</v>
      </c>
      <c r="L7218" s="17">
        <v>0.66666666666666663</v>
      </c>
      <c r="M7218" s="14">
        <v>932</v>
      </c>
      <c r="N7218" s="14">
        <v>0</v>
      </c>
      <c r="O7218" s="14">
        <v>-967</v>
      </c>
      <c r="P7218" s="14">
        <v>-35</v>
      </c>
      <c r="Q7218">
        <v>8573</v>
      </c>
      <c r="R7218">
        <v>1183</v>
      </c>
      <c r="S7218">
        <v>2309</v>
      </c>
    </row>
    <row r="7219" spans="11:19" x14ac:dyDescent="0.3">
      <c r="K7219" s="16">
        <f t="shared" si="112"/>
        <v>44316</v>
      </c>
      <c r="L7219" s="17">
        <v>0.70833333333333337</v>
      </c>
      <c r="M7219" s="14">
        <v>932</v>
      </c>
      <c r="N7219" s="14">
        <v>0</v>
      </c>
      <c r="O7219" s="14">
        <v>-564</v>
      </c>
      <c r="P7219" s="14">
        <v>368</v>
      </c>
      <c r="Q7219">
        <v>8448</v>
      </c>
      <c r="R7219">
        <v>1104</v>
      </c>
      <c r="S7219">
        <v>1780</v>
      </c>
    </row>
    <row r="7220" spans="11:19" x14ac:dyDescent="0.3">
      <c r="K7220" s="16">
        <f t="shared" si="112"/>
        <v>44316</v>
      </c>
      <c r="L7220" s="17">
        <v>0.75</v>
      </c>
      <c r="M7220" s="14">
        <v>932</v>
      </c>
      <c r="N7220" s="14">
        <v>0</v>
      </c>
      <c r="O7220" s="14">
        <v>0</v>
      </c>
      <c r="P7220" s="14">
        <v>932</v>
      </c>
      <c r="Q7220">
        <v>8599</v>
      </c>
      <c r="R7220">
        <v>1060</v>
      </c>
      <c r="S7220">
        <v>1059</v>
      </c>
    </row>
    <row r="7221" spans="11:19" x14ac:dyDescent="0.3">
      <c r="K7221" s="16">
        <f t="shared" si="112"/>
        <v>44316</v>
      </c>
      <c r="L7221" s="17">
        <v>0.79166666666666663</v>
      </c>
      <c r="M7221" s="14">
        <v>932</v>
      </c>
      <c r="N7221" s="14">
        <v>0</v>
      </c>
      <c r="O7221" s="14">
        <v>1120</v>
      </c>
      <c r="P7221" s="14">
        <v>2052</v>
      </c>
      <c r="Q7221">
        <v>8657</v>
      </c>
      <c r="R7221">
        <v>995</v>
      </c>
      <c r="S7221">
        <v>422</v>
      </c>
    </row>
    <row r="7222" spans="11:19" x14ac:dyDescent="0.3">
      <c r="K7222" s="16">
        <f t="shared" si="112"/>
        <v>44316</v>
      </c>
      <c r="L7222" s="17">
        <v>0.83333333333333337</v>
      </c>
      <c r="M7222" s="14">
        <v>932</v>
      </c>
      <c r="N7222" s="14">
        <v>0</v>
      </c>
      <c r="O7222" s="14">
        <v>0</v>
      </c>
      <c r="P7222" s="14">
        <v>932</v>
      </c>
      <c r="Q7222">
        <v>8330</v>
      </c>
      <c r="R7222">
        <v>668</v>
      </c>
      <c r="S7222">
        <v>68</v>
      </c>
    </row>
    <row r="7223" spans="11:19" x14ac:dyDescent="0.3">
      <c r="K7223" s="16">
        <f t="shared" si="112"/>
        <v>44316</v>
      </c>
      <c r="L7223" s="17">
        <v>0.875</v>
      </c>
      <c r="M7223" s="14">
        <v>932</v>
      </c>
      <c r="N7223" s="14">
        <v>0</v>
      </c>
      <c r="O7223" s="14">
        <v>0</v>
      </c>
      <c r="P7223" s="14">
        <v>932</v>
      </c>
      <c r="Q7223">
        <v>8379</v>
      </c>
      <c r="R7223">
        <v>545</v>
      </c>
      <c r="S7223">
        <v>0</v>
      </c>
    </row>
    <row r="7224" spans="11:19" x14ac:dyDescent="0.3">
      <c r="K7224" s="16">
        <f t="shared" si="112"/>
        <v>44316</v>
      </c>
      <c r="L7224" s="17">
        <v>0.91666666666666663</v>
      </c>
      <c r="M7224" s="14">
        <v>932</v>
      </c>
      <c r="N7224" s="14">
        <v>0</v>
      </c>
      <c r="O7224" s="14">
        <v>0</v>
      </c>
      <c r="P7224" s="14">
        <v>932</v>
      </c>
      <c r="Q7224">
        <v>8665</v>
      </c>
      <c r="R7224">
        <v>501</v>
      </c>
      <c r="S7224">
        <v>0</v>
      </c>
    </row>
    <row r="7225" spans="11:19" x14ac:dyDescent="0.3">
      <c r="K7225" s="16">
        <f t="shared" si="112"/>
        <v>44316</v>
      </c>
      <c r="L7225" s="17">
        <v>0.95833333333333337</v>
      </c>
      <c r="M7225" s="14">
        <v>932</v>
      </c>
      <c r="N7225" s="14">
        <v>942</v>
      </c>
      <c r="O7225" s="14">
        <v>0</v>
      </c>
      <c r="P7225" s="14">
        <v>1874</v>
      </c>
      <c r="Q7225">
        <v>8898</v>
      </c>
      <c r="R7225">
        <v>557</v>
      </c>
      <c r="S7225">
        <v>0</v>
      </c>
    </row>
    <row r="7226" spans="11:19" x14ac:dyDescent="0.3">
      <c r="K7226" s="16">
        <f t="shared" si="112"/>
        <v>44317</v>
      </c>
      <c r="L7226" s="17">
        <v>0</v>
      </c>
      <c r="M7226" s="14">
        <v>932</v>
      </c>
      <c r="N7226" s="14">
        <v>650</v>
      </c>
      <c r="O7226" s="14">
        <v>1023</v>
      </c>
      <c r="P7226" s="14">
        <v>2605</v>
      </c>
      <c r="Q7226">
        <v>8275</v>
      </c>
      <c r="R7226">
        <v>598</v>
      </c>
      <c r="S7226">
        <v>0</v>
      </c>
    </row>
    <row r="7227" spans="11:19" x14ac:dyDescent="0.3">
      <c r="K7227" s="16">
        <f t="shared" si="112"/>
        <v>44317</v>
      </c>
      <c r="L7227" s="17">
        <v>4.1666666666666664E-2</v>
      </c>
      <c r="M7227" s="14">
        <v>932</v>
      </c>
      <c r="N7227" s="14">
        <v>650</v>
      </c>
      <c r="O7227" s="14">
        <v>574</v>
      </c>
      <c r="P7227" s="14">
        <v>2156</v>
      </c>
      <c r="Q7227">
        <v>7861</v>
      </c>
      <c r="R7227">
        <v>639</v>
      </c>
      <c r="S7227">
        <v>0</v>
      </c>
    </row>
    <row r="7228" spans="11:19" x14ac:dyDescent="0.3">
      <c r="K7228" s="16">
        <f t="shared" si="112"/>
        <v>44317</v>
      </c>
      <c r="L7228" s="17">
        <v>8.3333333333333329E-2</v>
      </c>
      <c r="M7228" s="14">
        <v>932</v>
      </c>
      <c r="N7228" s="14">
        <v>650</v>
      </c>
      <c r="O7228" s="14">
        <v>265</v>
      </c>
      <c r="P7228" s="14">
        <v>1847</v>
      </c>
      <c r="Q7228">
        <v>7518</v>
      </c>
      <c r="R7228">
        <v>607</v>
      </c>
      <c r="S7228">
        <v>0</v>
      </c>
    </row>
    <row r="7229" spans="11:19" x14ac:dyDescent="0.3">
      <c r="K7229" s="16">
        <f t="shared" si="112"/>
        <v>44317</v>
      </c>
      <c r="L7229" s="17">
        <v>0.125</v>
      </c>
      <c r="M7229" s="14">
        <v>932</v>
      </c>
      <c r="N7229" s="14">
        <v>609</v>
      </c>
      <c r="O7229" s="14">
        <v>0</v>
      </c>
      <c r="P7229" s="14">
        <v>1541</v>
      </c>
      <c r="Q7229">
        <v>7098</v>
      </c>
      <c r="R7229">
        <v>490</v>
      </c>
      <c r="S7229">
        <v>0</v>
      </c>
    </row>
    <row r="7230" spans="11:19" x14ac:dyDescent="0.3">
      <c r="K7230" s="16">
        <f t="shared" si="112"/>
        <v>44317</v>
      </c>
      <c r="L7230" s="17">
        <v>0.16666666666666666</v>
      </c>
      <c r="M7230" s="14">
        <v>932</v>
      </c>
      <c r="N7230" s="14">
        <v>441</v>
      </c>
      <c r="O7230" s="14">
        <v>0</v>
      </c>
      <c r="P7230" s="14">
        <v>1373</v>
      </c>
      <c r="Q7230">
        <v>6943</v>
      </c>
      <c r="R7230">
        <v>496</v>
      </c>
      <c r="S7230">
        <v>0</v>
      </c>
    </row>
    <row r="7231" spans="11:19" x14ac:dyDescent="0.3">
      <c r="K7231" s="16">
        <f t="shared" si="112"/>
        <v>44317</v>
      </c>
      <c r="L7231" s="17">
        <v>0.20833333333333334</v>
      </c>
      <c r="M7231" s="14">
        <v>932</v>
      </c>
      <c r="N7231" s="14">
        <v>568</v>
      </c>
      <c r="O7231" s="14">
        <v>0</v>
      </c>
      <c r="P7231" s="14">
        <v>1500</v>
      </c>
      <c r="Q7231">
        <v>7106</v>
      </c>
      <c r="R7231">
        <v>517</v>
      </c>
      <c r="S7231">
        <v>0</v>
      </c>
    </row>
    <row r="7232" spans="11:19" x14ac:dyDescent="0.3">
      <c r="K7232" s="16">
        <f t="shared" si="112"/>
        <v>44317</v>
      </c>
      <c r="L7232" s="17">
        <v>0.25</v>
      </c>
      <c r="M7232" s="14">
        <v>932</v>
      </c>
      <c r="N7232" s="14">
        <v>650</v>
      </c>
      <c r="O7232" s="14">
        <v>234</v>
      </c>
      <c r="P7232" s="14">
        <v>1816</v>
      </c>
      <c r="Q7232">
        <v>7351</v>
      </c>
      <c r="R7232">
        <v>422</v>
      </c>
      <c r="S7232">
        <v>8</v>
      </c>
    </row>
    <row r="7233" spans="11:19" x14ac:dyDescent="0.3">
      <c r="K7233" s="16">
        <f t="shared" si="112"/>
        <v>44317</v>
      </c>
      <c r="L7233" s="17">
        <v>0.29166666666666669</v>
      </c>
      <c r="M7233" s="14">
        <v>932</v>
      </c>
      <c r="N7233" s="14">
        <v>0</v>
      </c>
      <c r="O7233" s="14">
        <v>992</v>
      </c>
      <c r="P7233" s="14">
        <v>1924</v>
      </c>
      <c r="Q7233">
        <v>7634</v>
      </c>
      <c r="R7233">
        <v>434</v>
      </c>
      <c r="S7233">
        <v>158</v>
      </c>
    </row>
    <row r="7234" spans="11:19" x14ac:dyDescent="0.3">
      <c r="K7234" s="16">
        <f t="shared" si="112"/>
        <v>44317</v>
      </c>
      <c r="L7234" s="17">
        <v>0.33333333333333331</v>
      </c>
      <c r="M7234" s="14">
        <v>932</v>
      </c>
      <c r="N7234" s="14">
        <v>650</v>
      </c>
      <c r="O7234" s="14">
        <v>272</v>
      </c>
      <c r="P7234" s="14">
        <v>1854</v>
      </c>
      <c r="Q7234">
        <v>8131</v>
      </c>
      <c r="R7234">
        <v>516</v>
      </c>
      <c r="S7234">
        <v>638</v>
      </c>
    </row>
    <row r="7235" spans="11:19" x14ac:dyDescent="0.3">
      <c r="K7235" s="16">
        <f t="shared" si="112"/>
        <v>44317</v>
      </c>
      <c r="L7235" s="17">
        <v>0.375</v>
      </c>
      <c r="M7235" s="14">
        <v>932</v>
      </c>
      <c r="N7235" s="14">
        <v>383</v>
      </c>
      <c r="O7235" s="14">
        <v>0</v>
      </c>
      <c r="P7235" s="14">
        <v>1315</v>
      </c>
      <c r="Q7235">
        <v>8441</v>
      </c>
      <c r="R7235">
        <v>658</v>
      </c>
      <c r="S7235">
        <v>1350</v>
      </c>
    </row>
    <row r="7236" spans="11:19" x14ac:dyDescent="0.3">
      <c r="K7236" s="16">
        <f t="shared" si="112"/>
        <v>44317</v>
      </c>
      <c r="L7236" s="17">
        <v>0.41666666666666669</v>
      </c>
      <c r="M7236" s="14">
        <v>932</v>
      </c>
      <c r="N7236" s="14">
        <v>0</v>
      </c>
      <c r="O7236" s="14">
        <v>0</v>
      </c>
      <c r="P7236" s="14">
        <v>932</v>
      </c>
      <c r="Q7236">
        <v>8449</v>
      </c>
      <c r="R7236">
        <v>828</v>
      </c>
      <c r="S7236">
        <v>1909</v>
      </c>
    </row>
    <row r="7237" spans="11:19" x14ac:dyDescent="0.3">
      <c r="K7237" s="16">
        <f t="shared" si="112"/>
        <v>44317</v>
      </c>
      <c r="L7237" s="17">
        <v>0.45833333333333331</v>
      </c>
      <c r="M7237" s="14">
        <v>932</v>
      </c>
      <c r="N7237" s="14">
        <v>0</v>
      </c>
      <c r="O7237" s="14">
        <v>0</v>
      </c>
      <c r="P7237" s="14">
        <v>932</v>
      </c>
      <c r="Q7237">
        <v>8419</v>
      </c>
      <c r="R7237">
        <v>1157</v>
      </c>
      <c r="S7237">
        <v>2304</v>
      </c>
    </row>
    <row r="7238" spans="11:19" x14ac:dyDescent="0.3">
      <c r="K7238" s="16">
        <f t="shared" si="112"/>
        <v>44317</v>
      </c>
      <c r="L7238" s="17">
        <v>0.5</v>
      </c>
      <c r="M7238" s="14">
        <v>932</v>
      </c>
      <c r="N7238" s="14">
        <v>0</v>
      </c>
      <c r="O7238" s="14">
        <v>-239</v>
      </c>
      <c r="P7238" s="14">
        <v>693</v>
      </c>
      <c r="Q7238">
        <v>8644</v>
      </c>
      <c r="R7238">
        <v>1307</v>
      </c>
      <c r="S7238">
        <v>2475</v>
      </c>
    </row>
    <row r="7239" spans="11:19" x14ac:dyDescent="0.3">
      <c r="K7239" s="16">
        <f t="shared" si="112"/>
        <v>44317</v>
      </c>
      <c r="L7239" s="17">
        <v>0.54166666666666663</v>
      </c>
      <c r="M7239" s="14">
        <v>932</v>
      </c>
      <c r="N7239" s="14">
        <v>0</v>
      </c>
      <c r="O7239" s="14">
        <v>-1040</v>
      </c>
      <c r="P7239" s="14">
        <v>-108</v>
      </c>
      <c r="Q7239">
        <v>8258</v>
      </c>
      <c r="R7239">
        <v>1306</v>
      </c>
      <c r="S7239">
        <v>2569</v>
      </c>
    </row>
    <row r="7240" spans="11:19" x14ac:dyDescent="0.3">
      <c r="K7240" s="16">
        <f t="shared" si="112"/>
        <v>44317</v>
      </c>
      <c r="L7240" s="17">
        <v>0.58333333333333337</v>
      </c>
      <c r="M7240" s="14">
        <v>932</v>
      </c>
      <c r="N7240" s="14">
        <v>0</v>
      </c>
      <c r="O7240" s="14">
        <v>-1200</v>
      </c>
      <c r="P7240" s="14">
        <v>-268</v>
      </c>
      <c r="Q7240">
        <v>7936</v>
      </c>
      <c r="R7240">
        <v>1487</v>
      </c>
      <c r="S7240">
        <v>2490</v>
      </c>
    </row>
    <row r="7241" spans="11:19" x14ac:dyDescent="0.3">
      <c r="K7241" s="16">
        <f t="shared" si="112"/>
        <v>44317</v>
      </c>
      <c r="L7241" s="17">
        <v>0.625</v>
      </c>
      <c r="M7241" s="14">
        <v>932</v>
      </c>
      <c r="N7241" s="14">
        <v>0</v>
      </c>
      <c r="O7241" s="14">
        <v>-1200</v>
      </c>
      <c r="P7241" s="14">
        <v>-268</v>
      </c>
      <c r="Q7241">
        <v>7639</v>
      </c>
      <c r="R7241">
        <v>1580</v>
      </c>
      <c r="S7241">
        <v>2293</v>
      </c>
    </row>
    <row r="7242" spans="11:19" x14ac:dyDescent="0.3">
      <c r="K7242" s="16">
        <f t="shared" si="112"/>
        <v>44317</v>
      </c>
      <c r="L7242" s="17">
        <v>0.66666666666666663</v>
      </c>
      <c r="M7242" s="14">
        <v>932</v>
      </c>
      <c r="N7242" s="14">
        <v>0</v>
      </c>
      <c r="O7242" s="14">
        <v>-1200</v>
      </c>
      <c r="P7242" s="14">
        <v>-268</v>
      </c>
      <c r="Q7242">
        <v>7435</v>
      </c>
      <c r="R7242">
        <v>1520</v>
      </c>
      <c r="S7242">
        <v>1980</v>
      </c>
    </row>
    <row r="7243" spans="11:19" x14ac:dyDescent="0.3">
      <c r="K7243" s="16">
        <f t="shared" si="112"/>
        <v>44317</v>
      </c>
      <c r="L7243" s="17">
        <v>0.70833333333333337</v>
      </c>
      <c r="M7243" s="14">
        <v>932</v>
      </c>
      <c r="N7243" s="14">
        <v>0</v>
      </c>
      <c r="O7243" s="14">
        <v>-1012</v>
      </c>
      <c r="P7243" s="14">
        <v>-80</v>
      </c>
      <c r="Q7243">
        <v>7407</v>
      </c>
      <c r="R7243">
        <v>1490</v>
      </c>
      <c r="S7243">
        <v>1511</v>
      </c>
    </row>
    <row r="7244" spans="11:19" x14ac:dyDescent="0.3">
      <c r="K7244" s="16">
        <f t="shared" si="112"/>
        <v>44317</v>
      </c>
      <c r="L7244" s="17">
        <v>0.75</v>
      </c>
      <c r="M7244" s="14">
        <v>932</v>
      </c>
      <c r="N7244" s="14">
        <v>0</v>
      </c>
      <c r="O7244" s="14">
        <v>0</v>
      </c>
      <c r="P7244" s="14">
        <v>932</v>
      </c>
      <c r="Q7244">
        <v>7653</v>
      </c>
      <c r="R7244">
        <v>1436</v>
      </c>
      <c r="S7244">
        <v>912</v>
      </c>
    </row>
    <row r="7245" spans="11:19" x14ac:dyDescent="0.3">
      <c r="K7245" s="16">
        <f t="shared" si="112"/>
        <v>44317</v>
      </c>
      <c r="L7245" s="17">
        <v>0.79166666666666663</v>
      </c>
      <c r="M7245" s="14">
        <v>932</v>
      </c>
      <c r="N7245" s="14">
        <v>175</v>
      </c>
      <c r="O7245" s="14">
        <v>0</v>
      </c>
      <c r="P7245" s="14">
        <v>1107</v>
      </c>
      <c r="Q7245">
        <v>7815</v>
      </c>
      <c r="R7245">
        <v>1280</v>
      </c>
      <c r="S7245">
        <v>332</v>
      </c>
    </row>
    <row r="7246" spans="11:19" x14ac:dyDescent="0.3">
      <c r="K7246" s="16">
        <f t="shared" si="112"/>
        <v>44317</v>
      </c>
      <c r="L7246" s="17">
        <v>0.83333333333333337</v>
      </c>
      <c r="M7246" s="14">
        <v>932</v>
      </c>
      <c r="N7246" s="14">
        <v>585</v>
      </c>
      <c r="O7246" s="14">
        <v>0</v>
      </c>
      <c r="P7246" s="14">
        <v>1517</v>
      </c>
      <c r="Q7246">
        <v>7552</v>
      </c>
      <c r="R7246">
        <v>886</v>
      </c>
      <c r="S7246">
        <v>50</v>
      </c>
    </row>
    <row r="7247" spans="11:19" x14ac:dyDescent="0.3">
      <c r="K7247" s="16">
        <f t="shared" si="112"/>
        <v>44317</v>
      </c>
      <c r="L7247" s="17">
        <v>0.875</v>
      </c>
      <c r="M7247" s="14">
        <v>932</v>
      </c>
      <c r="N7247" s="14">
        <v>650</v>
      </c>
      <c r="O7247" s="14">
        <v>108</v>
      </c>
      <c r="P7247" s="14">
        <v>1690</v>
      </c>
      <c r="Q7247">
        <v>7593</v>
      </c>
      <c r="R7247">
        <v>810</v>
      </c>
      <c r="S7247">
        <v>0</v>
      </c>
    </row>
    <row r="7248" spans="11:19" x14ac:dyDescent="0.3">
      <c r="K7248" s="16">
        <f t="shared" si="112"/>
        <v>44317</v>
      </c>
      <c r="L7248" s="17">
        <v>0.91666666666666663</v>
      </c>
      <c r="M7248" s="14">
        <v>932</v>
      </c>
      <c r="N7248" s="14">
        <v>650</v>
      </c>
      <c r="O7248" s="14">
        <v>442</v>
      </c>
      <c r="P7248" s="14">
        <v>2024</v>
      </c>
      <c r="Q7248">
        <v>7998</v>
      </c>
      <c r="R7248">
        <v>885</v>
      </c>
      <c r="S7248">
        <v>0</v>
      </c>
    </row>
    <row r="7249" spans="11:19" x14ac:dyDescent="0.3">
      <c r="K7249" s="16">
        <f t="shared" si="112"/>
        <v>44317</v>
      </c>
      <c r="L7249" s="17">
        <v>0.95833333333333337</v>
      </c>
      <c r="M7249" s="14">
        <v>932</v>
      </c>
      <c r="N7249" s="14">
        <v>650</v>
      </c>
      <c r="O7249" s="14">
        <v>802</v>
      </c>
      <c r="P7249" s="14">
        <v>2384</v>
      </c>
      <c r="Q7249">
        <v>8330</v>
      </c>
      <c r="R7249">
        <v>876</v>
      </c>
      <c r="S7249">
        <v>0</v>
      </c>
    </row>
    <row r="7250" spans="11:19" x14ac:dyDescent="0.3">
      <c r="K7250" s="16">
        <f t="shared" si="112"/>
        <v>44318</v>
      </c>
      <c r="L7250" s="17">
        <v>0</v>
      </c>
      <c r="M7250" s="14">
        <v>932</v>
      </c>
      <c r="N7250" s="14">
        <v>0</v>
      </c>
      <c r="O7250" s="14">
        <v>874</v>
      </c>
      <c r="P7250" s="14">
        <v>1806</v>
      </c>
      <c r="Q7250">
        <v>7760</v>
      </c>
      <c r="R7250">
        <v>883</v>
      </c>
      <c r="S7250">
        <v>0</v>
      </c>
    </row>
    <row r="7251" spans="11:19" x14ac:dyDescent="0.3">
      <c r="K7251" s="16">
        <f t="shared" si="112"/>
        <v>44318</v>
      </c>
      <c r="L7251" s="17">
        <v>4.1666666666666664E-2</v>
      </c>
      <c r="M7251" s="14">
        <v>932</v>
      </c>
      <c r="N7251" s="14">
        <v>377</v>
      </c>
      <c r="O7251" s="14">
        <v>243</v>
      </c>
      <c r="P7251" s="14">
        <v>1552</v>
      </c>
      <c r="Q7251">
        <v>7393</v>
      </c>
      <c r="R7251">
        <v>775</v>
      </c>
      <c r="S7251">
        <v>0</v>
      </c>
    </row>
    <row r="7252" spans="11:19" x14ac:dyDescent="0.3">
      <c r="K7252" s="16">
        <f t="shared" si="112"/>
        <v>44318</v>
      </c>
      <c r="L7252" s="17">
        <v>8.3333333333333329E-2</v>
      </c>
      <c r="M7252" s="14">
        <v>932</v>
      </c>
      <c r="N7252" s="14">
        <v>0</v>
      </c>
      <c r="O7252" s="14">
        <v>317</v>
      </c>
      <c r="P7252" s="14">
        <v>1249</v>
      </c>
      <c r="Q7252">
        <v>7029</v>
      </c>
      <c r="R7252">
        <v>716</v>
      </c>
      <c r="S7252">
        <v>0</v>
      </c>
    </row>
    <row r="7253" spans="11:19" x14ac:dyDescent="0.3">
      <c r="K7253" s="16">
        <f t="shared" si="112"/>
        <v>44318</v>
      </c>
      <c r="L7253" s="17">
        <v>0.125</v>
      </c>
      <c r="M7253" s="14">
        <v>932</v>
      </c>
      <c r="N7253" s="14">
        <v>0</v>
      </c>
      <c r="O7253" s="14">
        <v>0</v>
      </c>
      <c r="P7253" s="14">
        <v>932</v>
      </c>
      <c r="Q7253">
        <v>6569</v>
      </c>
      <c r="R7253">
        <v>732</v>
      </c>
      <c r="S7253">
        <v>0</v>
      </c>
    </row>
    <row r="7254" spans="11:19" x14ac:dyDescent="0.3">
      <c r="K7254" s="16">
        <f t="shared" si="112"/>
        <v>44318</v>
      </c>
      <c r="L7254" s="17">
        <v>0.16666666666666666</v>
      </c>
      <c r="M7254" s="14">
        <v>932</v>
      </c>
      <c r="N7254" s="14">
        <v>0</v>
      </c>
      <c r="O7254" s="14">
        <v>0</v>
      </c>
      <c r="P7254" s="14">
        <v>932</v>
      </c>
      <c r="Q7254">
        <v>6343</v>
      </c>
      <c r="R7254">
        <v>697</v>
      </c>
      <c r="S7254">
        <v>0</v>
      </c>
    </row>
    <row r="7255" spans="11:19" x14ac:dyDescent="0.3">
      <c r="K7255" s="16">
        <f t="shared" si="112"/>
        <v>44318</v>
      </c>
      <c r="L7255" s="17">
        <v>0.20833333333333334</v>
      </c>
      <c r="M7255" s="14">
        <v>932</v>
      </c>
      <c r="N7255" s="14">
        <v>0</v>
      </c>
      <c r="O7255" s="14">
        <v>0</v>
      </c>
      <c r="P7255" s="14">
        <v>932</v>
      </c>
      <c r="Q7255">
        <v>6377</v>
      </c>
      <c r="R7255">
        <v>790</v>
      </c>
      <c r="S7255">
        <v>0</v>
      </c>
    </row>
    <row r="7256" spans="11:19" x14ac:dyDescent="0.3">
      <c r="K7256" s="16">
        <f t="shared" si="112"/>
        <v>44318</v>
      </c>
      <c r="L7256" s="17">
        <v>0.25</v>
      </c>
      <c r="M7256" s="14">
        <v>932</v>
      </c>
      <c r="N7256" s="14">
        <v>0</v>
      </c>
      <c r="O7256" s="14">
        <v>0</v>
      </c>
      <c r="P7256" s="14">
        <v>932</v>
      </c>
      <c r="Q7256">
        <v>6437</v>
      </c>
      <c r="R7256">
        <v>849</v>
      </c>
      <c r="S7256">
        <v>11</v>
      </c>
    </row>
    <row r="7257" spans="11:19" x14ac:dyDescent="0.3">
      <c r="K7257" s="16">
        <f t="shared" si="112"/>
        <v>44318</v>
      </c>
      <c r="L7257" s="17">
        <v>0.29166666666666669</v>
      </c>
      <c r="M7257" s="14">
        <v>932</v>
      </c>
      <c r="N7257" s="14">
        <v>0</v>
      </c>
      <c r="O7257" s="14">
        <v>0</v>
      </c>
      <c r="P7257" s="14">
        <v>932</v>
      </c>
      <c r="Q7257">
        <v>6516</v>
      </c>
      <c r="R7257">
        <v>911</v>
      </c>
      <c r="S7257">
        <v>163</v>
      </c>
    </row>
    <row r="7258" spans="11:19" x14ac:dyDescent="0.3">
      <c r="K7258" s="16">
        <f t="shared" si="112"/>
        <v>44318</v>
      </c>
      <c r="L7258" s="17">
        <v>0.33333333333333331</v>
      </c>
      <c r="M7258" s="14">
        <v>932</v>
      </c>
      <c r="N7258" s="14">
        <v>0</v>
      </c>
      <c r="O7258" s="14">
        <v>0</v>
      </c>
      <c r="P7258" s="14">
        <v>932</v>
      </c>
      <c r="Q7258">
        <v>6932</v>
      </c>
      <c r="R7258">
        <v>956</v>
      </c>
      <c r="S7258">
        <v>631</v>
      </c>
    </row>
    <row r="7259" spans="11:19" x14ac:dyDescent="0.3">
      <c r="K7259" s="16">
        <f t="shared" ref="K7259:K7322" si="113">K7235+1</f>
        <v>44318</v>
      </c>
      <c r="L7259" s="17">
        <v>0.375</v>
      </c>
      <c r="M7259" s="14">
        <v>932</v>
      </c>
      <c r="N7259" s="14">
        <v>0</v>
      </c>
      <c r="O7259" s="14">
        <v>0</v>
      </c>
      <c r="P7259" s="14">
        <v>932</v>
      </c>
      <c r="Q7259">
        <v>7324</v>
      </c>
      <c r="R7259">
        <v>1175</v>
      </c>
      <c r="S7259">
        <v>1275</v>
      </c>
    </row>
    <row r="7260" spans="11:19" x14ac:dyDescent="0.3">
      <c r="K7260" s="16">
        <f t="shared" si="113"/>
        <v>44318</v>
      </c>
      <c r="L7260" s="17">
        <v>0.41666666666666669</v>
      </c>
      <c r="M7260" s="14">
        <v>932</v>
      </c>
      <c r="N7260" s="14">
        <v>0</v>
      </c>
      <c r="O7260" s="14">
        <v>0</v>
      </c>
      <c r="P7260" s="14">
        <v>932</v>
      </c>
      <c r="Q7260">
        <v>7581</v>
      </c>
      <c r="R7260">
        <v>1343</v>
      </c>
      <c r="S7260">
        <v>1735</v>
      </c>
    </row>
    <row r="7261" spans="11:19" x14ac:dyDescent="0.3">
      <c r="K7261" s="16">
        <f t="shared" si="113"/>
        <v>44318</v>
      </c>
      <c r="L7261" s="17">
        <v>0.45833333333333331</v>
      </c>
      <c r="M7261" s="14">
        <v>932</v>
      </c>
      <c r="N7261" s="14">
        <v>0</v>
      </c>
      <c r="O7261" s="14">
        <v>-2</v>
      </c>
      <c r="P7261" s="14">
        <v>930</v>
      </c>
      <c r="Q7261">
        <v>7794</v>
      </c>
      <c r="R7261">
        <v>1426</v>
      </c>
      <c r="S7261">
        <v>2076</v>
      </c>
    </row>
    <row r="7262" spans="11:19" x14ac:dyDescent="0.3">
      <c r="K7262" s="16">
        <f t="shared" si="113"/>
        <v>44318</v>
      </c>
      <c r="L7262" s="17">
        <v>0.5</v>
      </c>
      <c r="M7262" s="14">
        <v>932</v>
      </c>
      <c r="N7262" s="14">
        <v>0</v>
      </c>
      <c r="O7262" s="14">
        <v>0</v>
      </c>
      <c r="P7262" s="14">
        <v>932</v>
      </c>
      <c r="Q7262">
        <v>8148</v>
      </c>
      <c r="R7262">
        <v>1512</v>
      </c>
      <c r="S7262">
        <v>2174</v>
      </c>
    </row>
    <row r="7263" spans="11:19" x14ac:dyDescent="0.3">
      <c r="K7263" s="16">
        <f t="shared" si="113"/>
        <v>44318</v>
      </c>
      <c r="L7263" s="17">
        <v>0.54166666666666663</v>
      </c>
      <c r="M7263" s="14">
        <v>932</v>
      </c>
      <c r="N7263" s="14">
        <v>0</v>
      </c>
      <c r="O7263" s="14">
        <v>-485</v>
      </c>
      <c r="P7263" s="14">
        <v>447</v>
      </c>
      <c r="Q7263">
        <v>7748</v>
      </c>
      <c r="R7263">
        <v>1643</v>
      </c>
      <c r="S7263">
        <v>2303</v>
      </c>
    </row>
    <row r="7264" spans="11:19" x14ac:dyDescent="0.3">
      <c r="K7264" s="16">
        <f t="shared" si="113"/>
        <v>44318</v>
      </c>
      <c r="L7264" s="17">
        <v>0.58333333333333337</v>
      </c>
      <c r="M7264" s="14">
        <v>932</v>
      </c>
      <c r="N7264" s="14">
        <v>0</v>
      </c>
      <c r="O7264" s="14">
        <v>-1200</v>
      </c>
      <c r="P7264" s="14">
        <v>-268</v>
      </c>
      <c r="Q7264">
        <v>7342</v>
      </c>
      <c r="R7264">
        <v>2001</v>
      </c>
      <c r="S7264">
        <v>2317</v>
      </c>
    </row>
    <row r="7265" spans="11:19" x14ac:dyDescent="0.3">
      <c r="K7265" s="16">
        <f t="shared" si="113"/>
        <v>44318</v>
      </c>
      <c r="L7265" s="17">
        <v>0.625</v>
      </c>
      <c r="M7265" s="14">
        <v>932</v>
      </c>
      <c r="N7265" s="14">
        <v>0</v>
      </c>
      <c r="O7265" s="14">
        <v>-1200</v>
      </c>
      <c r="P7265" s="14">
        <v>-268</v>
      </c>
      <c r="Q7265">
        <v>7033</v>
      </c>
      <c r="R7265">
        <v>2152</v>
      </c>
      <c r="S7265">
        <v>2207</v>
      </c>
    </row>
    <row r="7266" spans="11:19" x14ac:dyDescent="0.3">
      <c r="K7266" s="16">
        <f t="shared" si="113"/>
        <v>44318</v>
      </c>
      <c r="L7266" s="17">
        <v>0.66666666666666663</v>
      </c>
      <c r="M7266" s="14">
        <v>932</v>
      </c>
      <c r="N7266" s="14">
        <v>0</v>
      </c>
      <c r="O7266" s="14">
        <v>-1200</v>
      </c>
      <c r="P7266" s="14">
        <v>-268</v>
      </c>
      <c r="Q7266">
        <v>6851</v>
      </c>
      <c r="R7266">
        <v>2058</v>
      </c>
      <c r="S7266">
        <v>1968</v>
      </c>
    </row>
    <row r="7267" spans="11:19" x14ac:dyDescent="0.3">
      <c r="K7267" s="16">
        <f t="shared" si="113"/>
        <v>44318</v>
      </c>
      <c r="L7267" s="17">
        <v>0.70833333333333337</v>
      </c>
      <c r="M7267" s="14">
        <v>932</v>
      </c>
      <c r="N7267" s="14">
        <v>0</v>
      </c>
      <c r="O7267" s="14">
        <v>-882</v>
      </c>
      <c r="P7267" s="14">
        <v>50</v>
      </c>
      <c r="Q7267">
        <v>6834</v>
      </c>
      <c r="R7267">
        <v>1879</v>
      </c>
      <c r="S7267">
        <v>1556</v>
      </c>
    </row>
    <row r="7268" spans="11:19" x14ac:dyDescent="0.3">
      <c r="K7268" s="16">
        <f t="shared" si="113"/>
        <v>44318</v>
      </c>
      <c r="L7268" s="17">
        <v>0.75</v>
      </c>
      <c r="M7268" s="14">
        <v>932</v>
      </c>
      <c r="N7268" s="14">
        <v>0</v>
      </c>
      <c r="O7268" s="14">
        <v>0</v>
      </c>
      <c r="P7268" s="14">
        <v>932</v>
      </c>
      <c r="Q7268">
        <v>7145</v>
      </c>
      <c r="R7268">
        <v>1651</v>
      </c>
      <c r="S7268">
        <v>927</v>
      </c>
    </row>
    <row r="7269" spans="11:19" x14ac:dyDescent="0.3">
      <c r="K7269" s="16">
        <f t="shared" si="113"/>
        <v>44318</v>
      </c>
      <c r="L7269" s="17">
        <v>0.79166666666666663</v>
      </c>
      <c r="M7269" s="14">
        <v>932</v>
      </c>
      <c r="N7269" s="14">
        <v>0</v>
      </c>
      <c r="O7269" s="14">
        <v>0</v>
      </c>
      <c r="P7269" s="14">
        <v>932</v>
      </c>
      <c r="Q7269">
        <v>7530</v>
      </c>
      <c r="R7269">
        <v>1317</v>
      </c>
      <c r="S7269">
        <v>389</v>
      </c>
    </row>
    <row r="7270" spans="11:19" x14ac:dyDescent="0.3">
      <c r="K7270" s="16">
        <f t="shared" si="113"/>
        <v>44318</v>
      </c>
      <c r="L7270" s="17">
        <v>0.83333333333333337</v>
      </c>
      <c r="M7270" s="14">
        <v>932</v>
      </c>
      <c r="N7270" s="14">
        <v>0</v>
      </c>
      <c r="O7270" s="14">
        <v>368</v>
      </c>
      <c r="P7270" s="14">
        <v>1300</v>
      </c>
      <c r="Q7270">
        <v>7467</v>
      </c>
      <c r="R7270">
        <v>999</v>
      </c>
      <c r="S7270">
        <v>70</v>
      </c>
    </row>
    <row r="7271" spans="11:19" x14ac:dyDescent="0.3">
      <c r="K7271" s="16">
        <f t="shared" si="113"/>
        <v>44318</v>
      </c>
      <c r="L7271" s="17">
        <v>0.875</v>
      </c>
      <c r="M7271" s="14">
        <v>932</v>
      </c>
      <c r="N7271" s="14">
        <v>83</v>
      </c>
      <c r="O7271" s="14">
        <v>538</v>
      </c>
      <c r="P7271" s="14">
        <v>1553</v>
      </c>
      <c r="Q7271">
        <v>7486</v>
      </c>
      <c r="R7271">
        <v>841</v>
      </c>
      <c r="S7271">
        <v>0</v>
      </c>
    </row>
    <row r="7272" spans="11:19" x14ac:dyDescent="0.3">
      <c r="K7272" s="16">
        <f t="shared" si="113"/>
        <v>44318</v>
      </c>
      <c r="L7272" s="17">
        <v>0.91666666666666663</v>
      </c>
      <c r="M7272" s="14">
        <v>932</v>
      </c>
      <c r="N7272" s="14">
        <v>377</v>
      </c>
      <c r="O7272" s="14">
        <v>642</v>
      </c>
      <c r="P7272" s="14">
        <v>1951</v>
      </c>
      <c r="Q7272">
        <v>7813</v>
      </c>
      <c r="R7272">
        <v>773</v>
      </c>
      <c r="S7272">
        <v>0</v>
      </c>
    </row>
    <row r="7273" spans="11:19" x14ac:dyDescent="0.3">
      <c r="K7273" s="16">
        <f t="shared" si="113"/>
        <v>44318</v>
      </c>
      <c r="L7273" s="17">
        <v>0.95833333333333337</v>
      </c>
      <c r="M7273" s="14">
        <v>932</v>
      </c>
      <c r="N7273" s="14">
        <v>377</v>
      </c>
      <c r="O7273" s="14">
        <v>994</v>
      </c>
      <c r="P7273" s="14">
        <v>2303</v>
      </c>
      <c r="Q7273">
        <v>8055</v>
      </c>
      <c r="R7273">
        <v>682</v>
      </c>
      <c r="S7273">
        <v>0</v>
      </c>
    </row>
    <row r="7274" spans="11:19" x14ac:dyDescent="0.3">
      <c r="K7274" s="16">
        <f t="shared" si="113"/>
        <v>44319</v>
      </c>
      <c r="L7274" s="17">
        <v>0</v>
      </c>
      <c r="M7274" s="14">
        <v>932</v>
      </c>
      <c r="N7274" s="14">
        <v>993</v>
      </c>
      <c r="O7274" s="14">
        <v>357</v>
      </c>
      <c r="P7274" s="14">
        <v>2282</v>
      </c>
      <c r="Q7274">
        <v>7998</v>
      </c>
      <c r="R7274">
        <v>649</v>
      </c>
      <c r="S7274">
        <v>0</v>
      </c>
    </row>
    <row r="7275" spans="11:19" x14ac:dyDescent="0.3">
      <c r="K7275" s="16">
        <f t="shared" si="113"/>
        <v>44319</v>
      </c>
      <c r="L7275" s="17">
        <v>4.1666666666666664E-2</v>
      </c>
      <c r="M7275" s="14">
        <v>932</v>
      </c>
      <c r="N7275" s="14">
        <v>993</v>
      </c>
      <c r="O7275" s="14">
        <v>65</v>
      </c>
      <c r="P7275" s="14">
        <v>1990</v>
      </c>
      <c r="Q7275">
        <v>7607</v>
      </c>
      <c r="R7275">
        <v>551</v>
      </c>
      <c r="S7275">
        <v>0</v>
      </c>
    </row>
    <row r="7276" spans="11:19" x14ac:dyDescent="0.3">
      <c r="K7276" s="16">
        <f t="shared" si="113"/>
        <v>44319</v>
      </c>
      <c r="L7276" s="17">
        <v>8.3333333333333329E-2</v>
      </c>
      <c r="M7276" s="14">
        <v>932</v>
      </c>
      <c r="N7276" s="14">
        <v>806</v>
      </c>
      <c r="O7276" s="14">
        <v>0</v>
      </c>
      <c r="P7276" s="14">
        <v>1738</v>
      </c>
      <c r="Q7276">
        <v>7286</v>
      </c>
      <c r="R7276">
        <v>482</v>
      </c>
      <c r="S7276">
        <v>0</v>
      </c>
    </row>
    <row r="7277" spans="11:19" x14ac:dyDescent="0.3">
      <c r="K7277" s="16">
        <f t="shared" si="113"/>
        <v>44319</v>
      </c>
      <c r="L7277" s="17">
        <v>0.125</v>
      </c>
      <c r="M7277" s="14">
        <v>932</v>
      </c>
      <c r="N7277" s="14">
        <v>440</v>
      </c>
      <c r="O7277" s="14">
        <v>0</v>
      </c>
      <c r="P7277" s="14">
        <v>1372</v>
      </c>
      <c r="Q7277">
        <v>6878</v>
      </c>
      <c r="R7277">
        <v>436</v>
      </c>
      <c r="S7277">
        <v>0</v>
      </c>
    </row>
    <row r="7278" spans="11:19" x14ac:dyDescent="0.3">
      <c r="K7278" s="16">
        <f t="shared" si="113"/>
        <v>44319</v>
      </c>
      <c r="L7278" s="17">
        <v>0.16666666666666666</v>
      </c>
      <c r="M7278" s="14">
        <v>932</v>
      </c>
      <c r="N7278" s="14">
        <v>320</v>
      </c>
      <c r="O7278" s="14">
        <v>0</v>
      </c>
      <c r="P7278" s="14">
        <v>1252</v>
      </c>
      <c r="Q7278">
        <v>6763</v>
      </c>
      <c r="R7278">
        <v>433</v>
      </c>
      <c r="S7278">
        <v>0</v>
      </c>
    </row>
    <row r="7279" spans="11:19" x14ac:dyDescent="0.3">
      <c r="K7279" s="16">
        <f t="shared" si="113"/>
        <v>44319</v>
      </c>
      <c r="L7279" s="17">
        <v>0.20833333333333334</v>
      </c>
      <c r="M7279" s="14">
        <v>932</v>
      </c>
      <c r="N7279" s="14">
        <v>993</v>
      </c>
      <c r="O7279" s="14">
        <v>-405</v>
      </c>
      <c r="P7279" s="14">
        <v>1520</v>
      </c>
      <c r="Q7279">
        <v>7013</v>
      </c>
      <c r="R7279">
        <v>397</v>
      </c>
      <c r="S7279">
        <v>0</v>
      </c>
    </row>
    <row r="7280" spans="11:19" x14ac:dyDescent="0.3">
      <c r="K7280" s="16">
        <f t="shared" si="113"/>
        <v>44319</v>
      </c>
      <c r="L7280" s="17">
        <v>0.25</v>
      </c>
      <c r="M7280" s="14">
        <v>932</v>
      </c>
      <c r="N7280" s="14">
        <v>993</v>
      </c>
      <c r="O7280" s="14">
        <v>17</v>
      </c>
      <c r="P7280" s="14">
        <v>1942</v>
      </c>
      <c r="Q7280">
        <v>7441</v>
      </c>
      <c r="R7280">
        <v>372</v>
      </c>
      <c r="S7280">
        <v>10</v>
      </c>
    </row>
    <row r="7281" spans="11:19" x14ac:dyDescent="0.3">
      <c r="K7281" s="16">
        <f t="shared" si="113"/>
        <v>44319</v>
      </c>
      <c r="L7281" s="17">
        <v>0.29166666666666669</v>
      </c>
      <c r="M7281" s="14">
        <v>932</v>
      </c>
      <c r="N7281" s="14">
        <v>993</v>
      </c>
      <c r="O7281" s="14">
        <v>238</v>
      </c>
      <c r="P7281" s="14">
        <v>2163</v>
      </c>
      <c r="Q7281">
        <v>7876</v>
      </c>
      <c r="R7281">
        <v>438</v>
      </c>
      <c r="S7281">
        <v>154</v>
      </c>
    </row>
    <row r="7282" spans="11:19" x14ac:dyDescent="0.3">
      <c r="K7282" s="16">
        <f t="shared" si="113"/>
        <v>44319</v>
      </c>
      <c r="L7282" s="17">
        <v>0.33333333333333331</v>
      </c>
      <c r="M7282" s="14">
        <v>932</v>
      </c>
      <c r="N7282" s="14">
        <v>993</v>
      </c>
      <c r="O7282" s="14">
        <v>243</v>
      </c>
      <c r="P7282" s="14">
        <v>2168</v>
      </c>
      <c r="Q7282">
        <v>8363</v>
      </c>
      <c r="R7282">
        <v>472</v>
      </c>
      <c r="S7282">
        <v>602</v>
      </c>
    </row>
    <row r="7283" spans="11:19" x14ac:dyDescent="0.3">
      <c r="K7283" s="16">
        <f t="shared" si="113"/>
        <v>44319</v>
      </c>
      <c r="L7283" s="17">
        <v>0.375</v>
      </c>
      <c r="M7283" s="14">
        <v>932</v>
      </c>
      <c r="N7283" s="14">
        <v>993</v>
      </c>
      <c r="O7283" s="14">
        <v>-3</v>
      </c>
      <c r="P7283" s="14">
        <v>1922</v>
      </c>
      <c r="Q7283">
        <v>8681</v>
      </c>
      <c r="R7283">
        <v>468</v>
      </c>
      <c r="S7283">
        <v>1174</v>
      </c>
    </row>
    <row r="7284" spans="11:19" x14ac:dyDescent="0.3">
      <c r="K7284" s="16">
        <f t="shared" si="113"/>
        <v>44319</v>
      </c>
      <c r="L7284" s="17">
        <v>0.41666666666666669</v>
      </c>
      <c r="M7284" s="14">
        <v>932</v>
      </c>
      <c r="N7284" s="14">
        <v>705</v>
      </c>
      <c r="O7284" s="14">
        <v>0</v>
      </c>
      <c r="P7284" s="14">
        <v>1637</v>
      </c>
      <c r="Q7284">
        <v>8783</v>
      </c>
      <c r="R7284">
        <v>585</v>
      </c>
      <c r="S7284">
        <v>1445</v>
      </c>
    </row>
    <row r="7285" spans="11:19" x14ac:dyDescent="0.3">
      <c r="K7285" s="16">
        <f t="shared" si="113"/>
        <v>44319</v>
      </c>
      <c r="L7285" s="17">
        <v>0.45833333333333331</v>
      </c>
      <c r="M7285" s="14">
        <v>932</v>
      </c>
      <c r="N7285" s="14">
        <v>993</v>
      </c>
      <c r="O7285" s="14">
        <v>-401</v>
      </c>
      <c r="P7285" s="14">
        <v>1524</v>
      </c>
      <c r="Q7285">
        <v>8907</v>
      </c>
      <c r="R7285">
        <v>672</v>
      </c>
      <c r="S7285">
        <v>1595</v>
      </c>
    </row>
    <row r="7286" spans="11:19" x14ac:dyDescent="0.3">
      <c r="K7286" s="16">
        <f t="shared" si="113"/>
        <v>44319</v>
      </c>
      <c r="L7286" s="17">
        <v>0.5</v>
      </c>
      <c r="M7286" s="14">
        <v>932</v>
      </c>
      <c r="N7286" s="14">
        <v>993</v>
      </c>
      <c r="O7286" s="14">
        <v>-310</v>
      </c>
      <c r="P7286" s="14">
        <v>1615</v>
      </c>
      <c r="Q7286">
        <v>9146</v>
      </c>
      <c r="R7286">
        <v>736</v>
      </c>
      <c r="S7286">
        <v>1679</v>
      </c>
    </row>
    <row r="7287" spans="11:19" x14ac:dyDescent="0.3">
      <c r="K7287" s="16">
        <f t="shared" si="113"/>
        <v>44319</v>
      </c>
      <c r="L7287" s="17">
        <v>0.54166666666666663</v>
      </c>
      <c r="M7287" s="14">
        <v>932</v>
      </c>
      <c r="N7287" s="14">
        <v>267</v>
      </c>
      <c r="O7287" s="14">
        <v>0</v>
      </c>
      <c r="P7287" s="14">
        <v>1199</v>
      </c>
      <c r="Q7287">
        <v>8891</v>
      </c>
      <c r="R7287">
        <v>793</v>
      </c>
      <c r="S7287">
        <v>1785</v>
      </c>
    </row>
    <row r="7288" spans="11:19" x14ac:dyDescent="0.3">
      <c r="K7288" s="16">
        <f t="shared" si="113"/>
        <v>44319</v>
      </c>
      <c r="L7288" s="17">
        <v>0.58333333333333337</v>
      </c>
      <c r="M7288" s="14">
        <v>932</v>
      </c>
      <c r="N7288" s="14">
        <v>0</v>
      </c>
      <c r="O7288" s="14">
        <v>-1</v>
      </c>
      <c r="P7288" s="14">
        <v>931</v>
      </c>
      <c r="Q7288">
        <v>8633</v>
      </c>
      <c r="R7288">
        <v>805</v>
      </c>
      <c r="S7288">
        <v>1783</v>
      </c>
    </row>
    <row r="7289" spans="11:19" x14ac:dyDescent="0.3">
      <c r="K7289" s="16">
        <f t="shared" si="113"/>
        <v>44319</v>
      </c>
      <c r="L7289" s="17">
        <v>0.625</v>
      </c>
      <c r="M7289" s="14">
        <v>932</v>
      </c>
      <c r="N7289" s="14">
        <v>0</v>
      </c>
      <c r="O7289" s="14">
        <v>-212</v>
      </c>
      <c r="P7289" s="14">
        <v>720</v>
      </c>
      <c r="Q7289">
        <v>8314</v>
      </c>
      <c r="R7289">
        <v>783</v>
      </c>
      <c r="S7289">
        <v>1697</v>
      </c>
    </row>
    <row r="7290" spans="11:19" x14ac:dyDescent="0.3">
      <c r="K7290" s="16">
        <f t="shared" si="113"/>
        <v>44319</v>
      </c>
      <c r="L7290" s="17">
        <v>0.66666666666666663</v>
      </c>
      <c r="M7290" s="14">
        <v>932</v>
      </c>
      <c r="N7290" s="14">
        <v>405</v>
      </c>
      <c r="O7290" s="14">
        <v>-643</v>
      </c>
      <c r="P7290" s="14">
        <v>694</v>
      </c>
      <c r="Q7290">
        <v>8083</v>
      </c>
      <c r="R7290">
        <v>772</v>
      </c>
      <c r="S7290">
        <v>1504</v>
      </c>
    </row>
    <row r="7291" spans="11:19" x14ac:dyDescent="0.3">
      <c r="K7291" s="16">
        <f t="shared" si="113"/>
        <v>44319</v>
      </c>
      <c r="L7291" s="17">
        <v>0.70833333333333337</v>
      </c>
      <c r="M7291" s="14">
        <v>932</v>
      </c>
      <c r="N7291" s="14">
        <v>0</v>
      </c>
      <c r="O7291" s="14">
        <v>-62</v>
      </c>
      <c r="P7291" s="14">
        <v>870</v>
      </c>
      <c r="Q7291">
        <v>8006</v>
      </c>
      <c r="R7291">
        <v>825</v>
      </c>
      <c r="S7291">
        <v>1198</v>
      </c>
    </row>
    <row r="7292" spans="11:19" x14ac:dyDescent="0.3">
      <c r="K7292" s="16">
        <f t="shared" si="113"/>
        <v>44319</v>
      </c>
      <c r="L7292" s="17">
        <v>0.75</v>
      </c>
      <c r="M7292" s="14">
        <v>932</v>
      </c>
      <c r="N7292" s="14">
        <v>993</v>
      </c>
      <c r="O7292" s="14">
        <v>-423</v>
      </c>
      <c r="P7292" s="14">
        <v>1502</v>
      </c>
      <c r="Q7292">
        <v>8179</v>
      </c>
      <c r="R7292">
        <v>766</v>
      </c>
      <c r="S7292">
        <v>801</v>
      </c>
    </row>
    <row r="7293" spans="11:19" x14ac:dyDescent="0.3">
      <c r="K7293" s="16">
        <f t="shared" si="113"/>
        <v>44319</v>
      </c>
      <c r="L7293" s="17">
        <v>0.79166666666666663</v>
      </c>
      <c r="M7293" s="14">
        <v>932</v>
      </c>
      <c r="N7293" s="14">
        <v>993</v>
      </c>
      <c r="O7293" s="14">
        <v>131</v>
      </c>
      <c r="P7293" s="14">
        <v>2056</v>
      </c>
      <c r="Q7293">
        <v>8247</v>
      </c>
      <c r="R7293">
        <v>745</v>
      </c>
      <c r="S7293">
        <v>341</v>
      </c>
    </row>
    <row r="7294" spans="11:19" x14ac:dyDescent="0.3">
      <c r="K7294" s="16">
        <f t="shared" si="113"/>
        <v>44319</v>
      </c>
      <c r="L7294" s="17">
        <v>0.83333333333333337</v>
      </c>
      <c r="M7294" s="14">
        <v>932</v>
      </c>
      <c r="N7294" s="14">
        <v>993</v>
      </c>
      <c r="O7294" s="14">
        <v>113</v>
      </c>
      <c r="P7294" s="14">
        <v>2038</v>
      </c>
      <c r="Q7294">
        <v>7877</v>
      </c>
      <c r="R7294">
        <v>701</v>
      </c>
      <c r="S7294">
        <v>36</v>
      </c>
    </row>
    <row r="7295" spans="11:19" x14ac:dyDescent="0.3">
      <c r="K7295" s="16">
        <f t="shared" si="113"/>
        <v>44319</v>
      </c>
      <c r="L7295" s="17">
        <v>0.875</v>
      </c>
      <c r="M7295" s="14">
        <v>932</v>
      </c>
      <c r="N7295" s="14">
        <v>993</v>
      </c>
      <c r="O7295" s="14">
        <v>29</v>
      </c>
      <c r="P7295" s="14">
        <v>1954</v>
      </c>
      <c r="Q7295">
        <v>7852</v>
      </c>
      <c r="R7295">
        <v>801</v>
      </c>
      <c r="S7295">
        <v>0</v>
      </c>
    </row>
    <row r="7296" spans="11:19" x14ac:dyDescent="0.3">
      <c r="K7296" s="16">
        <f t="shared" si="113"/>
        <v>44319</v>
      </c>
      <c r="L7296" s="17">
        <v>0.91666666666666663</v>
      </c>
      <c r="M7296" s="14">
        <v>932</v>
      </c>
      <c r="N7296" s="14">
        <v>993</v>
      </c>
      <c r="O7296" s="14">
        <v>344</v>
      </c>
      <c r="P7296" s="14">
        <v>2269</v>
      </c>
      <c r="Q7296">
        <v>8204</v>
      </c>
      <c r="R7296">
        <v>840</v>
      </c>
      <c r="S7296">
        <v>0</v>
      </c>
    </row>
    <row r="7297" spans="11:19" x14ac:dyDescent="0.3">
      <c r="K7297" s="16">
        <f t="shared" si="113"/>
        <v>44319</v>
      </c>
      <c r="L7297" s="17">
        <v>0.95833333333333337</v>
      </c>
      <c r="M7297" s="14">
        <v>932</v>
      </c>
      <c r="N7297" s="14">
        <v>993</v>
      </c>
      <c r="O7297" s="14">
        <v>432</v>
      </c>
      <c r="P7297" s="14">
        <v>2357</v>
      </c>
      <c r="Q7297">
        <v>8414</v>
      </c>
      <c r="R7297">
        <v>980</v>
      </c>
      <c r="S7297">
        <v>0</v>
      </c>
    </row>
    <row r="7298" spans="11:19" x14ac:dyDescent="0.3">
      <c r="K7298" s="16">
        <f t="shared" si="113"/>
        <v>44320</v>
      </c>
      <c r="L7298" s="17">
        <v>0</v>
      </c>
      <c r="M7298" s="14">
        <v>884</v>
      </c>
      <c r="N7298" s="14">
        <v>0</v>
      </c>
      <c r="O7298" s="14">
        <v>1200</v>
      </c>
      <c r="P7298" s="14">
        <v>2084</v>
      </c>
      <c r="Q7298">
        <v>7803</v>
      </c>
      <c r="R7298">
        <v>1101</v>
      </c>
      <c r="S7298">
        <v>0</v>
      </c>
    </row>
    <row r="7299" spans="11:19" x14ac:dyDescent="0.3">
      <c r="K7299" s="16">
        <f t="shared" si="113"/>
        <v>44320</v>
      </c>
      <c r="L7299" s="17">
        <v>4.1666666666666664E-2</v>
      </c>
      <c r="M7299" s="14">
        <v>884</v>
      </c>
      <c r="N7299" s="14">
        <v>0</v>
      </c>
      <c r="O7299" s="14">
        <v>695</v>
      </c>
      <c r="P7299" s="14">
        <v>1579</v>
      </c>
      <c r="Q7299">
        <v>7375</v>
      </c>
      <c r="R7299">
        <v>1348</v>
      </c>
      <c r="S7299">
        <v>0</v>
      </c>
    </row>
    <row r="7300" spans="11:19" x14ac:dyDescent="0.3">
      <c r="K7300" s="16">
        <f t="shared" si="113"/>
        <v>44320</v>
      </c>
      <c r="L7300" s="17">
        <v>8.3333333333333329E-2</v>
      </c>
      <c r="M7300" s="14">
        <v>884</v>
      </c>
      <c r="N7300" s="14">
        <v>0</v>
      </c>
      <c r="O7300" s="14">
        <v>33</v>
      </c>
      <c r="P7300" s="14">
        <v>917</v>
      </c>
      <c r="Q7300">
        <v>6997</v>
      </c>
      <c r="R7300">
        <v>1641</v>
      </c>
      <c r="S7300">
        <v>0</v>
      </c>
    </row>
    <row r="7301" spans="11:19" x14ac:dyDescent="0.3">
      <c r="K7301" s="16">
        <f t="shared" si="113"/>
        <v>44320</v>
      </c>
      <c r="L7301" s="17">
        <v>0.125</v>
      </c>
      <c r="M7301" s="14">
        <v>884</v>
      </c>
      <c r="N7301" s="14">
        <v>0</v>
      </c>
      <c r="O7301" s="14">
        <v>0</v>
      </c>
      <c r="P7301" s="14">
        <v>884</v>
      </c>
      <c r="Q7301">
        <v>6511</v>
      </c>
      <c r="R7301">
        <v>1782</v>
      </c>
      <c r="S7301">
        <v>0</v>
      </c>
    </row>
    <row r="7302" spans="11:19" x14ac:dyDescent="0.3">
      <c r="K7302" s="16">
        <f t="shared" si="113"/>
        <v>44320</v>
      </c>
      <c r="L7302" s="17">
        <v>0.16666666666666666</v>
      </c>
      <c r="M7302" s="14">
        <v>884</v>
      </c>
      <c r="N7302" s="14">
        <v>0</v>
      </c>
      <c r="O7302" s="14">
        <v>0</v>
      </c>
      <c r="P7302" s="14">
        <v>884</v>
      </c>
      <c r="Q7302">
        <v>6240</v>
      </c>
      <c r="R7302">
        <v>1588</v>
      </c>
      <c r="S7302">
        <v>0</v>
      </c>
    </row>
    <row r="7303" spans="11:19" x14ac:dyDescent="0.3">
      <c r="K7303" s="16">
        <f t="shared" si="113"/>
        <v>44320</v>
      </c>
      <c r="L7303" s="17">
        <v>0.20833333333333334</v>
      </c>
      <c r="M7303" s="14">
        <v>884</v>
      </c>
      <c r="N7303" s="14">
        <v>0</v>
      </c>
      <c r="O7303" s="14">
        <v>0</v>
      </c>
      <c r="P7303" s="14">
        <v>884</v>
      </c>
      <c r="Q7303">
        <v>6189</v>
      </c>
      <c r="R7303">
        <v>1770</v>
      </c>
      <c r="S7303">
        <v>0</v>
      </c>
    </row>
    <row r="7304" spans="11:19" x14ac:dyDescent="0.3">
      <c r="K7304" s="16">
        <f t="shared" si="113"/>
        <v>44320</v>
      </c>
      <c r="L7304" s="17">
        <v>0.25</v>
      </c>
      <c r="M7304" s="14">
        <v>884</v>
      </c>
      <c r="N7304" s="14">
        <v>0</v>
      </c>
      <c r="O7304" s="14">
        <v>0</v>
      </c>
      <c r="P7304" s="14">
        <v>884</v>
      </c>
      <c r="Q7304">
        <v>6163</v>
      </c>
      <c r="R7304">
        <v>1823</v>
      </c>
      <c r="S7304">
        <v>4</v>
      </c>
    </row>
    <row r="7305" spans="11:19" x14ac:dyDescent="0.3">
      <c r="K7305" s="16">
        <f t="shared" si="113"/>
        <v>44320</v>
      </c>
      <c r="L7305" s="17">
        <v>0.29166666666666669</v>
      </c>
      <c r="M7305" s="14">
        <v>884</v>
      </c>
      <c r="N7305" s="14">
        <v>0</v>
      </c>
      <c r="O7305" s="14">
        <v>0</v>
      </c>
      <c r="P7305" s="14">
        <v>884</v>
      </c>
      <c r="Q7305">
        <v>6260</v>
      </c>
      <c r="R7305">
        <v>1887</v>
      </c>
      <c r="S7305">
        <v>104</v>
      </c>
    </row>
    <row r="7306" spans="11:19" x14ac:dyDescent="0.3">
      <c r="K7306" s="16">
        <f t="shared" si="113"/>
        <v>44320</v>
      </c>
      <c r="L7306" s="17">
        <v>0.33333333333333331</v>
      </c>
      <c r="M7306" s="14">
        <v>884</v>
      </c>
      <c r="N7306" s="14">
        <v>0</v>
      </c>
      <c r="O7306" s="14">
        <v>-138</v>
      </c>
      <c r="P7306" s="14">
        <v>746</v>
      </c>
      <c r="Q7306">
        <v>6694</v>
      </c>
      <c r="R7306">
        <v>2206</v>
      </c>
      <c r="S7306">
        <v>365</v>
      </c>
    </row>
    <row r="7307" spans="11:19" x14ac:dyDescent="0.3">
      <c r="K7307" s="16">
        <f t="shared" si="113"/>
        <v>44320</v>
      </c>
      <c r="L7307" s="17">
        <v>0.375</v>
      </c>
      <c r="M7307" s="14">
        <v>884</v>
      </c>
      <c r="N7307" s="14">
        <v>0</v>
      </c>
      <c r="O7307" s="14">
        <v>0</v>
      </c>
      <c r="P7307" s="14">
        <v>884</v>
      </c>
      <c r="Q7307">
        <v>7167</v>
      </c>
      <c r="R7307">
        <v>1912</v>
      </c>
      <c r="S7307">
        <v>691</v>
      </c>
    </row>
    <row r="7308" spans="11:19" x14ac:dyDescent="0.3">
      <c r="K7308" s="16">
        <f t="shared" si="113"/>
        <v>44320</v>
      </c>
      <c r="L7308" s="17">
        <v>0.41666666666666669</v>
      </c>
      <c r="M7308" s="14">
        <v>884</v>
      </c>
      <c r="N7308" s="14">
        <v>0</v>
      </c>
      <c r="O7308" s="14">
        <v>0</v>
      </c>
      <c r="P7308" s="14">
        <v>884</v>
      </c>
      <c r="Q7308">
        <v>7530</v>
      </c>
      <c r="R7308">
        <v>1744</v>
      </c>
      <c r="S7308">
        <v>897</v>
      </c>
    </row>
    <row r="7309" spans="11:19" x14ac:dyDescent="0.3">
      <c r="K7309" s="16">
        <f t="shared" si="113"/>
        <v>44320</v>
      </c>
      <c r="L7309" s="17">
        <v>0.45833333333333331</v>
      </c>
      <c r="M7309" s="14">
        <v>884</v>
      </c>
      <c r="N7309" s="14">
        <v>0</v>
      </c>
      <c r="O7309" s="14">
        <v>0</v>
      </c>
      <c r="P7309" s="14">
        <v>884</v>
      </c>
      <c r="Q7309">
        <v>7829</v>
      </c>
      <c r="R7309">
        <v>1767</v>
      </c>
      <c r="S7309">
        <v>1112</v>
      </c>
    </row>
    <row r="7310" spans="11:19" x14ac:dyDescent="0.3">
      <c r="K7310" s="16">
        <f t="shared" si="113"/>
        <v>44320</v>
      </c>
      <c r="L7310" s="17">
        <v>0.5</v>
      </c>
      <c r="M7310" s="14">
        <v>884</v>
      </c>
      <c r="N7310" s="14">
        <v>0</v>
      </c>
      <c r="O7310" s="14">
        <v>0</v>
      </c>
      <c r="P7310" s="14">
        <v>884</v>
      </c>
      <c r="Q7310">
        <v>8261</v>
      </c>
      <c r="R7310">
        <v>1967</v>
      </c>
      <c r="S7310">
        <v>1390</v>
      </c>
    </row>
    <row r="7311" spans="11:19" x14ac:dyDescent="0.3">
      <c r="K7311" s="16">
        <f t="shared" si="113"/>
        <v>44320</v>
      </c>
      <c r="L7311" s="17">
        <v>0.54166666666666663</v>
      </c>
      <c r="M7311" s="14">
        <v>884</v>
      </c>
      <c r="N7311" s="14">
        <v>0</v>
      </c>
      <c r="O7311" s="14">
        <v>124</v>
      </c>
      <c r="P7311" s="14">
        <v>1008</v>
      </c>
      <c r="Q7311">
        <v>7941</v>
      </c>
      <c r="R7311">
        <v>2129</v>
      </c>
      <c r="S7311">
        <v>1439</v>
      </c>
    </row>
    <row r="7312" spans="11:19" x14ac:dyDescent="0.3">
      <c r="K7312" s="16">
        <f t="shared" si="113"/>
        <v>44320</v>
      </c>
      <c r="L7312" s="17">
        <v>0.58333333333333337</v>
      </c>
      <c r="M7312" s="14">
        <v>884</v>
      </c>
      <c r="N7312" s="14">
        <v>0</v>
      </c>
      <c r="O7312" s="14">
        <v>-434</v>
      </c>
      <c r="P7312" s="14">
        <v>450</v>
      </c>
      <c r="Q7312">
        <v>7620</v>
      </c>
      <c r="R7312">
        <v>2273</v>
      </c>
      <c r="S7312">
        <v>1532</v>
      </c>
    </row>
    <row r="7313" spans="11:19" x14ac:dyDescent="0.3">
      <c r="K7313" s="16">
        <f t="shared" si="113"/>
        <v>44320</v>
      </c>
      <c r="L7313" s="17">
        <v>0.625</v>
      </c>
      <c r="M7313" s="14">
        <v>884</v>
      </c>
      <c r="N7313" s="14">
        <v>0</v>
      </c>
      <c r="O7313" s="14">
        <v>-833</v>
      </c>
      <c r="P7313" s="14">
        <v>51</v>
      </c>
      <c r="Q7313">
        <v>7328</v>
      </c>
      <c r="R7313">
        <v>2463</v>
      </c>
      <c r="S7313">
        <v>1454</v>
      </c>
    </row>
    <row r="7314" spans="11:19" x14ac:dyDescent="0.3">
      <c r="K7314" s="16">
        <f t="shared" si="113"/>
        <v>44320</v>
      </c>
      <c r="L7314" s="17">
        <v>0.66666666666666663</v>
      </c>
      <c r="M7314" s="14">
        <v>884</v>
      </c>
      <c r="N7314" s="14">
        <v>0</v>
      </c>
      <c r="O7314" s="14">
        <v>-880</v>
      </c>
      <c r="P7314" s="14">
        <v>4</v>
      </c>
      <c r="Q7314">
        <v>7152</v>
      </c>
      <c r="R7314">
        <v>2506</v>
      </c>
      <c r="S7314">
        <v>1289</v>
      </c>
    </row>
    <row r="7315" spans="11:19" x14ac:dyDescent="0.3">
      <c r="K7315" s="16">
        <f t="shared" si="113"/>
        <v>44320</v>
      </c>
      <c r="L7315" s="17">
        <v>0.70833333333333337</v>
      </c>
      <c r="M7315" s="14">
        <v>884</v>
      </c>
      <c r="N7315" s="14">
        <v>0</v>
      </c>
      <c r="O7315" s="14">
        <v>-399</v>
      </c>
      <c r="P7315" s="14">
        <v>485</v>
      </c>
      <c r="Q7315">
        <v>7142</v>
      </c>
      <c r="R7315">
        <v>2309</v>
      </c>
      <c r="S7315">
        <v>997</v>
      </c>
    </row>
    <row r="7316" spans="11:19" x14ac:dyDescent="0.3">
      <c r="K7316" s="16">
        <f t="shared" si="113"/>
        <v>44320</v>
      </c>
      <c r="L7316" s="17">
        <v>0.75</v>
      </c>
      <c r="M7316" s="14">
        <v>884</v>
      </c>
      <c r="N7316" s="14">
        <v>0</v>
      </c>
      <c r="O7316" s="14">
        <v>0</v>
      </c>
      <c r="P7316" s="14">
        <v>884</v>
      </c>
      <c r="Q7316">
        <v>7426</v>
      </c>
      <c r="R7316">
        <v>2325</v>
      </c>
      <c r="S7316">
        <v>580</v>
      </c>
    </row>
    <row r="7317" spans="11:19" x14ac:dyDescent="0.3">
      <c r="K7317" s="16">
        <f t="shared" si="113"/>
        <v>44320</v>
      </c>
      <c r="L7317" s="17">
        <v>0.79166666666666663</v>
      </c>
      <c r="M7317" s="14">
        <v>884</v>
      </c>
      <c r="N7317" s="14">
        <v>0</v>
      </c>
      <c r="O7317" s="14">
        <v>0</v>
      </c>
      <c r="P7317" s="14">
        <v>884</v>
      </c>
      <c r="Q7317">
        <v>7682</v>
      </c>
      <c r="R7317">
        <v>2464</v>
      </c>
      <c r="S7317">
        <v>214</v>
      </c>
    </row>
    <row r="7318" spans="11:19" x14ac:dyDescent="0.3">
      <c r="K7318" s="16">
        <f t="shared" si="113"/>
        <v>44320</v>
      </c>
      <c r="L7318" s="17">
        <v>0.83333333333333337</v>
      </c>
      <c r="M7318" s="14">
        <v>884</v>
      </c>
      <c r="N7318" s="14">
        <v>0</v>
      </c>
      <c r="O7318" s="14">
        <v>0</v>
      </c>
      <c r="P7318" s="14">
        <v>884</v>
      </c>
      <c r="Q7318">
        <v>7479</v>
      </c>
      <c r="R7318">
        <v>2679</v>
      </c>
      <c r="S7318">
        <v>23</v>
      </c>
    </row>
    <row r="7319" spans="11:19" x14ac:dyDescent="0.3">
      <c r="K7319" s="16">
        <f t="shared" si="113"/>
        <v>44320</v>
      </c>
      <c r="L7319" s="17">
        <v>0.875</v>
      </c>
      <c r="M7319" s="14">
        <v>884</v>
      </c>
      <c r="N7319" s="14">
        <v>0</v>
      </c>
      <c r="O7319" s="14">
        <v>0</v>
      </c>
      <c r="P7319" s="14">
        <v>884</v>
      </c>
      <c r="Q7319">
        <v>7556</v>
      </c>
      <c r="R7319">
        <v>2977</v>
      </c>
      <c r="S7319">
        <v>0</v>
      </c>
    </row>
    <row r="7320" spans="11:19" x14ac:dyDescent="0.3">
      <c r="K7320" s="16">
        <f t="shared" si="113"/>
        <v>44320</v>
      </c>
      <c r="L7320" s="17">
        <v>0.91666666666666663</v>
      </c>
      <c r="M7320" s="14">
        <v>884</v>
      </c>
      <c r="N7320" s="14">
        <v>0</v>
      </c>
      <c r="O7320" s="14">
        <v>94</v>
      </c>
      <c r="P7320" s="14">
        <v>978</v>
      </c>
      <c r="Q7320">
        <v>7922</v>
      </c>
      <c r="R7320">
        <v>3382</v>
      </c>
      <c r="S7320">
        <v>0</v>
      </c>
    </row>
    <row r="7321" spans="11:19" x14ac:dyDescent="0.3">
      <c r="K7321" s="16">
        <f t="shared" si="113"/>
        <v>44320</v>
      </c>
      <c r="L7321" s="17">
        <v>0.95833333333333337</v>
      </c>
      <c r="M7321" s="14">
        <v>884</v>
      </c>
      <c r="N7321" s="14">
        <v>0</v>
      </c>
      <c r="O7321" s="14">
        <v>0</v>
      </c>
      <c r="P7321" s="14">
        <v>884</v>
      </c>
      <c r="Q7321">
        <v>8142</v>
      </c>
      <c r="R7321">
        <v>3317</v>
      </c>
      <c r="S7321">
        <v>0</v>
      </c>
    </row>
    <row r="7322" spans="11:19" x14ac:dyDescent="0.3">
      <c r="K7322" s="16">
        <f t="shared" si="113"/>
        <v>44321</v>
      </c>
      <c r="L7322" s="17">
        <v>0</v>
      </c>
      <c r="M7322" s="14">
        <v>884</v>
      </c>
      <c r="N7322" s="14">
        <v>0</v>
      </c>
      <c r="O7322" s="14">
        <v>0</v>
      </c>
      <c r="P7322" s="14">
        <v>884</v>
      </c>
      <c r="Q7322">
        <v>7515</v>
      </c>
      <c r="R7322">
        <v>3262</v>
      </c>
      <c r="S7322">
        <v>0</v>
      </c>
    </row>
    <row r="7323" spans="11:19" x14ac:dyDescent="0.3">
      <c r="K7323" s="16">
        <f t="shared" ref="K7323:K7386" si="114">K7299+1</f>
        <v>44321</v>
      </c>
      <c r="L7323" s="17">
        <v>4.1666666666666664E-2</v>
      </c>
      <c r="M7323" s="14">
        <v>884</v>
      </c>
      <c r="N7323" s="14">
        <v>0</v>
      </c>
      <c r="O7323" s="14">
        <v>-539</v>
      </c>
      <c r="P7323" s="14">
        <v>345</v>
      </c>
      <c r="Q7323">
        <v>7174</v>
      </c>
      <c r="R7323">
        <v>3516</v>
      </c>
      <c r="S7323">
        <v>0</v>
      </c>
    </row>
    <row r="7324" spans="11:19" x14ac:dyDescent="0.3">
      <c r="K7324" s="16">
        <f t="shared" si="114"/>
        <v>44321</v>
      </c>
      <c r="L7324" s="17">
        <v>8.3333333333333329E-2</v>
      </c>
      <c r="M7324" s="14">
        <v>884</v>
      </c>
      <c r="N7324" s="14">
        <v>0</v>
      </c>
      <c r="O7324" s="14">
        <v>-634</v>
      </c>
      <c r="P7324" s="14">
        <v>250</v>
      </c>
      <c r="Q7324">
        <v>6877</v>
      </c>
      <c r="R7324">
        <v>3315</v>
      </c>
      <c r="S7324">
        <v>0</v>
      </c>
    </row>
    <row r="7325" spans="11:19" x14ac:dyDescent="0.3">
      <c r="K7325" s="16">
        <f t="shared" si="114"/>
        <v>44321</v>
      </c>
      <c r="L7325" s="17">
        <v>0.125</v>
      </c>
      <c r="M7325" s="14">
        <v>884</v>
      </c>
      <c r="N7325" s="14">
        <v>0</v>
      </c>
      <c r="O7325" s="14">
        <v>-817</v>
      </c>
      <c r="P7325" s="14">
        <v>67</v>
      </c>
      <c r="Q7325">
        <v>6504</v>
      </c>
      <c r="R7325">
        <v>3122</v>
      </c>
      <c r="S7325">
        <v>0</v>
      </c>
    </row>
    <row r="7326" spans="11:19" x14ac:dyDescent="0.3">
      <c r="K7326" s="16">
        <f t="shared" si="114"/>
        <v>44321</v>
      </c>
      <c r="L7326" s="17">
        <v>0.16666666666666666</v>
      </c>
      <c r="M7326" s="14">
        <v>884</v>
      </c>
      <c r="N7326" s="14">
        <v>0</v>
      </c>
      <c r="O7326" s="14">
        <v>-640</v>
      </c>
      <c r="P7326" s="14">
        <v>244</v>
      </c>
      <c r="Q7326">
        <v>6475</v>
      </c>
      <c r="R7326">
        <v>2912</v>
      </c>
      <c r="S7326">
        <v>0</v>
      </c>
    </row>
    <row r="7327" spans="11:19" x14ac:dyDescent="0.3">
      <c r="K7327" s="16">
        <f t="shared" si="114"/>
        <v>44321</v>
      </c>
      <c r="L7327" s="17">
        <v>0.20833333333333334</v>
      </c>
      <c r="M7327" s="14">
        <v>884</v>
      </c>
      <c r="N7327" s="14">
        <v>0</v>
      </c>
      <c r="O7327" s="14">
        <v>0</v>
      </c>
      <c r="P7327" s="14">
        <v>884</v>
      </c>
      <c r="Q7327">
        <v>6994</v>
      </c>
      <c r="R7327">
        <v>2472</v>
      </c>
      <c r="S7327">
        <v>0</v>
      </c>
    </row>
    <row r="7328" spans="11:19" x14ac:dyDescent="0.3">
      <c r="K7328" s="16">
        <f t="shared" si="114"/>
        <v>44321</v>
      </c>
      <c r="L7328" s="17">
        <v>0.25</v>
      </c>
      <c r="M7328" s="14">
        <v>884</v>
      </c>
      <c r="N7328" s="14">
        <v>0</v>
      </c>
      <c r="O7328" s="14">
        <v>0</v>
      </c>
      <c r="P7328" s="14">
        <v>884</v>
      </c>
      <c r="Q7328">
        <v>7928</v>
      </c>
      <c r="R7328">
        <v>2434</v>
      </c>
      <c r="S7328">
        <v>10</v>
      </c>
    </row>
    <row r="7329" spans="11:19" x14ac:dyDescent="0.3">
      <c r="K7329" s="16">
        <f t="shared" si="114"/>
        <v>44321</v>
      </c>
      <c r="L7329" s="17">
        <v>0.29166666666666669</v>
      </c>
      <c r="M7329" s="14">
        <v>884</v>
      </c>
      <c r="N7329" s="14">
        <v>0</v>
      </c>
      <c r="O7329" s="14">
        <v>403</v>
      </c>
      <c r="P7329" s="14">
        <v>1287</v>
      </c>
      <c r="Q7329">
        <v>8687</v>
      </c>
      <c r="R7329">
        <v>2120</v>
      </c>
      <c r="S7329">
        <v>140</v>
      </c>
    </row>
    <row r="7330" spans="11:19" x14ac:dyDescent="0.3">
      <c r="K7330" s="16">
        <f t="shared" si="114"/>
        <v>44321</v>
      </c>
      <c r="L7330" s="17">
        <v>0.33333333333333331</v>
      </c>
      <c r="M7330" s="14">
        <v>884</v>
      </c>
      <c r="N7330" s="14">
        <v>0</v>
      </c>
      <c r="O7330" s="14">
        <v>497</v>
      </c>
      <c r="P7330" s="14">
        <v>1381</v>
      </c>
      <c r="Q7330">
        <v>9157</v>
      </c>
      <c r="R7330">
        <v>2102</v>
      </c>
      <c r="S7330">
        <v>532</v>
      </c>
    </row>
    <row r="7331" spans="11:19" x14ac:dyDescent="0.3">
      <c r="K7331" s="16">
        <f t="shared" si="114"/>
        <v>44321</v>
      </c>
      <c r="L7331" s="17">
        <v>0.375</v>
      </c>
      <c r="M7331" s="14">
        <v>884</v>
      </c>
      <c r="N7331" s="14">
        <v>0</v>
      </c>
      <c r="O7331" s="14">
        <v>228</v>
      </c>
      <c r="P7331" s="14">
        <v>1112</v>
      </c>
      <c r="Q7331">
        <v>9417</v>
      </c>
      <c r="R7331">
        <v>2024</v>
      </c>
      <c r="S7331">
        <v>1142</v>
      </c>
    </row>
    <row r="7332" spans="11:19" x14ac:dyDescent="0.3">
      <c r="K7332" s="16">
        <f t="shared" si="114"/>
        <v>44321</v>
      </c>
      <c r="L7332" s="17">
        <v>0.41666666666666669</v>
      </c>
      <c r="M7332" s="14">
        <v>884</v>
      </c>
      <c r="N7332" s="14">
        <v>0</v>
      </c>
      <c r="O7332" s="14">
        <v>0</v>
      </c>
      <c r="P7332" s="14">
        <v>884</v>
      </c>
      <c r="Q7332">
        <v>9516</v>
      </c>
      <c r="R7332">
        <v>2191</v>
      </c>
      <c r="S7332">
        <v>1613</v>
      </c>
    </row>
    <row r="7333" spans="11:19" x14ac:dyDescent="0.3">
      <c r="K7333" s="16">
        <f t="shared" si="114"/>
        <v>44321</v>
      </c>
      <c r="L7333" s="17">
        <v>0.45833333333333331</v>
      </c>
      <c r="M7333" s="14">
        <v>884</v>
      </c>
      <c r="N7333" s="14">
        <v>0</v>
      </c>
      <c r="O7333" s="14">
        <v>0</v>
      </c>
      <c r="P7333" s="14">
        <v>884</v>
      </c>
      <c r="Q7333">
        <v>9640</v>
      </c>
      <c r="R7333">
        <v>2216</v>
      </c>
      <c r="S7333">
        <v>2010</v>
      </c>
    </row>
    <row r="7334" spans="11:19" x14ac:dyDescent="0.3">
      <c r="K7334" s="16">
        <f t="shared" si="114"/>
        <v>44321</v>
      </c>
      <c r="L7334" s="17">
        <v>0.5</v>
      </c>
      <c r="M7334" s="14">
        <v>884</v>
      </c>
      <c r="N7334" s="14">
        <v>0</v>
      </c>
      <c r="O7334" s="14">
        <v>0</v>
      </c>
      <c r="P7334" s="14">
        <v>884</v>
      </c>
      <c r="Q7334">
        <v>9708</v>
      </c>
      <c r="R7334">
        <v>2348</v>
      </c>
      <c r="S7334">
        <v>2336</v>
      </c>
    </row>
    <row r="7335" spans="11:19" x14ac:dyDescent="0.3">
      <c r="K7335" s="16">
        <f t="shared" si="114"/>
        <v>44321</v>
      </c>
      <c r="L7335" s="17">
        <v>0.54166666666666663</v>
      </c>
      <c r="M7335" s="14">
        <v>884</v>
      </c>
      <c r="N7335" s="14">
        <v>0</v>
      </c>
      <c r="O7335" s="14">
        <v>0</v>
      </c>
      <c r="P7335" s="14">
        <v>884</v>
      </c>
      <c r="Q7335">
        <v>9567</v>
      </c>
      <c r="R7335">
        <v>2505</v>
      </c>
      <c r="S7335">
        <v>2462</v>
      </c>
    </row>
    <row r="7336" spans="11:19" x14ac:dyDescent="0.3">
      <c r="K7336" s="16">
        <f t="shared" si="114"/>
        <v>44321</v>
      </c>
      <c r="L7336" s="17">
        <v>0.58333333333333337</v>
      </c>
      <c r="M7336" s="14">
        <v>884</v>
      </c>
      <c r="N7336" s="14">
        <v>0</v>
      </c>
      <c r="O7336" s="14">
        <v>0</v>
      </c>
      <c r="P7336" s="14">
        <v>884</v>
      </c>
      <c r="Q7336">
        <v>9386</v>
      </c>
      <c r="R7336">
        <v>2657</v>
      </c>
      <c r="S7336">
        <v>2463</v>
      </c>
    </row>
    <row r="7337" spans="11:19" x14ac:dyDescent="0.3">
      <c r="K7337" s="16">
        <f t="shared" si="114"/>
        <v>44321</v>
      </c>
      <c r="L7337" s="17">
        <v>0.625</v>
      </c>
      <c r="M7337" s="14">
        <v>884</v>
      </c>
      <c r="N7337" s="14">
        <v>0</v>
      </c>
      <c r="O7337" s="14">
        <v>-131</v>
      </c>
      <c r="P7337" s="14">
        <v>753</v>
      </c>
      <c r="Q7337">
        <v>9105</v>
      </c>
      <c r="R7337">
        <v>2700</v>
      </c>
      <c r="S7337">
        <v>2272</v>
      </c>
    </row>
    <row r="7338" spans="11:19" x14ac:dyDescent="0.3">
      <c r="K7338" s="16">
        <f t="shared" si="114"/>
        <v>44321</v>
      </c>
      <c r="L7338" s="17">
        <v>0.66666666666666663</v>
      </c>
      <c r="M7338" s="14">
        <v>884</v>
      </c>
      <c r="N7338" s="14">
        <v>0</v>
      </c>
      <c r="O7338" s="14">
        <v>0</v>
      </c>
      <c r="P7338" s="14">
        <v>884</v>
      </c>
      <c r="Q7338">
        <v>8880</v>
      </c>
      <c r="R7338">
        <v>2581</v>
      </c>
      <c r="S7338">
        <v>2009</v>
      </c>
    </row>
    <row r="7339" spans="11:19" x14ac:dyDescent="0.3">
      <c r="K7339" s="16">
        <f t="shared" si="114"/>
        <v>44321</v>
      </c>
      <c r="L7339" s="17">
        <v>0.70833333333333337</v>
      </c>
      <c r="M7339" s="14">
        <v>884</v>
      </c>
      <c r="N7339" s="14">
        <v>0</v>
      </c>
      <c r="O7339" s="14">
        <v>0</v>
      </c>
      <c r="P7339" s="14">
        <v>884</v>
      </c>
      <c r="Q7339">
        <v>8716</v>
      </c>
      <c r="R7339">
        <v>2437</v>
      </c>
      <c r="S7339">
        <v>1538</v>
      </c>
    </row>
    <row r="7340" spans="11:19" x14ac:dyDescent="0.3">
      <c r="K7340" s="16">
        <f t="shared" si="114"/>
        <v>44321</v>
      </c>
      <c r="L7340" s="17">
        <v>0.75</v>
      </c>
      <c r="M7340" s="14">
        <v>884</v>
      </c>
      <c r="N7340" s="14">
        <v>112</v>
      </c>
      <c r="O7340" s="14">
        <v>0</v>
      </c>
      <c r="P7340" s="14">
        <v>996</v>
      </c>
      <c r="Q7340">
        <v>8908</v>
      </c>
      <c r="R7340">
        <v>1880</v>
      </c>
      <c r="S7340">
        <v>908</v>
      </c>
    </row>
    <row r="7341" spans="11:19" x14ac:dyDescent="0.3">
      <c r="K7341" s="16">
        <f t="shared" si="114"/>
        <v>44321</v>
      </c>
      <c r="L7341" s="17">
        <v>0.79166666666666663</v>
      </c>
      <c r="M7341" s="14">
        <v>884</v>
      </c>
      <c r="N7341" s="14">
        <v>667</v>
      </c>
      <c r="O7341" s="14">
        <v>479</v>
      </c>
      <c r="P7341" s="14">
        <v>2030</v>
      </c>
      <c r="Q7341">
        <v>9026</v>
      </c>
      <c r="R7341">
        <v>1521</v>
      </c>
      <c r="S7341">
        <v>363</v>
      </c>
    </row>
    <row r="7342" spans="11:19" x14ac:dyDescent="0.3">
      <c r="K7342" s="16">
        <f t="shared" si="114"/>
        <v>44321</v>
      </c>
      <c r="L7342" s="17">
        <v>0.83333333333333337</v>
      </c>
      <c r="M7342" s="14">
        <v>884</v>
      </c>
      <c r="N7342" s="14">
        <v>667</v>
      </c>
      <c r="O7342" s="14">
        <v>243</v>
      </c>
      <c r="P7342" s="14">
        <v>1794</v>
      </c>
      <c r="Q7342">
        <v>8511</v>
      </c>
      <c r="R7342">
        <v>1569</v>
      </c>
      <c r="S7342">
        <v>48</v>
      </c>
    </row>
    <row r="7343" spans="11:19" x14ac:dyDescent="0.3">
      <c r="K7343" s="16">
        <f t="shared" si="114"/>
        <v>44321</v>
      </c>
      <c r="L7343" s="17">
        <v>0.875</v>
      </c>
      <c r="M7343" s="14">
        <v>884</v>
      </c>
      <c r="N7343" s="14">
        <v>590</v>
      </c>
      <c r="O7343" s="14">
        <v>0</v>
      </c>
      <c r="P7343" s="14">
        <v>1474</v>
      </c>
      <c r="Q7343">
        <v>8364</v>
      </c>
      <c r="R7343">
        <v>1797</v>
      </c>
      <c r="S7343">
        <v>0</v>
      </c>
    </row>
    <row r="7344" spans="11:19" x14ac:dyDescent="0.3">
      <c r="K7344" s="16">
        <f t="shared" si="114"/>
        <v>44321</v>
      </c>
      <c r="L7344" s="17">
        <v>0.91666666666666663</v>
      </c>
      <c r="M7344" s="14">
        <v>884</v>
      </c>
      <c r="N7344" s="14">
        <v>401</v>
      </c>
      <c r="O7344" s="14">
        <v>261</v>
      </c>
      <c r="P7344" s="14">
        <v>1546</v>
      </c>
      <c r="Q7344">
        <v>8568</v>
      </c>
      <c r="R7344">
        <v>1937</v>
      </c>
      <c r="S7344">
        <v>0</v>
      </c>
    </row>
    <row r="7345" spans="11:19" x14ac:dyDescent="0.3">
      <c r="K7345" s="16">
        <f t="shared" si="114"/>
        <v>44321</v>
      </c>
      <c r="L7345" s="17">
        <v>0.95833333333333337</v>
      </c>
      <c r="M7345" s="14">
        <v>884</v>
      </c>
      <c r="N7345" s="14">
        <v>667</v>
      </c>
      <c r="O7345" s="14">
        <v>100</v>
      </c>
      <c r="P7345" s="14">
        <v>1651</v>
      </c>
      <c r="Q7345">
        <v>8728</v>
      </c>
      <c r="R7345">
        <v>2010</v>
      </c>
      <c r="S7345">
        <v>0</v>
      </c>
    </row>
    <row r="7346" spans="11:19" x14ac:dyDescent="0.3">
      <c r="K7346" s="16">
        <f t="shared" si="114"/>
        <v>44322</v>
      </c>
      <c r="L7346" s="17">
        <v>0</v>
      </c>
      <c r="M7346" s="14">
        <v>884</v>
      </c>
      <c r="N7346" s="14">
        <v>0</v>
      </c>
      <c r="O7346" s="14">
        <v>773</v>
      </c>
      <c r="P7346" s="14">
        <v>1657</v>
      </c>
      <c r="Q7346">
        <v>8135</v>
      </c>
      <c r="R7346">
        <v>2026</v>
      </c>
      <c r="S7346">
        <v>0</v>
      </c>
    </row>
    <row r="7347" spans="11:19" x14ac:dyDescent="0.3">
      <c r="K7347" s="16">
        <f t="shared" si="114"/>
        <v>44322</v>
      </c>
      <c r="L7347" s="17">
        <v>4.1666666666666664E-2</v>
      </c>
      <c r="M7347" s="14">
        <v>884</v>
      </c>
      <c r="N7347" s="14">
        <v>0</v>
      </c>
      <c r="O7347" s="14">
        <v>202</v>
      </c>
      <c r="P7347" s="14">
        <v>1086</v>
      </c>
      <c r="Q7347">
        <v>7724</v>
      </c>
      <c r="R7347">
        <v>2190</v>
      </c>
      <c r="S7347">
        <v>0</v>
      </c>
    </row>
    <row r="7348" spans="11:19" x14ac:dyDescent="0.3">
      <c r="K7348" s="16">
        <f t="shared" si="114"/>
        <v>44322</v>
      </c>
      <c r="L7348" s="17">
        <v>8.3333333333333329E-2</v>
      </c>
      <c r="M7348" s="14">
        <v>884</v>
      </c>
      <c r="N7348" s="14">
        <v>0</v>
      </c>
      <c r="O7348" s="14">
        <v>1012</v>
      </c>
      <c r="P7348" s="14">
        <v>1896</v>
      </c>
      <c r="Q7348">
        <v>7422</v>
      </c>
      <c r="R7348">
        <v>2213</v>
      </c>
      <c r="S7348">
        <v>0</v>
      </c>
    </row>
    <row r="7349" spans="11:19" x14ac:dyDescent="0.3">
      <c r="K7349" s="16">
        <f t="shared" si="114"/>
        <v>44322</v>
      </c>
      <c r="L7349" s="17">
        <v>0.125</v>
      </c>
      <c r="M7349" s="14">
        <v>884</v>
      </c>
      <c r="N7349" s="14">
        <v>0</v>
      </c>
      <c r="O7349" s="14">
        <v>0</v>
      </c>
      <c r="P7349" s="14">
        <v>884</v>
      </c>
      <c r="Q7349">
        <v>7030</v>
      </c>
      <c r="R7349">
        <v>2411</v>
      </c>
      <c r="S7349">
        <v>0</v>
      </c>
    </row>
    <row r="7350" spans="11:19" x14ac:dyDescent="0.3">
      <c r="K7350" s="16">
        <f t="shared" si="114"/>
        <v>44322</v>
      </c>
      <c r="L7350" s="17">
        <v>0.16666666666666666</v>
      </c>
      <c r="M7350" s="14">
        <v>884</v>
      </c>
      <c r="N7350" s="14">
        <v>0</v>
      </c>
      <c r="O7350" s="14">
        <v>176</v>
      </c>
      <c r="P7350" s="14">
        <v>1060</v>
      </c>
      <c r="Q7350">
        <v>6945</v>
      </c>
      <c r="R7350">
        <v>2506</v>
      </c>
      <c r="S7350">
        <v>0</v>
      </c>
    </row>
    <row r="7351" spans="11:19" x14ac:dyDescent="0.3">
      <c r="K7351" s="16">
        <f t="shared" si="114"/>
        <v>44322</v>
      </c>
      <c r="L7351" s="17">
        <v>0.20833333333333334</v>
      </c>
      <c r="M7351" s="14">
        <v>884</v>
      </c>
      <c r="N7351" s="14">
        <v>0</v>
      </c>
      <c r="O7351" s="14">
        <v>0</v>
      </c>
      <c r="P7351" s="14">
        <v>884</v>
      </c>
      <c r="Q7351">
        <v>7351</v>
      </c>
      <c r="R7351">
        <v>2637</v>
      </c>
      <c r="S7351">
        <v>0</v>
      </c>
    </row>
    <row r="7352" spans="11:19" x14ac:dyDescent="0.3">
      <c r="K7352" s="16">
        <f t="shared" si="114"/>
        <v>44322</v>
      </c>
      <c r="L7352" s="17">
        <v>0.25</v>
      </c>
      <c r="M7352" s="14">
        <v>884</v>
      </c>
      <c r="N7352" s="14">
        <v>0</v>
      </c>
      <c r="O7352" s="14">
        <v>0</v>
      </c>
      <c r="P7352" s="14">
        <v>884</v>
      </c>
      <c r="Q7352">
        <v>8183</v>
      </c>
      <c r="R7352">
        <v>2927</v>
      </c>
      <c r="S7352">
        <v>11</v>
      </c>
    </row>
    <row r="7353" spans="11:19" x14ac:dyDescent="0.3">
      <c r="K7353" s="16">
        <f t="shared" si="114"/>
        <v>44322</v>
      </c>
      <c r="L7353" s="17">
        <v>0.29166666666666669</v>
      </c>
      <c r="M7353" s="14">
        <v>884</v>
      </c>
      <c r="N7353" s="14">
        <v>0</v>
      </c>
      <c r="O7353" s="14">
        <v>85</v>
      </c>
      <c r="P7353" s="14">
        <v>969</v>
      </c>
      <c r="Q7353">
        <v>8854</v>
      </c>
      <c r="R7353">
        <v>3194</v>
      </c>
      <c r="S7353">
        <v>164</v>
      </c>
    </row>
    <row r="7354" spans="11:19" x14ac:dyDescent="0.3">
      <c r="K7354" s="16">
        <f t="shared" si="114"/>
        <v>44322</v>
      </c>
      <c r="L7354" s="17">
        <v>0.33333333333333331</v>
      </c>
      <c r="M7354" s="14">
        <v>884</v>
      </c>
      <c r="N7354" s="14">
        <v>0</v>
      </c>
      <c r="O7354" s="14">
        <v>0</v>
      </c>
      <c r="P7354" s="14">
        <v>884</v>
      </c>
      <c r="Q7354">
        <v>9241</v>
      </c>
      <c r="R7354">
        <v>3238</v>
      </c>
      <c r="S7354">
        <v>646</v>
      </c>
    </row>
    <row r="7355" spans="11:19" x14ac:dyDescent="0.3">
      <c r="K7355" s="16">
        <f t="shared" si="114"/>
        <v>44322</v>
      </c>
      <c r="L7355" s="17">
        <v>0.375</v>
      </c>
      <c r="M7355" s="14">
        <v>884</v>
      </c>
      <c r="N7355" s="14">
        <v>0</v>
      </c>
      <c r="O7355" s="14">
        <v>0</v>
      </c>
      <c r="P7355" s="14">
        <v>884</v>
      </c>
      <c r="Q7355">
        <v>9395</v>
      </c>
      <c r="R7355">
        <v>3288</v>
      </c>
      <c r="S7355">
        <v>1288</v>
      </c>
    </row>
    <row r="7356" spans="11:19" x14ac:dyDescent="0.3">
      <c r="K7356" s="16">
        <f t="shared" si="114"/>
        <v>44322</v>
      </c>
      <c r="L7356" s="17">
        <v>0.41666666666666669</v>
      </c>
      <c r="M7356" s="14">
        <v>884</v>
      </c>
      <c r="N7356" s="14">
        <v>0</v>
      </c>
      <c r="O7356" s="14">
        <v>41</v>
      </c>
      <c r="P7356" s="14">
        <v>925</v>
      </c>
      <c r="Q7356">
        <v>9481</v>
      </c>
      <c r="R7356">
        <v>3363</v>
      </c>
      <c r="S7356">
        <v>1802</v>
      </c>
    </row>
    <row r="7357" spans="11:19" x14ac:dyDescent="0.3">
      <c r="K7357" s="16">
        <f t="shared" si="114"/>
        <v>44322</v>
      </c>
      <c r="L7357" s="17">
        <v>0.45833333333333331</v>
      </c>
      <c r="M7357" s="14">
        <v>884</v>
      </c>
      <c r="N7357" s="14">
        <v>0</v>
      </c>
      <c r="O7357" s="14">
        <v>-227</v>
      </c>
      <c r="P7357" s="14">
        <v>657</v>
      </c>
      <c r="Q7357">
        <v>9596</v>
      </c>
      <c r="R7357">
        <v>3452</v>
      </c>
      <c r="S7357">
        <v>2097</v>
      </c>
    </row>
    <row r="7358" spans="11:19" x14ac:dyDescent="0.3">
      <c r="K7358" s="16">
        <f t="shared" si="114"/>
        <v>44322</v>
      </c>
      <c r="L7358" s="17">
        <v>0.5</v>
      </c>
      <c r="M7358" s="14">
        <v>884</v>
      </c>
      <c r="N7358" s="14">
        <v>0</v>
      </c>
      <c r="O7358" s="14">
        <v>-402</v>
      </c>
      <c r="P7358" s="14">
        <v>482</v>
      </c>
      <c r="Q7358">
        <v>9672</v>
      </c>
      <c r="R7358">
        <v>3538</v>
      </c>
      <c r="S7358">
        <v>2268</v>
      </c>
    </row>
    <row r="7359" spans="11:19" x14ac:dyDescent="0.3">
      <c r="K7359" s="16">
        <f t="shared" si="114"/>
        <v>44322</v>
      </c>
      <c r="L7359" s="17">
        <v>0.54166666666666663</v>
      </c>
      <c r="M7359" s="14">
        <v>884</v>
      </c>
      <c r="N7359" s="14">
        <v>0</v>
      </c>
      <c r="O7359" s="14">
        <v>-895</v>
      </c>
      <c r="P7359" s="14">
        <v>-11</v>
      </c>
      <c r="Q7359">
        <v>9528</v>
      </c>
      <c r="R7359">
        <v>3730</v>
      </c>
      <c r="S7359">
        <v>2429</v>
      </c>
    </row>
    <row r="7360" spans="11:19" x14ac:dyDescent="0.3">
      <c r="K7360" s="16">
        <f t="shared" si="114"/>
        <v>44322</v>
      </c>
      <c r="L7360" s="17">
        <v>0.58333333333333337</v>
      </c>
      <c r="M7360" s="14">
        <v>884</v>
      </c>
      <c r="N7360" s="14">
        <v>0</v>
      </c>
      <c r="O7360" s="14">
        <v>-845</v>
      </c>
      <c r="P7360" s="14">
        <v>39</v>
      </c>
      <c r="Q7360">
        <v>9408</v>
      </c>
      <c r="R7360">
        <v>3685</v>
      </c>
      <c r="S7360">
        <v>2302</v>
      </c>
    </row>
    <row r="7361" spans="11:19" x14ac:dyDescent="0.3">
      <c r="K7361" s="16">
        <f t="shared" si="114"/>
        <v>44322</v>
      </c>
      <c r="L7361" s="17">
        <v>0.625</v>
      </c>
      <c r="M7361" s="14">
        <v>884</v>
      </c>
      <c r="N7361" s="14">
        <v>0</v>
      </c>
      <c r="O7361" s="14">
        <v>-1112</v>
      </c>
      <c r="P7361" s="14">
        <v>-228</v>
      </c>
      <c r="Q7361">
        <v>9154</v>
      </c>
      <c r="R7361">
        <v>3888</v>
      </c>
      <c r="S7361">
        <v>2112</v>
      </c>
    </row>
    <row r="7362" spans="11:19" x14ac:dyDescent="0.3">
      <c r="K7362" s="16">
        <f t="shared" si="114"/>
        <v>44322</v>
      </c>
      <c r="L7362" s="17">
        <v>0.66666666666666663</v>
      </c>
      <c r="M7362" s="14">
        <v>884</v>
      </c>
      <c r="N7362" s="14">
        <v>0</v>
      </c>
      <c r="O7362" s="14">
        <v>-1200</v>
      </c>
      <c r="P7362" s="14">
        <v>-316</v>
      </c>
      <c r="Q7362">
        <v>8937</v>
      </c>
      <c r="R7362">
        <v>4144</v>
      </c>
      <c r="S7362">
        <v>1795</v>
      </c>
    </row>
    <row r="7363" spans="11:19" x14ac:dyDescent="0.3">
      <c r="K7363" s="16">
        <f t="shared" si="114"/>
        <v>44322</v>
      </c>
      <c r="L7363" s="17">
        <v>0.70833333333333337</v>
      </c>
      <c r="M7363" s="14">
        <v>884</v>
      </c>
      <c r="N7363" s="14">
        <v>0</v>
      </c>
      <c r="O7363" s="14">
        <v>-864</v>
      </c>
      <c r="P7363" s="14">
        <v>20</v>
      </c>
      <c r="Q7363">
        <v>8801</v>
      </c>
      <c r="R7363">
        <v>4018</v>
      </c>
      <c r="S7363">
        <v>1384</v>
      </c>
    </row>
    <row r="7364" spans="11:19" x14ac:dyDescent="0.3">
      <c r="K7364" s="16">
        <f t="shared" si="114"/>
        <v>44322</v>
      </c>
      <c r="L7364" s="17">
        <v>0.75</v>
      </c>
      <c r="M7364" s="14">
        <v>884</v>
      </c>
      <c r="N7364" s="14">
        <v>0</v>
      </c>
      <c r="O7364" s="14">
        <v>17</v>
      </c>
      <c r="P7364" s="14">
        <v>901</v>
      </c>
      <c r="Q7364">
        <v>8969</v>
      </c>
      <c r="R7364">
        <v>3873</v>
      </c>
      <c r="S7364">
        <v>819</v>
      </c>
    </row>
    <row r="7365" spans="11:19" x14ac:dyDescent="0.3">
      <c r="K7365" s="16">
        <f t="shared" si="114"/>
        <v>44322</v>
      </c>
      <c r="L7365" s="17">
        <v>0.79166666666666663</v>
      </c>
      <c r="M7365" s="14">
        <v>884</v>
      </c>
      <c r="N7365" s="14">
        <v>0</v>
      </c>
      <c r="O7365" s="14">
        <v>0</v>
      </c>
      <c r="P7365" s="14">
        <v>884</v>
      </c>
      <c r="Q7365">
        <v>9007</v>
      </c>
      <c r="R7365">
        <v>3551</v>
      </c>
      <c r="S7365">
        <v>336</v>
      </c>
    </row>
    <row r="7366" spans="11:19" x14ac:dyDescent="0.3">
      <c r="K7366" s="16">
        <f t="shared" si="114"/>
        <v>44322</v>
      </c>
      <c r="L7366" s="17">
        <v>0.83333333333333337</v>
      </c>
      <c r="M7366" s="14">
        <v>884</v>
      </c>
      <c r="N7366" s="14">
        <v>0</v>
      </c>
      <c r="O7366" s="14">
        <v>57</v>
      </c>
      <c r="P7366" s="14">
        <v>941</v>
      </c>
      <c r="Q7366">
        <v>8493</v>
      </c>
      <c r="R7366">
        <v>3012</v>
      </c>
      <c r="S7366">
        <v>53</v>
      </c>
    </row>
    <row r="7367" spans="11:19" x14ac:dyDescent="0.3">
      <c r="K7367" s="16">
        <f t="shared" si="114"/>
        <v>44322</v>
      </c>
      <c r="L7367" s="17">
        <v>0.875</v>
      </c>
      <c r="M7367" s="14">
        <v>884</v>
      </c>
      <c r="N7367" s="14">
        <v>0</v>
      </c>
      <c r="O7367" s="14">
        <v>379</v>
      </c>
      <c r="P7367" s="14">
        <v>1263</v>
      </c>
      <c r="Q7367">
        <v>8403</v>
      </c>
      <c r="R7367">
        <v>2659</v>
      </c>
      <c r="S7367">
        <v>1</v>
      </c>
    </row>
    <row r="7368" spans="11:19" x14ac:dyDescent="0.3">
      <c r="K7368" s="16">
        <f t="shared" si="114"/>
        <v>44322</v>
      </c>
      <c r="L7368" s="17">
        <v>0.91666666666666663</v>
      </c>
      <c r="M7368" s="14">
        <v>884</v>
      </c>
      <c r="N7368" s="14">
        <v>0</v>
      </c>
      <c r="O7368" s="14">
        <v>491</v>
      </c>
      <c r="P7368" s="14">
        <v>1375</v>
      </c>
      <c r="Q7368">
        <v>8624</v>
      </c>
      <c r="R7368">
        <v>2777</v>
      </c>
      <c r="S7368">
        <v>0</v>
      </c>
    </row>
    <row r="7369" spans="11:19" x14ac:dyDescent="0.3">
      <c r="K7369" s="16">
        <f t="shared" si="114"/>
        <v>44322</v>
      </c>
      <c r="L7369" s="17">
        <v>0.95833333333333337</v>
      </c>
      <c r="M7369" s="14">
        <v>884</v>
      </c>
      <c r="N7369" s="14">
        <v>0</v>
      </c>
      <c r="O7369" s="14">
        <v>1200</v>
      </c>
      <c r="P7369" s="14">
        <v>2084</v>
      </c>
      <c r="Q7369">
        <v>8766</v>
      </c>
      <c r="R7369">
        <v>2739</v>
      </c>
      <c r="S7369">
        <v>0</v>
      </c>
    </row>
    <row r="7370" spans="11:19" x14ac:dyDescent="0.3">
      <c r="K7370" s="16">
        <f t="shared" si="114"/>
        <v>44323</v>
      </c>
      <c r="L7370" s="17">
        <v>0</v>
      </c>
      <c r="M7370" s="14">
        <v>884</v>
      </c>
      <c r="N7370" s="14">
        <v>0</v>
      </c>
      <c r="O7370" s="14">
        <v>0</v>
      </c>
      <c r="P7370" s="14">
        <v>884</v>
      </c>
      <c r="Q7370">
        <v>8162</v>
      </c>
      <c r="R7370">
        <v>2878</v>
      </c>
      <c r="S7370">
        <v>0</v>
      </c>
    </row>
    <row r="7371" spans="11:19" x14ac:dyDescent="0.3">
      <c r="K7371" s="16">
        <f t="shared" si="114"/>
        <v>44323</v>
      </c>
      <c r="L7371" s="17">
        <v>4.1666666666666664E-2</v>
      </c>
      <c r="M7371" s="14">
        <v>884</v>
      </c>
      <c r="N7371" s="14">
        <v>0</v>
      </c>
      <c r="O7371" s="14">
        <v>-189</v>
      </c>
      <c r="P7371" s="14">
        <v>695</v>
      </c>
      <c r="Q7371">
        <v>7709</v>
      </c>
      <c r="R7371">
        <v>3031</v>
      </c>
      <c r="S7371">
        <v>0</v>
      </c>
    </row>
    <row r="7372" spans="11:19" x14ac:dyDescent="0.3">
      <c r="K7372" s="16">
        <f t="shared" si="114"/>
        <v>44323</v>
      </c>
      <c r="L7372" s="17">
        <v>8.3333333333333329E-2</v>
      </c>
      <c r="M7372" s="14">
        <v>884</v>
      </c>
      <c r="N7372" s="14">
        <v>0</v>
      </c>
      <c r="O7372" s="14">
        <v>-861</v>
      </c>
      <c r="P7372" s="14">
        <v>23</v>
      </c>
      <c r="Q7372">
        <v>7394</v>
      </c>
      <c r="R7372">
        <v>2922</v>
      </c>
      <c r="S7372">
        <v>0</v>
      </c>
    </row>
    <row r="7373" spans="11:19" x14ac:dyDescent="0.3">
      <c r="K7373" s="16">
        <f t="shared" si="114"/>
        <v>44323</v>
      </c>
      <c r="L7373" s="17">
        <v>0.125</v>
      </c>
      <c r="M7373" s="14">
        <v>884</v>
      </c>
      <c r="N7373" s="14">
        <v>0</v>
      </c>
      <c r="O7373" s="14">
        <v>-974</v>
      </c>
      <c r="P7373" s="14">
        <v>-90</v>
      </c>
      <c r="Q7373">
        <v>7019</v>
      </c>
      <c r="R7373">
        <v>2658</v>
      </c>
      <c r="S7373">
        <v>0</v>
      </c>
    </row>
    <row r="7374" spans="11:19" x14ac:dyDescent="0.3">
      <c r="K7374" s="16">
        <f t="shared" si="114"/>
        <v>44323</v>
      </c>
      <c r="L7374" s="17">
        <v>0.16666666666666666</v>
      </c>
      <c r="M7374" s="14">
        <v>884</v>
      </c>
      <c r="N7374" s="14">
        <v>0</v>
      </c>
      <c r="O7374" s="14">
        <v>0</v>
      </c>
      <c r="P7374" s="14">
        <v>884</v>
      </c>
      <c r="Q7374">
        <v>6924</v>
      </c>
      <c r="R7374">
        <v>2517</v>
      </c>
      <c r="S7374">
        <v>0</v>
      </c>
    </row>
    <row r="7375" spans="11:19" x14ac:dyDescent="0.3">
      <c r="K7375" s="16">
        <f t="shared" si="114"/>
        <v>44323</v>
      </c>
      <c r="L7375" s="17">
        <v>0.20833333333333334</v>
      </c>
      <c r="M7375" s="14">
        <v>884</v>
      </c>
      <c r="N7375" s="14">
        <v>0</v>
      </c>
      <c r="O7375" s="14">
        <v>0</v>
      </c>
      <c r="P7375" s="14">
        <v>884</v>
      </c>
      <c r="Q7375">
        <v>7344</v>
      </c>
      <c r="R7375">
        <v>2591</v>
      </c>
      <c r="S7375">
        <v>0</v>
      </c>
    </row>
    <row r="7376" spans="11:19" x14ac:dyDescent="0.3">
      <c r="K7376" s="16">
        <f t="shared" si="114"/>
        <v>44323</v>
      </c>
      <c r="L7376" s="17">
        <v>0.25</v>
      </c>
      <c r="M7376" s="14">
        <v>884</v>
      </c>
      <c r="N7376" s="14">
        <v>0</v>
      </c>
      <c r="O7376" s="14">
        <v>0</v>
      </c>
      <c r="P7376" s="14">
        <v>884</v>
      </c>
      <c r="Q7376">
        <v>8200</v>
      </c>
      <c r="R7376">
        <v>2286</v>
      </c>
      <c r="S7376">
        <v>9</v>
      </c>
    </row>
    <row r="7377" spans="11:19" x14ac:dyDescent="0.3">
      <c r="K7377" s="16">
        <f t="shared" si="114"/>
        <v>44323</v>
      </c>
      <c r="L7377" s="17">
        <v>0.29166666666666669</v>
      </c>
      <c r="M7377" s="14">
        <v>884</v>
      </c>
      <c r="N7377" s="14">
        <v>764</v>
      </c>
      <c r="O7377" s="14">
        <v>0</v>
      </c>
      <c r="P7377" s="14">
        <v>1648</v>
      </c>
      <c r="Q7377">
        <v>8934</v>
      </c>
      <c r="R7377">
        <v>1990</v>
      </c>
      <c r="S7377">
        <v>154</v>
      </c>
    </row>
    <row r="7378" spans="11:19" x14ac:dyDescent="0.3">
      <c r="K7378" s="16">
        <f t="shared" si="114"/>
        <v>44323</v>
      </c>
      <c r="L7378" s="17">
        <v>0.33333333333333331</v>
      </c>
      <c r="M7378" s="14">
        <v>884</v>
      </c>
      <c r="N7378" s="14">
        <v>1089</v>
      </c>
      <c r="O7378" s="14">
        <v>0</v>
      </c>
      <c r="P7378" s="14">
        <v>1973</v>
      </c>
      <c r="Q7378">
        <v>9300</v>
      </c>
      <c r="R7378">
        <v>1646</v>
      </c>
      <c r="S7378">
        <v>537</v>
      </c>
    </row>
    <row r="7379" spans="11:19" x14ac:dyDescent="0.3">
      <c r="K7379" s="16">
        <f t="shared" si="114"/>
        <v>44323</v>
      </c>
      <c r="L7379" s="17">
        <v>0.375</v>
      </c>
      <c r="M7379" s="14">
        <v>884</v>
      </c>
      <c r="N7379" s="14">
        <v>951</v>
      </c>
      <c r="O7379" s="14">
        <v>0</v>
      </c>
      <c r="P7379" s="14">
        <v>1835</v>
      </c>
      <c r="Q7379">
        <v>9489</v>
      </c>
      <c r="R7379">
        <v>1517</v>
      </c>
      <c r="S7379">
        <v>997</v>
      </c>
    </row>
    <row r="7380" spans="11:19" x14ac:dyDescent="0.3">
      <c r="K7380" s="16">
        <f t="shared" si="114"/>
        <v>44323</v>
      </c>
      <c r="L7380" s="17">
        <v>0.41666666666666669</v>
      </c>
      <c r="M7380" s="14">
        <v>884</v>
      </c>
      <c r="N7380" s="14">
        <v>838</v>
      </c>
      <c r="O7380" s="14">
        <v>0</v>
      </c>
      <c r="P7380" s="14">
        <v>1722</v>
      </c>
      <c r="Q7380">
        <v>9561</v>
      </c>
      <c r="R7380">
        <v>1411</v>
      </c>
      <c r="S7380">
        <v>1287</v>
      </c>
    </row>
    <row r="7381" spans="11:19" x14ac:dyDescent="0.3">
      <c r="K7381" s="16">
        <f t="shared" si="114"/>
        <v>44323</v>
      </c>
      <c r="L7381" s="17">
        <v>0.45833333333333331</v>
      </c>
      <c r="M7381" s="14">
        <v>884</v>
      </c>
      <c r="N7381" s="14">
        <v>0</v>
      </c>
      <c r="O7381" s="14">
        <v>638</v>
      </c>
      <c r="P7381" s="14">
        <v>1522</v>
      </c>
      <c r="Q7381">
        <v>9661</v>
      </c>
      <c r="R7381">
        <v>1528</v>
      </c>
      <c r="S7381">
        <v>1471</v>
      </c>
    </row>
    <row r="7382" spans="11:19" x14ac:dyDescent="0.3">
      <c r="K7382" s="16">
        <f t="shared" si="114"/>
        <v>44323</v>
      </c>
      <c r="L7382" s="17">
        <v>0.5</v>
      </c>
      <c r="M7382" s="14">
        <v>884</v>
      </c>
      <c r="N7382" s="14">
        <v>530</v>
      </c>
      <c r="O7382" s="14">
        <v>0</v>
      </c>
      <c r="P7382" s="14">
        <v>1414</v>
      </c>
      <c r="Q7382">
        <v>9769</v>
      </c>
      <c r="R7382">
        <v>1604</v>
      </c>
      <c r="S7382">
        <v>1617</v>
      </c>
    </row>
    <row r="7383" spans="11:19" x14ac:dyDescent="0.3">
      <c r="K7383" s="16">
        <f t="shared" si="114"/>
        <v>44323</v>
      </c>
      <c r="L7383" s="17">
        <v>0.54166666666666663</v>
      </c>
      <c r="M7383" s="14">
        <v>884</v>
      </c>
      <c r="N7383" s="14">
        <v>0</v>
      </c>
      <c r="O7383" s="14">
        <v>186</v>
      </c>
      <c r="P7383" s="14">
        <v>1070</v>
      </c>
      <c r="Q7383">
        <v>9594</v>
      </c>
      <c r="R7383">
        <v>1711</v>
      </c>
      <c r="S7383">
        <v>1683</v>
      </c>
    </row>
    <row r="7384" spans="11:19" x14ac:dyDescent="0.3">
      <c r="K7384" s="16">
        <f t="shared" si="114"/>
        <v>44323</v>
      </c>
      <c r="L7384" s="17">
        <v>0.58333333333333337</v>
      </c>
      <c r="M7384" s="14">
        <v>884</v>
      </c>
      <c r="N7384" s="14">
        <v>0</v>
      </c>
      <c r="O7384" s="14">
        <v>0</v>
      </c>
      <c r="P7384" s="14">
        <v>884</v>
      </c>
      <c r="Q7384">
        <v>9394</v>
      </c>
      <c r="R7384">
        <v>1834</v>
      </c>
      <c r="S7384">
        <v>1662</v>
      </c>
    </row>
    <row r="7385" spans="11:19" x14ac:dyDescent="0.3">
      <c r="K7385" s="16">
        <f t="shared" si="114"/>
        <v>44323</v>
      </c>
      <c r="L7385" s="17">
        <v>0.625</v>
      </c>
      <c r="M7385" s="14">
        <v>884</v>
      </c>
      <c r="N7385" s="14">
        <v>0</v>
      </c>
      <c r="O7385" s="14">
        <v>0</v>
      </c>
      <c r="P7385" s="14">
        <v>884</v>
      </c>
      <c r="Q7385">
        <v>9111</v>
      </c>
      <c r="R7385">
        <v>1618</v>
      </c>
      <c r="S7385">
        <v>1558</v>
      </c>
    </row>
    <row r="7386" spans="11:19" x14ac:dyDescent="0.3">
      <c r="K7386" s="16">
        <f t="shared" si="114"/>
        <v>44323</v>
      </c>
      <c r="L7386" s="17">
        <v>0.66666666666666663</v>
      </c>
      <c r="M7386" s="14">
        <v>884</v>
      </c>
      <c r="N7386" s="14">
        <v>92</v>
      </c>
      <c r="O7386" s="14">
        <v>0</v>
      </c>
      <c r="P7386" s="14">
        <v>976</v>
      </c>
      <c r="Q7386">
        <v>8860</v>
      </c>
      <c r="R7386">
        <v>1501</v>
      </c>
      <c r="S7386">
        <v>1254</v>
      </c>
    </row>
    <row r="7387" spans="11:19" x14ac:dyDescent="0.3">
      <c r="K7387" s="16">
        <f t="shared" ref="K7387:K7450" si="115">K7363+1</f>
        <v>44323</v>
      </c>
      <c r="L7387" s="17">
        <v>0.70833333333333337</v>
      </c>
      <c r="M7387" s="14">
        <v>884</v>
      </c>
      <c r="N7387" s="14">
        <v>370</v>
      </c>
      <c r="O7387" s="14">
        <v>0</v>
      </c>
      <c r="P7387" s="14">
        <v>1254</v>
      </c>
      <c r="Q7387">
        <v>8812</v>
      </c>
      <c r="R7387">
        <v>1444</v>
      </c>
      <c r="S7387">
        <v>986</v>
      </c>
    </row>
    <row r="7388" spans="11:19" x14ac:dyDescent="0.3">
      <c r="K7388" s="16">
        <f t="shared" si="115"/>
        <v>44323</v>
      </c>
      <c r="L7388" s="17">
        <v>0.75</v>
      </c>
      <c r="M7388" s="14">
        <v>884</v>
      </c>
      <c r="N7388" s="14">
        <v>47</v>
      </c>
      <c r="O7388" s="14">
        <v>795</v>
      </c>
      <c r="P7388" s="14">
        <v>1726</v>
      </c>
      <c r="Q7388">
        <v>8992</v>
      </c>
      <c r="R7388">
        <v>1665</v>
      </c>
      <c r="S7388">
        <v>474</v>
      </c>
    </row>
    <row r="7389" spans="11:19" x14ac:dyDescent="0.3">
      <c r="K7389" s="16">
        <f t="shared" si="115"/>
        <v>44323</v>
      </c>
      <c r="L7389" s="17">
        <v>0.79166666666666663</v>
      </c>
      <c r="M7389" s="14">
        <v>884</v>
      </c>
      <c r="N7389" s="14">
        <v>952</v>
      </c>
      <c r="O7389" s="14">
        <v>0</v>
      </c>
      <c r="P7389" s="14">
        <v>1836</v>
      </c>
      <c r="Q7389">
        <v>8999</v>
      </c>
      <c r="R7389">
        <v>1851</v>
      </c>
      <c r="S7389">
        <v>198</v>
      </c>
    </row>
    <row r="7390" spans="11:19" x14ac:dyDescent="0.3">
      <c r="K7390" s="16">
        <f t="shared" si="115"/>
        <v>44323</v>
      </c>
      <c r="L7390" s="17">
        <v>0.83333333333333337</v>
      </c>
      <c r="M7390" s="14">
        <v>884</v>
      </c>
      <c r="N7390" s="14">
        <v>470</v>
      </c>
      <c r="O7390" s="14">
        <v>0</v>
      </c>
      <c r="P7390" s="14">
        <v>1354</v>
      </c>
      <c r="Q7390">
        <v>8506</v>
      </c>
      <c r="R7390">
        <v>2016</v>
      </c>
      <c r="S7390">
        <v>35</v>
      </c>
    </row>
    <row r="7391" spans="11:19" x14ac:dyDescent="0.3">
      <c r="K7391" s="16">
        <f t="shared" si="115"/>
        <v>44323</v>
      </c>
      <c r="L7391" s="17">
        <v>0.875</v>
      </c>
      <c r="M7391" s="14">
        <v>884</v>
      </c>
      <c r="N7391" s="14">
        <v>263</v>
      </c>
      <c r="O7391" s="14">
        <v>0</v>
      </c>
      <c r="P7391" s="14">
        <v>1147</v>
      </c>
      <c r="Q7391">
        <v>8460</v>
      </c>
      <c r="R7391">
        <v>2219</v>
      </c>
      <c r="S7391">
        <v>0</v>
      </c>
    </row>
    <row r="7392" spans="11:19" x14ac:dyDescent="0.3">
      <c r="K7392" s="16">
        <f t="shared" si="115"/>
        <v>44323</v>
      </c>
      <c r="L7392" s="17">
        <v>0.91666666666666663</v>
      </c>
      <c r="M7392" s="14">
        <v>884</v>
      </c>
      <c r="N7392" s="14">
        <v>472</v>
      </c>
      <c r="O7392" s="14">
        <v>0</v>
      </c>
      <c r="P7392" s="14">
        <v>1356</v>
      </c>
      <c r="Q7392">
        <v>8771</v>
      </c>
      <c r="R7392">
        <v>2328</v>
      </c>
      <c r="S7392">
        <v>0</v>
      </c>
    </row>
    <row r="7393" spans="11:19" x14ac:dyDescent="0.3">
      <c r="K7393" s="16">
        <f t="shared" si="115"/>
        <v>44323</v>
      </c>
      <c r="L7393" s="17">
        <v>0.95833333333333337</v>
      </c>
      <c r="M7393" s="14">
        <v>884</v>
      </c>
      <c r="N7393" s="14">
        <v>247</v>
      </c>
      <c r="O7393" s="14">
        <v>0</v>
      </c>
      <c r="P7393" s="14">
        <v>1131</v>
      </c>
      <c r="Q7393">
        <v>8941</v>
      </c>
      <c r="R7393">
        <v>2742</v>
      </c>
      <c r="S7393">
        <v>0</v>
      </c>
    </row>
    <row r="7394" spans="11:19" x14ac:dyDescent="0.3">
      <c r="K7394" s="16">
        <f t="shared" si="115"/>
        <v>44324</v>
      </c>
      <c r="L7394" s="17">
        <v>0</v>
      </c>
      <c r="M7394" s="14">
        <v>884</v>
      </c>
      <c r="N7394" s="14">
        <v>0</v>
      </c>
      <c r="O7394" s="14">
        <v>0</v>
      </c>
      <c r="P7394" s="14">
        <v>884</v>
      </c>
      <c r="Q7394">
        <v>7930</v>
      </c>
      <c r="R7394">
        <v>2764</v>
      </c>
      <c r="S7394">
        <v>0</v>
      </c>
    </row>
    <row r="7395" spans="11:19" x14ac:dyDescent="0.3">
      <c r="K7395" s="16">
        <f t="shared" si="115"/>
        <v>44324</v>
      </c>
      <c r="L7395" s="17">
        <v>4.1666666666666664E-2</v>
      </c>
      <c r="M7395" s="14">
        <v>884</v>
      </c>
      <c r="N7395" s="14">
        <v>0</v>
      </c>
      <c r="O7395" s="14">
        <v>0</v>
      </c>
      <c r="P7395" s="14">
        <v>884</v>
      </c>
      <c r="Q7395">
        <v>7525</v>
      </c>
      <c r="R7395">
        <v>2917</v>
      </c>
      <c r="S7395">
        <v>0</v>
      </c>
    </row>
    <row r="7396" spans="11:19" x14ac:dyDescent="0.3">
      <c r="K7396" s="16">
        <f t="shared" si="115"/>
        <v>44324</v>
      </c>
      <c r="L7396" s="17">
        <v>8.3333333333333329E-2</v>
      </c>
      <c r="M7396" s="14">
        <v>884</v>
      </c>
      <c r="N7396" s="14">
        <v>0</v>
      </c>
      <c r="O7396" s="14">
        <v>0</v>
      </c>
      <c r="P7396" s="14">
        <v>884</v>
      </c>
      <c r="Q7396">
        <v>7192</v>
      </c>
      <c r="R7396">
        <v>2771</v>
      </c>
      <c r="S7396">
        <v>0</v>
      </c>
    </row>
    <row r="7397" spans="11:19" x14ac:dyDescent="0.3">
      <c r="K7397" s="16">
        <f t="shared" si="115"/>
        <v>44324</v>
      </c>
      <c r="L7397" s="17">
        <v>0.125</v>
      </c>
      <c r="M7397" s="14">
        <v>884</v>
      </c>
      <c r="N7397" s="14">
        <v>0</v>
      </c>
      <c r="O7397" s="14">
        <v>0</v>
      </c>
      <c r="P7397" s="14">
        <v>884</v>
      </c>
      <c r="Q7397">
        <v>6775</v>
      </c>
      <c r="R7397">
        <v>2566</v>
      </c>
      <c r="S7397">
        <v>0</v>
      </c>
    </row>
    <row r="7398" spans="11:19" x14ac:dyDescent="0.3">
      <c r="K7398" s="16">
        <f t="shared" si="115"/>
        <v>44324</v>
      </c>
      <c r="L7398" s="17">
        <v>0.16666666666666666</v>
      </c>
      <c r="M7398" s="14">
        <v>884</v>
      </c>
      <c r="N7398" s="14">
        <v>0</v>
      </c>
      <c r="O7398" s="14">
        <v>-45</v>
      </c>
      <c r="P7398" s="14">
        <v>839</v>
      </c>
      <c r="Q7398">
        <v>6646</v>
      </c>
      <c r="R7398">
        <v>2494</v>
      </c>
      <c r="S7398">
        <v>0</v>
      </c>
    </row>
    <row r="7399" spans="11:19" x14ac:dyDescent="0.3">
      <c r="K7399" s="16">
        <f t="shared" si="115"/>
        <v>44324</v>
      </c>
      <c r="L7399" s="17">
        <v>0.20833333333333334</v>
      </c>
      <c r="M7399" s="14">
        <v>884</v>
      </c>
      <c r="N7399" s="14">
        <v>0</v>
      </c>
      <c r="O7399" s="14">
        <v>0</v>
      </c>
      <c r="P7399" s="14">
        <v>884</v>
      </c>
      <c r="Q7399">
        <v>6876</v>
      </c>
      <c r="R7399">
        <v>2479</v>
      </c>
      <c r="S7399">
        <v>0</v>
      </c>
    </row>
    <row r="7400" spans="11:19" x14ac:dyDescent="0.3">
      <c r="K7400" s="16">
        <f t="shared" si="115"/>
        <v>44324</v>
      </c>
      <c r="L7400" s="17">
        <v>0.25</v>
      </c>
      <c r="M7400" s="14">
        <v>884</v>
      </c>
      <c r="N7400" s="14">
        <v>0</v>
      </c>
      <c r="O7400" s="14">
        <v>0</v>
      </c>
      <c r="P7400" s="14">
        <v>884</v>
      </c>
      <c r="Q7400">
        <v>7292</v>
      </c>
      <c r="R7400">
        <v>2520</v>
      </c>
      <c r="S7400">
        <v>7</v>
      </c>
    </row>
    <row r="7401" spans="11:19" x14ac:dyDescent="0.3">
      <c r="K7401" s="16">
        <f t="shared" si="115"/>
        <v>44324</v>
      </c>
      <c r="L7401" s="17">
        <v>0.29166666666666669</v>
      </c>
      <c r="M7401" s="14">
        <v>884</v>
      </c>
      <c r="N7401" s="14">
        <v>0</v>
      </c>
      <c r="O7401" s="14">
        <v>0</v>
      </c>
      <c r="P7401" s="14">
        <v>884</v>
      </c>
      <c r="Q7401">
        <v>7738</v>
      </c>
      <c r="R7401">
        <v>2536</v>
      </c>
      <c r="S7401">
        <v>96</v>
      </c>
    </row>
    <row r="7402" spans="11:19" x14ac:dyDescent="0.3">
      <c r="K7402" s="16">
        <f t="shared" si="115"/>
        <v>44324</v>
      </c>
      <c r="L7402" s="17">
        <v>0.33333333333333331</v>
      </c>
      <c r="M7402" s="14">
        <v>884</v>
      </c>
      <c r="N7402" s="14">
        <v>0</v>
      </c>
      <c r="O7402" s="14">
        <v>-115</v>
      </c>
      <c r="P7402" s="14">
        <v>769</v>
      </c>
      <c r="Q7402">
        <v>8280</v>
      </c>
      <c r="R7402">
        <v>2614</v>
      </c>
      <c r="S7402">
        <v>442</v>
      </c>
    </row>
    <row r="7403" spans="11:19" x14ac:dyDescent="0.3">
      <c r="K7403" s="16">
        <f t="shared" si="115"/>
        <v>44324</v>
      </c>
      <c r="L7403" s="17">
        <v>0.375</v>
      </c>
      <c r="M7403" s="14">
        <v>884</v>
      </c>
      <c r="N7403" s="14">
        <v>0</v>
      </c>
      <c r="O7403" s="14">
        <v>0</v>
      </c>
      <c r="P7403" s="14">
        <v>884</v>
      </c>
      <c r="Q7403">
        <v>8682</v>
      </c>
      <c r="R7403">
        <v>2206</v>
      </c>
      <c r="S7403">
        <v>851</v>
      </c>
    </row>
    <row r="7404" spans="11:19" x14ac:dyDescent="0.3">
      <c r="K7404" s="16">
        <f t="shared" si="115"/>
        <v>44324</v>
      </c>
      <c r="L7404" s="17">
        <v>0.41666666666666669</v>
      </c>
      <c r="M7404" s="14">
        <v>884</v>
      </c>
      <c r="N7404" s="14">
        <v>0</v>
      </c>
      <c r="O7404" s="14">
        <v>0</v>
      </c>
      <c r="P7404" s="14">
        <v>884</v>
      </c>
      <c r="Q7404">
        <v>8863</v>
      </c>
      <c r="R7404">
        <v>2215</v>
      </c>
      <c r="S7404">
        <v>1212</v>
      </c>
    </row>
    <row r="7405" spans="11:19" x14ac:dyDescent="0.3">
      <c r="K7405" s="16">
        <f t="shared" si="115"/>
        <v>44324</v>
      </c>
      <c r="L7405" s="17">
        <v>0.45833333333333331</v>
      </c>
      <c r="M7405" s="14">
        <v>884</v>
      </c>
      <c r="N7405" s="14">
        <v>0</v>
      </c>
      <c r="O7405" s="14">
        <v>0</v>
      </c>
      <c r="P7405" s="14">
        <v>884</v>
      </c>
      <c r="Q7405">
        <v>9036</v>
      </c>
      <c r="R7405">
        <v>2172</v>
      </c>
      <c r="S7405">
        <v>1476</v>
      </c>
    </row>
    <row r="7406" spans="11:19" x14ac:dyDescent="0.3">
      <c r="K7406" s="16">
        <f t="shared" si="115"/>
        <v>44324</v>
      </c>
      <c r="L7406" s="17">
        <v>0.5</v>
      </c>
      <c r="M7406" s="14">
        <v>884</v>
      </c>
      <c r="N7406" s="14">
        <v>0</v>
      </c>
      <c r="O7406" s="14">
        <v>0</v>
      </c>
      <c r="P7406" s="14">
        <v>884</v>
      </c>
      <c r="Q7406">
        <v>9292</v>
      </c>
      <c r="R7406">
        <v>2268</v>
      </c>
      <c r="S7406">
        <v>1717</v>
      </c>
    </row>
    <row r="7407" spans="11:19" x14ac:dyDescent="0.3">
      <c r="K7407" s="16">
        <f t="shared" si="115"/>
        <v>44324</v>
      </c>
      <c r="L7407" s="17">
        <v>0.54166666666666663</v>
      </c>
      <c r="M7407" s="14">
        <v>884</v>
      </c>
      <c r="N7407" s="14">
        <v>0</v>
      </c>
      <c r="O7407" s="14">
        <v>0</v>
      </c>
      <c r="P7407" s="14">
        <v>884</v>
      </c>
      <c r="Q7407">
        <v>9032</v>
      </c>
      <c r="R7407">
        <v>2378</v>
      </c>
      <c r="S7407">
        <v>1790</v>
      </c>
    </row>
    <row r="7408" spans="11:19" x14ac:dyDescent="0.3">
      <c r="K7408" s="16">
        <f t="shared" si="115"/>
        <v>44324</v>
      </c>
      <c r="L7408" s="17">
        <v>0.58333333333333337</v>
      </c>
      <c r="M7408" s="14">
        <v>884</v>
      </c>
      <c r="N7408" s="14">
        <v>0</v>
      </c>
      <c r="O7408" s="14">
        <v>-124</v>
      </c>
      <c r="P7408" s="14">
        <v>760</v>
      </c>
      <c r="Q7408">
        <v>8756</v>
      </c>
      <c r="R7408">
        <v>2751</v>
      </c>
      <c r="S7408">
        <v>1879</v>
      </c>
    </row>
    <row r="7409" spans="11:19" x14ac:dyDescent="0.3">
      <c r="K7409" s="16">
        <f t="shared" si="115"/>
        <v>44324</v>
      </c>
      <c r="L7409" s="17">
        <v>0.625</v>
      </c>
      <c r="M7409" s="14">
        <v>884</v>
      </c>
      <c r="N7409" s="14">
        <v>0</v>
      </c>
      <c r="O7409" s="14">
        <v>-523</v>
      </c>
      <c r="P7409" s="14">
        <v>361</v>
      </c>
      <c r="Q7409">
        <v>8419</v>
      </c>
      <c r="R7409">
        <v>2870</v>
      </c>
      <c r="S7409">
        <v>1827</v>
      </c>
    </row>
    <row r="7410" spans="11:19" x14ac:dyDescent="0.3">
      <c r="K7410" s="16">
        <f t="shared" si="115"/>
        <v>44324</v>
      </c>
      <c r="L7410" s="17">
        <v>0.66666666666666663</v>
      </c>
      <c r="M7410" s="14">
        <v>884</v>
      </c>
      <c r="N7410" s="14">
        <v>0</v>
      </c>
      <c r="O7410" s="14">
        <v>-1200</v>
      </c>
      <c r="P7410" s="14">
        <v>-316</v>
      </c>
      <c r="Q7410">
        <v>8174</v>
      </c>
      <c r="R7410">
        <v>3097</v>
      </c>
      <c r="S7410">
        <v>1713</v>
      </c>
    </row>
    <row r="7411" spans="11:19" x14ac:dyDescent="0.3">
      <c r="K7411" s="16">
        <f t="shared" si="115"/>
        <v>44324</v>
      </c>
      <c r="L7411" s="17">
        <v>0.70833333333333337</v>
      </c>
      <c r="M7411" s="14">
        <v>884</v>
      </c>
      <c r="N7411" s="14">
        <v>0</v>
      </c>
      <c r="O7411" s="14">
        <v>-1200</v>
      </c>
      <c r="P7411" s="14">
        <v>-316</v>
      </c>
      <c r="Q7411">
        <v>8115</v>
      </c>
      <c r="R7411">
        <v>3103</v>
      </c>
      <c r="S7411">
        <v>1356</v>
      </c>
    </row>
    <row r="7412" spans="11:19" x14ac:dyDescent="0.3">
      <c r="K7412" s="16">
        <f t="shared" si="115"/>
        <v>44324</v>
      </c>
      <c r="L7412" s="17">
        <v>0.75</v>
      </c>
      <c r="M7412" s="14">
        <v>884</v>
      </c>
      <c r="N7412" s="14">
        <v>0</v>
      </c>
      <c r="O7412" s="14">
        <v>0</v>
      </c>
      <c r="P7412" s="14">
        <v>884</v>
      </c>
      <c r="Q7412">
        <v>8365</v>
      </c>
      <c r="R7412">
        <v>2617</v>
      </c>
      <c r="S7412">
        <v>825</v>
      </c>
    </row>
    <row r="7413" spans="11:19" x14ac:dyDescent="0.3">
      <c r="K7413" s="16">
        <f t="shared" si="115"/>
        <v>44324</v>
      </c>
      <c r="L7413" s="17">
        <v>0.79166666666666663</v>
      </c>
      <c r="M7413" s="14">
        <v>884</v>
      </c>
      <c r="N7413" s="14">
        <v>0</v>
      </c>
      <c r="O7413" s="14">
        <v>8</v>
      </c>
      <c r="P7413" s="14">
        <v>892</v>
      </c>
      <c r="Q7413">
        <v>8576</v>
      </c>
      <c r="R7413">
        <v>2255</v>
      </c>
      <c r="S7413">
        <v>332</v>
      </c>
    </row>
    <row r="7414" spans="11:19" x14ac:dyDescent="0.3">
      <c r="K7414" s="16">
        <f t="shared" si="115"/>
        <v>44324</v>
      </c>
      <c r="L7414" s="17">
        <v>0.83333333333333337</v>
      </c>
      <c r="M7414" s="14">
        <v>884</v>
      </c>
      <c r="N7414" s="14">
        <v>0</v>
      </c>
      <c r="O7414" s="14">
        <v>258</v>
      </c>
      <c r="P7414" s="14">
        <v>1142</v>
      </c>
      <c r="Q7414">
        <v>8174</v>
      </c>
      <c r="R7414">
        <v>1881</v>
      </c>
      <c r="S7414">
        <v>61</v>
      </c>
    </row>
    <row r="7415" spans="11:19" x14ac:dyDescent="0.3">
      <c r="K7415" s="16">
        <f t="shared" si="115"/>
        <v>44324</v>
      </c>
      <c r="L7415" s="17">
        <v>0.875</v>
      </c>
      <c r="M7415" s="14">
        <v>884</v>
      </c>
      <c r="N7415" s="14">
        <v>0</v>
      </c>
      <c r="O7415" s="14">
        <v>411</v>
      </c>
      <c r="P7415" s="14">
        <v>1295</v>
      </c>
      <c r="Q7415">
        <v>8070</v>
      </c>
      <c r="R7415">
        <v>1684</v>
      </c>
      <c r="S7415">
        <v>2</v>
      </c>
    </row>
    <row r="7416" spans="11:19" x14ac:dyDescent="0.3">
      <c r="K7416" s="16">
        <f t="shared" si="115"/>
        <v>44324</v>
      </c>
      <c r="L7416" s="17">
        <v>0.91666666666666663</v>
      </c>
      <c r="M7416" s="14">
        <v>884</v>
      </c>
      <c r="N7416" s="14">
        <v>0</v>
      </c>
      <c r="O7416" s="14">
        <v>837</v>
      </c>
      <c r="P7416" s="14">
        <v>1721</v>
      </c>
      <c r="Q7416">
        <v>8424</v>
      </c>
      <c r="R7416">
        <v>1614</v>
      </c>
      <c r="S7416">
        <v>0</v>
      </c>
    </row>
    <row r="7417" spans="11:19" x14ac:dyDescent="0.3">
      <c r="K7417" s="16">
        <f t="shared" si="115"/>
        <v>44324</v>
      </c>
      <c r="L7417" s="17">
        <v>0.95833333333333337</v>
      </c>
      <c r="M7417" s="14">
        <v>884</v>
      </c>
      <c r="N7417" s="14">
        <v>0</v>
      </c>
      <c r="O7417" s="14">
        <v>1053</v>
      </c>
      <c r="P7417" s="14">
        <v>1937</v>
      </c>
      <c r="Q7417">
        <v>8676</v>
      </c>
      <c r="R7417">
        <v>1666</v>
      </c>
      <c r="S7417">
        <v>0</v>
      </c>
    </row>
    <row r="7418" spans="11:19" x14ac:dyDescent="0.3">
      <c r="K7418" s="16">
        <f t="shared" si="115"/>
        <v>44325</v>
      </c>
      <c r="L7418" s="17">
        <v>0</v>
      </c>
      <c r="M7418" s="14">
        <v>884</v>
      </c>
      <c r="N7418" s="14">
        <v>0</v>
      </c>
      <c r="O7418" s="14">
        <v>527</v>
      </c>
      <c r="P7418" s="14">
        <v>1411</v>
      </c>
      <c r="Q7418">
        <v>8109</v>
      </c>
      <c r="R7418">
        <v>1638</v>
      </c>
      <c r="S7418">
        <v>0</v>
      </c>
    </row>
    <row r="7419" spans="11:19" x14ac:dyDescent="0.3">
      <c r="K7419" s="16">
        <f t="shared" si="115"/>
        <v>44325</v>
      </c>
      <c r="L7419" s="17">
        <v>4.1666666666666664E-2</v>
      </c>
      <c r="M7419" s="14">
        <v>884</v>
      </c>
      <c r="N7419" s="14">
        <v>0</v>
      </c>
      <c r="O7419" s="14">
        <v>165</v>
      </c>
      <c r="P7419" s="14">
        <v>1049</v>
      </c>
      <c r="Q7419">
        <v>7708</v>
      </c>
      <c r="R7419">
        <v>1597</v>
      </c>
      <c r="S7419">
        <v>0</v>
      </c>
    </row>
    <row r="7420" spans="11:19" x14ac:dyDescent="0.3">
      <c r="K7420" s="16">
        <f t="shared" si="115"/>
        <v>44325</v>
      </c>
      <c r="L7420" s="17">
        <v>8.3333333333333329E-2</v>
      </c>
      <c r="M7420" s="14">
        <v>884</v>
      </c>
      <c r="N7420" s="14">
        <v>0</v>
      </c>
      <c r="O7420" s="14">
        <v>-16</v>
      </c>
      <c r="P7420" s="14">
        <v>868</v>
      </c>
      <c r="Q7420">
        <v>7347</v>
      </c>
      <c r="R7420">
        <v>1426</v>
      </c>
      <c r="S7420">
        <v>0</v>
      </c>
    </row>
    <row r="7421" spans="11:19" x14ac:dyDescent="0.3">
      <c r="K7421" s="16">
        <f t="shared" si="115"/>
        <v>44325</v>
      </c>
      <c r="L7421" s="17">
        <v>0.125</v>
      </c>
      <c r="M7421" s="14">
        <v>884</v>
      </c>
      <c r="N7421" s="14">
        <v>0</v>
      </c>
      <c r="O7421" s="14">
        <v>-288</v>
      </c>
      <c r="P7421" s="14">
        <v>596</v>
      </c>
      <c r="Q7421">
        <v>6881</v>
      </c>
      <c r="R7421">
        <v>1230</v>
      </c>
      <c r="S7421">
        <v>0</v>
      </c>
    </row>
    <row r="7422" spans="11:19" x14ac:dyDescent="0.3">
      <c r="K7422" s="16">
        <f t="shared" si="115"/>
        <v>44325</v>
      </c>
      <c r="L7422" s="17">
        <v>0.16666666666666666</v>
      </c>
      <c r="M7422" s="14">
        <v>884</v>
      </c>
      <c r="N7422" s="14">
        <v>0</v>
      </c>
      <c r="O7422" s="14">
        <v>-451</v>
      </c>
      <c r="P7422" s="14">
        <v>433</v>
      </c>
      <c r="Q7422">
        <v>6646</v>
      </c>
      <c r="R7422">
        <v>1152</v>
      </c>
      <c r="S7422">
        <v>0</v>
      </c>
    </row>
    <row r="7423" spans="11:19" x14ac:dyDescent="0.3">
      <c r="K7423" s="16">
        <f t="shared" si="115"/>
        <v>44325</v>
      </c>
      <c r="L7423" s="17">
        <v>0.20833333333333334</v>
      </c>
      <c r="M7423" s="14">
        <v>884</v>
      </c>
      <c r="N7423" s="14">
        <v>0</v>
      </c>
      <c r="O7423" s="14">
        <v>0</v>
      </c>
      <c r="P7423" s="14">
        <v>884</v>
      </c>
      <c r="Q7423">
        <v>6661</v>
      </c>
      <c r="R7423">
        <v>1077</v>
      </c>
      <c r="S7423">
        <v>0</v>
      </c>
    </row>
    <row r="7424" spans="11:19" x14ac:dyDescent="0.3">
      <c r="K7424" s="16">
        <f t="shared" si="115"/>
        <v>44325</v>
      </c>
      <c r="L7424" s="17">
        <v>0.25</v>
      </c>
      <c r="M7424" s="14">
        <v>884</v>
      </c>
      <c r="N7424" s="14">
        <v>0</v>
      </c>
      <c r="O7424" s="14">
        <v>-316</v>
      </c>
      <c r="P7424" s="14">
        <v>568</v>
      </c>
      <c r="Q7424">
        <v>6697</v>
      </c>
      <c r="R7424">
        <v>1019</v>
      </c>
      <c r="S7424">
        <v>10</v>
      </c>
    </row>
    <row r="7425" spans="11:19" x14ac:dyDescent="0.3">
      <c r="K7425" s="16">
        <f t="shared" si="115"/>
        <v>44325</v>
      </c>
      <c r="L7425" s="17">
        <v>0.29166666666666669</v>
      </c>
      <c r="M7425" s="14">
        <v>884</v>
      </c>
      <c r="N7425" s="14">
        <v>0</v>
      </c>
      <c r="O7425" s="14">
        <v>-273</v>
      </c>
      <c r="P7425" s="14">
        <v>611</v>
      </c>
      <c r="Q7425">
        <v>6844</v>
      </c>
      <c r="R7425">
        <v>966</v>
      </c>
      <c r="S7425">
        <v>147</v>
      </c>
    </row>
    <row r="7426" spans="11:19" x14ac:dyDescent="0.3">
      <c r="K7426" s="16">
        <f t="shared" si="115"/>
        <v>44325</v>
      </c>
      <c r="L7426" s="17">
        <v>0.33333333333333331</v>
      </c>
      <c r="M7426" s="14">
        <v>884</v>
      </c>
      <c r="N7426" s="14">
        <v>0</v>
      </c>
      <c r="O7426" s="14">
        <v>0</v>
      </c>
      <c r="P7426" s="14">
        <v>884</v>
      </c>
      <c r="Q7426">
        <v>7274</v>
      </c>
      <c r="R7426">
        <v>1056</v>
      </c>
      <c r="S7426">
        <v>564</v>
      </c>
    </row>
    <row r="7427" spans="11:19" x14ac:dyDescent="0.3">
      <c r="K7427" s="16">
        <f t="shared" si="115"/>
        <v>44325</v>
      </c>
      <c r="L7427" s="17">
        <v>0.375</v>
      </c>
      <c r="M7427" s="14">
        <v>884</v>
      </c>
      <c r="N7427" s="14">
        <v>0</v>
      </c>
      <c r="O7427" s="14">
        <v>-475</v>
      </c>
      <c r="P7427" s="14">
        <v>409</v>
      </c>
      <c r="Q7427">
        <v>7717</v>
      </c>
      <c r="R7427">
        <v>1114</v>
      </c>
      <c r="S7427">
        <v>1071</v>
      </c>
    </row>
    <row r="7428" spans="11:19" x14ac:dyDescent="0.3">
      <c r="K7428" s="16">
        <f t="shared" si="115"/>
        <v>44325</v>
      </c>
      <c r="L7428" s="17">
        <v>0.41666666666666669</v>
      </c>
      <c r="M7428" s="14">
        <v>884</v>
      </c>
      <c r="N7428" s="14">
        <v>0</v>
      </c>
      <c r="O7428" s="14">
        <v>-483</v>
      </c>
      <c r="P7428" s="14">
        <v>401</v>
      </c>
      <c r="Q7428">
        <v>8031</v>
      </c>
      <c r="R7428">
        <v>1130</v>
      </c>
      <c r="S7428">
        <v>1378</v>
      </c>
    </row>
    <row r="7429" spans="11:19" x14ac:dyDescent="0.3">
      <c r="K7429" s="16">
        <f t="shared" si="115"/>
        <v>44325</v>
      </c>
      <c r="L7429" s="17">
        <v>0.45833333333333331</v>
      </c>
      <c r="M7429" s="14">
        <v>884</v>
      </c>
      <c r="N7429" s="14">
        <v>0</v>
      </c>
      <c r="O7429" s="14">
        <v>-338</v>
      </c>
      <c r="P7429" s="14">
        <v>546</v>
      </c>
      <c r="Q7429">
        <v>8285</v>
      </c>
      <c r="R7429">
        <v>972</v>
      </c>
      <c r="S7429">
        <v>1646</v>
      </c>
    </row>
    <row r="7430" spans="11:19" x14ac:dyDescent="0.3">
      <c r="K7430" s="16">
        <f t="shared" si="115"/>
        <v>44325</v>
      </c>
      <c r="L7430" s="17">
        <v>0.5</v>
      </c>
      <c r="M7430" s="14">
        <v>884</v>
      </c>
      <c r="N7430" s="14">
        <v>0</v>
      </c>
      <c r="O7430" s="14">
        <v>0</v>
      </c>
      <c r="P7430" s="14">
        <v>884</v>
      </c>
      <c r="Q7430">
        <v>8668</v>
      </c>
      <c r="R7430">
        <v>1039</v>
      </c>
      <c r="S7430">
        <v>1842</v>
      </c>
    </row>
    <row r="7431" spans="11:19" x14ac:dyDescent="0.3">
      <c r="K7431" s="16">
        <f t="shared" si="115"/>
        <v>44325</v>
      </c>
      <c r="L7431" s="17">
        <v>0.54166666666666663</v>
      </c>
      <c r="M7431" s="14">
        <v>884</v>
      </c>
      <c r="N7431" s="14">
        <v>0</v>
      </c>
      <c r="O7431" s="14">
        <v>-39</v>
      </c>
      <c r="P7431" s="14">
        <v>845</v>
      </c>
      <c r="Q7431">
        <v>8301</v>
      </c>
      <c r="R7431">
        <v>1051</v>
      </c>
      <c r="S7431">
        <v>1905</v>
      </c>
    </row>
    <row r="7432" spans="11:19" x14ac:dyDescent="0.3">
      <c r="K7432" s="16">
        <f t="shared" si="115"/>
        <v>44325</v>
      </c>
      <c r="L7432" s="17">
        <v>0.58333333333333337</v>
      </c>
      <c r="M7432" s="14">
        <v>884</v>
      </c>
      <c r="N7432" s="14">
        <v>0</v>
      </c>
      <c r="O7432" s="14">
        <v>-581</v>
      </c>
      <c r="P7432" s="14">
        <v>303</v>
      </c>
      <c r="Q7432">
        <v>7876</v>
      </c>
      <c r="R7432">
        <v>1104</v>
      </c>
      <c r="S7432">
        <v>1970</v>
      </c>
    </row>
    <row r="7433" spans="11:19" x14ac:dyDescent="0.3">
      <c r="K7433" s="16">
        <f t="shared" si="115"/>
        <v>44325</v>
      </c>
      <c r="L7433" s="17">
        <v>0.625</v>
      </c>
      <c r="M7433" s="14">
        <v>884</v>
      </c>
      <c r="N7433" s="14">
        <v>0</v>
      </c>
      <c r="O7433" s="14">
        <v>-987</v>
      </c>
      <c r="P7433" s="14">
        <v>-103</v>
      </c>
      <c r="Q7433">
        <v>7505</v>
      </c>
      <c r="R7433">
        <v>1217</v>
      </c>
      <c r="S7433">
        <v>1896</v>
      </c>
    </row>
    <row r="7434" spans="11:19" x14ac:dyDescent="0.3">
      <c r="K7434" s="16">
        <f t="shared" si="115"/>
        <v>44325</v>
      </c>
      <c r="L7434" s="17">
        <v>0.66666666666666663</v>
      </c>
      <c r="M7434" s="14">
        <v>884</v>
      </c>
      <c r="N7434" s="14">
        <v>0</v>
      </c>
      <c r="O7434" s="14">
        <v>-1130</v>
      </c>
      <c r="P7434" s="14">
        <v>-246</v>
      </c>
      <c r="Q7434">
        <v>7294</v>
      </c>
      <c r="R7434">
        <v>1342</v>
      </c>
      <c r="S7434">
        <v>1711</v>
      </c>
    </row>
    <row r="7435" spans="11:19" x14ac:dyDescent="0.3">
      <c r="K7435" s="16">
        <f t="shared" si="115"/>
        <v>44325</v>
      </c>
      <c r="L7435" s="17">
        <v>0.70833333333333337</v>
      </c>
      <c r="M7435" s="14">
        <v>884</v>
      </c>
      <c r="N7435" s="14">
        <v>0</v>
      </c>
      <c r="O7435" s="14">
        <v>-1166</v>
      </c>
      <c r="P7435" s="14">
        <v>-282</v>
      </c>
      <c r="Q7435">
        <v>7307</v>
      </c>
      <c r="R7435">
        <v>1515</v>
      </c>
      <c r="S7435">
        <v>1341</v>
      </c>
    </row>
    <row r="7436" spans="11:19" x14ac:dyDescent="0.3">
      <c r="K7436" s="16">
        <f t="shared" si="115"/>
        <v>44325</v>
      </c>
      <c r="L7436" s="17">
        <v>0.75</v>
      </c>
      <c r="M7436" s="14">
        <v>884</v>
      </c>
      <c r="N7436" s="14">
        <v>0</v>
      </c>
      <c r="O7436" s="14">
        <v>-40</v>
      </c>
      <c r="P7436" s="14">
        <v>844</v>
      </c>
      <c r="Q7436">
        <v>7697</v>
      </c>
      <c r="R7436">
        <v>1552</v>
      </c>
      <c r="S7436">
        <v>816</v>
      </c>
    </row>
    <row r="7437" spans="11:19" x14ac:dyDescent="0.3">
      <c r="K7437" s="16">
        <f t="shared" si="115"/>
        <v>44325</v>
      </c>
      <c r="L7437" s="17">
        <v>0.79166666666666663</v>
      </c>
      <c r="M7437" s="14">
        <v>884</v>
      </c>
      <c r="N7437" s="14">
        <v>0</v>
      </c>
      <c r="O7437" s="14">
        <v>516</v>
      </c>
      <c r="P7437" s="14">
        <v>1400</v>
      </c>
      <c r="Q7437">
        <v>8179</v>
      </c>
      <c r="R7437">
        <v>1347</v>
      </c>
      <c r="S7437">
        <v>336</v>
      </c>
    </row>
    <row r="7438" spans="11:19" x14ac:dyDescent="0.3">
      <c r="K7438" s="16">
        <f t="shared" si="115"/>
        <v>44325</v>
      </c>
      <c r="L7438" s="17">
        <v>0.83333333333333337</v>
      </c>
      <c r="M7438" s="14">
        <v>884</v>
      </c>
      <c r="N7438" s="14">
        <v>0</v>
      </c>
      <c r="O7438" s="14">
        <v>712</v>
      </c>
      <c r="P7438" s="14">
        <v>1596</v>
      </c>
      <c r="Q7438">
        <v>7928</v>
      </c>
      <c r="R7438">
        <v>1190</v>
      </c>
      <c r="S7438">
        <v>52</v>
      </c>
    </row>
    <row r="7439" spans="11:19" x14ac:dyDescent="0.3">
      <c r="K7439" s="16">
        <f t="shared" si="115"/>
        <v>44325</v>
      </c>
      <c r="L7439" s="17">
        <v>0.875</v>
      </c>
      <c r="M7439" s="14">
        <v>884</v>
      </c>
      <c r="N7439" s="14">
        <v>0</v>
      </c>
      <c r="O7439" s="14">
        <v>948</v>
      </c>
      <c r="P7439" s="14">
        <v>1832</v>
      </c>
      <c r="Q7439">
        <v>7936</v>
      </c>
      <c r="R7439">
        <v>1014</v>
      </c>
      <c r="S7439">
        <v>2</v>
      </c>
    </row>
    <row r="7440" spans="11:19" x14ac:dyDescent="0.3">
      <c r="K7440" s="16">
        <f t="shared" si="115"/>
        <v>44325</v>
      </c>
      <c r="L7440" s="17">
        <v>0.91666666666666663</v>
      </c>
      <c r="M7440" s="14">
        <v>884</v>
      </c>
      <c r="N7440" s="14">
        <v>198</v>
      </c>
      <c r="O7440" s="14">
        <v>1200</v>
      </c>
      <c r="P7440" s="14">
        <v>2282</v>
      </c>
      <c r="Q7440">
        <v>8330</v>
      </c>
      <c r="R7440">
        <v>960</v>
      </c>
      <c r="S7440">
        <v>0</v>
      </c>
    </row>
    <row r="7441" spans="11:19" x14ac:dyDescent="0.3">
      <c r="K7441" s="16">
        <f t="shared" si="115"/>
        <v>44325</v>
      </c>
      <c r="L7441" s="17">
        <v>0.95833333333333337</v>
      </c>
      <c r="M7441" s="14">
        <v>884</v>
      </c>
      <c r="N7441" s="14">
        <v>480</v>
      </c>
      <c r="O7441" s="14">
        <v>1200</v>
      </c>
      <c r="P7441" s="14">
        <v>2564</v>
      </c>
      <c r="Q7441">
        <v>8616</v>
      </c>
      <c r="R7441">
        <v>980</v>
      </c>
      <c r="S7441">
        <v>0</v>
      </c>
    </row>
    <row r="7442" spans="11:19" x14ac:dyDescent="0.3">
      <c r="K7442" s="16">
        <f t="shared" si="115"/>
        <v>44326</v>
      </c>
      <c r="L7442" s="17">
        <v>0</v>
      </c>
      <c r="M7442" s="14">
        <v>884</v>
      </c>
      <c r="N7442" s="14">
        <v>995</v>
      </c>
      <c r="O7442" s="14">
        <v>719</v>
      </c>
      <c r="P7442" s="14">
        <v>2598</v>
      </c>
      <c r="Q7442">
        <v>8644</v>
      </c>
      <c r="R7442">
        <v>983</v>
      </c>
      <c r="S7442">
        <v>0</v>
      </c>
    </row>
    <row r="7443" spans="11:19" x14ac:dyDescent="0.3">
      <c r="K7443" s="16">
        <f t="shared" si="115"/>
        <v>44326</v>
      </c>
      <c r="L7443" s="17">
        <v>4.1666666666666664E-2</v>
      </c>
      <c r="M7443" s="14">
        <v>884</v>
      </c>
      <c r="N7443" s="14">
        <v>1159</v>
      </c>
      <c r="O7443" s="14">
        <v>0</v>
      </c>
      <c r="P7443" s="14">
        <v>2043</v>
      </c>
      <c r="Q7443">
        <v>8239</v>
      </c>
      <c r="R7443">
        <v>1137</v>
      </c>
      <c r="S7443">
        <v>0</v>
      </c>
    </row>
    <row r="7444" spans="11:19" x14ac:dyDescent="0.3">
      <c r="K7444" s="16">
        <f t="shared" si="115"/>
        <v>44326</v>
      </c>
      <c r="L7444" s="17">
        <v>8.3333333333333329E-2</v>
      </c>
      <c r="M7444" s="14">
        <v>884</v>
      </c>
      <c r="N7444" s="14">
        <v>1030</v>
      </c>
      <c r="O7444" s="14">
        <v>0</v>
      </c>
      <c r="P7444" s="14">
        <v>1914</v>
      </c>
      <c r="Q7444">
        <v>7932</v>
      </c>
      <c r="R7444">
        <v>959</v>
      </c>
      <c r="S7444">
        <v>0</v>
      </c>
    </row>
    <row r="7445" spans="11:19" x14ac:dyDescent="0.3">
      <c r="K7445" s="16">
        <f t="shared" si="115"/>
        <v>44326</v>
      </c>
      <c r="L7445" s="17">
        <v>0.125</v>
      </c>
      <c r="M7445" s="14">
        <v>884</v>
      </c>
      <c r="N7445" s="14">
        <v>608</v>
      </c>
      <c r="O7445" s="14">
        <v>0</v>
      </c>
      <c r="P7445" s="14">
        <v>1492</v>
      </c>
      <c r="Q7445">
        <v>7536</v>
      </c>
      <c r="R7445">
        <v>982</v>
      </c>
      <c r="S7445">
        <v>0</v>
      </c>
    </row>
    <row r="7446" spans="11:19" x14ac:dyDescent="0.3">
      <c r="K7446" s="16">
        <f t="shared" si="115"/>
        <v>44326</v>
      </c>
      <c r="L7446" s="17">
        <v>0.16666666666666666</v>
      </c>
      <c r="M7446" s="14">
        <v>884</v>
      </c>
      <c r="N7446" s="14">
        <v>0</v>
      </c>
      <c r="O7446" s="14">
        <v>479</v>
      </c>
      <c r="P7446" s="14">
        <v>1363</v>
      </c>
      <c r="Q7446">
        <v>7439</v>
      </c>
      <c r="R7446">
        <v>1011</v>
      </c>
      <c r="S7446">
        <v>0</v>
      </c>
    </row>
    <row r="7447" spans="11:19" x14ac:dyDescent="0.3">
      <c r="K7447" s="16">
        <f t="shared" si="115"/>
        <v>44326</v>
      </c>
      <c r="L7447" s="17">
        <v>0.20833333333333334</v>
      </c>
      <c r="M7447" s="14">
        <v>884</v>
      </c>
      <c r="N7447" s="14">
        <v>710</v>
      </c>
      <c r="O7447" s="14">
        <v>0</v>
      </c>
      <c r="P7447" s="14">
        <v>1594</v>
      </c>
      <c r="Q7447">
        <v>7703</v>
      </c>
      <c r="R7447">
        <v>1027</v>
      </c>
      <c r="S7447">
        <v>0</v>
      </c>
    </row>
    <row r="7448" spans="11:19" x14ac:dyDescent="0.3">
      <c r="K7448" s="16">
        <f t="shared" si="115"/>
        <v>44326</v>
      </c>
      <c r="L7448" s="17">
        <v>0.25</v>
      </c>
      <c r="M7448" s="14">
        <v>884</v>
      </c>
      <c r="N7448" s="14">
        <v>1131</v>
      </c>
      <c r="O7448" s="14">
        <v>0</v>
      </c>
      <c r="P7448" s="14">
        <v>2015</v>
      </c>
      <c r="Q7448">
        <v>8093</v>
      </c>
      <c r="R7448">
        <v>943</v>
      </c>
      <c r="S7448">
        <v>16</v>
      </c>
    </row>
    <row r="7449" spans="11:19" x14ac:dyDescent="0.3">
      <c r="K7449" s="16">
        <f t="shared" si="115"/>
        <v>44326</v>
      </c>
      <c r="L7449" s="17">
        <v>0.29166666666666669</v>
      </c>
      <c r="M7449" s="14">
        <v>884</v>
      </c>
      <c r="N7449" s="14">
        <v>1441</v>
      </c>
      <c r="O7449" s="14">
        <v>0</v>
      </c>
      <c r="P7449" s="14">
        <v>2325</v>
      </c>
      <c r="Q7449">
        <v>8593</v>
      </c>
      <c r="R7449">
        <v>953</v>
      </c>
      <c r="S7449">
        <v>178</v>
      </c>
    </row>
    <row r="7450" spans="11:19" x14ac:dyDescent="0.3">
      <c r="K7450" s="16">
        <f t="shared" si="115"/>
        <v>44326</v>
      </c>
      <c r="L7450" s="17">
        <v>0.33333333333333331</v>
      </c>
      <c r="M7450" s="14">
        <v>884</v>
      </c>
      <c r="N7450" s="14">
        <v>105</v>
      </c>
      <c r="O7450" s="14">
        <v>1200</v>
      </c>
      <c r="P7450" s="14">
        <v>2189</v>
      </c>
      <c r="Q7450">
        <v>9072</v>
      </c>
      <c r="R7450">
        <v>1103</v>
      </c>
      <c r="S7450">
        <v>641</v>
      </c>
    </row>
    <row r="7451" spans="11:19" x14ac:dyDescent="0.3">
      <c r="K7451" s="16">
        <f t="shared" ref="K7451:K7514" si="116">K7427+1</f>
        <v>44326</v>
      </c>
      <c r="L7451" s="17">
        <v>0.375</v>
      </c>
      <c r="M7451" s="14">
        <v>884</v>
      </c>
      <c r="N7451" s="14">
        <v>848</v>
      </c>
      <c r="O7451" s="14">
        <v>0</v>
      </c>
      <c r="P7451" s="14">
        <v>1732</v>
      </c>
      <c r="Q7451">
        <v>9392</v>
      </c>
      <c r="R7451">
        <v>1263</v>
      </c>
      <c r="S7451">
        <v>1262</v>
      </c>
    </row>
    <row r="7452" spans="11:19" x14ac:dyDescent="0.3">
      <c r="K7452" s="16">
        <f t="shared" si="116"/>
        <v>44326</v>
      </c>
      <c r="L7452" s="17">
        <v>0.41666666666666669</v>
      </c>
      <c r="M7452" s="14">
        <v>884</v>
      </c>
      <c r="N7452" s="14">
        <v>0</v>
      </c>
      <c r="O7452" s="14">
        <v>482</v>
      </c>
      <c r="P7452" s="14">
        <v>1366</v>
      </c>
      <c r="Q7452">
        <v>9449</v>
      </c>
      <c r="R7452">
        <v>1245</v>
      </c>
      <c r="S7452">
        <v>1702</v>
      </c>
    </row>
    <row r="7453" spans="11:19" x14ac:dyDescent="0.3">
      <c r="K7453" s="16">
        <f t="shared" si="116"/>
        <v>44326</v>
      </c>
      <c r="L7453" s="17">
        <v>0.45833333333333331</v>
      </c>
      <c r="M7453" s="14">
        <v>884</v>
      </c>
      <c r="N7453" s="14">
        <v>0</v>
      </c>
      <c r="O7453" s="14">
        <v>79</v>
      </c>
      <c r="P7453" s="14">
        <v>963</v>
      </c>
      <c r="Q7453">
        <v>9528</v>
      </c>
      <c r="R7453">
        <v>1408</v>
      </c>
      <c r="S7453">
        <v>2022</v>
      </c>
    </row>
    <row r="7454" spans="11:19" x14ac:dyDescent="0.3">
      <c r="K7454" s="16">
        <f t="shared" si="116"/>
        <v>44326</v>
      </c>
      <c r="L7454" s="17">
        <v>0.5</v>
      </c>
      <c r="M7454" s="14">
        <v>884</v>
      </c>
      <c r="N7454" s="14">
        <v>204</v>
      </c>
      <c r="O7454" s="14">
        <v>0</v>
      </c>
      <c r="P7454" s="14">
        <v>1088</v>
      </c>
      <c r="Q7454">
        <v>9734</v>
      </c>
      <c r="R7454">
        <v>1408</v>
      </c>
      <c r="S7454">
        <v>2109</v>
      </c>
    </row>
    <row r="7455" spans="11:19" x14ac:dyDescent="0.3">
      <c r="K7455" s="16">
        <f t="shared" si="116"/>
        <v>44326</v>
      </c>
      <c r="L7455" s="17">
        <v>0.54166666666666663</v>
      </c>
      <c r="M7455" s="14">
        <v>884</v>
      </c>
      <c r="N7455" s="14">
        <v>0</v>
      </c>
      <c r="O7455" s="14">
        <v>-359</v>
      </c>
      <c r="P7455" s="14">
        <v>525</v>
      </c>
      <c r="Q7455">
        <v>9426</v>
      </c>
      <c r="R7455">
        <v>1596</v>
      </c>
      <c r="S7455">
        <v>2180</v>
      </c>
    </row>
    <row r="7456" spans="11:19" x14ac:dyDescent="0.3">
      <c r="K7456" s="16">
        <f t="shared" si="116"/>
        <v>44326</v>
      </c>
      <c r="L7456" s="17">
        <v>0.58333333333333337</v>
      </c>
      <c r="M7456" s="14">
        <v>884</v>
      </c>
      <c r="N7456" s="14">
        <v>0</v>
      </c>
      <c r="O7456" s="14">
        <v>-641</v>
      </c>
      <c r="P7456" s="14">
        <v>243</v>
      </c>
      <c r="Q7456">
        <v>9126</v>
      </c>
      <c r="R7456">
        <v>1673</v>
      </c>
      <c r="S7456">
        <v>2084</v>
      </c>
    </row>
    <row r="7457" spans="11:19" x14ac:dyDescent="0.3">
      <c r="K7457" s="16">
        <f t="shared" si="116"/>
        <v>44326</v>
      </c>
      <c r="L7457" s="17">
        <v>0.625</v>
      </c>
      <c r="M7457" s="14">
        <v>884</v>
      </c>
      <c r="N7457" s="14">
        <v>0</v>
      </c>
      <c r="O7457" s="14">
        <v>-1117</v>
      </c>
      <c r="P7457" s="14">
        <v>-233</v>
      </c>
      <c r="Q7457">
        <v>8754</v>
      </c>
      <c r="R7457">
        <v>1934</v>
      </c>
      <c r="S7457">
        <v>1927</v>
      </c>
    </row>
    <row r="7458" spans="11:19" x14ac:dyDescent="0.3">
      <c r="K7458" s="16">
        <f t="shared" si="116"/>
        <v>44326</v>
      </c>
      <c r="L7458" s="17">
        <v>0.66666666666666663</v>
      </c>
      <c r="M7458" s="14">
        <v>884</v>
      </c>
      <c r="N7458" s="14">
        <v>0</v>
      </c>
      <c r="O7458" s="14">
        <v>-1200</v>
      </c>
      <c r="P7458" s="14">
        <v>-316</v>
      </c>
      <c r="Q7458">
        <v>8552</v>
      </c>
      <c r="R7458">
        <v>2134</v>
      </c>
      <c r="S7458">
        <v>1690</v>
      </c>
    </row>
    <row r="7459" spans="11:19" x14ac:dyDescent="0.3">
      <c r="K7459" s="16">
        <f t="shared" si="116"/>
        <v>44326</v>
      </c>
      <c r="L7459" s="17">
        <v>0.70833333333333337</v>
      </c>
      <c r="M7459" s="14">
        <v>884</v>
      </c>
      <c r="N7459" s="14">
        <v>0</v>
      </c>
      <c r="O7459" s="14">
        <v>-860</v>
      </c>
      <c r="P7459" s="14">
        <v>24</v>
      </c>
      <c r="Q7459">
        <v>8560</v>
      </c>
      <c r="R7459">
        <v>2131</v>
      </c>
      <c r="S7459">
        <v>1282</v>
      </c>
    </row>
    <row r="7460" spans="11:19" x14ac:dyDescent="0.3">
      <c r="K7460" s="16">
        <f t="shared" si="116"/>
        <v>44326</v>
      </c>
      <c r="L7460" s="17">
        <v>0.75</v>
      </c>
      <c r="M7460" s="14">
        <v>884</v>
      </c>
      <c r="N7460" s="14">
        <v>0</v>
      </c>
      <c r="O7460" s="14">
        <v>385</v>
      </c>
      <c r="P7460" s="14">
        <v>1269</v>
      </c>
      <c r="Q7460">
        <v>8856</v>
      </c>
      <c r="R7460">
        <v>1661</v>
      </c>
      <c r="S7460">
        <v>805</v>
      </c>
    </row>
    <row r="7461" spans="11:19" x14ac:dyDescent="0.3">
      <c r="K7461" s="16">
        <f t="shared" si="116"/>
        <v>44326</v>
      </c>
      <c r="L7461" s="17">
        <v>0.79166666666666663</v>
      </c>
      <c r="M7461" s="14">
        <v>884</v>
      </c>
      <c r="N7461" s="14">
        <v>1146</v>
      </c>
      <c r="O7461" s="14">
        <v>0</v>
      </c>
      <c r="P7461" s="14">
        <v>2030</v>
      </c>
      <c r="Q7461">
        <v>8958</v>
      </c>
      <c r="R7461">
        <v>1462</v>
      </c>
      <c r="S7461">
        <v>357</v>
      </c>
    </row>
    <row r="7462" spans="11:19" x14ac:dyDescent="0.3">
      <c r="K7462" s="16">
        <f t="shared" si="116"/>
        <v>44326</v>
      </c>
      <c r="L7462" s="17">
        <v>0.83333333333333337</v>
      </c>
      <c r="M7462" s="14">
        <v>884</v>
      </c>
      <c r="N7462" s="14">
        <v>873</v>
      </c>
      <c r="O7462" s="14">
        <v>0</v>
      </c>
      <c r="P7462" s="14">
        <v>1757</v>
      </c>
      <c r="Q7462">
        <v>8503</v>
      </c>
      <c r="R7462">
        <v>1598</v>
      </c>
      <c r="S7462">
        <v>52</v>
      </c>
    </row>
    <row r="7463" spans="11:19" x14ac:dyDescent="0.3">
      <c r="K7463" s="16">
        <f t="shared" si="116"/>
        <v>44326</v>
      </c>
      <c r="L7463" s="17">
        <v>0.875</v>
      </c>
      <c r="M7463" s="14">
        <v>884</v>
      </c>
      <c r="N7463" s="14">
        <v>1010</v>
      </c>
      <c r="O7463" s="14">
        <v>0</v>
      </c>
      <c r="P7463" s="14">
        <v>1894</v>
      </c>
      <c r="Q7463">
        <v>8384</v>
      </c>
      <c r="R7463">
        <v>1398</v>
      </c>
      <c r="S7463">
        <v>2</v>
      </c>
    </row>
    <row r="7464" spans="11:19" x14ac:dyDescent="0.3">
      <c r="K7464" s="16">
        <f t="shared" si="116"/>
        <v>44326</v>
      </c>
      <c r="L7464" s="17">
        <v>0.91666666666666663</v>
      </c>
      <c r="M7464" s="14">
        <v>884</v>
      </c>
      <c r="N7464" s="14">
        <v>1213</v>
      </c>
      <c r="O7464" s="14">
        <v>0</v>
      </c>
      <c r="P7464" s="14">
        <v>2097</v>
      </c>
      <c r="Q7464">
        <v>8757</v>
      </c>
      <c r="R7464">
        <v>1577</v>
      </c>
      <c r="S7464">
        <v>0</v>
      </c>
    </row>
    <row r="7465" spans="11:19" x14ac:dyDescent="0.3">
      <c r="K7465" s="16">
        <f t="shared" si="116"/>
        <v>44326</v>
      </c>
      <c r="L7465" s="17">
        <v>0.95833333333333337</v>
      </c>
      <c r="M7465" s="14">
        <v>884</v>
      </c>
      <c r="N7465" s="14">
        <v>1207</v>
      </c>
      <c r="O7465" s="14">
        <v>0</v>
      </c>
      <c r="P7465" s="14">
        <v>2091</v>
      </c>
      <c r="Q7465">
        <v>9002</v>
      </c>
      <c r="R7465">
        <v>1847</v>
      </c>
      <c r="S7465">
        <v>0</v>
      </c>
    </row>
    <row r="7466" spans="11:19" x14ac:dyDescent="0.3">
      <c r="K7466" s="16">
        <f t="shared" si="116"/>
        <v>44327</v>
      </c>
      <c r="L7466" s="17">
        <v>0</v>
      </c>
      <c r="M7466" s="14">
        <v>884</v>
      </c>
      <c r="N7466" s="14">
        <v>0</v>
      </c>
      <c r="O7466" s="14">
        <v>613</v>
      </c>
      <c r="P7466" s="14">
        <v>1497</v>
      </c>
      <c r="Q7466">
        <v>8423</v>
      </c>
      <c r="R7466">
        <v>1864</v>
      </c>
      <c r="S7466">
        <v>0</v>
      </c>
    </row>
    <row r="7467" spans="11:19" x14ac:dyDescent="0.3">
      <c r="K7467" s="16">
        <f t="shared" si="116"/>
        <v>44327</v>
      </c>
      <c r="L7467" s="17">
        <v>4.1666666666666664E-2</v>
      </c>
      <c r="M7467" s="14">
        <v>884</v>
      </c>
      <c r="N7467" s="14">
        <v>0</v>
      </c>
      <c r="O7467" s="14">
        <v>26</v>
      </c>
      <c r="P7467" s="14">
        <v>910</v>
      </c>
      <c r="Q7467">
        <v>8000</v>
      </c>
      <c r="R7467">
        <v>2032</v>
      </c>
      <c r="S7467">
        <v>0</v>
      </c>
    </row>
    <row r="7468" spans="11:19" x14ac:dyDescent="0.3">
      <c r="K7468" s="16">
        <f t="shared" si="116"/>
        <v>44327</v>
      </c>
      <c r="L7468" s="17">
        <v>8.3333333333333329E-2</v>
      </c>
      <c r="M7468" s="14">
        <v>884</v>
      </c>
      <c r="N7468" s="14">
        <v>0</v>
      </c>
      <c r="O7468" s="14">
        <v>0</v>
      </c>
      <c r="P7468" s="14">
        <v>884</v>
      </c>
      <c r="Q7468">
        <v>7614</v>
      </c>
      <c r="R7468">
        <v>2193</v>
      </c>
      <c r="S7468">
        <v>0</v>
      </c>
    </row>
    <row r="7469" spans="11:19" x14ac:dyDescent="0.3">
      <c r="K7469" s="16">
        <f t="shared" si="116"/>
        <v>44327</v>
      </c>
      <c r="L7469" s="17">
        <v>0.125</v>
      </c>
      <c r="M7469" s="14">
        <v>884</v>
      </c>
      <c r="N7469" s="14">
        <v>0</v>
      </c>
      <c r="O7469" s="14">
        <v>0</v>
      </c>
      <c r="P7469" s="14">
        <v>884</v>
      </c>
      <c r="Q7469">
        <v>7125</v>
      </c>
      <c r="R7469">
        <v>2317</v>
      </c>
      <c r="S7469">
        <v>0</v>
      </c>
    </row>
    <row r="7470" spans="11:19" x14ac:dyDescent="0.3">
      <c r="K7470" s="16">
        <f t="shared" si="116"/>
        <v>44327</v>
      </c>
      <c r="L7470" s="17">
        <v>0.16666666666666666</v>
      </c>
      <c r="M7470" s="14">
        <v>884</v>
      </c>
      <c r="N7470" s="14">
        <v>0</v>
      </c>
      <c r="O7470" s="14">
        <v>-817</v>
      </c>
      <c r="P7470" s="14">
        <v>67</v>
      </c>
      <c r="Q7470">
        <v>6881</v>
      </c>
      <c r="R7470">
        <v>2363</v>
      </c>
      <c r="S7470">
        <v>0</v>
      </c>
    </row>
    <row r="7471" spans="11:19" x14ac:dyDescent="0.3">
      <c r="K7471" s="16">
        <f t="shared" si="116"/>
        <v>44327</v>
      </c>
      <c r="L7471" s="17">
        <v>0.20833333333333334</v>
      </c>
      <c r="M7471" s="14">
        <v>884</v>
      </c>
      <c r="N7471" s="14">
        <v>0</v>
      </c>
      <c r="O7471" s="14">
        <v>-675</v>
      </c>
      <c r="P7471" s="14">
        <v>209</v>
      </c>
      <c r="Q7471">
        <v>6890</v>
      </c>
      <c r="R7471">
        <v>2214</v>
      </c>
      <c r="S7471">
        <v>0</v>
      </c>
    </row>
    <row r="7472" spans="11:19" x14ac:dyDescent="0.3">
      <c r="K7472" s="16">
        <f t="shared" si="116"/>
        <v>44327</v>
      </c>
      <c r="L7472" s="17">
        <v>0.25</v>
      </c>
      <c r="M7472" s="14">
        <v>884</v>
      </c>
      <c r="N7472" s="14">
        <v>0</v>
      </c>
      <c r="O7472" s="14">
        <v>0</v>
      </c>
      <c r="P7472" s="14">
        <v>884</v>
      </c>
      <c r="Q7472">
        <v>6921</v>
      </c>
      <c r="R7472">
        <v>2009</v>
      </c>
      <c r="S7472">
        <v>6</v>
      </c>
    </row>
    <row r="7473" spans="11:19" x14ac:dyDescent="0.3">
      <c r="K7473" s="16">
        <f t="shared" si="116"/>
        <v>44327</v>
      </c>
      <c r="L7473" s="17">
        <v>0.29166666666666669</v>
      </c>
      <c r="M7473" s="14">
        <v>884</v>
      </c>
      <c r="N7473" s="14">
        <v>0</v>
      </c>
      <c r="O7473" s="14">
        <v>-695</v>
      </c>
      <c r="P7473" s="14">
        <v>189</v>
      </c>
      <c r="Q7473">
        <v>7130</v>
      </c>
      <c r="R7473">
        <v>2278</v>
      </c>
      <c r="S7473">
        <v>141</v>
      </c>
    </row>
    <row r="7474" spans="11:19" x14ac:dyDescent="0.3">
      <c r="K7474" s="16">
        <f t="shared" si="116"/>
        <v>44327</v>
      </c>
      <c r="L7474" s="17">
        <v>0.33333333333333331</v>
      </c>
      <c r="M7474" s="14">
        <v>884</v>
      </c>
      <c r="N7474" s="14">
        <v>0</v>
      </c>
      <c r="O7474" s="14">
        <v>0</v>
      </c>
      <c r="P7474" s="14">
        <v>884</v>
      </c>
      <c r="Q7474">
        <v>7578</v>
      </c>
      <c r="R7474">
        <v>2528</v>
      </c>
      <c r="S7474">
        <v>521</v>
      </c>
    </row>
    <row r="7475" spans="11:19" x14ac:dyDescent="0.3">
      <c r="K7475" s="16">
        <f t="shared" si="116"/>
        <v>44327</v>
      </c>
      <c r="L7475" s="17">
        <v>0.375</v>
      </c>
      <c r="M7475" s="14">
        <v>884</v>
      </c>
      <c r="N7475" s="14">
        <v>0</v>
      </c>
      <c r="O7475" s="14">
        <v>0</v>
      </c>
      <c r="P7475" s="14">
        <v>884</v>
      </c>
      <c r="Q7475">
        <v>8031</v>
      </c>
      <c r="R7475">
        <v>2500</v>
      </c>
      <c r="S7475">
        <v>951</v>
      </c>
    </row>
    <row r="7476" spans="11:19" x14ac:dyDescent="0.3">
      <c r="K7476" s="16">
        <f t="shared" si="116"/>
        <v>44327</v>
      </c>
      <c r="L7476" s="17">
        <v>0.41666666666666669</v>
      </c>
      <c r="M7476" s="14">
        <v>884</v>
      </c>
      <c r="N7476" s="14">
        <v>0</v>
      </c>
      <c r="O7476" s="14">
        <v>-397</v>
      </c>
      <c r="P7476" s="14">
        <v>487</v>
      </c>
      <c r="Q7476">
        <v>8334</v>
      </c>
      <c r="R7476">
        <v>2526</v>
      </c>
      <c r="S7476">
        <v>1296</v>
      </c>
    </row>
    <row r="7477" spans="11:19" x14ac:dyDescent="0.3">
      <c r="K7477" s="16">
        <f t="shared" si="116"/>
        <v>44327</v>
      </c>
      <c r="L7477" s="17">
        <v>0.45833333333333331</v>
      </c>
      <c r="M7477" s="14">
        <v>884</v>
      </c>
      <c r="N7477" s="14">
        <v>0</v>
      </c>
      <c r="O7477" s="14">
        <v>0</v>
      </c>
      <c r="P7477" s="14">
        <v>884</v>
      </c>
      <c r="Q7477">
        <v>8569</v>
      </c>
      <c r="R7477">
        <v>2681</v>
      </c>
      <c r="S7477">
        <v>1542</v>
      </c>
    </row>
    <row r="7478" spans="11:19" x14ac:dyDescent="0.3">
      <c r="K7478" s="16">
        <f t="shared" si="116"/>
        <v>44327</v>
      </c>
      <c r="L7478" s="17">
        <v>0.5</v>
      </c>
      <c r="M7478" s="14">
        <v>884</v>
      </c>
      <c r="N7478" s="14">
        <v>0</v>
      </c>
      <c r="O7478" s="14">
        <v>0</v>
      </c>
      <c r="P7478" s="14">
        <v>884</v>
      </c>
      <c r="Q7478">
        <v>8943</v>
      </c>
      <c r="R7478">
        <v>2644</v>
      </c>
      <c r="S7478">
        <v>1664</v>
      </c>
    </row>
    <row r="7479" spans="11:19" x14ac:dyDescent="0.3">
      <c r="K7479" s="16">
        <f t="shared" si="116"/>
        <v>44327</v>
      </c>
      <c r="L7479" s="17">
        <v>0.54166666666666663</v>
      </c>
      <c r="M7479" s="14">
        <v>884</v>
      </c>
      <c r="N7479" s="14">
        <v>0</v>
      </c>
      <c r="O7479" s="14">
        <v>-116</v>
      </c>
      <c r="P7479" s="14">
        <v>768</v>
      </c>
      <c r="Q7479">
        <v>8525</v>
      </c>
      <c r="R7479">
        <v>2633</v>
      </c>
      <c r="S7479">
        <v>1749</v>
      </c>
    </row>
    <row r="7480" spans="11:19" x14ac:dyDescent="0.3">
      <c r="K7480" s="16">
        <f t="shared" si="116"/>
        <v>44327</v>
      </c>
      <c r="L7480" s="17">
        <v>0.58333333333333337</v>
      </c>
      <c r="M7480" s="14">
        <v>884</v>
      </c>
      <c r="N7480" s="14">
        <v>0</v>
      </c>
      <c r="O7480" s="14">
        <v>-725</v>
      </c>
      <c r="P7480" s="14">
        <v>159</v>
      </c>
      <c r="Q7480">
        <v>8120</v>
      </c>
      <c r="R7480">
        <v>2726</v>
      </c>
      <c r="S7480">
        <v>1859</v>
      </c>
    </row>
    <row r="7481" spans="11:19" x14ac:dyDescent="0.3">
      <c r="K7481" s="16">
        <f t="shared" si="116"/>
        <v>44327</v>
      </c>
      <c r="L7481" s="17">
        <v>0.625</v>
      </c>
      <c r="M7481" s="14">
        <v>884</v>
      </c>
      <c r="N7481" s="14">
        <v>0</v>
      </c>
      <c r="O7481" s="14">
        <v>-909</v>
      </c>
      <c r="P7481" s="14">
        <v>-25</v>
      </c>
      <c r="Q7481">
        <v>7748</v>
      </c>
      <c r="R7481">
        <v>2583</v>
      </c>
      <c r="S7481">
        <v>1814</v>
      </c>
    </row>
    <row r="7482" spans="11:19" x14ac:dyDescent="0.3">
      <c r="K7482" s="16">
        <f t="shared" si="116"/>
        <v>44327</v>
      </c>
      <c r="L7482" s="17">
        <v>0.66666666666666663</v>
      </c>
      <c r="M7482" s="14">
        <v>884</v>
      </c>
      <c r="N7482" s="14">
        <v>0</v>
      </c>
      <c r="O7482" s="14">
        <v>-798</v>
      </c>
      <c r="P7482" s="14">
        <v>86</v>
      </c>
      <c r="Q7482">
        <v>7577</v>
      </c>
      <c r="R7482">
        <v>2451</v>
      </c>
      <c r="S7482">
        <v>1666</v>
      </c>
    </row>
    <row r="7483" spans="11:19" x14ac:dyDescent="0.3">
      <c r="K7483" s="16">
        <f t="shared" si="116"/>
        <v>44327</v>
      </c>
      <c r="L7483" s="17">
        <v>0.70833333333333337</v>
      </c>
      <c r="M7483" s="14">
        <v>884</v>
      </c>
      <c r="N7483" s="14">
        <v>0</v>
      </c>
      <c r="O7483" s="14">
        <v>-313</v>
      </c>
      <c r="P7483" s="14">
        <v>571</v>
      </c>
      <c r="Q7483">
        <v>7641</v>
      </c>
      <c r="R7483">
        <v>2390</v>
      </c>
      <c r="S7483">
        <v>1306</v>
      </c>
    </row>
    <row r="7484" spans="11:19" x14ac:dyDescent="0.3">
      <c r="K7484" s="16">
        <f t="shared" si="116"/>
        <v>44327</v>
      </c>
      <c r="L7484" s="17">
        <v>0.75</v>
      </c>
      <c r="M7484" s="14">
        <v>884</v>
      </c>
      <c r="N7484" s="14">
        <v>0</v>
      </c>
      <c r="O7484" s="14">
        <v>0</v>
      </c>
      <c r="P7484" s="14">
        <v>884</v>
      </c>
      <c r="Q7484">
        <v>8067</v>
      </c>
      <c r="R7484">
        <v>1956</v>
      </c>
      <c r="S7484">
        <v>808</v>
      </c>
    </row>
    <row r="7485" spans="11:19" x14ac:dyDescent="0.3">
      <c r="K7485" s="16">
        <f t="shared" si="116"/>
        <v>44327</v>
      </c>
      <c r="L7485" s="17">
        <v>0.79166666666666663</v>
      </c>
      <c r="M7485" s="14">
        <v>884</v>
      </c>
      <c r="N7485" s="14">
        <v>0</v>
      </c>
      <c r="O7485" s="14">
        <v>319</v>
      </c>
      <c r="P7485" s="14">
        <v>1203</v>
      </c>
      <c r="Q7485">
        <v>8303</v>
      </c>
      <c r="R7485">
        <v>1637</v>
      </c>
      <c r="S7485">
        <v>355</v>
      </c>
    </row>
    <row r="7486" spans="11:19" x14ac:dyDescent="0.3">
      <c r="K7486" s="16">
        <f t="shared" si="116"/>
        <v>44327</v>
      </c>
      <c r="L7486" s="17">
        <v>0.83333333333333337</v>
      </c>
      <c r="M7486" s="14">
        <v>884</v>
      </c>
      <c r="N7486" s="14">
        <v>0</v>
      </c>
      <c r="O7486" s="14">
        <v>493</v>
      </c>
      <c r="P7486" s="14">
        <v>1377</v>
      </c>
      <c r="Q7486">
        <v>8115</v>
      </c>
      <c r="R7486">
        <v>1573</v>
      </c>
      <c r="S7486">
        <v>69</v>
      </c>
    </row>
    <row r="7487" spans="11:19" x14ac:dyDescent="0.3">
      <c r="K7487" s="16">
        <f t="shared" si="116"/>
        <v>44327</v>
      </c>
      <c r="L7487" s="17">
        <v>0.875</v>
      </c>
      <c r="M7487" s="14">
        <v>884</v>
      </c>
      <c r="N7487" s="14">
        <v>0</v>
      </c>
      <c r="O7487" s="14">
        <v>625</v>
      </c>
      <c r="P7487" s="14">
        <v>1509</v>
      </c>
      <c r="Q7487">
        <v>8129</v>
      </c>
      <c r="R7487">
        <v>1528</v>
      </c>
      <c r="S7487">
        <v>3</v>
      </c>
    </row>
    <row r="7488" spans="11:19" x14ac:dyDescent="0.3">
      <c r="K7488" s="16">
        <f t="shared" si="116"/>
        <v>44327</v>
      </c>
      <c r="L7488" s="17">
        <v>0.91666666666666663</v>
      </c>
      <c r="M7488" s="14">
        <v>884</v>
      </c>
      <c r="N7488" s="14">
        <v>0</v>
      </c>
      <c r="O7488" s="14">
        <v>1081</v>
      </c>
      <c r="P7488" s="14">
        <v>1965</v>
      </c>
      <c r="Q7488">
        <v>8496</v>
      </c>
      <c r="R7488">
        <v>1449</v>
      </c>
      <c r="S7488">
        <v>0</v>
      </c>
    </row>
    <row r="7489" spans="11:19" x14ac:dyDescent="0.3">
      <c r="K7489" s="16">
        <f t="shared" si="116"/>
        <v>44327</v>
      </c>
      <c r="L7489" s="17">
        <v>0.95833333333333337</v>
      </c>
      <c r="M7489" s="14">
        <v>884</v>
      </c>
      <c r="N7489" s="14">
        <v>321</v>
      </c>
      <c r="O7489" s="14">
        <v>1200</v>
      </c>
      <c r="P7489" s="14">
        <v>2405</v>
      </c>
      <c r="Q7489">
        <v>8731</v>
      </c>
      <c r="R7489">
        <v>1262</v>
      </c>
      <c r="S7489">
        <v>0</v>
      </c>
    </row>
    <row r="7490" spans="11:19" x14ac:dyDescent="0.3">
      <c r="K7490" s="16">
        <f t="shared" si="116"/>
        <v>44328</v>
      </c>
      <c r="L7490" s="17">
        <v>0</v>
      </c>
      <c r="M7490" s="14">
        <v>884</v>
      </c>
      <c r="N7490" s="14">
        <v>1041</v>
      </c>
      <c r="O7490" s="14">
        <v>0</v>
      </c>
      <c r="P7490" s="14">
        <v>1925</v>
      </c>
      <c r="Q7490">
        <v>8216</v>
      </c>
      <c r="R7490">
        <v>1229</v>
      </c>
      <c r="S7490">
        <v>0</v>
      </c>
    </row>
    <row r="7491" spans="11:19" x14ac:dyDescent="0.3">
      <c r="K7491" s="16">
        <f t="shared" si="116"/>
        <v>44328</v>
      </c>
      <c r="L7491" s="17">
        <v>4.1666666666666664E-2</v>
      </c>
      <c r="M7491" s="14">
        <v>884</v>
      </c>
      <c r="N7491" s="14">
        <v>768</v>
      </c>
      <c r="O7491" s="14">
        <v>0</v>
      </c>
      <c r="P7491" s="14">
        <v>1652</v>
      </c>
      <c r="Q7491">
        <v>7882</v>
      </c>
      <c r="R7491">
        <v>1172</v>
      </c>
      <c r="S7491">
        <v>0</v>
      </c>
    </row>
    <row r="7492" spans="11:19" x14ac:dyDescent="0.3">
      <c r="K7492" s="16">
        <f t="shared" si="116"/>
        <v>44328</v>
      </c>
      <c r="L7492" s="17">
        <v>8.3333333333333329E-2</v>
      </c>
      <c r="M7492" s="14">
        <v>884</v>
      </c>
      <c r="N7492" s="14">
        <v>600</v>
      </c>
      <c r="O7492" s="14">
        <v>0</v>
      </c>
      <c r="P7492" s="14">
        <v>1484</v>
      </c>
      <c r="Q7492">
        <v>7595</v>
      </c>
      <c r="R7492">
        <v>1053</v>
      </c>
      <c r="S7492">
        <v>0</v>
      </c>
    </row>
    <row r="7493" spans="11:19" x14ac:dyDescent="0.3">
      <c r="K7493" s="16">
        <f t="shared" si="116"/>
        <v>44328</v>
      </c>
      <c r="L7493" s="17">
        <v>0.125</v>
      </c>
      <c r="M7493" s="14">
        <v>884</v>
      </c>
      <c r="N7493" s="14">
        <v>278</v>
      </c>
      <c r="O7493" s="14">
        <v>0</v>
      </c>
      <c r="P7493" s="14">
        <v>1162</v>
      </c>
      <c r="Q7493">
        <v>7226</v>
      </c>
      <c r="R7493">
        <v>1004</v>
      </c>
      <c r="S7493">
        <v>0</v>
      </c>
    </row>
    <row r="7494" spans="11:19" x14ac:dyDescent="0.3">
      <c r="K7494" s="16">
        <f t="shared" si="116"/>
        <v>44328</v>
      </c>
      <c r="L7494" s="17">
        <v>0.16666666666666666</v>
      </c>
      <c r="M7494" s="14">
        <v>884</v>
      </c>
      <c r="N7494" s="14">
        <v>108</v>
      </c>
      <c r="O7494" s="14">
        <v>0</v>
      </c>
      <c r="P7494" s="14">
        <v>992</v>
      </c>
      <c r="Q7494">
        <v>7212</v>
      </c>
      <c r="R7494">
        <v>996</v>
      </c>
      <c r="S7494">
        <v>0</v>
      </c>
    </row>
    <row r="7495" spans="11:19" x14ac:dyDescent="0.3">
      <c r="K7495" s="16">
        <f t="shared" si="116"/>
        <v>44328</v>
      </c>
      <c r="L7495" s="17">
        <v>0.20833333333333334</v>
      </c>
      <c r="M7495" s="14">
        <v>884</v>
      </c>
      <c r="N7495" s="14">
        <v>602</v>
      </c>
      <c r="O7495" s="14">
        <v>12</v>
      </c>
      <c r="P7495" s="14">
        <v>1498</v>
      </c>
      <c r="Q7495">
        <v>7754</v>
      </c>
      <c r="R7495">
        <v>906</v>
      </c>
      <c r="S7495">
        <v>0</v>
      </c>
    </row>
    <row r="7496" spans="11:19" x14ac:dyDescent="0.3">
      <c r="K7496" s="16">
        <f t="shared" si="116"/>
        <v>44328</v>
      </c>
      <c r="L7496" s="17">
        <v>0.25</v>
      </c>
      <c r="M7496" s="14">
        <v>884</v>
      </c>
      <c r="N7496" s="14">
        <v>1602</v>
      </c>
      <c r="O7496" s="14">
        <v>0</v>
      </c>
      <c r="P7496" s="14">
        <v>2486</v>
      </c>
      <c r="Q7496">
        <v>8688</v>
      </c>
      <c r="R7496">
        <v>916</v>
      </c>
      <c r="S7496">
        <v>8</v>
      </c>
    </row>
    <row r="7497" spans="11:19" x14ac:dyDescent="0.3">
      <c r="K7497" s="16">
        <f t="shared" si="116"/>
        <v>44328</v>
      </c>
      <c r="L7497" s="17">
        <v>0.29166666666666669</v>
      </c>
      <c r="M7497" s="14">
        <v>884</v>
      </c>
      <c r="N7497" s="14">
        <v>1931</v>
      </c>
      <c r="O7497" s="14">
        <v>0</v>
      </c>
      <c r="P7497" s="14">
        <v>2815</v>
      </c>
      <c r="Q7497">
        <v>9555</v>
      </c>
      <c r="R7497">
        <v>835</v>
      </c>
      <c r="S7497">
        <v>133</v>
      </c>
    </row>
    <row r="7498" spans="11:19" x14ac:dyDescent="0.3">
      <c r="K7498" s="16">
        <f t="shared" si="116"/>
        <v>44328</v>
      </c>
      <c r="L7498" s="17">
        <v>0.33333333333333331</v>
      </c>
      <c r="M7498" s="14">
        <v>884</v>
      </c>
      <c r="N7498" s="14">
        <v>1931</v>
      </c>
      <c r="O7498" s="14">
        <v>487</v>
      </c>
      <c r="P7498" s="14">
        <v>3302</v>
      </c>
      <c r="Q7498">
        <v>10072</v>
      </c>
      <c r="R7498">
        <v>955</v>
      </c>
      <c r="S7498">
        <v>518</v>
      </c>
    </row>
    <row r="7499" spans="11:19" x14ac:dyDescent="0.3">
      <c r="K7499" s="16">
        <f t="shared" si="116"/>
        <v>44328</v>
      </c>
      <c r="L7499" s="17">
        <v>0.375</v>
      </c>
      <c r="M7499" s="14">
        <v>884</v>
      </c>
      <c r="N7499" s="14">
        <v>1931</v>
      </c>
      <c r="O7499" s="14">
        <v>264</v>
      </c>
      <c r="P7499" s="14">
        <v>3079</v>
      </c>
      <c r="Q7499">
        <v>10336</v>
      </c>
      <c r="R7499">
        <v>1136</v>
      </c>
      <c r="S7499">
        <v>908</v>
      </c>
    </row>
    <row r="7500" spans="11:19" x14ac:dyDescent="0.3">
      <c r="K7500" s="16">
        <f t="shared" si="116"/>
        <v>44328</v>
      </c>
      <c r="L7500" s="17">
        <v>0.41666666666666669</v>
      </c>
      <c r="M7500" s="14">
        <v>884</v>
      </c>
      <c r="N7500" s="14">
        <v>1818</v>
      </c>
      <c r="O7500" s="14">
        <v>0</v>
      </c>
      <c r="P7500" s="14">
        <v>2702</v>
      </c>
      <c r="Q7500">
        <v>10450</v>
      </c>
      <c r="R7500">
        <v>1229</v>
      </c>
      <c r="S7500">
        <v>1305</v>
      </c>
    </row>
    <row r="7501" spans="11:19" x14ac:dyDescent="0.3">
      <c r="K7501" s="16">
        <f t="shared" si="116"/>
        <v>44328</v>
      </c>
      <c r="L7501" s="17">
        <v>0.45833333333333331</v>
      </c>
      <c r="M7501" s="14">
        <v>884</v>
      </c>
      <c r="N7501" s="14">
        <v>1651</v>
      </c>
      <c r="O7501" s="14">
        <v>0</v>
      </c>
      <c r="P7501" s="14">
        <v>2535</v>
      </c>
      <c r="Q7501">
        <v>10561</v>
      </c>
      <c r="R7501">
        <v>1289</v>
      </c>
      <c r="S7501">
        <v>1524</v>
      </c>
    </row>
    <row r="7502" spans="11:19" x14ac:dyDescent="0.3">
      <c r="K7502" s="16">
        <f t="shared" si="116"/>
        <v>44328</v>
      </c>
      <c r="L7502" s="17">
        <v>0.5</v>
      </c>
      <c r="M7502" s="14">
        <v>884</v>
      </c>
      <c r="N7502" s="14">
        <v>1545</v>
      </c>
      <c r="O7502" s="14">
        <v>0</v>
      </c>
      <c r="P7502" s="14">
        <v>2429</v>
      </c>
      <c r="Q7502">
        <v>10648</v>
      </c>
      <c r="R7502">
        <v>1391</v>
      </c>
      <c r="S7502">
        <v>1621</v>
      </c>
    </row>
    <row r="7503" spans="11:19" x14ac:dyDescent="0.3">
      <c r="K7503" s="16">
        <f t="shared" si="116"/>
        <v>44328</v>
      </c>
      <c r="L7503" s="17">
        <v>0.54166666666666663</v>
      </c>
      <c r="M7503" s="14">
        <v>884</v>
      </c>
      <c r="N7503" s="14">
        <v>1139</v>
      </c>
      <c r="O7503" s="14">
        <v>0</v>
      </c>
      <c r="P7503" s="14">
        <v>2023</v>
      </c>
      <c r="Q7503">
        <v>10519</v>
      </c>
      <c r="R7503">
        <v>1595</v>
      </c>
      <c r="S7503">
        <v>1698</v>
      </c>
    </row>
    <row r="7504" spans="11:19" x14ac:dyDescent="0.3">
      <c r="K7504" s="16">
        <f t="shared" si="116"/>
        <v>44328</v>
      </c>
      <c r="L7504" s="17">
        <v>0.58333333333333337</v>
      </c>
      <c r="M7504" s="14">
        <v>884</v>
      </c>
      <c r="N7504" s="14">
        <v>609</v>
      </c>
      <c r="O7504" s="14">
        <v>0</v>
      </c>
      <c r="P7504" s="14">
        <v>1493</v>
      </c>
      <c r="Q7504">
        <v>10288</v>
      </c>
      <c r="R7504">
        <v>1946</v>
      </c>
      <c r="S7504">
        <v>1725</v>
      </c>
    </row>
    <row r="7505" spans="11:19" x14ac:dyDescent="0.3">
      <c r="K7505" s="16">
        <f t="shared" si="116"/>
        <v>44328</v>
      </c>
      <c r="L7505" s="17">
        <v>0.625</v>
      </c>
      <c r="M7505" s="14">
        <v>884</v>
      </c>
      <c r="N7505" s="14">
        <v>0</v>
      </c>
      <c r="O7505" s="14">
        <v>-99</v>
      </c>
      <c r="P7505" s="14">
        <v>785</v>
      </c>
      <c r="Q7505">
        <v>9931</v>
      </c>
      <c r="R7505">
        <v>2350</v>
      </c>
      <c r="S7505">
        <v>1672</v>
      </c>
    </row>
    <row r="7506" spans="11:19" x14ac:dyDescent="0.3">
      <c r="K7506" s="16">
        <f t="shared" si="116"/>
        <v>44328</v>
      </c>
      <c r="L7506" s="17">
        <v>0.66666666666666663</v>
      </c>
      <c r="M7506" s="14">
        <v>884</v>
      </c>
      <c r="N7506" s="14">
        <v>0</v>
      </c>
      <c r="O7506" s="14">
        <v>-510</v>
      </c>
      <c r="P7506" s="14">
        <v>374</v>
      </c>
      <c r="Q7506">
        <v>9716</v>
      </c>
      <c r="R7506">
        <v>2677</v>
      </c>
      <c r="S7506">
        <v>1543</v>
      </c>
    </row>
    <row r="7507" spans="11:19" x14ac:dyDescent="0.3">
      <c r="K7507" s="16">
        <f t="shared" si="116"/>
        <v>44328</v>
      </c>
      <c r="L7507" s="17">
        <v>0.70833333333333337</v>
      </c>
      <c r="M7507" s="14">
        <v>884</v>
      </c>
      <c r="N7507" s="14">
        <v>0</v>
      </c>
      <c r="O7507" s="14">
        <v>-344</v>
      </c>
      <c r="P7507" s="14">
        <v>540</v>
      </c>
      <c r="Q7507">
        <v>9692</v>
      </c>
      <c r="R7507">
        <v>2835</v>
      </c>
      <c r="S7507">
        <v>1195</v>
      </c>
    </row>
    <row r="7508" spans="11:19" x14ac:dyDescent="0.3">
      <c r="K7508" s="16">
        <f t="shared" si="116"/>
        <v>44328</v>
      </c>
      <c r="L7508" s="17">
        <v>0.75</v>
      </c>
      <c r="M7508" s="14">
        <v>884</v>
      </c>
      <c r="N7508" s="14">
        <v>405</v>
      </c>
      <c r="O7508" s="14">
        <v>0</v>
      </c>
      <c r="P7508" s="14">
        <v>1289</v>
      </c>
      <c r="Q7508">
        <v>10079</v>
      </c>
      <c r="R7508">
        <v>2953</v>
      </c>
      <c r="S7508">
        <v>718</v>
      </c>
    </row>
    <row r="7509" spans="11:19" x14ac:dyDescent="0.3">
      <c r="K7509" s="16">
        <f t="shared" si="116"/>
        <v>44328</v>
      </c>
      <c r="L7509" s="17">
        <v>0.79166666666666663</v>
      </c>
      <c r="M7509" s="14">
        <v>884</v>
      </c>
      <c r="N7509" s="14">
        <v>1010</v>
      </c>
      <c r="O7509" s="14">
        <v>0</v>
      </c>
      <c r="P7509" s="14">
        <v>1894</v>
      </c>
      <c r="Q7509">
        <v>10186</v>
      </c>
      <c r="R7509">
        <v>2857</v>
      </c>
      <c r="S7509">
        <v>328</v>
      </c>
    </row>
    <row r="7510" spans="11:19" x14ac:dyDescent="0.3">
      <c r="K7510" s="16">
        <f t="shared" si="116"/>
        <v>44328</v>
      </c>
      <c r="L7510" s="17">
        <v>0.83333333333333337</v>
      </c>
      <c r="M7510" s="14">
        <v>884</v>
      </c>
      <c r="N7510" s="14">
        <v>813</v>
      </c>
      <c r="O7510" s="14">
        <v>0</v>
      </c>
      <c r="P7510" s="14">
        <v>1697</v>
      </c>
      <c r="Q7510">
        <v>9634</v>
      </c>
      <c r="R7510">
        <v>2800</v>
      </c>
      <c r="S7510">
        <v>42</v>
      </c>
    </row>
    <row r="7511" spans="11:19" x14ac:dyDescent="0.3">
      <c r="K7511" s="16">
        <f t="shared" si="116"/>
        <v>44328</v>
      </c>
      <c r="L7511" s="17">
        <v>0.875</v>
      </c>
      <c r="M7511" s="14">
        <v>884</v>
      </c>
      <c r="N7511" s="14">
        <v>689</v>
      </c>
      <c r="O7511" s="14">
        <v>0</v>
      </c>
      <c r="P7511" s="14">
        <v>1573</v>
      </c>
      <c r="Q7511">
        <v>9366</v>
      </c>
      <c r="R7511">
        <v>2703</v>
      </c>
      <c r="S7511">
        <v>2</v>
      </c>
    </row>
    <row r="7512" spans="11:19" x14ac:dyDescent="0.3">
      <c r="K7512" s="16">
        <f t="shared" si="116"/>
        <v>44328</v>
      </c>
      <c r="L7512" s="17">
        <v>0.91666666666666663</v>
      </c>
      <c r="M7512" s="14">
        <v>884</v>
      </c>
      <c r="N7512" s="14">
        <v>959</v>
      </c>
      <c r="O7512" s="14">
        <v>0</v>
      </c>
      <c r="P7512" s="14">
        <v>1843</v>
      </c>
      <c r="Q7512">
        <v>9528</v>
      </c>
      <c r="R7512">
        <v>2603</v>
      </c>
      <c r="S7512">
        <v>0</v>
      </c>
    </row>
    <row r="7513" spans="11:19" x14ac:dyDescent="0.3">
      <c r="K7513" s="16">
        <f t="shared" si="116"/>
        <v>44328</v>
      </c>
      <c r="L7513" s="17">
        <v>0.95833333333333337</v>
      </c>
      <c r="M7513" s="14">
        <v>884</v>
      </c>
      <c r="N7513" s="14">
        <v>1200</v>
      </c>
      <c r="O7513" s="14">
        <v>0</v>
      </c>
      <c r="P7513" s="14">
        <v>2084</v>
      </c>
      <c r="Q7513">
        <v>9643</v>
      </c>
      <c r="R7513">
        <v>2496</v>
      </c>
      <c r="S7513">
        <v>0</v>
      </c>
    </row>
    <row r="7514" spans="11:19" x14ac:dyDescent="0.3">
      <c r="K7514" s="16">
        <f t="shared" si="116"/>
        <v>44329</v>
      </c>
      <c r="L7514" s="17">
        <v>0</v>
      </c>
      <c r="M7514" s="14">
        <v>884</v>
      </c>
      <c r="N7514" s="14">
        <v>0</v>
      </c>
      <c r="O7514" s="14">
        <v>36</v>
      </c>
      <c r="P7514" s="14">
        <v>920</v>
      </c>
      <c r="Q7514">
        <v>8703</v>
      </c>
      <c r="R7514">
        <v>2726</v>
      </c>
      <c r="S7514">
        <v>0</v>
      </c>
    </row>
    <row r="7515" spans="11:19" x14ac:dyDescent="0.3">
      <c r="K7515" s="16">
        <f t="shared" ref="K7515:K7578" si="117">K7491+1</f>
        <v>44329</v>
      </c>
      <c r="L7515" s="17">
        <v>4.1666666666666664E-2</v>
      </c>
      <c r="M7515" s="14">
        <v>884</v>
      </c>
      <c r="N7515" s="14">
        <v>0</v>
      </c>
      <c r="O7515" s="14">
        <v>-148</v>
      </c>
      <c r="P7515" s="14">
        <v>736</v>
      </c>
      <c r="Q7515">
        <v>8272</v>
      </c>
      <c r="R7515">
        <v>2477</v>
      </c>
      <c r="S7515">
        <v>0</v>
      </c>
    </row>
    <row r="7516" spans="11:19" x14ac:dyDescent="0.3">
      <c r="K7516" s="16">
        <f t="shared" si="117"/>
        <v>44329</v>
      </c>
      <c r="L7516" s="17">
        <v>8.3333333333333329E-2</v>
      </c>
      <c r="M7516" s="14">
        <v>884</v>
      </c>
      <c r="N7516" s="14">
        <v>0</v>
      </c>
      <c r="O7516" s="14">
        <v>-314</v>
      </c>
      <c r="P7516" s="14">
        <v>570</v>
      </c>
      <c r="Q7516">
        <v>7885</v>
      </c>
      <c r="R7516">
        <v>2416</v>
      </c>
      <c r="S7516">
        <v>0</v>
      </c>
    </row>
    <row r="7517" spans="11:19" x14ac:dyDescent="0.3">
      <c r="K7517" s="16">
        <f t="shared" si="117"/>
        <v>44329</v>
      </c>
      <c r="L7517" s="17">
        <v>0.125</v>
      </c>
      <c r="M7517" s="14">
        <v>884</v>
      </c>
      <c r="N7517" s="14">
        <v>0</v>
      </c>
      <c r="O7517" s="14">
        <v>-325</v>
      </c>
      <c r="P7517" s="14">
        <v>559</v>
      </c>
      <c r="Q7517">
        <v>7394</v>
      </c>
      <c r="R7517">
        <v>2397</v>
      </c>
      <c r="S7517">
        <v>0</v>
      </c>
    </row>
    <row r="7518" spans="11:19" x14ac:dyDescent="0.3">
      <c r="K7518" s="16">
        <f t="shared" si="117"/>
        <v>44329</v>
      </c>
      <c r="L7518" s="17">
        <v>0.16666666666666666</v>
      </c>
      <c r="M7518" s="14">
        <v>884</v>
      </c>
      <c r="N7518" s="14">
        <v>0</v>
      </c>
      <c r="O7518" s="14">
        <v>-775</v>
      </c>
      <c r="P7518" s="14">
        <v>109</v>
      </c>
      <c r="Q7518">
        <v>7151</v>
      </c>
      <c r="R7518">
        <v>2598</v>
      </c>
      <c r="S7518">
        <v>0</v>
      </c>
    </row>
    <row r="7519" spans="11:19" x14ac:dyDescent="0.3">
      <c r="K7519" s="16">
        <f t="shared" si="117"/>
        <v>44329</v>
      </c>
      <c r="L7519" s="17">
        <v>0.20833333333333334</v>
      </c>
      <c r="M7519" s="14">
        <v>884</v>
      </c>
      <c r="N7519" s="14">
        <v>0</v>
      </c>
      <c r="O7519" s="14">
        <v>-623</v>
      </c>
      <c r="P7519" s="14">
        <v>261</v>
      </c>
      <c r="Q7519">
        <v>7178</v>
      </c>
      <c r="R7519">
        <v>2466</v>
      </c>
      <c r="S7519">
        <v>0</v>
      </c>
    </row>
    <row r="7520" spans="11:19" x14ac:dyDescent="0.3">
      <c r="K7520" s="16">
        <f t="shared" si="117"/>
        <v>44329</v>
      </c>
      <c r="L7520" s="17">
        <v>0.25</v>
      </c>
      <c r="M7520" s="14">
        <v>884</v>
      </c>
      <c r="N7520" s="14">
        <v>0</v>
      </c>
      <c r="O7520" s="14">
        <v>-652</v>
      </c>
      <c r="P7520" s="14">
        <v>232</v>
      </c>
      <c r="Q7520">
        <v>7227</v>
      </c>
      <c r="R7520">
        <v>2497</v>
      </c>
      <c r="S7520">
        <v>16</v>
      </c>
    </row>
    <row r="7521" spans="11:19" x14ac:dyDescent="0.3">
      <c r="K7521" s="16">
        <f t="shared" si="117"/>
        <v>44329</v>
      </c>
      <c r="L7521" s="17">
        <v>0.29166666666666669</v>
      </c>
      <c r="M7521" s="14">
        <v>884</v>
      </c>
      <c r="N7521" s="14">
        <v>0</v>
      </c>
      <c r="O7521" s="14">
        <v>-649</v>
      </c>
      <c r="P7521" s="14">
        <v>235</v>
      </c>
      <c r="Q7521">
        <v>7489</v>
      </c>
      <c r="R7521">
        <v>2591</v>
      </c>
      <c r="S7521">
        <v>160</v>
      </c>
    </row>
    <row r="7522" spans="11:19" x14ac:dyDescent="0.3">
      <c r="K7522" s="16">
        <f t="shared" si="117"/>
        <v>44329</v>
      </c>
      <c r="L7522" s="17">
        <v>0.33333333333333331</v>
      </c>
      <c r="M7522" s="14">
        <v>884</v>
      </c>
      <c r="N7522" s="14">
        <v>0</v>
      </c>
      <c r="O7522" s="14">
        <v>-340</v>
      </c>
      <c r="P7522" s="14">
        <v>544</v>
      </c>
      <c r="Q7522">
        <v>8031</v>
      </c>
      <c r="R7522">
        <v>2453</v>
      </c>
      <c r="S7522">
        <v>527</v>
      </c>
    </row>
    <row r="7523" spans="11:19" x14ac:dyDescent="0.3">
      <c r="K7523" s="16">
        <f t="shared" si="117"/>
        <v>44329</v>
      </c>
      <c r="L7523" s="17">
        <v>0.375</v>
      </c>
      <c r="M7523" s="14">
        <v>884</v>
      </c>
      <c r="N7523" s="14">
        <v>0</v>
      </c>
      <c r="O7523" s="14">
        <v>-235</v>
      </c>
      <c r="P7523" s="14">
        <v>649</v>
      </c>
      <c r="Q7523">
        <v>8614</v>
      </c>
      <c r="R7523">
        <v>2511</v>
      </c>
      <c r="S7523">
        <v>948</v>
      </c>
    </row>
    <row r="7524" spans="11:19" x14ac:dyDescent="0.3">
      <c r="K7524" s="16">
        <f t="shared" si="117"/>
        <v>44329</v>
      </c>
      <c r="L7524" s="17">
        <v>0.41666666666666669</v>
      </c>
      <c r="M7524" s="14">
        <v>884</v>
      </c>
      <c r="N7524" s="14">
        <v>0</v>
      </c>
      <c r="O7524" s="14">
        <v>-23</v>
      </c>
      <c r="P7524" s="14">
        <v>861</v>
      </c>
      <c r="Q7524">
        <v>9012</v>
      </c>
      <c r="R7524">
        <v>2401</v>
      </c>
      <c r="S7524">
        <v>1247</v>
      </c>
    </row>
    <row r="7525" spans="11:19" x14ac:dyDescent="0.3">
      <c r="K7525" s="16">
        <f t="shared" si="117"/>
        <v>44329</v>
      </c>
      <c r="L7525" s="17">
        <v>0.45833333333333331</v>
      </c>
      <c r="M7525" s="14">
        <v>884</v>
      </c>
      <c r="N7525" s="14">
        <v>0</v>
      </c>
      <c r="O7525" s="14">
        <v>0</v>
      </c>
      <c r="P7525" s="14">
        <v>884</v>
      </c>
      <c r="Q7525">
        <v>9319</v>
      </c>
      <c r="R7525">
        <v>1971</v>
      </c>
      <c r="S7525">
        <v>1477</v>
      </c>
    </row>
    <row r="7526" spans="11:19" x14ac:dyDescent="0.3">
      <c r="K7526" s="16">
        <f t="shared" si="117"/>
        <v>44329</v>
      </c>
      <c r="L7526" s="17">
        <v>0.5</v>
      </c>
      <c r="M7526" s="14">
        <v>884</v>
      </c>
      <c r="N7526" s="14">
        <v>0</v>
      </c>
      <c r="O7526" s="14">
        <v>172</v>
      </c>
      <c r="P7526" s="14">
        <v>1056</v>
      </c>
      <c r="Q7526">
        <v>9774</v>
      </c>
      <c r="R7526">
        <v>1976</v>
      </c>
      <c r="S7526">
        <v>1630</v>
      </c>
    </row>
    <row r="7527" spans="11:19" x14ac:dyDescent="0.3">
      <c r="K7527" s="16">
        <f t="shared" si="117"/>
        <v>44329</v>
      </c>
      <c r="L7527" s="17">
        <v>0.54166666666666663</v>
      </c>
      <c r="M7527" s="14">
        <v>884</v>
      </c>
      <c r="N7527" s="14">
        <v>0</v>
      </c>
      <c r="O7527" s="14">
        <v>0</v>
      </c>
      <c r="P7527" s="14">
        <v>884</v>
      </c>
      <c r="Q7527">
        <v>9434</v>
      </c>
      <c r="R7527">
        <v>1910</v>
      </c>
      <c r="S7527">
        <v>1686</v>
      </c>
    </row>
    <row r="7528" spans="11:19" x14ac:dyDescent="0.3">
      <c r="K7528" s="16">
        <f t="shared" si="117"/>
        <v>44329</v>
      </c>
      <c r="L7528" s="17">
        <v>0.58333333333333337</v>
      </c>
      <c r="M7528" s="14">
        <v>884</v>
      </c>
      <c r="N7528" s="14">
        <v>0</v>
      </c>
      <c r="O7528" s="14">
        <v>-121</v>
      </c>
      <c r="P7528" s="14">
        <v>763</v>
      </c>
      <c r="Q7528">
        <v>9049</v>
      </c>
      <c r="R7528">
        <v>2043</v>
      </c>
      <c r="S7528">
        <v>1747</v>
      </c>
    </row>
    <row r="7529" spans="11:19" x14ac:dyDescent="0.3">
      <c r="K7529" s="16">
        <f t="shared" si="117"/>
        <v>44329</v>
      </c>
      <c r="L7529" s="17">
        <v>0.625</v>
      </c>
      <c r="M7529" s="14">
        <v>884</v>
      </c>
      <c r="N7529" s="14">
        <v>0</v>
      </c>
      <c r="O7529" s="14">
        <v>-661</v>
      </c>
      <c r="P7529" s="14">
        <v>223</v>
      </c>
      <c r="Q7529">
        <v>8713</v>
      </c>
      <c r="R7529">
        <v>2321</v>
      </c>
      <c r="S7529">
        <v>1678</v>
      </c>
    </row>
    <row r="7530" spans="11:19" x14ac:dyDescent="0.3">
      <c r="K7530" s="16">
        <f t="shared" si="117"/>
        <v>44329</v>
      </c>
      <c r="L7530" s="17">
        <v>0.66666666666666663</v>
      </c>
      <c r="M7530" s="14">
        <v>884</v>
      </c>
      <c r="N7530" s="14">
        <v>0</v>
      </c>
      <c r="O7530" s="14">
        <v>-1003</v>
      </c>
      <c r="P7530" s="14">
        <v>-119</v>
      </c>
      <c r="Q7530">
        <v>8593</v>
      </c>
      <c r="R7530">
        <v>2678</v>
      </c>
      <c r="S7530">
        <v>1550</v>
      </c>
    </row>
    <row r="7531" spans="11:19" x14ac:dyDescent="0.3">
      <c r="K7531" s="16">
        <f t="shared" si="117"/>
        <v>44329</v>
      </c>
      <c r="L7531" s="17">
        <v>0.70833333333333337</v>
      </c>
      <c r="M7531" s="14">
        <v>884</v>
      </c>
      <c r="N7531" s="14">
        <v>0</v>
      </c>
      <c r="O7531" s="14">
        <v>-756</v>
      </c>
      <c r="P7531" s="14">
        <v>128</v>
      </c>
      <c r="Q7531">
        <v>8698</v>
      </c>
      <c r="R7531">
        <v>2858</v>
      </c>
      <c r="S7531">
        <v>1230</v>
      </c>
    </row>
    <row r="7532" spans="11:19" x14ac:dyDescent="0.3">
      <c r="K7532" s="16">
        <f t="shared" si="117"/>
        <v>44329</v>
      </c>
      <c r="L7532" s="17">
        <v>0.75</v>
      </c>
      <c r="M7532" s="14">
        <v>884</v>
      </c>
      <c r="N7532" s="14">
        <v>0</v>
      </c>
      <c r="O7532" s="14">
        <v>0</v>
      </c>
      <c r="P7532" s="14">
        <v>884</v>
      </c>
      <c r="Q7532">
        <v>9151</v>
      </c>
      <c r="R7532">
        <v>2732</v>
      </c>
      <c r="S7532">
        <v>769</v>
      </c>
    </row>
    <row r="7533" spans="11:19" x14ac:dyDescent="0.3">
      <c r="K7533" s="16">
        <f t="shared" si="117"/>
        <v>44329</v>
      </c>
      <c r="L7533" s="17">
        <v>0.79166666666666663</v>
      </c>
      <c r="M7533" s="14">
        <v>884</v>
      </c>
      <c r="N7533" s="14">
        <v>0</v>
      </c>
      <c r="O7533" s="14">
        <v>588</v>
      </c>
      <c r="P7533" s="14">
        <v>1472</v>
      </c>
      <c r="Q7533">
        <v>9441</v>
      </c>
      <c r="R7533">
        <v>2562</v>
      </c>
      <c r="S7533">
        <v>314</v>
      </c>
    </row>
    <row r="7534" spans="11:19" x14ac:dyDescent="0.3">
      <c r="K7534" s="16">
        <f t="shared" si="117"/>
        <v>44329</v>
      </c>
      <c r="L7534" s="17">
        <v>0.83333333333333337</v>
      </c>
      <c r="M7534" s="14">
        <v>884</v>
      </c>
      <c r="N7534" s="14">
        <v>0</v>
      </c>
      <c r="O7534" s="14">
        <v>991</v>
      </c>
      <c r="P7534" s="14">
        <v>1875</v>
      </c>
      <c r="Q7534">
        <v>9224</v>
      </c>
      <c r="R7534">
        <v>2136</v>
      </c>
      <c r="S7534">
        <v>47</v>
      </c>
    </row>
    <row r="7535" spans="11:19" x14ac:dyDescent="0.3">
      <c r="K7535" s="16">
        <f t="shared" si="117"/>
        <v>44329</v>
      </c>
      <c r="L7535" s="17">
        <v>0.875</v>
      </c>
      <c r="M7535" s="14">
        <v>884</v>
      </c>
      <c r="N7535" s="14">
        <v>0</v>
      </c>
      <c r="O7535" s="14">
        <v>1111</v>
      </c>
      <c r="P7535" s="14">
        <v>1995</v>
      </c>
      <c r="Q7535">
        <v>9163</v>
      </c>
      <c r="R7535">
        <v>1999</v>
      </c>
      <c r="S7535">
        <v>4</v>
      </c>
    </row>
    <row r="7536" spans="11:19" x14ac:dyDescent="0.3">
      <c r="K7536" s="16">
        <f t="shared" si="117"/>
        <v>44329</v>
      </c>
      <c r="L7536" s="17">
        <v>0.91666666666666663</v>
      </c>
      <c r="M7536" s="14">
        <v>884</v>
      </c>
      <c r="N7536" s="14">
        <v>669</v>
      </c>
      <c r="O7536" s="14">
        <v>1200</v>
      </c>
      <c r="P7536" s="14">
        <v>2753</v>
      </c>
      <c r="Q7536">
        <v>9509</v>
      </c>
      <c r="R7536">
        <v>1591</v>
      </c>
      <c r="S7536">
        <v>0</v>
      </c>
    </row>
    <row r="7537" spans="11:19" x14ac:dyDescent="0.3">
      <c r="K7537" s="16">
        <f t="shared" si="117"/>
        <v>44329</v>
      </c>
      <c r="L7537" s="17">
        <v>0.95833333333333337</v>
      </c>
      <c r="M7537" s="14">
        <v>884</v>
      </c>
      <c r="N7537" s="14">
        <v>885</v>
      </c>
      <c r="O7537" s="14">
        <v>1200</v>
      </c>
      <c r="P7537" s="14">
        <v>2969</v>
      </c>
      <c r="Q7537">
        <v>9700</v>
      </c>
      <c r="R7537">
        <v>1582</v>
      </c>
      <c r="S7537">
        <v>0</v>
      </c>
    </row>
    <row r="7538" spans="11:19" x14ac:dyDescent="0.3">
      <c r="K7538" s="16">
        <f t="shared" si="117"/>
        <v>44330</v>
      </c>
      <c r="L7538" s="17">
        <v>0</v>
      </c>
      <c r="M7538" s="14">
        <v>884</v>
      </c>
      <c r="N7538" s="14">
        <v>2017</v>
      </c>
      <c r="O7538" s="14">
        <v>0</v>
      </c>
      <c r="P7538" s="14">
        <v>2901</v>
      </c>
      <c r="Q7538">
        <v>9617</v>
      </c>
      <c r="R7538">
        <v>1575</v>
      </c>
      <c r="S7538">
        <v>0</v>
      </c>
    </row>
    <row r="7539" spans="11:19" x14ac:dyDescent="0.3">
      <c r="K7539" s="16">
        <f t="shared" si="117"/>
        <v>44330</v>
      </c>
      <c r="L7539" s="17">
        <v>4.1666666666666664E-2</v>
      </c>
      <c r="M7539" s="14">
        <v>884</v>
      </c>
      <c r="N7539" s="14">
        <v>1893</v>
      </c>
      <c r="O7539" s="14">
        <v>0</v>
      </c>
      <c r="P7539" s="14">
        <v>2777</v>
      </c>
      <c r="Q7539">
        <v>9188</v>
      </c>
      <c r="R7539">
        <v>1353</v>
      </c>
      <c r="S7539">
        <v>0</v>
      </c>
    </row>
    <row r="7540" spans="11:19" x14ac:dyDescent="0.3">
      <c r="K7540" s="16">
        <f t="shared" si="117"/>
        <v>44330</v>
      </c>
      <c r="L7540" s="17">
        <v>8.3333333333333329E-2</v>
      </c>
      <c r="M7540" s="14">
        <v>884</v>
      </c>
      <c r="N7540" s="14">
        <v>1666</v>
      </c>
      <c r="O7540" s="14">
        <v>0</v>
      </c>
      <c r="P7540" s="14">
        <v>2550</v>
      </c>
      <c r="Q7540">
        <v>8862</v>
      </c>
      <c r="R7540">
        <v>1254</v>
      </c>
      <c r="S7540">
        <v>0</v>
      </c>
    </row>
    <row r="7541" spans="11:19" x14ac:dyDescent="0.3">
      <c r="K7541" s="16">
        <f t="shared" si="117"/>
        <v>44330</v>
      </c>
      <c r="L7541" s="17">
        <v>0.125</v>
      </c>
      <c r="M7541" s="14">
        <v>884</v>
      </c>
      <c r="N7541" s="14">
        <v>1336</v>
      </c>
      <c r="O7541" s="14">
        <v>0</v>
      </c>
      <c r="P7541" s="14">
        <v>2220</v>
      </c>
      <c r="Q7541">
        <v>8440</v>
      </c>
      <c r="R7541">
        <v>1160</v>
      </c>
      <c r="S7541">
        <v>0</v>
      </c>
    </row>
    <row r="7542" spans="11:19" x14ac:dyDescent="0.3">
      <c r="K7542" s="16">
        <f t="shared" si="117"/>
        <v>44330</v>
      </c>
      <c r="L7542" s="17">
        <v>0.16666666666666666</v>
      </c>
      <c r="M7542" s="14">
        <v>884</v>
      </c>
      <c r="N7542" s="14">
        <v>1158</v>
      </c>
      <c r="O7542" s="14">
        <v>0</v>
      </c>
      <c r="P7542" s="14">
        <v>2042</v>
      </c>
      <c r="Q7542">
        <v>8320</v>
      </c>
      <c r="R7542">
        <v>1214</v>
      </c>
      <c r="S7542">
        <v>0</v>
      </c>
    </row>
    <row r="7543" spans="11:19" x14ac:dyDescent="0.3">
      <c r="K7543" s="16">
        <f t="shared" si="117"/>
        <v>44330</v>
      </c>
      <c r="L7543" s="17">
        <v>0.20833333333333334</v>
      </c>
      <c r="M7543" s="14">
        <v>884</v>
      </c>
      <c r="N7543" s="14">
        <v>1260</v>
      </c>
      <c r="O7543" s="14">
        <v>0</v>
      </c>
      <c r="P7543" s="14">
        <v>2144</v>
      </c>
      <c r="Q7543">
        <v>8593</v>
      </c>
      <c r="R7543">
        <v>1369</v>
      </c>
      <c r="S7543">
        <v>0</v>
      </c>
    </row>
    <row r="7544" spans="11:19" x14ac:dyDescent="0.3">
      <c r="K7544" s="16">
        <f t="shared" si="117"/>
        <v>44330</v>
      </c>
      <c r="L7544" s="17">
        <v>0.25</v>
      </c>
      <c r="M7544" s="14">
        <v>884</v>
      </c>
      <c r="N7544" s="14">
        <v>1479</v>
      </c>
      <c r="O7544" s="14">
        <v>0</v>
      </c>
      <c r="P7544" s="14">
        <v>2363</v>
      </c>
      <c r="Q7544">
        <v>8987</v>
      </c>
      <c r="R7544">
        <v>1497</v>
      </c>
      <c r="S7544">
        <v>10</v>
      </c>
    </row>
    <row r="7545" spans="11:19" x14ac:dyDescent="0.3">
      <c r="K7545" s="16">
        <f t="shared" si="117"/>
        <v>44330</v>
      </c>
      <c r="L7545" s="17">
        <v>0.29166666666666669</v>
      </c>
      <c r="M7545" s="14">
        <v>884</v>
      </c>
      <c r="N7545" s="14">
        <v>1767</v>
      </c>
      <c r="O7545" s="14">
        <v>0</v>
      </c>
      <c r="P7545" s="14">
        <v>2651</v>
      </c>
      <c r="Q7545">
        <v>9508</v>
      </c>
      <c r="R7545">
        <v>1545</v>
      </c>
      <c r="S7545">
        <v>177</v>
      </c>
    </row>
    <row r="7546" spans="11:19" x14ac:dyDescent="0.3">
      <c r="K7546" s="16">
        <f t="shared" si="117"/>
        <v>44330</v>
      </c>
      <c r="L7546" s="17">
        <v>0.33333333333333331</v>
      </c>
      <c r="M7546" s="14">
        <v>884</v>
      </c>
      <c r="N7546" s="14">
        <v>1763</v>
      </c>
      <c r="O7546" s="14">
        <v>0</v>
      </c>
      <c r="P7546" s="14">
        <v>2647</v>
      </c>
      <c r="Q7546">
        <v>10020</v>
      </c>
      <c r="R7546">
        <v>1658</v>
      </c>
      <c r="S7546">
        <v>578</v>
      </c>
    </row>
    <row r="7547" spans="11:19" x14ac:dyDescent="0.3">
      <c r="K7547" s="16">
        <f t="shared" si="117"/>
        <v>44330</v>
      </c>
      <c r="L7547" s="17">
        <v>0.375</v>
      </c>
      <c r="M7547" s="14">
        <v>884</v>
      </c>
      <c r="N7547" s="14">
        <v>1510</v>
      </c>
      <c r="O7547" s="14">
        <v>0</v>
      </c>
      <c r="P7547" s="14">
        <v>2394</v>
      </c>
      <c r="Q7547">
        <v>10357</v>
      </c>
      <c r="R7547">
        <v>1749</v>
      </c>
      <c r="S7547">
        <v>1081</v>
      </c>
    </row>
    <row r="7548" spans="11:19" x14ac:dyDescent="0.3">
      <c r="K7548" s="16">
        <f t="shared" si="117"/>
        <v>44330</v>
      </c>
      <c r="L7548" s="17">
        <v>0.41666666666666669</v>
      </c>
      <c r="M7548" s="14">
        <v>884</v>
      </c>
      <c r="N7548" s="14">
        <v>977</v>
      </c>
      <c r="O7548" s="14">
        <v>0</v>
      </c>
      <c r="P7548" s="14">
        <v>1861</v>
      </c>
      <c r="Q7548">
        <v>10389</v>
      </c>
      <c r="R7548">
        <v>1890</v>
      </c>
      <c r="S7548">
        <v>1504</v>
      </c>
    </row>
    <row r="7549" spans="11:19" x14ac:dyDescent="0.3">
      <c r="K7549" s="16">
        <f t="shared" si="117"/>
        <v>44330</v>
      </c>
      <c r="L7549" s="17">
        <v>0.45833333333333331</v>
      </c>
      <c r="M7549" s="14">
        <v>884</v>
      </c>
      <c r="N7549" s="14">
        <v>0</v>
      </c>
      <c r="O7549" s="14">
        <v>0</v>
      </c>
      <c r="P7549" s="14">
        <v>884</v>
      </c>
      <c r="Q7549">
        <v>10460</v>
      </c>
      <c r="R7549">
        <v>1764</v>
      </c>
      <c r="S7549">
        <v>1776</v>
      </c>
    </row>
    <row r="7550" spans="11:19" x14ac:dyDescent="0.3">
      <c r="K7550" s="16">
        <f t="shared" si="117"/>
        <v>44330</v>
      </c>
      <c r="L7550" s="17">
        <v>0.5</v>
      </c>
      <c r="M7550" s="14">
        <v>884</v>
      </c>
      <c r="N7550" s="14">
        <v>1234</v>
      </c>
      <c r="O7550" s="14">
        <v>0</v>
      </c>
      <c r="P7550" s="14">
        <v>2118</v>
      </c>
      <c r="Q7550">
        <v>10675</v>
      </c>
      <c r="R7550">
        <v>1449</v>
      </c>
      <c r="S7550">
        <v>1821</v>
      </c>
    </row>
    <row r="7551" spans="11:19" x14ac:dyDescent="0.3">
      <c r="K7551" s="16">
        <f t="shared" si="117"/>
        <v>44330</v>
      </c>
      <c r="L7551" s="17">
        <v>0.54166666666666663</v>
      </c>
      <c r="M7551" s="14">
        <v>884</v>
      </c>
      <c r="N7551" s="14">
        <v>722</v>
      </c>
      <c r="O7551" s="14">
        <v>0</v>
      </c>
      <c r="P7551" s="14">
        <v>1606</v>
      </c>
      <c r="Q7551">
        <v>10375</v>
      </c>
      <c r="R7551">
        <v>1640</v>
      </c>
      <c r="S7551">
        <v>1846</v>
      </c>
    </row>
    <row r="7552" spans="11:19" x14ac:dyDescent="0.3">
      <c r="K7552" s="16">
        <f t="shared" si="117"/>
        <v>44330</v>
      </c>
      <c r="L7552" s="17">
        <v>0.58333333333333337</v>
      </c>
      <c r="M7552" s="14">
        <v>884</v>
      </c>
      <c r="N7552" s="14">
        <v>330</v>
      </c>
      <c r="O7552" s="14">
        <v>0</v>
      </c>
      <c r="P7552" s="14">
        <v>1214</v>
      </c>
      <c r="Q7552">
        <v>10059</v>
      </c>
      <c r="R7552">
        <v>1711</v>
      </c>
      <c r="S7552">
        <v>1850</v>
      </c>
    </row>
    <row r="7553" spans="11:19" x14ac:dyDescent="0.3">
      <c r="K7553" s="16">
        <f t="shared" si="117"/>
        <v>44330</v>
      </c>
      <c r="L7553" s="17">
        <v>0.625</v>
      </c>
      <c r="M7553" s="14">
        <v>884</v>
      </c>
      <c r="N7553" s="14">
        <v>54</v>
      </c>
      <c r="O7553" s="14">
        <v>0</v>
      </c>
      <c r="P7553" s="14">
        <v>938</v>
      </c>
      <c r="Q7553">
        <v>9685</v>
      </c>
      <c r="R7553">
        <v>1710</v>
      </c>
      <c r="S7553">
        <v>1753</v>
      </c>
    </row>
    <row r="7554" spans="11:19" x14ac:dyDescent="0.3">
      <c r="K7554" s="16">
        <f t="shared" si="117"/>
        <v>44330</v>
      </c>
      <c r="L7554" s="17">
        <v>0.66666666666666663</v>
      </c>
      <c r="M7554" s="14">
        <v>884</v>
      </c>
      <c r="N7554" s="14">
        <v>83</v>
      </c>
      <c r="O7554" s="14">
        <v>0</v>
      </c>
      <c r="P7554" s="14">
        <v>967</v>
      </c>
      <c r="Q7554">
        <v>9506</v>
      </c>
      <c r="R7554">
        <v>1830</v>
      </c>
      <c r="S7554">
        <v>1587</v>
      </c>
    </row>
    <row r="7555" spans="11:19" x14ac:dyDescent="0.3">
      <c r="K7555" s="16">
        <f t="shared" si="117"/>
        <v>44330</v>
      </c>
      <c r="L7555" s="17">
        <v>0.70833333333333337</v>
      </c>
      <c r="M7555" s="14">
        <v>884</v>
      </c>
      <c r="N7555" s="14">
        <v>449</v>
      </c>
      <c r="O7555" s="14">
        <v>0</v>
      </c>
      <c r="P7555" s="14">
        <v>1333</v>
      </c>
      <c r="Q7555">
        <v>9550</v>
      </c>
      <c r="R7555">
        <v>1823</v>
      </c>
      <c r="S7555">
        <v>1273</v>
      </c>
    </row>
    <row r="7556" spans="11:19" x14ac:dyDescent="0.3">
      <c r="K7556" s="16">
        <f t="shared" si="117"/>
        <v>44330</v>
      </c>
      <c r="L7556" s="17">
        <v>0.75</v>
      </c>
      <c r="M7556" s="14">
        <v>884</v>
      </c>
      <c r="N7556" s="14">
        <v>1423</v>
      </c>
      <c r="O7556" s="14">
        <v>0</v>
      </c>
      <c r="P7556" s="14">
        <v>2307</v>
      </c>
      <c r="Q7556">
        <v>9865</v>
      </c>
      <c r="R7556">
        <v>1654</v>
      </c>
      <c r="S7556">
        <v>785</v>
      </c>
    </row>
    <row r="7557" spans="11:19" x14ac:dyDescent="0.3">
      <c r="K7557" s="16">
        <f t="shared" si="117"/>
        <v>44330</v>
      </c>
      <c r="L7557" s="17">
        <v>0.79166666666666663</v>
      </c>
      <c r="M7557" s="14">
        <v>884</v>
      </c>
      <c r="N7557" s="14">
        <v>2032</v>
      </c>
      <c r="O7557" s="14">
        <v>0</v>
      </c>
      <c r="P7557" s="14">
        <v>2916</v>
      </c>
      <c r="Q7557">
        <v>9917</v>
      </c>
      <c r="R7557">
        <v>1560</v>
      </c>
      <c r="S7557">
        <v>334</v>
      </c>
    </row>
    <row r="7558" spans="11:19" x14ac:dyDescent="0.3">
      <c r="K7558" s="16">
        <f t="shared" si="117"/>
        <v>44330</v>
      </c>
      <c r="L7558" s="17">
        <v>0.83333333333333337</v>
      </c>
      <c r="M7558" s="14">
        <v>884</v>
      </c>
      <c r="N7558" s="14">
        <v>2047</v>
      </c>
      <c r="O7558" s="14">
        <v>0</v>
      </c>
      <c r="P7558" s="14">
        <v>2931</v>
      </c>
      <c r="Q7558">
        <v>9505</v>
      </c>
      <c r="R7558">
        <v>1412</v>
      </c>
      <c r="S7558">
        <v>67</v>
      </c>
    </row>
    <row r="7559" spans="11:19" x14ac:dyDescent="0.3">
      <c r="K7559" s="16">
        <f t="shared" si="117"/>
        <v>44330</v>
      </c>
      <c r="L7559" s="17">
        <v>0.875</v>
      </c>
      <c r="M7559" s="14">
        <v>884</v>
      </c>
      <c r="N7559" s="14">
        <v>1837</v>
      </c>
      <c r="O7559" s="14">
        <v>0</v>
      </c>
      <c r="P7559" s="14">
        <v>2721</v>
      </c>
      <c r="Q7559">
        <v>9409</v>
      </c>
      <c r="R7559">
        <v>1357</v>
      </c>
      <c r="S7559">
        <v>3</v>
      </c>
    </row>
    <row r="7560" spans="11:19" x14ac:dyDescent="0.3">
      <c r="K7560" s="16">
        <f t="shared" si="117"/>
        <v>44330</v>
      </c>
      <c r="L7560" s="17">
        <v>0.91666666666666663</v>
      </c>
      <c r="M7560" s="14">
        <v>884</v>
      </c>
      <c r="N7560" s="14">
        <v>2325</v>
      </c>
      <c r="O7560" s="14">
        <v>0</v>
      </c>
      <c r="P7560" s="14">
        <v>3209</v>
      </c>
      <c r="Q7560">
        <v>9789</v>
      </c>
      <c r="R7560">
        <v>1259</v>
      </c>
      <c r="S7560">
        <v>0</v>
      </c>
    </row>
    <row r="7561" spans="11:19" x14ac:dyDescent="0.3">
      <c r="K7561" s="16">
        <f t="shared" si="117"/>
        <v>44330</v>
      </c>
      <c r="L7561" s="17">
        <v>0.95833333333333337</v>
      </c>
      <c r="M7561" s="14">
        <v>884</v>
      </c>
      <c r="N7561" s="14">
        <v>2366</v>
      </c>
      <c r="O7561" s="14">
        <v>0</v>
      </c>
      <c r="P7561" s="14">
        <v>3250</v>
      </c>
      <c r="Q7561">
        <v>10012</v>
      </c>
      <c r="R7561">
        <v>1395</v>
      </c>
      <c r="S7561">
        <v>0</v>
      </c>
    </row>
    <row r="7562" spans="11:19" x14ac:dyDescent="0.3">
      <c r="K7562" s="16">
        <f t="shared" si="117"/>
        <v>44331</v>
      </c>
      <c r="L7562" s="17">
        <v>0</v>
      </c>
      <c r="M7562" s="14">
        <v>884</v>
      </c>
      <c r="N7562" s="14">
        <v>2174</v>
      </c>
      <c r="O7562" s="14">
        <v>0</v>
      </c>
      <c r="P7562" s="14">
        <v>3058</v>
      </c>
      <c r="Q7562">
        <v>9670</v>
      </c>
      <c r="R7562">
        <v>1314</v>
      </c>
      <c r="S7562">
        <v>0</v>
      </c>
    </row>
    <row r="7563" spans="11:19" x14ac:dyDescent="0.3">
      <c r="K7563" s="16">
        <f t="shared" si="117"/>
        <v>44331</v>
      </c>
      <c r="L7563" s="17">
        <v>4.1666666666666664E-2</v>
      </c>
      <c r="M7563" s="14">
        <v>884</v>
      </c>
      <c r="N7563" s="14">
        <v>0</v>
      </c>
      <c r="O7563" s="14">
        <v>0</v>
      </c>
      <c r="P7563" s="14">
        <v>884</v>
      </c>
      <c r="Q7563">
        <v>9255</v>
      </c>
      <c r="R7563">
        <v>1214</v>
      </c>
      <c r="S7563">
        <v>0</v>
      </c>
    </row>
    <row r="7564" spans="11:19" x14ac:dyDescent="0.3">
      <c r="K7564" s="16">
        <f t="shared" si="117"/>
        <v>44331</v>
      </c>
      <c r="L7564" s="17">
        <v>8.3333333333333329E-2</v>
      </c>
      <c r="M7564" s="14">
        <v>884</v>
      </c>
      <c r="N7564" s="14">
        <v>0</v>
      </c>
      <c r="O7564" s="14">
        <v>0</v>
      </c>
      <c r="P7564" s="14">
        <v>884</v>
      </c>
      <c r="Q7564">
        <v>8936</v>
      </c>
      <c r="R7564">
        <v>1244</v>
      </c>
      <c r="S7564">
        <v>0</v>
      </c>
    </row>
    <row r="7565" spans="11:19" x14ac:dyDescent="0.3">
      <c r="K7565" s="16">
        <f t="shared" si="117"/>
        <v>44331</v>
      </c>
      <c r="L7565" s="17">
        <v>0.125</v>
      </c>
      <c r="M7565" s="14">
        <v>884</v>
      </c>
      <c r="N7565" s="14">
        <v>0</v>
      </c>
      <c r="O7565" s="14">
        <v>0</v>
      </c>
      <c r="P7565" s="14">
        <v>884</v>
      </c>
      <c r="Q7565">
        <v>8511</v>
      </c>
      <c r="R7565">
        <v>1440</v>
      </c>
      <c r="S7565">
        <v>0</v>
      </c>
    </row>
    <row r="7566" spans="11:19" x14ac:dyDescent="0.3">
      <c r="K7566" s="16">
        <f t="shared" si="117"/>
        <v>44331</v>
      </c>
      <c r="L7566" s="17">
        <v>0.16666666666666666</v>
      </c>
      <c r="M7566" s="14">
        <v>884</v>
      </c>
      <c r="N7566" s="14">
        <v>533</v>
      </c>
      <c r="O7566" s="14">
        <v>0</v>
      </c>
      <c r="P7566" s="14">
        <v>1417</v>
      </c>
      <c r="Q7566">
        <v>8379</v>
      </c>
      <c r="R7566">
        <v>1583</v>
      </c>
      <c r="S7566">
        <v>0</v>
      </c>
    </row>
    <row r="7567" spans="11:19" x14ac:dyDescent="0.3">
      <c r="K7567" s="16">
        <f t="shared" si="117"/>
        <v>44331</v>
      </c>
      <c r="L7567" s="17">
        <v>0.20833333333333334</v>
      </c>
      <c r="M7567" s="14">
        <v>884</v>
      </c>
      <c r="N7567" s="14">
        <v>0</v>
      </c>
      <c r="O7567" s="14">
        <v>371</v>
      </c>
      <c r="P7567" s="14">
        <v>1255</v>
      </c>
      <c r="Q7567">
        <v>8644</v>
      </c>
      <c r="R7567">
        <v>1637</v>
      </c>
      <c r="S7567">
        <v>0</v>
      </c>
    </row>
    <row r="7568" spans="11:19" x14ac:dyDescent="0.3">
      <c r="K7568" s="16">
        <f t="shared" si="117"/>
        <v>44331</v>
      </c>
      <c r="L7568" s="17">
        <v>0.25</v>
      </c>
      <c r="M7568" s="14">
        <v>884</v>
      </c>
      <c r="N7568" s="14">
        <v>942</v>
      </c>
      <c r="O7568" s="14">
        <v>0</v>
      </c>
      <c r="P7568" s="14">
        <v>1826</v>
      </c>
      <c r="Q7568">
        <v>9024</v>
      </c>
      <c r="R7568">
        <v>1851</v>
      </c>
      <c r="S7568">
        <v>9</v>
      </c>
    </row>
    <row r="7569" spans="11:19" x14ac:dyDescent="0.3">
      <c r="K7569" s="16">
        <f t="shared" si="117"/>
        <v>44331</v>
      </c>
      <c r="L7569" s="17">
        <v>0.29166666666666669</v>
      </c>
      <c r="M7569" s="14">
        <v>884</v>
      </c>
      <c r="N7569" s="14">
        <v>1231</v>
      </c>
      <c r="O7569" s="14">
        <v>0</v>
      </c>
      <c r="P7569" s="14">
        <v>2115</v>
      </c>
      <c r="Q7569">
        <v>9534</v>
      </c>
      <c r="R7569">
        <v>1880</v>
      </c>
      <c r="S7569">
        <v>182</v>
      </c>
    </row>
    <row r="7570" spans="11:19" x14ac:dyDescent="0.3">
      <c r="K7570" s="16">
        <f t="shared" si="117"/>
        <v>44331</v>
      </c>
      <c r="L7570" s="17">
        <v>0.33333333333333331</v>
      </c>
      <c r="M7570" s="14">
        <v>884</v>
      </c>
      <c r="N7570" s="14">
        <v>0</v>
      </c>
      <c r="O7570" s="14">
        <v>0</v>
      </c>
      <c r="P7570" s="14">
        <v>884</v>
      </c>
      <c r="Q7570">
        <v>10018</v>
      </c>
      <c r="R7570">
        <v>1965</v>
      </c>
      <c r="S7570">
        <v>581</v>
      </c>
    </row>
    <row r="7571" spans="11:19" x14ac:dyDescent="0.3">
      <c r="K7571" s="16">
        <f t="shared" si="117"/>
        <v>44331</v>
      </c>
      <c r="L7571" s="17">
        <v>0.375</v>
      </c>
      <c r="M7571" s="14">
        <v>884</v>
      </c>
      <c r="N7571" s="14">
        <v>0</v>
      </c>
      <c r="O7571" s="14">
        <v>0</v>
      </c>
      <c r="P7571" s="14">
        <v>884</v>
      </c>
      <c r="Q7571">
        <v>10320</v>
      </c>
      <c r="R7571">
        <v>1784</v>
      </c>
      <c r="S7571">
        <v>1112</v>
      </c>
    </row>
    <row r="7572" spans="11:19" x14ac:dyDescent="0.3">
      <c r="K7572" s="16">
        <f t="shared" si="117"/>
        <v>44331</v>
      </c>
      <c r="L7572" s="17">
        <v>0.41666666666666669</v>
      </c>
      <c r="M7572" s="14">
        <v>884</v>
      </c>
      <c r="N7572" s="14">
        <v>733</v>
      </c>
      <c r="O7572" s="14">
        <v>0</v>
      </c>
      <c r="P7572" s="14">
        <v>1617</v>
      </c>
      <c r="Q7572">
        <v>10317</v>
      </c>
      <c r="R7572">
        <v>1777</v>
      </c>
      <c r="S7572">
        <v>1564</v>
      </c>
    </row>
    <row r="7573" spans="11:19" x14ac:dyDescent="0.3">
      <c r="K7573" s="16">
        <f t="shared" si="117"/>
        <v>44331</v>
      </c>
      <c r="L7573" s="17">
        <v>0.45833333333333331</v>
      </c>
      <c r="M7573" s="14">
        <v>884</v>
      </c>
      <c r="N7573" s="14">
        <v>700</v>
      </c>
      <c r="O7573" s="14">
        <v>0</v>
      </c>
      <c r="P7573" s="14">
        <v>1584</v>
      </c>
      <c r="Q7573">
        <v>10329</v>
      </c>
      <c r="R7573">
        <v>1647</v>
      </c>
      <c r="S7573">
        <v>1820</v>
      </c>
    </row>
    <row r="7574" spans="11:19" x14ac:dyDescent="0.3">
      <c r="K7574" s="16">
        <f t="shared" si="117"/>
        <v>44331</v>
      </c>
      <c r="L7574" s="17">
        <v>0.5</v>
      </c>
      <c r="M7574" s="14">
        <v>884</v>
      </c>
      <c r="N7574" s="14">
        <v>948</v>
      </c>
      <c r="O7574" s="14">
        <v>0</v>
      </c>
      <c r="P7574" s="14">
        <v>1832</v>
      </c>
      <c r="Q7574">
        <v>10487</v>
      </c>
      <c r="R7574">
        <v>1459</v>
      </c>
      <c r="S7574">
        <v>1923</v>
      </c>
    </row>
    <row r="7575" spans="11:19" x14ac:dyDescent="0.3">
      <c r="K7575" s="16">
        <f t="shared" si="117"/>
        <v>44331</v>
      </c>
      <c r="L7575" s="17">
        <v>0.54166666666666663</v>
      </c>
      <c r="M7575" s="14">
        <v>884</v>
      </c>
      <c r="N7575" s="14">
        <v>0</v>
      </c>
      <c r="O7575" s="14">
        <v>0</v>
      </c>
      <c r="P7575" s="14">
        <v>884</v>
      </c>
      <c r="Q7575">
        <v>10139</v>
      </c>
      <c r="R7575">
        <v>1308</v>
      </c>
      <c r="S7575">
        <v>1994</v>
      </c>
    </row>
    <row r="7576" spans="11:19" x14ac:dyDescent="0.3">
      <c r="K7576" s="16">
        <f t="shared" si="117"/>
        <v>44331</v>
      </c>
      <c r="L7576" s="17">
        <v>0.58333333333333337</v>
      </c>
      <c r="M7576" s="14">
        <v>884</v>
      </c>
      <c r="N7576" s="14">
        <v>370</v>
      </c>
      <c r="O7576" s="14">
        <v>0</v>
      </c>
      <c r="P7576" s="14">
        <v>1254</v>
      </c>
      <c r="Q7576">
        <v>9762</v>
      </c>
      <c r="R7576">
        <v>1241</v>
      </c>
      <c r="S7576">
        <v>1996</v>
      </c>
    </row>
    <row r="7577" spans="11:19" x14ac:dyDescent="0.3">
      <c r="K7577" s="16">
        <f t="shared" si="117"/>
        <v>44331</v>
      </c>
      <c r="L7577" s="17">
        <v>0.625</v>
      </c>
      <c r="M7577" s="14">
        <v>884</v>
      </c>
      <c r="N7577" s="14">
        <v>0</v>
      </c>
      <c r="O7577" s="14">
        <v>0</v>
      </c>
      <c r="P7577" s="14">
        <v>884</v>
      </c>
      <c r="Q7577">
        <v>9315</v>
      </c>
      <c r="R7577">
        <v>1215</v>
      </c>
      <c r="S7577">
        <v>1933</v>
      </c>
    </row>
    <row r="7578" spans="11:19" x14ac:dyDescent="0.3">
      <c r="K7578" s="16">
        <f t="shared" si="117"/>
        <v>44331</v>
      </c>
      <c r="L7578" s="17">
        <v>0.66666666666666663</v>
      </c>
      <c r="M7578" s="14">
        <v>884</v>
      </c>
      <c r="N7578" s="14">
        <v>0</v>
      </c>
      <c r="O7578" s="14">
        <v>-372</v>
      </c>
      <c r="P7578" s="14">
        <v>512</v>
      </c>
      <c r="Q7578">
        <v>9044</v>
      </c>
      <c r="R7578">
        <v>1395</v>
      </c>
      <c r="S7578">
        <v>1798</v>
      </c>
    </row>
    <row r="7579" spans="11:19" x14ac:dyDescent="0.3">
      <c r="K7579" s="16">
        <f t="shared" ref="K7579:K7642" si="118">K7555+1</f>
        <v>44331</v>
      </c>
      <c r="L7579" s="17">
        <v>0.70833333333333337</v>
      </c>
      <c r="M7579" s="14">
        <v>884</v>
      </c>
      <c r="N7579" s="14">
        <v>0</v>
      </c>
      <c r="O7579" s="14">
        <v>-91</v>
      </c>
      <c r="P7579" s="14">
        <v>793</v>
      </c>
      <c r="Q7579">
        <v>8962</v>
      </c>
      <c r="R7579">
        <v>1413</v>
      </c>
      <c r="S7579">
        <v>1419</v>
      </c>
    </row>
    <row r="7580" spans="11:19" x14ac:dyDescent="0.3">
      <c r="K7580" s="16">
        <f t="shared" si="118"/>
        <v>44331</v>
      </c>
      <c r="L7580" s="17">
        <v>0.75</v>
      </c>
      <c r="M7580" s="14">
        <v>884</v>
      </c>
      <c r="N7580" s="14">
        <v>0</v>
      </c>
      <c r="O7580" s="14">
        <v>0</v>
      </c>
      <c r="P7580" s="14">
        <v>884</v>
      </c>
      <c r="Q7580">
        <v>9218</v>
      </c>
      <c r="R7580">
        <v>1429</v>
      </c>
      <c r="S7580">
        <v>956</v>
      </c>
    </row>
    <row r="7581" spans="11:19" x14ac:dyDescent="0.3">
      <c r="K7581" s="16">
        <f t="shared" si="118"/>
        <v>44331</v>
      </c>
      <c r="L7581" s="17">
        <v>0.79166666666666663</v>
      </c>
      <c r="M7581" s="14">
        <v>884</v>
      </c>
      <c r="N7581" s="14">
        <v>0</v>
      </c>
      <c r="O7581" s="14">
        <v>0</v>
      </c>
      <c r="P7581" s="14">
        <v>884</v>
      </c>
      <c r="Q7581">
        <v>9221</v>
      </c>
      <c r="R7581">
        <v>1476</v>
      </c>
      <c r="S7581">
        <v>429</v>
      </c>
    </row>
    <row r="7582" spans="11:19" x14ac:dyDescent="0.3">
      <c r="K7582" s="16">
        <f t="shared" si="118"/>
        <v>44331</v>
      </c>
      <c r="L7582" s="17">
        <v>0.83333333333333337</v>
      </c>
      <c r="M7582" s="14">
        <v>884</v>
      </c>
      <c r="N7582" s="14">
        <v>1291</v>
      </c>
      <c r="O7582" s="14">
        <v>0</v>
      </c>
      <c r="P7582" s="14">
        <v>2175</v>
      </c>
      <c r="Q7582">
        <v>8913</v>
      </c>
      <c r="R7582">
        <v>1313</v>
      </c>
      <c r="S7582">
        <v>98</v>
      </c>
    </row>
    <row r="7583" spans="11:19" x14ac:dyDescent="0.3">
      <c r="K7583" s="16">
        <f t="shared" si="118"/>
        <v>44331</v>
      </c>
      <c r="L7583" s="17">
        <v>0.875</v>
      </c>
      <c r="M7583" s="14">
        <v>884</v>
      </c>
      <c r="N7583" s="14">
        <v>0</v>
      </c>
      <c r="O7583" s="14">
        <v>0</v>
      </c>
      <c r="P7583" s="14">
        <v>884</v>
      </c>
      <c r="Q7583">
        <v>8924</v>
      </c>
      <c r="R7583">
        <v>1114</v>
      </c>
      <c r="S7583">
        <v>4</v>
      </c>
    </row>
    <row r="7584" spans="11:19" x14ac:dyDescent="0.3">
      <c r="K7584" s="16">
        <f t="shared" si="118"/>
        <v>44331</v>
      </c>
      <c r="L7584" s="17">
        <v>0.91666666666666663</v>
      </c>
      <c r="M7584" s="14">
        <v>884</v>
      </c>
      <c r="N7584" s="14">
        <v>0</v>
      </c>
      <c r="O7584" s="14">
        <v>0</v>
      </c>
      <c r="P7584" s="14">
        <v>884</v>
      </c>
      <c r="Q7584">
        <v>9325</v>
      </c>
      <c r="R7584">
        <v>884</v>
      </c>
      <c r="S7584">
        <v>0</v>
      </c>
    </row>
    <row r="7585" spans="11:19" x14ac:dyDescent="0.3">
      <c r="K7585" s="16">
        <f t="shared" si="118"/>
        <v>44331</v>
      </c>
      <c r="L7585" s="17">
        <v>0.95833333333333337</v>
      </c>
      <c r="M7585" s="14">
        <v>884</v>
      </c>
      <c r="N7585" s="14">
        <v>0</v>
      </c>
      <c r="O7585" s="14">
        <v>0</v>
      </c>
      <c r="P7585" s="14">
        <v>884</v>
      </c>
      <c r="Q7585">
        <v>9578</v>
      </c>
      <c r="R7585">
        <v>700</v>
      </c>
      <c r="S7585">
        <v>0</v>
      </c>
    </row>
    <row r="7586" spans="11:19" x14ac:dyDescent="0.3">
      <c r="K7586" s="16">
        <f t="shared" si="118"/>
        <v>44332</v>
      </c>
      <c r="L7586" s="17">
        <v>0</v>
      </c>
      <c r="M7586" s="14">
        <v>884</v>
      </c>
      <c r="N7586" s="14">
        <v>1449</v>
      </c>
      <c r="O7586" s="14">
        <v>528</v>
      </c>
      <c r="P7586" s="14">
        <v>2861</v>
      </c>
      <c r="Q7586">
        <v>9031</v>
      </c>
      <c r="R7586">
        <v>712</v>
      </c>
      <c r="S7586">
        <v>0</v>
      </c>
    </row>
    <row r="7587" spans="11:19" x14ac:dyDescent="0.3">
      <c r="K7587" s="16">
        <f t="shared" si="118"/>
        <v>44332</v>
      </c>
      <c r="L7587" s="17">
        <v>4.1666666666666664E-2</v>
      </c>
      <c r="M7587" s="14">
        <v>884</v>
      </c>
      <c r="N7587" s="14">
        <v>0</v>
      </c>
      <c r="O7587" s="14">
        <v>1200</v>
      </c>
      <c r="P7587" s="14">
        <v>2084</v>
      </c>
      <c r="Q7587">
        <v>8653</v>
      </c>
      <c r="R7587">
        <v>464</v>
      </c>
      <c r="S7587">
        <v>0</v>
      </c>
    </row>
    <row r="7588" spans="11:19" x14ac:dyDescent="0.3">
      <c r="K7588" s="16">
        <f t="shared" si="118"/>
        <v>44332</v>
      </c>
      <c r="L7588" s="17">
        <v>8.3333333333333329E-2</v>
      </c>
      <c r="M7588" s="14">
        <v>884</v>
      </c>
      <c r="N7588" s="14">
        <v>0</v>
      </c>
      <c r="O7588" s="14">
        <v>1200</v>
      </c>
      <c r="P7588" s="14">
        <v>2084</v>
      </c>
      <c r="Q7588">
        <v>8313</v>
      </c>
      <c r="R7588">
        <v>347</v>
      </c>
      <c r="S7588">
        <v>0</v>
      </c>
    </row>
    <row r="7589" spans="11:19" x14ac:dyDescent="0.3">
      <c r="K7589" s="16">
        <f t="shared" si="118"/>
        <v>44332</v>
      </c>
      <c r="L7589" s="17">
        <v>0.125</v>
      </c>
      <c r="M7589" s="14">
        <v>884</v>
      </c>
      <c r="N7589" s="14">
        <v>1321</v>
      </c>
      <c r="O7589" s="14">
        <v>0</v>
      </c>
      <c r="P7589" s="14">
        <v>2205</v>
      </c>
      <c r="Q7589">
        <v>7858</v>
      </c>
      <c r="R7589">
        <v>361</v>
      </c>
      <c r="S7589">
        <v>0</v>
      </c>
    </row>
    <row r="7590" spans="11:19" x14ac:dyDescent="0.3">
      <c r="K7590" s="16">
        <f t="shared" si="118"/>
        <v>44332</v>
      </c>
      <c r="L7590" s="17">
        <v>0.16666666666666666</v>
      </c>
      <c r="M7590" s="14">
        <v>884</v>
      </c>
      <c r="N7590" s="14">
        <v>0</v>
      </c>
      <c r="O7590" s="14">
        <v>1155</v>
      </c>
      <c r="P7590" s="14">
        <v>2039</v>
      </c>
      <c r="Q7590">
        <v>7652</v>
      </c>
      <c r="R7590">
        <v>315</v>
      </c>
      <c r="S7590">
        <v>0</v>
      </c>
    </row>
    <row r="7591" spans="11:19" x14ac:dyDescent="0.3">
      <c r="K7591" s="16">
        <f t="shared" si="118"/>
        <v>44332</v>
      </c>
      <c r="L7591" s="17">
        <v>0.20833333333333334</v>
      </c>
      <c r="M7591" s="14">
        <v>884</v>
      </c>
      <c r="N7591" s="14">
        <v>0</v>
      </c>
      <c r="O7591" s="14">
        <v>1200</v>
      </c>
      <c r="P7591" s="14">
        <v>2084</v>
      </c>
      <c r="Q7591">
        <v>7723</v>
      </c>
      <c r="R7591">
        <v>296</v>
      </c>
      <c r="S7591">
        <v>0</v>
      </c>
    </row>
    <row r="7592" spans="11:19" x14ac:dyDescent="0.3">
      <c r="K7592" s="16">
        <f t="shared" si="118"/>
        <v>44332</v>
      </c>
      <c r="L7592" s="17">
        <v>0.25</v>
      </c>
      <c r="M7592" s="14">
        <v>884</v>
      </c>
      <c r="N7592" s="14">
        <v>0</v>
      </c>
      <c r="O7592" s="14">
        <v>0</v>
      </c>
      <c r="P7592" s="14">
        <v>884</v>
      </c>
      <c r="Q7592">
        <v>7791</v>
      </c>
      <c r="R7592">
        <v>336</v>
      </c>
      <c r="S7592">
        <v>23</v>
      </c>
    </row>
    <row r="7593" spans="11:19" x14ac:dyDescent="0.3">
      <c r="K7593" s="16">
        <f t="shared" si="118"/>
        <v>44332</v>
      </c>
      <c r="L7593" s="17">
        <v>0.29166666666666669</v>
      </c>
      <c r="M7593" s="14">
        <v>884</v>
      </c>
      <c r="N7593" s="14">
        <v>0</v>
      </c>
      <c r="O7593" s="14">
        <v>0</v>
      </c>
      <c r="P7593" s="14">
        <v>884</v>
      </c>
      <c r="Q7593">
        <v>8018</v>
      </c>
      <c r="R7593">
        <v>412</v>
      </c>
      <c r="S7593">
        <v>226</v>
      </c>
    </row>
    <row r="7594" spans="11:19" x14ac:dyDescent="0.3">
      <c r="K7594" s="16">
        <f t="shared" si="118"/>
        <v>44332</v>
      </c>
      <c r="L7594" s="17">
        <v>0.33333333333333331</v>
      </c>
      <c r="M7594" s="14">
        <v>884</v>
      </c>
      <c r="N7594" s="14">
        <v>0</v>
      </c>
      <c r="O7594" s="14">
        <v>0</v>
      </c>
      <c r="P7594" s="14">
        <v>884</v>
      </c>
      <c r="Q7594">
        <v>8408</v>
      </c>
      <c r="R7594">
        <v>566</v>
      </c>
      <c r="S7594">
        <v>723</v>
      </c>
    </row>
    <row r="7595" spans="11:19" x14ac:dyDescent="0.3">
      <c r="K7595" s="16">
        <f t="shared" si="118"/>
        <v>44332</v>
      </c>
      <c r="L7595" s="17">
        <v>0.375</v>
      </c>
      <c r="M7595" s="14">
        <v>884</v>
      </c>
      <c r="N7595" s="14">
        <v>0</v>
      </c>
      <c r="O7595" s="14">
        <v>474</v>
      </c>
      <c r="P7595" s="14">
        <v>1358</v>
      </c>
      <c r="Q7595">
        <v>8746</v>
      </c>
      <c r="R7595">
        <v>662</v>
      </c>
      <c r="S7595">
        <v>1366</v>
      </c>
    </row>
    <row r="7596" spans="11:19" x14ac:dyDescent="0.3">
      <c r="K7596" s="16">
        <f t="shared" si="118"/>
        <v>44332</v>
      </c>
      <c r="L7596" s="17">
        <v>0.41666666666666669</v>
      </c>
      <c r="M7596" s="14">
        <v>884</v>
      </c>
      <c r="N7596" s="14">
        <v>0</v>
      </c>
      <c r="O7596" s="14">
        <v>-121</v>
      </c>
      <c r="P7596" s="14">
        <v>763</v>
      </c>
      <c r="Q7596">
        <v>8864</v>
      </c>
      <c r="R7596">
        <v>840</v>
      </c>
      <c r="S7596">
        <v>1903</v>
      </c>
    </row>
    <row r="7597" spans="11:19" x14ac:dyDescent="0.3">
      <c r="K7597" s="16">
        <f t="shared" si="118"/>
        <v>44332</v>
      </c>
      <c r="L7597" s="17">
        <v>0.45833333333333331</v>
      </c>
      <c r="M7597" s="14">
        <v>884</v>
      </c>
      <c r="N7597" s="14">
        <v>0</v>
      </c>
      <c r="O7597" s="14">
        <v>-498</v>
      </c>
      <c r="P7597" s="14">
        <v>386</v>
      </c>
      <c r="Q7597">
        <v>8955</v>
      </c>
      <c r="R7597">
        <v>948</v>
      </c>
      <c r="S7597">
        <v>2264</v>
      </c>
    </row>
    <row r="7598" spans="11:19" x14ac:dyDescent="0.3">
      <c r="K7598" s="16">
        <f t="shared" si="118"/>
        <v>44332</v>
      </c>
      <c r="L7598" s="17">
        <v>0.5</v>
      </c>
      <c r="M7598" s="14">
        <v>884</v>
      </c>
      <c r="N7598" s="14">
        <v>0</v>
      </c>
      <c r="O7598" s="14">
        <v>-221</v>
      </c>
      <c r="P7598" s="14">
        <v>663</v>
      </c>
      <c r="Q7598">
        <v>9226</v>
      </c>
      <c r="R7598">
        <v>1001</v>
      </c>
      <c r="S7598">
        <v>2450</v>
      </c>
    </row>
    <row r="7599" spans="11:19" x14ac:dyDescent="0.3">
      <c r="K7599" s="16">
        <f t="shared" si="118"/>
        <v>44332</v>
      </c>
      <c r="L7599" s="17">
        <v>0.54166666666666663</v>
      </c>
      <c r="M7599" s="14">
        <v>884</v>
      </c>
      <c r="N7599" s="14">
        <v>0</v>
      </c>
      <c r="O7599" s="14">
        <v>-1037</v>
      </c>
      <c r="P7599" s="14">
        <v>-153</v>
      </c>
      <c r="Q7599">
        <v>8719</v>
      </c>
      <c r="R7599">
        <v>1219</v>
      </c>
      <c r="S7599">
        <v>2543</v>
      </c>
    </row>
    <row r="7600" spans="11:19" x14ac:dyDescent="0.3">
      <c r="K7600" s="16">
        <f t="shared" si="118"/>
        <v>44332</v>
      </c>
      <c r="L7600" s="17">
        <v>0.58333333333333337</v>
      </c>
      <c r="M7600" s="14">
        <v>884</v>
      </c>
      <c r="N7600" s="14">
        <v>0</v>
      </c>
      <c r="O7600" s="14">
        <v>-1200</v>
      </c>
      <c r="P7600" s="14">
        <v>-316</v>
      </c>
      <c r="Q7600">
        <v>8236</v>
      </c>
      <c r="R7600">
        <v>1373</v>
      </c>
      <c r="S7600">
        <v>2543</v>
      </c>
    </row>
    <row r="7601" spans="11:19" x14ac:dyDescent="0.3">
      <c r="K7601" s="16">
        <f t="shared" si="118"/>
        <v>44332</v>
      </c>
      <c r="L7601" s="17">
        <v>0.625</v>
      </c>
      <c r="M7601" s="14">
        <v>884</v>
      </c>
      <c r="N7601" s="14">
        <v>0</v>
      </c>
      <c r="O7601" s="14">
        <v>-1200</v>
      </c>
      <c r="P7601" s="14">
        <v>-316</v>
      </c>
      <c r="Q7601">
        <v>7787</v>
      </c>
      <c r="R7601">
        <v>1503</v>
      </c>
      <c r="S7601">
        <v>2412</v>
      </c>
    </row>
    <row r="7602" spans="11:19" x14ac:dyDescent="0.3">
      <c r="K7602" s="16">
        <f t="shared" si="118"/>
        <v>44332</v>
      </c>
      <c r="L7602" s="17">
        <v>0.66666666666666663</v>
      </c>
      <c r="M7602" s="14">
        <v>884</v>
      </c>
      <c r="N7602" s="14">
        <v>0</v>
      </c>
      <c r="O7602" s="14">
        <v>-1200</v>
      </c>
      <c r="P7602" s="14">
        <v>-316</v>
      </c>
      <c r="Q7602">
        <v>7557</v>
      </c>
      <c r="R7602">
        <v>1632</v>
      </c>
      <c r="S7602">
        <v>2137</v>
      </c>
    </row>
    <row r="7603" spans="11:19" x14ac:dyDescent="0.3">
      <c r="K7603" s="16">
        <f t="shared" si="118"/>
        <v>44332</v>
      </c>
      <c r="L7603" s="17">
        <v>0.70833333333333337</v>
      </c>
      <c r="M7603" s="14">
        <v>884</v>
      </c>
      <c r="N7603" s="14">
        <v>0</v>
      </c>
      <c r="O7603" s="14">
        <v>-1200</v>
      </c>
      <c r="P7603" s="14">
        <v>-316</v>
      </c>
      <c r="Q7603">
        <v>7581</v>
      </c>
      <c r="R7603">
        <v>1840</v>
      </c>
      <c r="S7603">
        <v>1683</v>
      </c>
    </row>
    <row r="7604" spans="11:19" x14ac:dyDescent="0.3">
      <c r="K7604" s="16">
        <f t="shared" si="118"/>
        <v>44332</v>
      </c>
      <c r="L7604" s="17">
        <v>0.75</v>
      </c>
      <c r="M7604" s="14">
        <v>884</v>
      </c>
      <c r="N7604" s="14">
        <v>0</v>
      </c>
      <c r="O7604" s="14">
        <v>-870</v>
      </c>
      <c r="P7604" s="14">
        <v>14</v>
      </c>
      <c r="Q7604">
        <v>8004</v>
      </c>
      <c r="R7604">
        <v>1654</v>
      </c>
      <c r="S7604">
        <v>1081</v>
      </c>
    </row>
    <row r="7605" spans="11:19" x14ac:dyDescent="0.3">
      <c r="K7605" s="16">
        <f t="shared" si="118"/>
        <v>44332</v>
      </c>
      <c r="L7605" s="17">
        <v>0.79166666666666663</v>
      </c>
      <c r="M7605" s="14">
        <v>884</v>
      </c>
      <c r="N7605" s="14">
        <v>0</v>
      </c>
      <c r="O7605" s="14">
        <v>0</v>
      </c>
      <c r="P7605" s="14">
        <v>884</v>
      </c>
      <c r="Q7605">
        <v>8232</v>
      </c>
      <c r="R7605">
        <v>1429</v>
      </c>
      <c r="S7605">
        <v>507</v>
      </c>
    </row>
    <row r="7606" spans="11:19" x14ac:dyDescent="0.3">
      <c r="K7606" s="16">
        <f t="shared" si="118"/>
        <v>44332</v>
      </c>
      <c r="L7606" s="17">
        <v>0.83333333333333337</v>
      </c>
      <c r="M7606" s="14">
        <v>884</v>
      </c>
      <c r="N7606" s="14">
        <v>575</v>
      </c>
      <c r="O7606" s="14">
        <v>0</v>
      </c>
      <c r="P7606" s="14">
        <v>1459</v>
      </c>
      <c r="Q7606">
        <v>8173</v>
      </c>
      <c r="R7606">
        <v>1353</v>
      </c>
      <c r="S7606">
        <v>115</v>
      </c>
    </row>
    <row r="7607" spans="11:19" x14ac:dyDescent="0.3">
      <c r="K7607" s="16">
        <f t="shared" si="118"/>
        <v>44332</v>
      </c>
      <c r="L7607" s="17">
        <v>0.875</v>
      </c>
      <c r="M7607" s="14">
        <v>884</v>
      </c>
      <c r="N7607" s="14">
        <v>0</v>
      </c>
      <c r="O7607" s="14">
        <v>133</v>
      </c>
      <c r="P7607" s="14">
        <v>1017</v>
      </c>
      <c r="Q7607">
        <v>8303</v>
      </c>
      <c r="R7607">
        <v>1171</v>
      </c>
      <c r="S7607">
        <v>9</v>
      </c>
    </row>
    <row r="7608" spans="11:19" x14ac:dyDescent="0.3">
      <c r="K7608" s="16">
        <f t="shared" si="118"/>
        <v>44332</v>
      </c>
      <c r="L7608" s="17">
        <v>0.91666666666666663</v>
      </c>
      <c r="M7608" s="14">
        <v>884</v>
      </c>
      <c r="N7608" s="14">
        <v>1335</v>
      </c>
      <c r="O7608" s="14">
        <v>0</v>
      </c>
      <c r="P7608" s="14">
        <v>2219</v>
      </c>
      <c r="Q7608">
        <v>8720</v>
      </c>
      <c r="R7608">
        <v>1176</v>
      </c>
      <c r="S7608">
        <v>0</v>
      </c>
    </row>
    <row r="7609" spans="11:19" x14ac:dyDescent="0.3">
      <c r="K7609" s="16">
        <f t="shared" si="118"/>
        <v>44332</v>
      </c>
      <c r="L7609" s="17">
        <v>0.95833333333333337</v>
      </c>
      <c r="M7609" s="14">
        <v>884</v>
      </c>
      <c r="N7609" s="14">
        <v>1449</v>
      </c>
      <c r="O7609" s="14">
        <v>149</v>
      </c>
      <c r="P7609" s="14">
        <v>2482</v>
      </c>
      <c r="Q7609">
        <v>8982</v>
      </c>
      <c r="R7609">
        <v>1190</v>
      </c>
      <c r="S7609">
        <v>0</v>
      </c>
    </row>
    <row r="7610" spans="11:19" x14ac:dyDescent="0.3">
      <c r="K7610" s="16">
        <f t="shared" si="118"/>
        <v>44333</v>
      </c>
      <c r="L7610" s="17">
        <v>0</v>
      </c>
      <c r="M7610" s="14">
        <v>884</v>
      </c>
      <c r="N7610" s="14">
        <v>0</v>
      </c>
      <c r="O7610" s="14">
        <v>0</v>
      </c>
      <c r="P7610" s="14">
        <v>884</v>
      </c>
      <c r="Q7610">
        <v>8509</v>
      </c>
      <c r="R7610">
        <v>1201</v>
      </c>
      <c r="S7610">
        <v>0</v>
      </c>
    </row>
    <row r="7611" spans="11:19" x14ac:dyDescent="0.3">
      <c r="K7611" s="16">
        <f t="shared" si="118"/>
        <v>44333</v>
      </c>
      <c r="L7611" s="17">
        <v>4.1666666666666664E-2</v>
      </c>
      <c r="M7611" s="14">
        <v>884</v>
      </c>
      <c r="N7611" s="14">
        <v>969</v>
      </c>
      <c r="O7611" s="14">
        <v>0</v>
      </c>
      <c r="P7611" s="14">
        <v>1853</v>
      </c>
      <c r="Q7611">
        <v>8212</v>
      </c>
      <c r="R7611">
        <v>1061</v>
      </c>
      <c r="S7611">
        <v>0</v>
      </c>
    </row>
    <row r="7612" spans="11:19" x14ac:dyDescent="0.3">
      <c r="K7612" s="16">
        <f t="shared" si="118"/>
        <v>44333</v>
      </c>
      <c r="L7612" s="17">
        <v>8.3333333333333329E-2</v>
      </c>
      <c r="M7612" s="14">
        <v>884</v>
      </c>
      <c r="N7612" s="14">
        <v>803</v>
      </c>
      <c r="O7612" s="14">
        <v>0</v>
      </c>
      <c r="P7612" s="14">
        <v>1687</v>
      </c>
      <c r="Q7612">
        <v>7960</v>
      </c>
      <c r="R7612">
        <v>975</v>
      </c>
      <c r="S7612">
        <v>0</v>
      </c>
    </row>
    <row r="7613" spans="11:19" x14ac:dyDescent="0.3">
      <c r="K7613" s="16">
        <f t="shared" si="118"/>
        <v>44333</v>
      </c>
      <c r="L7613" s="17">
        <v>0.125</v>
      </c>
      <c r="M7613" s="14">
        <v>884</v>
      </c>
      <c r="N7613" s="14">
        <v>643</v>
      </c>
      <c r="O7613" s="14">
        <v>0</v>
      </c>
      <c r="P7613" s="14">
        <v>1527</v>
      </c>
      <c r="Q7613">
        <v>7620</v>
      </c>
      <c r="R7613">
        <v>873</v>
      </c>
      <c r="S7613">
        <v>0</v>
      </c>
    </row>
    <row r="7614" spans="11:19" x14ac:dyDescent="0.3">
      <c r="K7614" s="16">
        <f t="shared" si="118"/>
        <v>44333</v>
      </c>
      <c r="L7614" s="17">
        <v>0.16666666666666666</v>
      </c>
      <c r="M7614" s="14">
        <v>884</v>
      </c>
      <c r="N7614" s="14">
        <v>0</v>
      </c>
      <c r="O7614" s="14">
        <v>0</v>
      </c>
      <c r="P7614" s="14">
        <v>884</v>
      </c>
      <c r="Q7614">
        <v>7633</v>
      </c>
      <c r="R7614">
        <v>888</v>
      </c>
      <c r="S7614">
        <v>0</v>
      </c>
    </row>
    <row r="7615" spans="11:19" x14ac:dyDescent="0.3">
      <c r="K7615" s="16">
        <f t="shared" si="118"/>
        <v>44333</v>
      </c>
      <c r="L7615" s="17">
        <v>0.20833333333333334</v>
      </c>
      <c r="M7615" s="14">
        <v>884</v>
      </c>
      <c r="N7615" s="14">
        <v>1269</v>
      </c>
      <c r="O7615" s="14">
        <v>0</v>
      </c>
      <c r="P7615" s="14">
        <v>2153</v>
      </c>
      <c r="Q7615">
        <v>8198</v>
      </c>
      <c r="R7615">
        <v>804</v>
      </c>
      <c r="S7615">
        <v>0</v>
      </c>
    </row>
    <row r="7616" spans="11:19" x14ac:dyDescent="0.3">
      <c r="K7616" s="16">
        <f t="shared" si="118"/>
        <v>44333</v>
      </c>
      <c r="L7616" s="17">
        <v>0.25</v>
      </c>
      <c r="M7616" s="14">
        <v>884</v>
      </c>
      <c r="N7616" s="14">
        <v>2224</v>
      </c>
      <c r="O7616" s="14">
        <v>0</v>
      </c>
      <c r="P7616" s="14">
        <v>3108</v>
      </c>
      <c r="Q7616">
        <v>9176</v>
      </c>
      <c r="R7616">
        <v>777</v>
      </c>
      <c r="S7616">
        <v>13</v>
      </c>
    </row>
    <row r="7617" spans="11:19" x14ac:dyDescent="0.3">
      <c r="K7617" s="16">
        <f t="shared" si="118"/>
        <v>44333</v>
      </c>
      <c r="L7617" s="17">
        <v>0.29166666666666669</v>
      </c>
      <c r="M7617" s="14">
        <v>884</v>
      </c>
      <c r="N7617" s="14">
        <v>2599</v>
      </c>
      <c r="O7617" s="14">
        <v>0</v>
      </c>
      <c r="P7617" s="14">
        <v>3483</v>
      </c>
      <c r="Q7617">
        <v>10098</v>
      </c>
      <c r="R7617">
        <v>708</v>
      </c>
      <c r="S7617">
        <v>271</v>
      </c>
    </row>
    <row r="7618" spans="11:19" x14ac:dyDescent="0.3">
      <c r="K7618" s="16">
        <f t="shared" si="118"/>
        <v>44333</v>
      </c>
      <c r="L7618" s="17">
        <v>0.33333333333333331</v>
      </c>
      <c r="M7618" s="14">
        <v>884</v>
      </c>
      <c r="N7618" s="14">
        <v>2599</v>
      </c>
      <c r="O7618" s="14">
        <v>0</v>
      </c>
      <c r="P7618" s="14">
        <v>3483</v>
      </c>
      <c r="Q7618">
        <v>10507</v>
      </c>
      <c r="R7618">
        <v>772</v>
      </c>
      <c r="S7618">
        <v>706</v>
      </c>
    </row>
    <row r="7619" spans="11:19" x14ac:dyDescent="0.3">
      <c r="K7619" s="16">
        <f t="shared" si="118"/>
        <v>44333</v>
      </c>
      <c r="L7619" s="17">
        <v>0.375</v>
      </c>
      <c r="M7619" s="14">
        <v>884</v>
      </c>
      <c r="N7619" s="14">
        <v>0</v>
      </c>
      <c r="O7619" s="14">
        <v>0</v>
      </c>
      <c r="P7619" s="14">
        <v>884</v>
      </c>
      <c r="Q7619">
        <v>10618</v>
      </c>
      <c r="R7619">
        <v>993</v>
      </c>
      <c r="S7619">
        <v>1179</v>
      </c>
    </row>
    <row r="7620" spans="11:19" x14ac:dyDescent="0.3">
      <c r="K7620" s="16">
        <f t="shared" si="118"/>
        <v>44333</v>
      </c>
      <c r="L7620" s="17">
        <v>0.41666666666666669</v>
      </c>
      <c r="M7620" s="14">
        <v>884</v>
      </c>
      <c r="N7620" s="14">
        <v>0</v>
      </c>
      <c r="O7620" s="14">
        <v>0</v>
      </c>
      <c r="P7620" s="14">
        <v>884</v>
      </c>
      <c r="Q7620">
        <v>10527</v>
      </c>
      <c r="R7620">
        <v>966</v>
      </c>
      <c r="S7620">
        <v>1486</v>
      </c>
    </row>
    <row r="7621" spans="11:19" x14ac:dyDescent="0.3">
      <c r="K7621" s="16">
        <f t="shared" si="118"/>
        <v>44333</v>
      </c>
      <c r="L7621" s="17">
        <v>0.45833333333333331</v>
      </c>
      <c r="M7621" s="14">
        <v>884</v>
      </c>
      <c r="N7621" s="14">
        <v>1320</v>
      </c>
      <c r="O7621" s="14">
        <v>0</v>
      </c>
      <c r="P7621" s="14">
        <v>2204</v>
      </c>
      <c r="Q7621">
        <v>10466</v>
      </c>
      <c r="R7621">
        <v>1009</v>
      </c>
      <c r="S7621">
        <v>1720</v>
      </c>
    </row>
    <row r="7622" spans="11:19" x14ac:dyDescent="0.3">
      <c r="K7622" s="16">
        <f t="shared" si="118"/>
        <v>44333</v>
      </c>
      <c r="L7622" s="17">
        <v>0.5</v>
      </c>
      <c r="M7622" s="14">
        <v>884</v>
      </c>
      <c r="N7622" s="14">
        <v>0</v>
      </c>
      <c r="O7622" s="14">
        <v>0</v>
      </c>
      <c r="P7622" s="14">
        <v>884</v>
      </c>
      <c r="Q7622">
        <v>10421</v>
      </c>
      <c r="R7622">
        <v>1216</v>
      </c>
      <c r="S7622">
        <v>1864</v>
      </c>
    </row>
    <row r="7623" spans="11:19" x14ac:dyDescent="0.3">
      <c r="K7623" s="16">
        <f t="shared" si="118"/>
        <v>44333</v>
      </c>
      <c r="L7623" s="17">
        <v>0.54166666666666663</v>
      </c>
      <c r="M7623" s="14">
        <v>884</v>
      </c>
      <c r="N7623" s="14">
        <v>1020</v>
      </c>
      <c r="O7623" s="14">
        <v>0</v>
      </c>
      <c r="P7623" s="14">
        <v>1904</v>
      </c>
      <c r="Q7623">
        <v>10138</v>
      </c>
      <c r="R7623">
        <v>1103</v>
      </c>
      <c r="S7623">
        <v>1928</v>
      </c>
    </row>
    <row r="7624" spans="11:19" x14ac:dyDescent="0.3">
      <c r="K7624" s="16">
        <f t="shared" si="118"/>
        <v>44333</v>
      </c>
      <c r="L7624" s="17">
        <v>0.58333333333333337</v>
      </c>
      <c r="M7624" s="14">
        <v>884</v>
      </c>
      <c r="N7624" s="14">
        <v>716</v>
      </c>
      <c r="O7624" s="14">
        <v>0</v>
      </c>
      <c r="P7624" s="14">
        <v>1600</v>
      </c>
      <c r="Q7624">
        <v>9858</v>
      </c>
      <c r="R7624">
        <v>1145</v>
      </c>
      <c r="S7624">
        <v>1908</v>
      </c>
    </row>
    <row r="7625" spans="11:19" x14ac:dyDescent="0.3">
      <c r="K7625" s="16">
        <f t="shared" si="118"/>
        <v>44333</v>
      </c>
      <c r="L7625" s="17">
        <v>0.625</v>
      </c>
      <c r="M7625" s="14">
        <v>884</v>
      </c>
      <c r="N7625" s="14">
        <v>0</v>
      </c>
      <c r="O7625" s="14">
        <v>0</v>
      </c>
      <c r="P7625" s="14">
        <v>884</v>
      </c>
      <c r="Q7625">
        <v>9509</v>
      </c>
      <c r="R7625">
        <v>1140</v>
      </c>
      <c r="S7625">
        <v>1807</v>
      </c>
    </row>
    <row r="7626" spans="11:19" x14ac:dyDescent="0.3">
      <c r="K7626" s="16">
        <f t="shared" si="118"/>
        <v>44333</v>
      </c>
      <c r="L7626" s="17">
        <v>0.66666666666666663</v>
      </c>
      <c r="M7626" s="14">
        <v>884</v>
      </c>
      <c r="N7626" s="14">
        <v>571</v>
      </c>
      <c r="O7626" s="14">
        <v>0</v>
      </c>
      <c r="P7626" s="14">
        <v>1455</v>
      </c>
      <c r="Q7626">
        <v>9267</v>
      </c>
      <c r="R7626">
        <v>1086</v>
      </c>
      <c r="S7626">
        <v>1523</v>
      </c>
    </row>
    <row r="7627" spans="11:19" x14ac:dyDescent="0.3">
      <c r="K7627" s="16">
        <f t="shared" si="118"/>
        <v>44333</v>
      </c>
      <c r="L7627" s="17">
        <v>0.70833333333333337</v>
      </c>
      <c r="M7627" s="14">
        <v>884</v>
      </c>
      <c r="N7627" s="14">
        <v>697</v>
      </c>
      <c r="O7627" s="14">
        <v>0</v>
      </c>
      <c r="P7627" s="14">
        <v>1581</v>
      </c>
      <c r="Q7627">
        <v>9207</v>
      </c>
      <c r="R7627">
        <v>1224</v>
      </c>
      <c r="S7627">
        <v>1200</v>
      </c>
    </row>
    <row r="7628" spans="11:19" x14ac:dyDescent="0.3">
      <c r="K7628" s="16">
        <f t="shared" si="118"/>
        <v>44333</v>
      </c>
      <c r="L7628" s="17">
        <v>0.75</v>
      </c>
      <c r="M7628" s="14">
        <v>884</v>
      </c>
      <c r="N7628" s="14">
        <v>1413</v>
      </c>
      <c r="O7628" s="14">
        <v>0</v>
      </c>
      <c r="P7628" s="14">
        <v>2297</v>
      </c>
      <c r="Q7628">
        <v>9574</v>
      </c>
      <c r="R7628">
        <v>1148</v>
      </c>
      <c r="S7628">
        <v>690</v>
      </c>
    </row>
    <row r="7629" spans="11:19" x14ac:dyDescent="0.3">
      <c r="K7629" s="16">
        <f t="shared" si="118"/>
        <v>44333</v>
      </c>
      <c r="L7629" s="17">
        <v>0.79166666666666663</v>
      </c>
      <c r="M7629" s="14">
        <v>884</v>
      </c>
      <c r="N7629" s="14">
        <v>1745</v>
      </c>
      <c r="O7629" s="14">
        <v>0</v>
      </c>
      <c r="P7629" s="14">
        <v>2629</v>
      </c>
      <c r="Q7629">
        <v>9530</v>
      </c>
      <c r="R7629">
        <v>1128</v>
      </c>
      <c r="S7629">
        <v>345</v>
      </c>
    </row>
    <row r="7630" spans="11:19" x14ac:dyDescent="0.3">
      <c r="K7630" s="16">
        <f t="shared" si="118"/>
        <v>44333</v>
      </c>
      <c r="L7630" s="17">
        <v>0.83333333333333337</v>
      </c>
      <c r="M7630" s="14">
        <v>884</v>
      </c>
      <c r="N7630" s="14">
        <v>0</v>
      </c>
      <c r="O7630" s="14">
        <v>0</v>
      </c>
      <c r="P7630" s="14">
        <v>884</v>
      </c>
      <c r="Q7630">
        <v>9074</v>
      </c>
      <c r="R7630">
        <v>1093</v>
      </c>
      <c r="S7630">
        <v>65</v>
      </c>
    </row>
    <row r="7631" spans="11:19" x14ac:dyDescent="0.3">
      <c r="K7631" s="16">
        <f t="shared" si="118"/>
        <v>44333</v>
      </c>
      <c r="L7631" s="17">
        <v>0.875</v>
      </c>
      <c r="M7631" s="14">
        <v>884</v>
      </c>
      <c r="N7631" s="14">
        <v>1601</v>
      </c>
      <c r="O7631" s="14">
        <v>0</v>
      </c>
      <c r="P7631" s="14">
        <v>2485</v>
      </c>
      <c r="Q7631">
        <v>8941</v>
      </c>
      <c r="R7631">
        <v>1041</v>
      </c>
      <c r="S7631">
        <v>6</v>
      </c>
    </row>
    <row r="7632" spans="11:19" x14ac:dyDescent="0.3">
      <c r="K7632" s="16">
        <f t="shared" si="118"/>
        <v>44333</v>
      </c>
      <c r="L7632" s="17">
        <v>0.91666666666666663</v>
      </c>
      <c r="M7632" s="14">
        <v>884</v>
      </c>
      <c r="N7632" s="14">
        <v>0</v>
      </c>
      <c r="O7632" s="14">
        <v>0</v>
      </c>
      <c r="P7632" s="14">
        <v>884</v>
      </c>
      <c r="Q7632">
        <v>9231</v>
      </c>
      <c r="R7632">
        <v>963</v>
      </c>
      <c r="S7632">
        <v>0</v>
      </c>
    </row>
    <row r="7633" spans="11:19" x14ac:dyDescent="0.3">
      <c r="K7633" s="16">
        <f t="shared" si="118"/>
        <v>44333</v>
      </c>
      <c r="L7633" s="17">
        <v>0.95833333333333337</v>
      </c>
      <c r="M7633" s="14">
        <v>884</v>
      </c>
      <c r="N7633" s="14">
        <v>0</v>
      </c>
      <c r="O7633" s="14">
        <v>0</v>
      </c>
      <c r="P7633" s="14">
        <v>884</v>
      </c>
      <c r="Q7633">
        <v>9355</v>
      </c>
      <c r="R7633">
        <v>959</v>
      </c>
      <c r="S7633">
        <v>0</v>
      </c>
    </row>
    <row r="7634" spans="11:19" x14ac:dyDescent="0.3">
      <c r="K7634" s="16">
        <f t="shared" si="118"/>
        <v>44334</v>
      </c>
      <c r="L7634" s="17">
        <v>0</v>
      </c>
      <c r="M7634" s="14">
        <v>884</v>
      </c>
      <c r="N7634" s="14">
        <v>0</v>
      </c>
      <c r="O7634" s="14">
        <v>0</v>
      </c>
      <c r="P7634" s="14">
        <v>884</v>
      </c>
      <c r="Q7634">
        <v>8748</v>
      </c>
      <c r="R7634">
        <v>869</v>
      </c>
      <c r="S7634">
        <v>0</v>
      </c>
    </row>
    <row r="7635" spans="11:19" x14ac:dyDescent="0.3">
      <c r="K7635" s="16">
        <f t="shared" si="118"/>
        <v>44334</v>
      </c>
      <c r="L7635" s="17">
        <v>4.1666666666666664E-2</v>
      </c>
      <c r="M7635" s="14">
        <v>884</v>
      </c>
      <c r="N7635" s="14">
        <v>1131</v>
      </c>
      <c r="O7635" s="14">
        <v>0</v>
      </c>
      <c r="P7635" s="14">
        <v>2015</v>
      </c>
      <c r="Q7635">
        <v>8342</v>
      </c>
      <c r="R7635">
        <v>869</v>
      </c>
      <c r="S7635">
        <v>0</v>
      </c>
    </row>
    <row r="7636" spans="11:19" x14ac:dyDescent="0.3">
      <c r="K7636" s="16">
        <f t="shared" si="118"/>
        <v>44334</v>
      </c>
      <c r="L7636" s="17">
        <v>8.3333333333333329E-2</v>
      </c>
      <c r="M7636" s="14">
        <v>884</v>
      </c>
      <c r="N7636" s="14">
        <v>852</v>
      </c>
      <c r="O7636" s="14">
        <v>0</v>
      </c>
      <c r="P7636" s="14">
        <v>1736</v>
      </c>
      <c r="Q7636">
        <v>8032</v>
      </c>
      <c r="R7636">
        <v>838</v>
      </c>
      <c r="S7636">
        <v>0</v>
      </c>
    </row>
    <row r="7637" spans="11:19" x14ac:dyDescent="0.3">
      <c r="K7637" s="16">
        <f t="shared" si="118"/>
        <v>44334</v>
      </c>
      <c r="L7637" s="17">
        <v>0.125</v>
      </c>
      <c r="M7637" s="14">
        <v>884</v>
      </c>
      <c r="N7637" s="14">
        <v>487</v>
      </c>
      <c r="O7637" s="14">
        <v>0</v>
      </c>
      <c r="P7637" s="14">
        <v>1371</v>
      </c>
      <c r="Q7637">
        <v>7640</v>
      </c>
      <c r="R7637">
        <v>809</v>
      </c>
      <c r="S7637">
        <v>0</v>
      </c>
    </row>
    <row r="7638" spans="11:19" x14ac:dyDescent="0.3">
      <c r="K7638" s="16">
        <f t="shared" si="118"/>
        <v>44334</v>
      </c>
      <c r="L7638" s="17">
        <v>0.16666666666666666</v>
      </c>
      <c r="M7638" s="14">
        <v>884</v>
      </c>
      <c r="N7638" s="14">
        <v>0</v>
      </c>
      <c r="O7638" s="14">
        <v>0</v>
      </c>
      <c r="P7638" s="14">
        <v>884</v>
      </c>
      <c r="Q7638">
        <v>7568</v>
      </c>
      <c r="R7638">
        <v>831</v>
      </c>
      <c r="S7638">
        <v>0</v>
      </c>
    </row>
    <row r="7639" spans="11:19" x14ac:dyDescent="0.3">
      <c r="K7639" s="16">
        <f t="shared" si="118"/>
        <v>44334</v>
      </c>
      <c r="L7639" s="17">
        <v>0.20833333333333334</v>
      </c>
      <c r="M7639" s="14">
        <v>884</v>
      </c>
      <c r="N7639" s="14">
        <v>746</v>
      </c>
      <c r="O7639" s="14">
        <v>0</v>
      </c>
      <c r="P7639" s="14">
        <v>1630</v>
      </c>
      <c r="Q7639">
        <v>7981</v>
      </c>
      <c r="R7639">
        <v>871</v>
      </c>
      <c r="S7639">
        <v>0</v>
      </c>
    </row>
    <row r="7640" spans="11:19" x14ac:dyDescent="0.3">
      <c r="K7640" s="16">
        <f t="shared" si="118"/>
        <v>44334</v>
      </c>
      <c r="L7640" s="17">
        <v>0.25</v>
      </c>
      <c r="M7640" s="14">
        <v>884</v>
      </c>
      <c r="N7640" s="14">
        <v>0</v>
      </c>
      <c r="O7640" s="14">
        <v>0</v>
      </c>
      <c r="P7640" s="14">
        <v>884</v>
      </c>
      <c r="Q7640">
        <v>8830</v>
      </c>
      <c r="R7640">
        <v>855</v>
      </c>
      <c r="S7640">
        <v>12</v>
      </c>
    </row>
    <row r="7641" spans="11:19" x14ac:dyDescent="0.3">
      <c r="K7641" s="16">
        <f t="shared" si="118"/>
        <v>44334</v>
      </c>
      <c r="L7641" s="17">
        <v>0.29166666666666669</v>
      </c>
      <c r="M7641" s="14">
        <v>884</v>
      </c>
      <c r="N7641" s="14">
        <v>0</v>
      </c>
      <c r="O7641" s="14">
        <v>0</v>
      </c>
      <c r="P7641" s="14">
        <v>884</v>
      </c>
      <c r="Q7641">
        <v>9720</v>
      </c>
      <c r="R7641">
        <v>793</v>
      </c>
      <c r="S7641">
        <v>131</v>
      </c>
    </row>
    <row r="7642" spans="11:19" x14ac:dyDescent="0.3">
      <c r="K7642" s="16">
        <f t="shared" si="118"/>
        <v>44334</v>
      </c>
      <c r="L7642" s="17">
        <v>0.33333333333333331</v>
      </c>
      <c r="M7642" s="14">
        <v>884</v>
      </c>
      <c r="N7642" s="14">
        <v>84</v>
      </c>
      <c r="O7642" s="14">
        <v>0</v>
      </c>
      <c r="P7642" s="14">
        <v>968</v>
      </c>
      <c r="Q7642">
        <v>10207</v>
      </c>
      <c r="R7642">
        <v>772</v>
      </c>
      <c r="S7642">
        <v>390</v>
      </c>
    </row>
    <row r="7643" spans="11:19" x14ac:dyDescent="0.3">
      <c r="K7643" s="16">
        <f t="shared" ref="K7643:K7706" si="119">K7619+1</f>
        <v>44334</v>
      </c>
      <c r="L7643" s="17">
        <v>0.375</v>
      </c>
      <c r="M7643" s="14">
        <v>884</v>
      </c>
      <c r="N7643" s="14">
        <v>567</v>
      </c>
      <c r="O7643" s="14">
        <v>0</v>
      </c>
      <c r="P7643" s="14">
        <v>1451</v>
      </c>
      <c r="Q7643">
        <v>10475</v>
      </c>
      <c r="R7643">
        <v>888</v>
      </c>
      <c r="S7643">
        <v>655</v>
      </c>
    </row>
    <row r="7644" spans="11:19" x14ac:dyDescent="0.3">
      <c r="K7644" s="16">
        <f t="shared" si="119"/>
        <v>44334</v>
      </c>
      <c r="L7644" s="17">
        <v>0.41666666666666669</v>
      </c>
      <c r="M7644" s="14">
        <v>884</v>
      </c>
      <c r="N7644" s="14">
        <v>0</v>
      </c>
      <c r="O7644" s="14">
        <v>0</v>
      </c>
      <c r="P7644" s="14">
        <v>884</v>
      </c>
      <c r="Q7644">
        <v>10552</v>
      </c>
      <c r="R7644">
        <v>1046</v>
      </c>
      <c r="S7644">
        <v>945</v>
      </c>
    </row>
    <row r="7645" spans="11:19" x14ac:dyDescent="0.3">
      <c r="K7645" s="16">
        <f t="shared" si="119"/>
        <v>44334</v>
      </c>
      <c r="L7645" s="17">
        <v>0.45833333333333331</v>
      </c>
      <c r="M7645" s="14">
        <v>884</v>
      </c>
      <c r="N7645" s="14">
        <v>0</v>
      </c>
      <c r="O7645" s="14">
        <v>0</v>
      </c>
      <c r="P7645" s="14">
        <v>884</v>
      </c>
      <c r="Q7645">
        <v>10645</v>
      </c>
      <c r="R7645">
        <v>913</v>
      </c>
      <c r="S7645">
        <v>1107</v>
      </c>
    </row>
    <row r="7646" spans="11:19" x14ac:dyDescent="0.3">
      <c r="K7646" s="16">
        <f t="shared" si="119"/>
        <v>44334</v>
      </c>
      <c r="L7646" s="17">
        <v>0.5</v>
      </c>
      <c r="M7646" s="14">
        <v>884</v>
      </c>
      <c r="N7646" s="14">
        <v>2193</v>
      </c>
      <c r="O7646" s="14">
        <v>0</v>
      </c>
      <c r="P7646" s="14">
        <v>3077</v>
      </c>
      <c r="Q7646">
        <v>10674</v>
      </c>
      <c r="R7646">
        <v>836</v>
      </c>
      <c r="S7646">
        <v>1234</v>
      </c>
    </row>
    <row r="7647" spans="11:19" x14ac:dyDescent="0.3">
      <c r="K7647" s="16">
        <f t="shared" si="119"/>
        <v>44334</v>
      </c>
      <c r="L7647" s="17">
        <v>0.54166666666666663</v>
      </c>
      <c r="M7647" s="14">
        <v>884</v>
      </c>
      <c r="N7647" s="14">
        <v>1866</v>
      </c>
      <c r="O7647" s="14">
        <v>0</v>
      </c>
      <c r="P7647" s="14">
        <v>2750</v>
      </c>
      <c r="Q7647">
        <v>10454</v>
      </c>
      <c r="R7647">
        <v>886</v>
      </c>
      <c r="S7647">
        <v>1295</v>
      </c>
    </row>
    <row r="7648" spans="11:19" x14ac:dyDescent="0.3">
      <c r="K7648" s="16">
        <f t="shared" si="119"/>
        <v>44334</v>
      </c>
      <c r="L7648" s="17">
        <v>0.58333333333333337</v>
      </c>
      <c r="M7648" s="14">
        <v>884</v>
      </c>
      <c r="N7648" s="14">
        <v>1619</v>
      </c>
      <c r="O7648" s="14">
        <v>0</v>
      </c>
      <c r="P7648" s="14">
        <v>2503</v>
      </c>
      <c r="Q7648">
        <v>10213</v>
      </c>
      <c r="R7648">
        <v>974</v>
      </c>
      <c r="S7648">
        <v>1372</v>
      </c>
    </row>
    <row r="7649" spans="11:19" x14ac:dyDescent="0.3">
      <c r="K7649" s="16">
        <f t="shared" si="119"/>
        <v>44334</v>
      </c>
      <c r="L7649" s="17">
        <v>0.625</v>
      </c>
      <c r="M7649" s="14">
        <v>884</v>
      </c>
      <c r="N7649" s="14">
        <v>1287</v>
      </c>
      <c r="O7649" s="14">
        <v>0</v>
      </c>
      <c r="P7649" s="14">
        <v>2171</v>
      </c>
      <c r="Q7649">
        <v>9851</v>
      </c>
      <c r="R7649">
        <v>959</v>
      </c>
      <c r="S7649">
        <v>1357</v>
      </c>
    </row>
    <row r="7650" spans="11:19" x14ac:dyDescent="0.3">
      <c r="K7650" s="16">
        <f t="shared" si="119"/>
        <v>44334</v>
      </c>
      <c r="L7650" s="17">
        <v>0.66666666666666663</v>
      </c>
      <c r="M7650" s="14">
        <v>884</v>
      </c>
      <c r="N7650" s="14">
        <v>1103</v>
      </c>
      <c r="O7650" s="14">
        <v>0</v>
      </c>
      <c r="P7650" s="14">
        <v>1987</v>
      </c>
      <c r="Q7650">
        <v>9597</v>
      </c>
      <c r="R7650">
        <v>939</v>
      </c>
      <c r="S7650">
        <v>1309</v>
      </c>
    </row>
    <row r="7651" spans="11:19" x14ac:dyDescent="0.3">
      <c r="K7651" s="16">
        <f t="shared" si="119"/>
        <v>44334</v>
      </c>
      <c r="L7651" s="17">
        <v>0.70833333333333337</v>
      </c>
      <c r="M7651" s="14">
        <v>884</v>
      </c>
      <c r="N7651" s="14">
        <v>0</v>
      </c>
      <c r="O7651" s="14">
        <v>0</v>
      </c>
      <c r="P7651" s="14">
        <v>884</v>
      </c>
      <c r="Q7651">
        <v>9491</v>
      </c>
      <c r="R7651">
        <v>1139</v>
      </c>
      <c r="S7651">
        <v>1109</v>
      </c>
    </row>
    <row r="7652" spans="11:19" x14ac:dyDescent="0.3">
      <c r="K7652" s="16">
        <f t="shared" si="119"/>
        <v>44334</v>
      </c>
      <c r="L7652" s="17">
        <v>0.75</v>
      </c>
      <c r="M7652" s="14">
        <v>884</v>
      </c>
      <c r="N7652" s="14">
        <v>1559</v>
      </c>
      <c r="O7652" s="14">
        <v>0</v>
      </c>
      <c r="P7652" s="14">
        <v>2443</v>
      </c>
      <c r="Q7652">
        <v>9811</v>
      </c>
      <c r="R7652">
        <v>1173</v>
      </c>
      <c r="S7652">
        <v>836</v>
      </c>
    </row>
    <row r="7653" spans="11:19" x14ac:dyDescent="0.3">
      <c r="K7653" s="16">
        <f t="shared" si="119"/>
        <v>44334</v>
      </c>
      <c r="L7653" s="17">
        <v>0.79166666666666663</v>
      </c>
      <c r="M7653" s="14">
        <v>884</v>
      </c>
      <c r="N7653" s="14">
        <v>1938</v>
      </c>
      <c r="O7653" s="14">
        <v>0</v>
      </c>
      <c r="P7653" s="14">
        <v>2822</v>
      </c>
      <c r="Q7653">
        <v>9822</v>
      </c>
      <c r="R7653">
        <v>1109</v>
      </c>
      <c r="S7653">
        <v>384</v>
      </c>
    </row>
    <row r="7654" spans="11:19" x14ac:dyDescent="0.3">
      <c r="K7654" s="16">
        <f t="shared" si="119"/>
        <v>44334</v>
      </c>
      <c r="L7654" s="17">
        <v>0.83333333333333337</v>
      </c>
      <c r="M7654" s="14">
        <v>884</v>
      </c>
      <c r="N7654" s="14">
        <v>0</v>
      </c>
      <c r="O7654" s="14">
        <v>0</v>
      </c>
      <c r="P7654" s="14">
        <v>884</v>
      </c>
      <c r="Q7654">
        <v>9381</v>
      </c>
      <c r="R7654">
        <v>1026</v>
      </c>
      <c r="S7654">
        <v>99</v>
      </c>
    </row>
    <row r="7655" spans="11:19" x14ac:dyDescent="0.3">
      <c r="K7655" s="16">
        <f t="shared" si="119"/>
        <v>44334</v>
      </c>
      <c r="L7655" s="17">
        <v>0.875</v>
      </c>
      <c r="M7655" s="14">
        <v>884</v>
      </c>
      <c r="N7655" s="14">
        <v>1823</v>
      </c>
      <c r="O7655" s="14">
        <v>0</v>
      </c>
      <c r="P7655" s="14">
        <v>2707</v>
      </c>
      <c r="Q7655">
        <v>9206</v>
      </c>
      <c r="R7655">
        <v>1001</v>
      </c>
      <c r="S7655">
        <v>10</v>
      </c>
    </row>
    <row r="7656" spans="11:19" x14ac:dyDescent="0.3">
      <c r="K7656" s="16">
        <f t="shared" si="119"/>
        <v>44334</v>
      </c>
      <c r="L7656" s="17">
        <v>0.91666666666666663</v>
      </c>
      <c r="M7656" s="14">
        <v>884</v>
      </c>
      <c r="N7656" s="14">
        <v>0</v>
      </c>
      <c r="O7656" s="14">
        <v>0</v>
      </c>
      <c r="P7656" s="14">
        <v>884</v>
      </c>
      <c r="Q7656">
        <v>9532</v>
      </c>
      <c r="R7656">
        <v>808</v>
      </c>
      <c r="S7656">
        <v>0</v>
      </c>
    </row>
    <row r="7657" spans="11:19" x14ac:dyDescent="0.3">
      <c r="K7657" s="16">
        <f t="shared" si="119"/>
        <v>44334</v>
      </c>
      <c r="L7657" s="17">
        <v>0.95833333333333337</v>
      </c>
      <c r="M7657" s="14">
        <v>884</v>
      </c>
      <c r="N7657" s="14">
        <v>2636</v>
      </c>
      <c r="O7657" s="14">
        <v>0</v>
      </c>
      <c r="P7657" s="14">
        <v>3520</v>
      </c>
      <c r="Q7657">
        <v>9675</v>
      </c>
      <c r="R7657">
        <v>692</v>
      </c>
      <c r="S7657">
        <v>0</v>
      </c>
    </row>
    <row r="7658" spans="11:19" x14ac:dyDescent="0.3">
      <c r="K7658" s="16">
        <f t="shared" si="119"/>
        <v>44335</v>
      </c>
      <c r="L7658" s="17">
        <v>0</v>
      </c>
      <c r="M7658" s="14">
        <v>884</v>
      </c>
      <c r="N7658" s="14">
        <v>2163</v>
      </c>
      <c r="O7658" s="14">
        <v>0</v>
      </c>
      <c r="P7658" s="14">
        <v>3047</v>
      </c>
      <c r="Q7658">
        <v>9059</v>
      </c>
      <c r="R7658">
        <v>712</v>
      </c>
      <c r="S7658">
        <v>0</v>
      </c>
    </row>
    <row r="7659" spans="11:19" x14ac:dyDescent="0.3">
      <c r="K7659" s="16">
        <f t="shared" si="119"/>
        <v>44335</v>
      </c>
      <c r="L7659" s="17">
        <v>4.1666666666666664E-2</v>
      </c>
      <c r="M7659" s="14">
        <v>884</v>
      </c>
      <c r="N7659" s="14">
        <v>1812</v>
      </c>
      <c r="O7659" s="14">
        <v>0</v>
      </c>
      <c r="P7659" s="14">
        <v>2696</v>
      </c>
      <c r="Q7659">
        <v>8676</v>
      </c>
      <c r="R7659">
        <v>683</v>
      </c>
      <c r="S7659">
        <v>0</v>
      </c>
    </row>
    <row r="7660" spans="11:19" x14ac:dyDescent="0.3">
      <c r="K7660" s="16">
        <f t="shared" si="119"/>
        <v>44335</v>
      </c>
      <c r="L7660" s="17">
        <v>8.3333333333333329E-2</v>
      </c>
      <c r="M7660" s="14">
        <v>884</v>
      </c>
      <c r="N7660" s="14">
        <v>0</v>
      </c>
      <c r="O7660" s="14">
        <v>0</v>
      </c>
      <c r="P7660" s="14">
        <v>884</v>
      </c>
      <c r="Q7660">
        <v>8394</v>
      </c>
      <c r="R7660">
        <v>730</v>
      </c>
      <c r="S7660">
        <v>0</v>
      </c>
    </row>
    <row r="7661" spans="11:19" x14ac:dyDescent="0.3">
      <c r="K7661" s="16">
        <f t="shared" si="119"/>
        <v>44335</v>
      </c>
      <c r="L7661" s="17">
        <v>0.125</v>
      </c>
      <c r="M7661" s="14">
        <v>884</v>
      </c>
      <c r="N7661" s="14">
        <v>0</v>
      </c>
      <c r="O7661" s="14">
        <v>0</v>
      </c>
      <c r="P7661" s="14">
        <v>884</v>
      </c>
      <c r="Q7661">
        <v>8030</v>
      </c>
      <c r="R7661">
        <v>688</v>
      </c>
      <c r="S7661">
        <v>0</v>
      </c>
    </row>
    <row r="7662" spans="11:19" x14ac:dyDescent="0.3">
      <c r="K7662" s="16">
        <f t="shared" si="119"/>
        <v>44335</v>
      </c>
      <c r="L7662" s="17">
        <v>0.16666666666666666</v>
      </c>
      <c r="M7662" s="14">
        <v>884</v>
      </c>
      <c r="N7662" s="14">
        <v>1167</v>
      </c>
      <c r="O7662" s="14">
        <v>0</v>
      </c>
      <c r="P7662" s="14">
        <v>2051</v>
      </c>
      <c r="Q7662">
        <v>7986</v>
      </c>
      <c r="R7662">
        <v>632</v>
      </c>
      <c r="S7662">
        <v>0</v>
      </c>
    </row>
    <row r="7663" spans="11:19" x14ac:dyDescent="0.3">
      <c r="K7663" s="16">
        <f t="shared" si="119"/>
        <v>44335</v>
      </c>
      <c r="L7663" s="17">
        <v>0.20833333333333334</v>
      </c>
      <c r="M7663" s="14">
        <v>884</v>
      </c>
      <c r="N7663" s="14">
        <v>1442</v>
      </c>
      <c r="O7663" s="14">
        <v>0</v>
      </c>
      <c r="P7663" s="14">
        <v>2326</v>
      </c>
      <c r="Q7663">
        <v>8429</v>
      </c>
      <c r="R7663">
        <v>624</v>
      </c>
      <c r="S7663">
        <v>0</v>
      </c>
    </row>
    <row r="7664" spans="11:19" x14ac:dyDescent="0.3">
      <c r="K7664" s="16">
        <f t="shared" si="119"/>
        <v>44335</v>
      </c>
      <c r="L7664" s="17">
        <v>0.25</v>
      </c>
      <c r="M7664" s="14">
        <v>884</v>
      </c>
      <c r="N7664" s="14">
        <v>2210</v>
      </c>
      <c r="O7664" s="14">
        <v>0</v>
      </c>
      <c r="P7664" s="14">
        <v>3094</v>
      </c>
      <c r="Q7664">
        <v>9286</v>
      </c>
      <c r="R7664">
        <v>651</v>
      </c>
      <c r="S7664">
        <v>25</v>
      </c>
    </row>
    <row r="7665" spans="11:19" x14ac:dyDescent="0.3">
      <c r="K7665" s="16">
        <f t="shared" si="119"/>
        <v>44335</v>
      </c>
      <c r="L7665" s="17">
        <v>0.29166666666666669</v>
      </c>
      <c r="M7665" s="14">
        <v>884</v>
      </c>
      <c r="N7665" s="14">
        <v>2783</v>
      </c>
      <c r="O7665" s="14">
        <v>121</v>
      </c>
      <c r="P7665" s="14">
        <v>3788</v>
      </c>
      <c r="Q7665">
        <v>10145</v>
      </c>
      <c r="R7665">
        <v>602</v>
      </c>
      <c r="S7665">
        <v>221</v>
      </c>
    </row>
    <row r="7666" spans="11:19" x14ac:dyDescent="0.3">
      <c r="K7666" s="16">
        <f t="shared" si="119"/>
        <v>44335</v>
      </c>
      <c r="L7666" s="17">
        <v>0.33333333333333331</v>
      </c>
      <c r="M7666" s="14">
        <v>884</v>
      </c>
      <c r="N7666" s="14">
        <v>2783</v>
      </c>
      <c r="O7666" s="14">
        <v>0</v>
      </c>
      <c r="P7666" s="14">
        <v>3667</v>
      </c>
      <c r="Q7666">
        <v>10546</v>
      </c>
      <c r="R7666">
        <v>646</v>
      </c>
      <c r="S7666">
        <v>673</v>
      </c>
    </row>
    <row r="7667" spans="11:19" x14ac:dyDescent="0.3">
      <c r="K7667" s="16">
        <f t="shared" si="119"/>
        <v>44335</v>
      </c>
      <c r="L7667" s="17">
        <v>0.375</v>
      </c>
      <c r="M7667" s="14">
        <v>884</v>
      </c>
      <c r="N7667" s="14">
        <v>2218</v>
      </c>
      <c r="O7667" s="14">
        <v>0</v>
      </c>
      <c r="P7667" s="14">
        <v>3102</v>
      </c>
      <c r="Q7667">
        <v>10680</v>
      </c>
      <c r="R7667">
        <v>771</v>
      </c>
      <c r="S7667">
        <v>1276</v>
      </c>
    </row>
    <row r="7668" spans="11:19" x14ac:dyDescent="0.3">
      <c r="K7668" s="16">
        <f t="shared" si="119"/>
        <v>44335</v>
      </c>
      <c r="L7668" s="17">
        <v>0.41666666666666669</v>
      </c>
      <c r="M7668" s="14">
        <v>884</v>
      </c>
      <c r="N7668" s="14">
        <v>2020</v>
      </c>
      <c r="O7668" s="14">
        <v>0</v>
      </c>
      <c r="P7668" s="14">
        <v>2904</v>
      </c>
      <c r="Q7668">
        <v>10650</v>
      </c>
      <c r="R7668">
        <v>953</v>
      </c>
      <c r="S7668">
        <v>1661</v>
      </c>
    </row>
    <row r="7669" spans="11:19" x14ac:dyDescent="0.3">
      <c r="K7669" s="16">
        <f t="shared" si="119"/>
        <v>44335</v>
      </c>
      <c r="L7669" s="17">
        <v>0.45833333333333331</v>
      </c>
      <c r="M7669" s="14">
        <v>884</v>
      </c>
      <c r="N7669" s="14">
        <v>1763</v>
      </c>
      <c r="O7669" s="14">
        <v>0</v>
      </c>
      <c r="P7669" s="14">
        <v>2647</v>
      </c>
      <c r="Q7669">
        <v>10681</v>
      </c>
      <c r="R7669">
        <v>942</v>
      </c>
      <c r="S7669">
        <v>1961</v>
      </c>
    </row>
    <row r="7670" spans="11:19" x14ac:dyDescent="0.3">
      <c r="K7670" s="16">
        <f t="shared" si="119"/>
        <v>44335</v>
      </c>
      <c r="L7670" s="17">
        <v>0.5</v>
      </c>
      <c r="M7670" s="14">
        <v>884</v>
      </c>
      <c r="N7670" s="14">
        <v>1692</v>
      </c>
      <c r="O7670" s="14">
        <v>0</v>
      </c>
      <c r="P7670" s="14">
        <v>2576</v>
      </c>
      <c r="Q7670">
        <v>10667</v>
      </c>
      <c r="R7670">
        <v>873</v>
      </c>
      <c r="S7670">
        <v>2093</v>
      </c>
    </row>
    <row r="7671" spans="11:19" x14ac:dyDescent="0.3">
      <c r="K7671" s="16">
        <f t="shared" si="119"/>
        <v>44335</v>
      </c>
      <c r="L7671" s="17">
        <v>0.54166666666666663</v>
      </c>
      <c r="M7671" s="14">
        <v>884</v>
      </c>
      <c r="N7671" s="14">
        <v>1148</v>
      </c>
      <c r="O7671" s="14">
        <v>0</v>
      </c>
      <c r="P7671" s="14">
        <v>2032</v>
      </c>
      <c r="Q7671">
        <v>10422</v>
      </c>
      <c r="R7671">
        <v>1103</v>
      </c>
      <c r="S7671">
        <v>2166</v>
      </c>
    </row>
    <row r="7672" spans="11:19" x14ac:dyDescent="0.3">
      <c r="K7672" s="16">
        <f t="shared" si="119"/>
        <v>44335</v>
      </c>
      <c r="L7672" s="17">
        <v>0.58333333333333337</v>
      </c>
      <c r="M7672" s="14">
        <v>884</v>
      </c>
      <c r="N7672" s="14">
        <v>641</v>
      </c>
      <c r="O7672" s="14">
        <v>0</v>
      </c>
      <c r="P7672" s="14">
        <v>1525</v>
      </c>
      <c r="Q7672">
        <v>10195</v>
      </c>
      <c r="R7672">
        <v>1303</v>
      </c>
      <c r="S7672">
        <v>2244</v>
      </c>
    </row>
    <row r="7673" spans="11:19" x14ac:dyDescent="0.3">
      <c r="K7673" s="16">
        <f t="shared" si="119"/>
        <v>44335</v>
      </c>
      <c r="L7673" s="17">
        <v>0.625</v>
      </c>
      <c r="M7673" s="14">
        <v>884</v>
      </c>
      <c r="N7673" s="14">
        <v>0</v>
      </c>
      <c r="O7673" s="14">
        <v>0</v>
      </c>
      <c r="P7673" s="14">
        <v>884</v>
      </c>
      <c r="Q7673">
        <v>9833</v>
      </c>
      <c r="R7673">
        <v>1472</v>
      </c>
      <c r="S7673">
        <v>2164</v>
      </c>
    </row>
    <row r="7674" spans="11:19" x14ac:dyDescent="0.3">
      <c r="K7674" s="16">
        <f t="shared" si="119"/>
        <v>44335</v>
      </c>
      <c r="L7674" s="17">
        <v>0.66666666666666663</v>
      </c>
      <c r="M7674" s="14">
        <v>884</v>
      </c>
      <c r="N7674" s="14">
        <v>0</v>
      </c>
      <c r="O7674" s="14">
        <v>-329</v>
      </c>
      <c r="P7674" s="14">
        <v>555</v>
      </c>
      <c r="Q7674">
        <v>9591</v>
      </c>
      <c r="R7674">
        <v>1851</v>
      </c>
      <c r="S7674">
        <v>1985</v>
      </c>
    </row>
    <row r="7675" spans="11:19" x14ac:dyDescent="0.3">
      <c r="K7675" s="16">
        <f t="shared" si="119"/>
        <v>44335</v>
      </c>
      <c r="L7675" s="17">
        <v>0.70833333333333337</v>
      </c>
      <c r="M7675" s="14">
        <v>884</v>
      </c>
      <c r="N7675" s="14">
        <v>0</v>
      </c>
      <c r="O7675" s="14">
        <v>-55</v>
      </c>
      <c r="P7675" s="14">
        <v>829</v>
      </c>
      <c r="Q7675">
        <v>9529</v>
      </c>
      <c r="R7675">
        <v>1935</v>
      </c>
      <c r="S7675">
        <v>1566</v>
      </c>
    </row>
    <row r="7676" spans="11:19" x14ac:dyDescent="0.3">
      <c r="K7676" s="16">
        <f t="shared" si="119"/>
        <v>44335</v>
      </c>
      <c r="L7676" s="17">
        <v>0.75</v>
      </c>
      <c r="M7676" s="14">
        <v>884</v>
      </c>
      <c r="N7676" s="14">
        <v>1249</v>
      </c>
      <c r="O7676" s="14">
        <v>0</v>
      </c>
      <c r="P7676" s="14">
        <v>2133</v>
      </c>
      <c r="Q7676">
        <v>9890</v>
      </c>
      <c r="R7676">
        <v>1555</v>
      </c>
      <c r="S7676">
        <v>1005</v>
      </c>
    </row>
    <row r="7677" spans="11:19" x14ac:dyDescent="0.3">
      <c r="K7677" s="16">
        <f t="shared" si="119"/>
        <v>44335</v>
      </c>
      <c r="L7677" s="17">
        <v>0.79166666666666663</v>
      </c>
      <c r="M7677" s="14">
        <v>884</v>
      </c>
      <c r="N7677" s="14">
        <v>2164</v>
      </c>
      <c r="O7677" s="14">
        <v>0</v>
      </c>
      <c r="P7677" s="14">
        <v>3048</v>
      </c>
      <c r="Q7677">
        <v>9995</v>
      </c>
      <c r="R7677">
        <v>1301</v>
      </c>
      <c r="S7677">
        <v>460</v>
      </c>
    </row>
    <row r="7678" spans="11:19" x14ac:dyDescent="0.3">
      <c r="K7678" s="16">
        <f t="shared" si="119"/>
        <v>44335</v>
      </c>
      <c r="L7678" s="17">
        <v>0.83333333333333337</v>
      </c>
      <c r="M7678" s="14">
        <v>884</v>
      </c>
      <c r="N7678" s="14">
        <v>0</v>
      </c>
      <c r="O7678" s="14">
        <v>0</v>
      </c>
      <c r="P7678" s="14">
        <v>884</v>
      </c>
      <c r="Q7678">
        <v>9516</v>
      </c>
      <c r="R7678">
        <v>1244</v>
      </c>
      <c r="S7678">
        <v>107</v>
      </c>
    </row>
    <row r="7679" spans="11:19" x14ac:dyDescent="0.3">
      <c r="K7679" s="16">
        <f t="shared" si="119"/>
        <v>44335</v>
      </c>
      <c r="L7679" s="17">
        <v>0.875</v>
      </c>
      <c r="M7679" s="14">
        <v>884</v>
      </c>
      <c r="N7679" s="14">
        <v>0</v>
      </c>
      <c r="O7679" s="14">
        <v>0</v>
      </c>
      <c r="P7679" s="14">
        <v>884</v>
      </c>
      <c r="Q7679">
        <v>9315</v>
      </c>
      <c r="R7679">
        <v>1306</v>
      </c>
      <c r="S7679">
        <v>9</v>
      </c>
    </row>
    <row r="7680" spans="11:19" x14ac:dyDescent="0.3">
      <c r="K7680" s="16">
        <f t="shared" si="119"/>
        <v>44335</v>
      </c>
      <c r="L7680" s="17">
        <v>0.91666666666666663</v>
      </c>
      <c r="M7680" s="14">
        <v>884</v>
      </c>
      <c r="N7680" s="14">
        <v>1983</v>
      </c>
      <c r="O7680" s="14">
        <v>0</v>
      </c>
      <c r="P7680" s="14">
        <v>2867</v>
      </c>
      <c r="Q7680">
        <v>9671</v>
      </c>
      <c r="R7680">
        <v>1324</v>
      </c>
      <c r="S7680">
        <v>0</v>
      </c>
    </row>
    <row r="7681" spans="11:19" x14ac:dyDescent="0.3">
      <c r="K7681" s="16">
        <f t="shared" si="119"/>
        <v>44335</v>
      </c>
      <c r="L7681" s="17">
        <v>0.95833333333333337</v>
      </c>
      <c r="M7681" s="14">
        <v>884</v>
      </c>
      <c r="N7681" s="14">
        <v>0</v>
      </c>
      <c r="O7681" s="14">
        <v>187</v>
      </c>
      <c r="P7681" s="14">
        <v>1071</v>
      </c>
      <c r="Q7681">
        <v>9840</v>
      </c>
      <c r="R7681">
        <v>1313</v>
      </c>
      <c r="S7681">
        <v>0</v>
      </c>
    </row>
    <row r="7682" spans="11:19" x14ac:dyDescent="0.3">
      <c r="K7682" s="16">
        <f t="shared" si="119"/>
        <v>44336</v>
      </c>
      <c r="L7682" s="17">
        <v>0</v>
      </c>
      <c r="M7682" s="14">
        <v>884</v>
      </c>
      <c r="N7682" s="14">
        <v>1581</v>
      </c>
      <c r="O7682" s="14">
        <v>0</v>
      </c>
      <c r="P7682" s="14">
        <v>2465</v>
      </c>
      <c r="Q7682">
        <v>9247</v>
      </c>
      <c r="R7682">
        <v>1323</v>
      </c>
      <c r="S7682">
        <v>0</v>
      </c>
    </row>
    <row r="7683" spans="11:19" x14ac:dyDescent="0.3">
      <c r="K7683" s="16">
        <f t="shared" si="119"/>
        <v>44336</v>
      </c>
      <c r="L7683" s="17">
        <v>4.1666666666666664E-2</v>
      </c>
      <c r="M7683" s="14">
        <v>884</v>
      </c>
      <c r="N7683" s="14">
        <v>0</v>
      </c>
      <c r="O7683" s="14">
        <v>0</v>
      </c>
      <c r="P7683" s="14">
        <v>884</v>
      </c>
      <c r="Q7683">
        <v>8879</v>
      </c>
      <c r="R7683">
        <v>1559</v>
      </c>
      <c r="S7683">
        <v>0</v>
      </c>
    </row>
    <row r="7684" spans="11:19" x14ac:dyDescent="0.3">
      <c r="K7684" s="16">
        <f t="shared" si="119"/>
        <v>44336</v>
      </c>
      <c r="L7684" s="17">
        <v>8.3333333333333329E-2</v>
      </c>
      <c r="M7684" s="14">
        <v>884</v>
      </c>
      <c r="N7684" s="14">
        <v>860</v>
      </c>
      <c r="O7684" s="14">
        <v>0</v>
      </c>
      <c r="P7684" s="14">
        <v>1744</v>
      </c>
      <c r="Q7684">
        <v>8606</v>
      </c>
      <c r="R7684">
        <v>1567</v>
      </c>
      <c r="S7684">
        <v>0</v>
      </c>
    </row>
    <row r="7685" spans="11:19" x14ac:dyDescent="0.3">
      <c r="K7685" s="16">
        <f t="shared" si="119"/>
        <v>44336</v>
      </c>
      <c r="L7685" s="17">
        <v>0.125</v>
      </c>
      <c r="M7685" s="14">
        <v>884</v>
      </c>
      <c r="N7685" s="14">
        <v>582</v>
      </c>
      <c r="O7685" s="14">
        <v>0</v>
      </c>
      <c r="P7685" s="14">
        <v>1466</v>
      </c>
      <c r="Q7685">
        <v>8243</v>
      </c>
      <c r="R7685">
        <v>1479</v>
      </c>
      <c r="S7685">
        <v>0</v>
      </c>
    </row>
    <row r="7686" spans="11:19" x14ac:dyDescent="0.3">
      <c r="K7686" s="16">
        <f t="shared" si="119"/>
        <v>44336</v>
      </c>
      <c r="L7686" s="17">
        <v>0.16666666666666666</v>
      </c>
      <c r="M7686" s="14">
        <v>884</v>
      </c>
      <c r="N7686" s="14">
        <v>686</v>
      </c>
      <c r="O7686" s="14">
        <v>0</v>
      </c>
      <c r="P7686" s="14">
        <v>1570</v>
      </c>
      <c r="Q7686">
        <v>8200</v>
      </c>
      <c r="R7686">
        <v>1328</v>
      </c>
      <c r="S7686">
        <v>0</v>
      </c>
    </row>
    <row r="7687" spans="11:19" x14ac:dyDescent="0.3">
      <c r="K7687" s="16">
        <f t="shared" si="119"/>
        <v>44336</v>
      </c>
      <c r="L7687" s="17">
        <v>0.20833333333333334</v>
      </c>
      <c r="M7687" s="14">
        <v>884</v>
      </c>
      <c r="N7687" s="14">
        <v>1162</v>
      </c>
      <c r="O7687" s="14">
        <v>0</v>
      </c>
      <c r="P7687" s="14">
        <v>2046</v>
      </c>
      <c r="Q7687">
        <v>8643</v>
      </c>
      <c r="R7687">
        <v>1279</v>
      </c>
      <c r="S7687">
        <v>0</v>
      </c>
    </row>
    <row r="7688" spans="11:19" x14ac:dyDescent="0.3">
      <c r="K7688" s="16">
        <f t="shared" si="119"/>
        <v>44336</v>
      </c>
      <c r="L7688" s="17">
        <v>0.25</v>
      </c>
      <c r="M7688" s="14">
        <v>884</v>
      </c>
      <c r="N7688" s="14">
        <v>2237</v>
      </c>
      <c r="O7688" s="14">
        <v>0</v>
      </c>
      <c r="P7688" s="14">
        <v>3121</v>
      </c>
      <c r="Q7688">
        <v>9494</v>
      </c>
      <c r="R7688">
        <v>834</v>
      </c>
      <c r="S7688">
        <v>24</v>
      </c>
    </row>
    <row r="7689" spans="11:19" x14ac:dyDescent="0.3">
      <c r="K7689" s="16">
        <f t="shared" si="119"/>
        <v>44336</v>
      </c>
      <c r="L7689" s="17">
        <v>0.29166666666666669</v>
      </c>
      <c r="M7689" s="14">
        <v>884</v>
      </c>
      <c r="N7689" s="14">
        <v>2942</v>
      </c>
      <c r="O7689" s="14">
        <v>0</v>
      </c>
      <c r="P7689" s="14">
        <v>3826</v>
      </c>
      <c r="Q7689">
        <v>10333</v>
      </c>
      <c r="R7689">
        <v>755</v>
      </c>
      <c r="S7689">
        <v>220</v>
      </c>
    </row>
    <row r="7690" spans="11:19" x14ac:dyDescent="0.3">
      <c r="K7690" s="16">
        <f t="shared" si="119"/>
        <v>44336</v>
      </c>
      <c r="L7690" s="17">
        <v>0.33333333333333331</v>
      </c>
      <c r="M7690" s="14">
        <v>884</v>
      </c>
      <c r="N7690" s="14">
        <v>334</v>
      </c>
      <c r="O7690" s="14">
        <v>0</v>
      </c>
      <c r="P7690" s="14">
        <v>1218</v>
      </c>
      <c r="Q7690">
        <v>10678</v>
      </c>
      <c r="R7690">
        <v>755</v>
      </c>
      <c r="S7690">
        <v>632</v>
      </c>
    </row>
    <row r="7691" spans="11:19" x14ac:dyDescent="0.3">
      <c r="K7691" s="16">
        <f t="shared" si="119"/>
        <v>44336</v>
      </c>
      <c r="L7691" s="17">
        <v>0.375</v>
      </c>
      <c r="M7691" s="14">
        <v>884</v>
      </c>
      <c r="N7691" s="14">
        <v>86</v>
      </c>
      <c r="O7691" s="14">
        <v>0</v>
      </c>
      <c r="P7691" s="14">
        <v>970</v>
      </c>
      <c r="Q7691">
        <v>10778</v>
      </c>
      <c r="R7691">
        <v>650</v>
      </c>
      <c r="S7691">
        <v>1088</v>
      </c>
    </row>
    <row r="7692" spans="11:19" x14ac:dyDescent="0.3">
      <c r="K7692" s="16">
        <f t="shared" si="119"/>
        <v>44336</v>
      </c>
      <c r="L7692" s="17">
        <v>0.41666666666666669</v>
      </c>
      <c r="M7692" s="14">
        <v>884</v>
      </c>
      <c r="N7692" s="14">
        <v>0</v>
      </c>
      <c r="O7692" s="14">
        <v>0</v>
      </c>
      <c r="P7692" s="14">
        <v>884</v>
      </c>
      <c r="Q7692">
        <v>10726</v>
      </c>
      <c r="R7692">
        <v>894</v>
      </c>
      <c r="S7692">
        <v>1440</v>
      </c>
    </row>
    <row r="7693" spans="11:19" x14ac:dyDescent="0.3">
      <c r="K7693" s="16">
        <f t="shared" si="119"/>
        <v>44336</v>
      </c>
      <c r="L7693" s="17">
        <v>0.45833333333333331</v>
      </c>
      <c r="M7693" s="14">
        <v>884</v>
      </c>
      <c r="N7693" s="14">
        <v>2218</v>
      </c>
      <c r="O7693" s="14">
        <v>0</v>
      </c>
      <c r="P7693" s="14">
        <v>3102</v>
      </c>
      <c r="Q7693">
        <v>10746</v>
      </c>
      <c r="R7693">
        <v>680</v>
      </c>
      <c r="S7693">
        <v>1674</v>
      </c>
    </row>
    <row r="7694" spans="11:19" x14ac:dyDescent="0.3">
      <c r="K7694" s="16">
        <f t="shared" si="119"/>
        <v>44336</v>
      </c>
      <c r="L7694" s="17">
        <v>0.5</v>
      </c>
      <c r="M7694" s="14">
        <v>884</v>
      </c>
      <c r="N7694" s="14">
        <v>2083</v>
      </c>
      <c r="O7694" s="14">
        <v>0</v>
      </c>
      <c r="P7694" s="14">
        <v>2967</v>
      </c>
      <c r="Q7694">
        <v>10725</v>
      </c>
      <c r="R7694">
        <v>719</v>
      </c>
      <c r="S7694">
        <v>1755</v>
      </c>
    </row>
    <row r="7695" spans="11:19" x14ac:dyDescent="0.3">
      <c r="K7695" s="16">
        <f t="shared" si="119"/>
        <v>44336</v>
      </c>
      <c r="L7695" s="17">
        <v>0.54166666666666663</v>
      </c>
      <c r="M7695" s="14">
        <v>884</v>
      </c>
      <c r="N7695" s="14">
        <v>1651</v>
      </c>
      <c r="O7695" s="14">
        <v>0</v>
      </c>
      <c r="P7695" s="14">
        <v>2535</v>
      </c>
      <c r="Q7695">
        <v>10479</v>
      </c>
      <c r="R7695">
        <v>861</v>
      </c>
      <c r="S7695">
        <v>1803</v>
      </c>
    </row>
    <row r="7696" spans="11:19" x14ac:dyDescent="0.3">
      <c r="K7696" s="16">
        <f t="shared" si="119"/>
        <v>44336</v>
      </c>
      <c r="L7696" s="17">
        <v>0.58333333333333337</v>
      </c>
      <c r="M7696" s="14">
        <v>884</v>
      </c>
      <c r="N7696" s="14">
        <v>1183</v>
      </c>
      <c r="O7696" s="14">
        <v>0</v>
      </c>
      <c r="P7696" s="14">
        <v>2067</v>
      </c>
      <c r="Q7696">
        <v>10200</v>
      </c>
      <c r="R7696">
        <v>934</v>
      </c>
      <c r="S7696">
        <v>1918</v>
      </c>
    </row>
    <row r="7697" spans="11:19" x14ac:dyDescent="0.3">
      <c r="K7697" s="16">
        <f t="shared" si="119"/>
        <v>44336</v>
      </c>
      <c r="L7697" s="17">
        <v>0.625</v>
      </c>
      <c r="M7697" s="14">
        <v>884</v>
      </c>
      <c r="N7697" s="14">
        <v>0</v>
      </c>
      <c r="O7697" s="14">
        <v>0</v>
      </c>
      <c r="P7697" s="14">
        <v>884</v>
      </c>
      <c r="Q7697">
        <v>9786</v>
      </c>
      <c r="R7697">
        <v>956</v>
      </c>
      <c r="S7697">
        <v>1852</v>
      </c>
    </row>
    <row r="7698" spans="11:19" x14ac:dyDescent="0.3">
      <c r="K7698" s="16">
        <f t="shared" si="119"/>
        <v>44336</v>
      </c>
      <c r="L7698" s="17">
        <v>0.66666666666666663</v>
      </c>
      <c r="M7698" s="14">
        <v>884</v>
      </c>
      <c r="N7698" s="14">
        <v>0</v>
      </c>
      <c r="O7698" s="14">
        <v>0</v>
      </c>
      <c r="P7698" s="14">
        <v>884</v>
      </c>
      <c r="Q7698">
        <v>9474</v>
      </c>
      <c r="R7698">
        <v>1059</v>
      </c>
      <c r="S7698">
        <v>1567</v>
      </c>
    </row>
    <row r="7699" spans="11:19" x14ac:dyDescent="0.3">
      <c r="K7699" s="16">
        <f t="shared" si="119"/>
        <v>44336</v>
      </c>
      <c r="L7699" s="17">
        <v>0.70833333333333337</v>
      </c>
      <c r="M7699" s="14">
        <v>884</v>
      </c>
      <c r="N7699" s="14">
        <v>826</v>
      </c>
      <c r="O7699" s="14">
        <v>0</v>
      </c>
      <c r="P7699" s="14">
        <v>1710</v>
      </c>
      <c r="Q7699">
        <v>9356</v>
      </c>
      <c r="R7699">
        <v>877</v>
      </c>
      <c r="S7699">
        <v>1251</v>
      </c>
    </row>
    <row r="7700" spans="11:19" x14ac:dyDescent="0.3">
      <c r="K7700" s="16">
        <f t="shared" si="119"/>
        <v>44336</v>
      </c>
      <c r="L7700" s="17">
        <v>0.75</v>
      </c>
      <c r="M7700" s="14">
        <v>884</v>
      </c>
      <c r="N7700" s="14">
        <v>1765</v>
      </c>
      <c r="O7700" s="14">
        <v>0</v>
      </c>
      <c r="P7700" s="14">
        <v>2649</v>
      </c>
      <c r="Q7700">
        <v>9667</v>
      </c>
      <c r="R7700">
        <v>734</v>
      </c>
      <c r="S7700">
        <v>768</v>
      </c>
    </row>
    <row r="7701" spans="11:19" x14ac:dyDescent="0.3">
      <c r="K7701" s="16">
        <f t="shared" si="119"/>
        <v>44336</v>
      </c>
      <c r="L7701" s="17">
        <v>0.79166666666666663</v>
      </c>
      <c r="M7701" s="14">
        <v>884</v>
      </c>
      <c r="N7701" s="14">
        <v>2391</v>
      </c>
      <c r="O7701" s="14">
        <v>0</v>
      </c>
      <c r="P7701" s="14">
        <v>3275</v>
      </c>
      <c r="Q7701">
        <v>9739</v>
      </c>
      <c r="R7701">
        <v>581</v>
      </c>
      <c r="S7701">
        <v>378</v>
      </c>
    </row>
    <row r="7702" spans="11:19" x14ac:dyDescent="0.3">
      <c r="K7702" s="16">
        <f t="shared" si="119"/>
        <v>44336</v>
      </c>
      <c r="L7702" s="17">
        <v>0.83333333333333337</v>
      </c>
      <c r="M7702" s="14">
        <v>884</v>
      </c>
      <c r="N7702" s="14">
        <v>2314</v>
      </c>
      <c r="O7702" s="14">
        <v>0</v>
      </c>
      <c r="P7702" s="14">
        <v>3198</v>
      </c>
      <c r="Q7702">
        <v>9251</v>
      </c>
      <c r="R7702">
        <v>470</v>
      </c>
      <c r="S7702">
        <v>91</v>
      </c>
    </row>
    <row r="7703" spans="11:19" x14ac:dyDescent="0.3">
      <c r="K7703" s="16">
        <f t="shared" si="119"/>
        <v>44336</v>
      </c>
      <c r="L7703" s="17">
        <v>0.875</v>
      </c>
      <c r="M7703" s="14">
        <v>884</v>
      </c>
      <c r="N7703" s="14">
        <v>2242</v>
      </c>
      <c r="O7703" s="14">
        <v>0</v>
      </c>
      <c r="P7703" s="14">
        <v>3126</v>
      </c>
      <c r="Q7703">
        <v>9060</v>
      </c>
      <c r="R7703">
        <v>438</v>
      </c>
      <c r="S7703">
        <v>10</v>
      </c>
    </row>
    <row r="7704" spans="11:19" x14ac:dyDescent="0.3">
      <c r="K7704" s="16">
        <f t="shared" si="119"/>
        <v>44336</v>
      </c>
      <c r="L7704" s="17">
        <v>0.91666666666666663</v>
      </c>
      <c r="M7704" s="14">
        <v>884</v>
      </c>
      <c r="N7704" s="14">
        <v>2652</v>
      </c>
      <c r="O7704" s="14">
        <v>0</v>
      </c>
      <c r="P7704" s="14">
        <v>3536</v>
      </c>
      <c r="Q7704">
        <v>9409</v>
      </c>
      <c r="R7704">
        <v>394</v>
      </c>
      <c r="S7704">
        <v>0</v>
      </c>
    </row>
    <row r="7705" spans="11:19" x14ac:dyDescent="0.3">
      <c r="K7705" s="16">
        <f t="shared" si="119"/>
        <v>44336</v>
      </c>
      <c r="L7705" s="17">
        <v>0.95833333333333337</v>
      </c>
      <c r="M7705" s="14">
        <v>884</v>
      </c>
      <c r="N7705" s="14">
        <v>242</v>
      </c>
      <c r="O7705" s="14">
        <v>0</v>
      </c>
      <c r="P7705" s="14">
        <v>1126</v>
      </c>
      <c r="Q7705">
        <v>9574</v>
      </c>
      <c r="R7705">
        <v>447</v>
      </c>
      <c r="S7705">
        <v>0</v>
      </c>
    </row>
    <row r="7706" spans="11:19" x14ac:dyDescent="0.3">
      <c r="K7706" s="16">
        <f t="shared" si="119"/>
        <v>44337</v>
      </c>
      <c r="L7706" s="17">
        <v>0</v>
      </c>
      <c r="M7706" s="14">
        <v>884</v>
      </c>
      <c r="N7706" s="14">
        <v>0</v>
      </c>
      <c r="O7706" s="14">
        <v>0</v>
      </c>
      <c r="P7706" s="14">
        <v>884</v>
      </c>
      <c r="Q7706">
        <v>9033</v>
      </c>
      <c r="R7706">
        <v>477</v>
      </c>
      <c r="S7706">
        <v>0</v>
      </c>
    </row>
    <row r="7707" spans="11:19" x14ac:dyDescent="0.3">
      <c r="K7707" s="16">
        <f t="shared" ref="K7707:K7770" si="120">K7683+1</f>
        <v>44337</v>
      </c>
      <c r="L7707" s="17">
        <v>4.1666666666666664E-2</v>
      </c>
      <c r="M7707" s="14">
        <v>884</v>
      </c>
      <c r="N7707" s="14">
        <v>1837</v>
      </c>
      <c r="O7707" s="14">
        <v>0</v>
      </c>
      <c r="P7707" s="14">
        <v>2721</v>
      </c>
      <c r="Q7707">
        <v>8667</v>
      </c>
      <c r="R7707">
        <v>489</v>
      </c>
      <c r="S7707">
        <v>0</v>
      </c>
    </row>
    <row r="7708" spans="11:19" x14ac:dyDescent="0.3">
      <c r="K7708" s="16">
        <f t="shared" si="120"/>
        <v>44337</v>
      </c>
      <c r="L7708" s="17">
        <v>8.3333333333333329E-2</v>
      </c>
      <c r="M7708" s="14">
        <v>884</v>
      </c>
      <c r="N7708" s="14">
        <v>1693</v>
      </c>
      <c r="O7708" s="14">
        <v>0</v>
      </c>
      <c r="P7708" s="14">
        <v>2577</v>
      </c>
      <c r="Q7708">
        <v>8370</v>
      </c>
      <c r="R7708">
        <v>497</v>
      </c>
      <c r="S7708">
        <v>0</v>
      </c>
    </row>
    <row r="7709" spans="11:19" x14ac:dyDescent="0.3">
      <c r="K7709" s="16">
        <f t="shared" si="120"/>
        <v>44337</v>
      </c>
      <c r="L7709" s="17">
        <v>0.125</v>
      </c>
      <c r="M7709" s="14">
        <v>884</v>
      </c>
      <c r="N7709" s="14">
        <v>0</v>
      </c>
      <c r="O7709" s="14">
        <v>0</v>
      </c>
      <c r="P7709" s="14">
        <v>884</v>
      </c>
      <c r="Q7709">
        <v>8005</v>
      </c>
      <c r="R7709">
        <v>481</v>
      </c>
      <c r="S7709">
        <v>0</v>
      </c>
    </row>
    <row r="7710" spans="11:19" x14ac:dyDescent="0.3">
      <c r="K7710" s="16">
        <f t="shared" si="120"/>
        <v>44337</v>
      </c>
      <c r="L7710" s="17">
        <v>0.16666666666666666</v>
      </c>
      <c r="M7710" s="14">
        <v>884</v>
      </c>
      <c r="N7710" s="14">
        <v>0</v>
      </c>
      <c r="O7710" s="14">
        <v>0</v>
      </c>
      <c r="P7710" s="14">
        <v>884</v>
      </c>
      <c r="Q7710">
        <v>7969</v>
      </c>
      <c r="R7710">
        <v>530</v>
      </c>
      <c r="S7710">
        <v>0</v>
      </c>
    </row>
    <row r="7711" spans="11:19" x14ac:dyDescent="0.3">
      <c r="K7711" s="16">
        <f t="shared" si="120"/>
        <v>44337</v>
      </c>
      <c r="L7711" s="17">
        <v>0.20833333333333334</v>
      </c>
      <c r="M7711" s="14">
        <v>884</v>
      </c>
      <c r="N7711" s="14">
        <v>1677</v>
      </c>
      <c r="O7711" s="14">
        <v>0</v>
      </c>
      <c r="P7711" s="14">
        <v>2561</v>
      </c>
      <c r="Q7711">
        <v>8387</v>
      </c>
      <c r="R7711">
        <v>507</v>
      </c>
      <c r="S7711">
        <v>0</v>
      </c>
    </row>
    <row r="7712" spans="11:19" x14ac:dyDescent="0.3">
      <c r="K7712" s="16">
        <f t="shared" si="120"/>
        <v>44337</v>
      </c>
      <c r="L7712" s="17">
        <v>0.25</v>
      </c>
      <c r="M7712" s="14">
        <v>884</v>
      </c>
      <c r="N7712" s="14">
        <v>2446</v>
      </c>
      <c r="O7712" s="14">
        <v>0</v>
      </c>
      <c r="P7712" s="14">
        <v>3330</v>
      </c>
      <c r="Q7712">
        <v>9266</v>
      </c>
      <c r="R7712">
        <v>558</v>
      </c>
      <c r="S7712">
        <v>22</v>
      </c>
    </row>
    <row r="7713" spans="11:19" x14ac:dyDescent="0.3">
      <c r="K7713" s="16">
        <f t="shared" si="120"/>
        <v>44337</v>
      </c>
      <c r="L7713" s="17">
        <v>0.29166666666666669</v>
      </c>
      <c r="M7713" s="14">
        <v>884</v>
      </c>
      <c r="N7713" s="14">
        <v>2827</v>
      </c>
      <c r="O7713" s="14">
        <v>443</v>
      </c>
      <c r="P7713" s="14">
        <v>4154</v>
      </c>
      <c r="Q7713">
        <v>10112</v>
      </c>
      <c r="R7713">
        <v>562</v>
      </c>
      <c r="S7713">
        <v>183</v>
      </c>
    </row>
    <row r="7714" spans="11:19" x14ac:dyDescent="0.3">
      <c r="K7714" s="16">
        <f t="shared" si="120"/>
        <v>44337</v>
      </c>
      <c r="L7714" s="17">
        <v>0.33333333333333331</v>
      </c>
      <c r="M7714" s="14">
        <v>884</v>
      </c>
      <c r="N7714" s="14">
        <v>2827</v>
      </c>
      <c r="O7714" s="14">
        <v>0</v>
      </c>
      <c r="P7714" s="14">
        <v>3711</v>
      </c>
      <c r="Q7714">
        <v>10478</v>
      </c>
      <c r="R7714">
        <v>689</v>
      </c>
      <c r="S7714">
        <v>547</v>
      </c>
    </row>
    <row r="7715" spans="11:19" x14ac:dyDescent="0.3">
      <c r="K7715" s="16">
        <f t="shared" si="120"/>
        <v>44337</v>
      </c>
      <c r="L7715" s="17">
        <v>0.375</v>
      </c>
      <c r="M7715" s="14">
        <v>884</v>
      </c>
      <c r="N7715" s="14">
        <v>2827</v>
      </c>
      <c r="O7715" s="14">
        <v>0</v>
      </c>
      <c r="P7715" s="14">
        <v>3711</v>
      </c>
      <c r="Q7715">
        <v>10617</v>
      </c>
      <c r="R7715">
        <v>753</v>
      </c>
      <c r="S7715">
        <v>936</v>
      </c>
    </row>
    <row r="7716" spans="11:19" x14ac:dyDescent="0.3">
      <c r="K7716" s="16">
        <f t="shared" si="120"/>
        <v>44337</v>
      </c>
      <c r="L7716" s="17">
        <v>0.41666666666666669</v>
      </c>
      <c r="M7716" s="14">
        <v>884</v>
      </c>
      <c r="N7716" s="14">
        <v>2329</v>
      </c>
      <c r="O7716" s="14">
        <v>0</v>
      </c>
      <c r="P7716" s="14">
        <v>3213</v>
      </c>
      <c r="Q7716">
        <v>10598</v>
      </c>
      <c r="R7716">
        <v>854</v>
      </c>
      <c r="S7716">
        <v>1319</v>
      </c>
    </row>
    <row r="7717" spans="11:19" x14ac:dyDescent="0.3">
      <c r="K7717" s="16">
        <f t="shared" si="120"/>
        <v>44337</v>
      </c>
      <c r="L7717" s="17">
        <v>0.45833333333333331</v>
      </c>
      <c r="M7717" s="14">
        <v>884</v>
      </c>
      <c r="N7717" s="14">
        <v>2102</v>
      </c>
      <c r="O7717" s="14">
        <v>0</v>
      </c>
      <c r="P7717" s="14">
        <v>2986</v>
      </c>
      <c r="Q7717">
        <v>10609</v>
      </c>
      <c r="R7717">
        <v>884</v>
      </c>
      <c r="S7717">
        <v>1528</v>
      </c>
    </row>
    <row r="7718" spans="11:19" x14ac:dyDescent="0.3">
      <c r="K7718" s="16">
        <f t="shared" si="120"/>
        <v>44337</v>
      </c>
      <c r="L7718" s="17">
        <v>0.5</v>
      </c>
      <c r="M7718" s="14">
        <v>884</v>
      </c>
      <c r="N7718" s="14">
        <v>1750</v>
      </c>
      <c r="O7718" s="14">
        <v>0</v>
      </c>
      <c r="P7718" s="14">
        <v>2634</v>
      </c>
      <c r="Q7718">
        <v>10593</v>
      </c>
      <c r="R7718">
        <v>883</v>
      </c>
      <c r="S7718">
        <v>1711</v>
      </c>
    </row>
    <row r="7719" spans="11:19" x14ac:dyDescent="0.3">
      <c r="K7719" s="16">
        <f t="shared" si="120"/>
        <v>44337</v>
      </c>
      <c r="L7719" s="17">
        <v>0.54166666666666663</v>
      </c>
      <c r="M7719" s="14">
        <v>884</v>
      </c>
      <c r="N7719" s="14">
        <v>0</v>
      </c>
      <c r="O7719" s="14">
        <v>0</v>
      </c>
      <c r="P7719" s="14">
        <v>884</v>
      </c>
      <c r="Q7719">
        <v>10291</v>
      </c>
      <c r="R7719">
        <v>1149</v>
      </c>
      <c r="S7719">
        <v>1759</v>
      </c>
    </row>
    <row r="7720" spans="11:19" x14ac:dyDescent="0.3">
      <c r="K7720" s="16">
        <f t="shared" si="120"/>
        <v>44337</v>
      </c>
      <c r="L7720" s="17">
        <v>0.58333333333333337</v>
      </c>
      <c r="M7720" s="14">
        <v>884</v>
      </c>
      <c r="N7720" s="14">
        <v>587</v>
      </c>
      <c r="O7720" s="14">
        <v>0</v>
      </c>
      <c r="P7720" s="14">
        <v>1471</v>
      </c>
      <c r="Q7720">
        <v>9965</v>
      </c>
      <c r="R7720">
        <v>1221</v>
      </c>
      <c r="S7720">
        <v>1910</v>
      </c>
    </row>
    <row r="7721" spans="11:19" x14ac:dyDescent="0.3">
      <c r="K7721" s="16">
        <f t="shared" si="120"/>
        <v>44337</v>
      </c>
      <c r="L7721" s="17">
        <v>0.625</v>
      </c>
      <c r="M7721" s="14">
        <v>884</v>
      </c>
      <c r="N7721" s="14">
        <v>0</v>
      </c>
      <c r="O7721" s="14">
        <v>0</v>
      </c>
      <c r="P7721" s="14">
        <v>884</v>
      </c>
      <c r="Q7721">
        <v>9540</v>
      </c>
      <c r="R7721">
        <v>1411</v>
      </c>
      <c r="S7721">
        <v>1863</v>
      </c>
    </row>
    <row r="7722" spans="11:19" x14ac:dyDescent="0.3">
      <c r="K7722" s="16">
        <f t="shared" si="120"/>
        <v>44337</v>
      </c>
      <c r="L7722" s="17">
        <v>0.66666666666666663</v>
      </c>
      <c r="M7722" s="14">
        <v>884</v>
      </c>
      <c r="N7722" s="14">
        <v>0</v>
      </c>
      <c r="O7722" s="14">
        <v>-323</v>
      </c>
      <c r="P7722" s="14">
        <v>561</v>
      </c>
      <c r="Q7722">
        <v>9190</v>
      </c>
      <c r="R7722">
        <v>1484</v>
      </c>
      <c r="S7722">
        <v>1785</v>
      </c>
    </row>
    <row r="7723" spans="11:19" x14ac:dyDescent="0.3">
      <c r="K7723" s="16">
        <f t="shared" si="120"/>
        <v>44337</v>
      </c>
      <c r="L7723" s="17">
        <v>0.70833333333333337</v>
      </c>
      <c r="M7723" s="14">
        <v>884</v>
      </c>
      <c r="N7723" s="14">
        <v>0</v>
      </c>
      <c r="O7723" s="14">
        <v>-263</v>
      </c>
      <c r="P7723" s="14">
        <v>621</v>
      </c>
      <c r="Q7723">
        <v>9072</v>
      </c>
      <c r="R7723">
        <v>1633</v>
      </c>
      <c r="S7723">
        <v>1459</v>
      </c>
    </row>
    <row r="7724" spans="11:19" x14ac:dyDescent="0.3">
      <c r="K7724" s="16">
        <f t="shared" si="120"/>
        <v>44337</v>
      </c>
      <c r="L7724" s="17">
        <v>0.75</v>
      </c>
      <c r="M7724" s="14">
        <v>884</v>
      </c>
      <c r="N7724" s="14">
        <v>515</v>
      </c>
      <c r="O7724" s="14">
        <v>0</v>
      </c>
      <c r="P7724" s="14">
        <v>1399</v>
      </c>
      <c r="Q7724">
        <v>9286</v>
      </c>
      <c r="R7724">
        <v>1537</v>
      </c>
      <c r="S7724">
        <v>993</v>
      </c>
    </row>
    <row r="7725" spans="11:19" x14ac:dyDescent="0.3">
      <c r="K7725" s="16">
        <f t="shared" si="120"/>
        <v>44337</v>
      </c>
      <c r="L7725" s="17">
        <v>0.79166666666666663</v>
      </c>
      <c r="M7725" s="14">
        <v>884</v>
      </c>
      <c r="N7725" s="14">
        <v>0</v>
      </c>
      <c r="O7725" s="14">
        <v>26</v>
      </c>
      <c r="P7725" s="14">
        <v>910</v>
      </c>
      <c r="Q7725">
        <v>9222</v>
      </c>
      <c r="R7725">
        <v>1248</v>
      </c>
      <c r="S7725">
        <v>482</v>
      </c>
    </row>
    <row r="7726" spans="11:19" x14ac:dyDescent="0.3">
      <c r="K7726" s="16">
        <f t="shared" si="120"/>
        <v>44337</v>
      </c>
      <c r="L7726" s="17">
        <v>0.83333333333333337</v>
      </c>
      <c r="M7726" s="14">
        <v>884</v>
      </c>
      <c r="N7726" s="14">
        <v>1407</v>
      </c>
      <c r="O7726" s="14">
        <v>0</v>
      </c>
      <c r="P7726" s="14">
        <v>2291</v>
      </c>
      <c r="Q7726">
        <v>8843</v>
      </c>
      <c r="R7726">
        <v>1090</v>
      </c>
      <c r="S7726">
        <v>129</v>
      </c>
    </row>
    <row r="7727" spans="11:19" x14ac:dyDescent="0.3">
      <c r="K7727" s="16">
        <f t="shared" si="120"/>
        <v>44337</v>
      </c>
      <c r="L7727" s="17">
        <v>0.875</v>
      </c>
      <c r="M7727" s="14">
        <v>884</v>
      </c>
      <c r="N7727" s="14">
        <v>1574</v>
      </c>
      <c r="O7727" s="14">
        <v>0</v>
      </c>
      <c r="P7727" s="14">
        <v>2458</v>
      </c>
      <c r="Q7727">
        <v>8785</v>
      </c>
      <c r="R7727">
        <v>988</v>
      </c>
      <c r="S7727">
        <v>12</v>
      </c>
    </row>
    <row r="7728" spans="11:19" x14ac:dyDescent="0.3">
      <c r="K7728" s="16">
        <f t="shared" si="120"/>
        <v>44337</v>
      </c>
      <c r="L7728" s="17">
        <v>0.91666666666666663</v>
      </c>
      <c r="M7728" s="14">
        <v>884</v>
      </c>
      <c r="N7728" s="14">
        <v>2028</v>
      </c>
      <c r="O7728" s="14">
        <v>0</v>
      </c>
      <c r="P7728" s="14">
        <v>2912</v>
      </c>
      <c r="Q7728">
        <v>9233</v>
      </c>
      <c r="R7728">
        <v>1001</v>
      </c>
      <c r="S7728">
        <v>0</v>
      </c>
    </row>
    <row r="7729" spans="11:19" x14ac:dyDescent="0.3">
      <c r="K7729" s="16">
        <f t="shared" si="120"/>
        <v>44337</v>
      </c>
      <c r="L7729" s="17">
        <v>0.95833333333333337</v>
      </c>
      <c r="M7729" s="14">
        <v>884</v>
      </c>
      <c r="N7729" s="14">
        <v>2264</v>
      </c>
      <c r="O7729" s="14">
        <v>0</v>
      </c>
      <c r="P7729" s="14">
        <v>3148</v>
      </c>
      <c r="Q7729">
        <v>9412</v>
      </c>
      <c r="R7729">
        <v>962</v>
      </c>
      <c r="S7729">
        <v>0</v>
      </c>
    </row>
    <row r="7730" spans="11:19" x14ac:dyDescent="0.3">
      <c r="K7730" s="16">
        <f t="shared" si="120"/>
        <v>44338</v>
      </c>
      <c r="L7730" s="17">
        <v>0</v>
      </c>
      <c r="M7730" s="14">
        <v>884</v>
      </c>
      <c r="N7730" s="14">
        <v>519</v>
      </c>
      <c r="O7730" s="14">
        <v>1200</v>
      </c>
      <c r="P7730" s="14">
        <v>2603</v>
      </c>
      <c r="Q7730">
        <v>8734</v>
      </c>
      <c r="R7730">
        <v>1077</v>
      </c>
      <c r="S7730">
        <v>0</v>
      </c>
    </row>
    <row r="7731" spans="11:19" x14ac:dyDescent="0.3">
      <c r="K7731" s="16">
        <f t="shared" si="120"/>
        <v>44338</v>
      </c>
      <c r="L7731" s="17">
        <v>4.1666666666666664E-2</v>
      </c>
      <c r="M7731" s="14">
        <v>884</v>
      </c>
      <c r="N7731" s="14">
        <v>178</v>
      </c>
      <c r="O7731" s="14">
        <v>1200</v>
      </c>
      <c r="P7731" s="14">
        <v>2262</v>
      </c>
      <c r="Q7731">
        <v>8322</v>
      </c>
      <c r="R7731">
        <v>1003</v>
      </c>
      <c r="S7731">
        <v>0</v>
      </c>
    </row>
    <row r="7732" spans="11:19" x14ac:dyDescent="0.3">
      <c r="K7732" s="16">
        <f t="shared" si="120"/>
        <v>44338</v>
      </c>
      <c r="L7732" s="17">
        <v>8.3333333333333329E-2</v>
      </c>
      <c r="M7732" s="14">
        <v>884</v>
      </c>
      <c r="N7732" s="14">
        <v>868</v>
      </c>
      <c r="O7732" s="14">
        <v>170</v>
      </c>
      <c r="P7732" s="14">
        <v>1922</v>
      </c>
      <c r="Q7732">
        <v>7999</v>
      </c>
      <c r="R7732">
        <v>1030</v>
      </c>
      <c r="S7732">
        <v>0</v>
      </c>
    </row>
    <row r="7733" spans="11:19" x14ac:dyDescent="0.3">
      <c r="K7733" s="16">
        <f t="shared" si="120"/>
        <v>44338</v>
      </c>
      <c r="L7733" s="17">
        <v>0.125</v>
      </c>
      <c r="M7733" s="14">
        <v>884</v>
      </c>
      <c r="N7733" s="14">
        <v>758</v>
      </c>
      <c r="O7733" s="14">
        <v>0</v>
      </c>
      <c r="P7733" s="14">
        <v>1642</v>
      </c>
      <c r="Q7733">
        <v>7582</v>
      </c>
      <c r="R7733">
        <v>890</v>
      </c>
      <c r="S7733">
        <v>0</v>
      </c>
    </row>
    <row r="7734" spans="11:19" x14ac:dyDescent="0.3">
      <c r="K7734" s="16">
        <f t="shared" si="120"/>
        <v>44338</v>
      </c>
      <c r="L7734" s="17">
        <v>0.16666666666666666</v>
      </c>
      <c r="M7734" s="14">
        <v>884</v>
      </c>
      <c r="N7734" s="14">
        <v>0</v>
      </c>
      <c r="O7734" s="14">
        <v>640</v>
      </c>
      <c r="P7734" s="14">
        <v>1524</v>
      </c>
      <c r="Q7734">
        <v>7446</v>
      </c>
      <c r="R7734">
        <v>866</v>
      </c>
      <c r="S7734">
        <v>0</v>
      </c>
    </row>
    <row r="7735" spans="11:19" x14ac:dyDescent="0.3">
      <c r="K7735" s="16">
        <f t="shared" si="120"/>
        <v>44338</v>
      </c>
      <c r="L7735" s="17">
        <v>0.20833333333333334</v>
      </c>
      <c r="M7735" s="14">
        <v>884</v>
      </c>
      <c r="N7735" s="14">
        <v>697</v>
      </c>
      <c r="O7735" s="14">
        <v>0</v>
      </c>
      <c r="P7735" s="14">
        <v>1581</v>
      </c>
      <c r="Q7735">
        <v>7641</v>
      </c>
      <c r="R7735">
        <v>997</v>
      </c>
      <c r="S7735">
        <v>0</v>
      </c>
    </row>
    <row r="7736" spans="11:19" x14ac:dyDescent="0.3">
      <c r="K7736" s="16">
        <f t="shared" si="120"/>
        <v>44338</v>
      </c>
      <c r="L7736" s="17">
        <v>0.25</v>
      </c>
      <c r="M7736" s="14">
        <v>884</v>
      </c>
      <c r="N7736" s="14">
        <v>910</v>
      </c>
      <c r="O7736" s="14">
        <v>0</v>
      </c>
      <c r="P7736" s="14">
        <v>1794</v>
      </c>
      <c r="Q7736">
        <v>7956</v>
      </c>
      <c r="R7736">
        <v>1050</v>
      </c>
      <c r="S7736">
        <v>18</v>
      </c>
    </row>
    <row r="7737" spans="11:19" x14ac:dyDescent="0.3">
      <c r="K7737" s="16">
        <f t="shared" si="120"/>
        <v>44338</v>
      </c>
      <c r="L7737" s="17">
        <v>0.29166666666666669</v>
      </c>
      <c r="M7737" s="14">
        <v>884</v>
      </c>
      <c r="N7737" s="14">
        <v>1055</v>
      </c>
      <c r="O7737" s="14">
        <v>0</v>
      </c>
      <c r="P7737" s="14">
        <v>1939</v>
      </c>
      <c r="Q7737">
        <v>8428</v>
      </c>
      <c r="R7737">
        <v>1088</v>
      </c>
      <c r="S7737">
        <v>288</v>
      </c>
    </row>
    <row r="7738" spans="11:19" x14ac:dyDescent="0.3">
      <c r="K7738" s="16">
        <f t="shared" si="120"/>
        <v>44338</v>
      </c>
      <c r="L7738" s="17">
        <v>0.33333333333333331</v>
      </c>
      <c r="M7738" s="14">
        <v>884</v>
      </c>
      <c r="N7738" s="14">
        <v>0</v>
      </c>
      <c r="O7738" s="14">
        <v>978</v>
      </c>
      <c r="P7738" s="14">
        <v>1862</v>
      </c>
      <c r="Q7738">
        <v>8962</v>
      </c>
      <c r="R7738">
        <v>1170</v>
      </c>
      <c r="S7738">
        <v>812</v>
      </c>
    </row>
    <row r="7739" spans="11:19" x14ac:dyDescent="0.3">
      <c r="K7739" s="16">
        <f t="shared" si="120"/>
        <v>44338</v>
      </c>
      <c r="L7739" s="17">
        <v>0.375</v>
      </c>
      <c r="M7739" s="14">
        <v>884</v>
      </c>
      <c r="N7739" s="14">
        <v>0</v>
      </c>
      <c r="O7739" s="14">
        <v>440</v>
      </c>
      <c r="P7739" s="14">
        <v>1324</v>
      </c>
      <c r="Q7739">
        <v>9321</v>
      </c>
      <c r="R7739">
        <v>1437</v>
      </c>
      <c r="S7739">
        <v>1443</v>
      </c>
    </row>
    <row r="7740" spans="11:19" x14ac:dyDescent="0.3">
      <c r="K7740" s="16">
        <f t="shared" si="120"/>
        <v>44338</v>
      </c>
      <c r="L7740" s="17">
        <v>0.41666666666666669</v>
      </c>
      <c r="M7740" s="14">
        <v>884</v>
      </c>
      <c r="N7740" s="14">
        <v>85</v>
      </c>
      <c r="O7740" s="14">
        <v>0</v>
      </c>
      <c r="P7740" s="14">
        <v>969</v>
      </c>
      <c r="Q7740">
        <v>9351</v>
      </c>
      <c r="R7740">
        <v>1361</v>
      </c>
      <c r="S7740">
        <v>1907</v>
      </c>
    </row>
    <row r="7741" spans="11:19" x14ac:dyDescent="0.3">
      <c r="K7741" s="16">
        <f t="shared" si="120"/>
        <v>44338</v>
      </c>
      <c r="L7741" s="17">
        <v>0.45833333333333331</v>
      </c>
      <c r="M7741" s="14">
        <v>884</v>
      </c>
      <c r="N7741" s="14">
        <v>0</v>
      </c>
      <c r="O7741" s="14">
        <v>-299</v>
      </c>
      <c r="P7741" s="14">
        <v>585</v>
      </c>
      <c r="Q7741">
        <v>9373</v>
      </c>
      <c r="R7741">
        <v>1421</v>
      </c>
      <c r="S7741">
        <v>2253</v>
      </c>
    </row>
    <row r="7742" spans="11:19" x14ac:dyDescent="0.3">
      <c r="K7742" s="16">
        <f t="shared" si="120"/>
        <v>44338</v>
      </c>
      <c r="L7742" s="17">
        <v>0.5</v>
      </c>
      <c r="M7742" s="14">
        <v>884</v>
      </c>
      <c r="N7742" s="14">
        <v>0</v>
      </c>
      <c r="O7742" s="14">
        <v>-432</v>
      </c>
      <c r="P7742" s="14">
        <v>452</v>
      </c>
      <c r="Q7742">
        <v>9538</v>
      </c>
      <c r="R7742">
        <v>1518</v>
      </c>
      <c r="S7742">
        <v>2459</v>
      </c>
    </row>
    <row r="7743" spans="11:19" x14ac:dyDescent="0.3">
      <c r="K7743" s="16">
        <f t="shared" si="120"/>
        <v>44338</v>
      </c>
      <c r="L7743" s="17">
        <v>0.54166666666666663</v>
      </c>
      <c r="M7743" s="14">
        <v>884</v>
      </c>
      <c r="N7743" s="14">
        <v>0</v>
      </c>
      <c r="O7743" s="14">
        <v>-1088</v>
      </c>
      <c r="P7743" s="14">
        <v>-204</v>
      </c>
      <c r="Q7743">
        <v>9135</v>
      </c>
      <c r="R7743">
        <v>1671</v>
      </c>
      <c r="S7743">
        <v>2561</v>
      </c>
    </row>
    <row r="7744" spans="11:19" x14ac:dyDescent="0.3">
      <c r="K7744" s="16">
        <f t="shared" si="120"/>
        <v>44338</v>
      </c>
      <c r="L7744" s="17">
        <v>0.58333333333333337</v>
      </c>
      <c r="M7744" s="14">
        <v>884</v>
      </c>
      <c r="N7744" s="14">
        <v>0</v>
      </c>
      <c r="O7744" s="14">
        <v>-1200</v>
      </c>
      <c r="P7744" s="14">
        <v>-316</v>
      </c>
      <c r="Q7744">
        <v>8774</v>
      </c>
      <c r="R7744">
        <v>1991</v>
      </c>
      <c r="S7744">
        <v>2489</v>
      </c>
    </row>
    <row r="7745" spans="11:19" x14ac:dyDescent="0.3">
      <c r="K7745" s="16">
        <f t="shared" si="120"/>
        <v>44338</v>
      </c>
      <c r="L7745" s="17">
        <v>0.625</v>
      </c>
      <c r="M7745" s="14">
        <v>884</v>
      </c>
      <c r="N7745" s="14">
        <v>0</v>
      </c>
      <c r="O7745" s="14">
        <v>-1200</v>
      </c>
      <c r="P7745" s="14">
        <v>-316</v>
      </c>
      <c r="Q7745">
        <v>8354</v>
      </c>
      <c r="R7745">
        <v>2212</v>
      </c>
      <c r="S7745">
        <v>2298</v>
      </c>
    </row>
    <row r="7746" spans="11:19" x14ac:dyDescent="0.3">
      <c r="K7746" s="16">
        <f t="shared" si="120"/>
        <v>44338</v>
      </c>
      <c r="L7746" s="17">
        <v>0.66666666666666663</v>
      </c>
      <c r="M7746" s="14">
        <v>884</v>
      </c>
      <c r="N7746" s="14">
        <v>0</v>
      </c>
      <c r="O7746" s="14">
        <v>-1200</v>
      </c>
      <c r="P7746" s="14">
        <v>-316</v>
      </c>
      <c r="Q7746">
        <v>8082</v>
      </c>
      <c r="R7746">
        <v>2146</v>
      </c>
      <c r="S7746">
        <v>2029</v>
      </c>
    </row>
    <row r="7747" spans="11:19" x14ac:dyDescent="0.3">
      <c r="K7747" s="16">
        <f t="shared" si="120"/>
        <v>44338</v>
      </c>
      <c r="L7747" s="17">
        <v>0.70833333333333337</v>
      </c>
      <c r="M7747" s="14">
        <v>884</v>
      </c>
      <c r="N7747" s="14">
        <v>0</v>
      </c>
      <c r="O7747" s="14">
        <v>-1200</v>
      </c>
      <c r="P7747" s="14">
        <v>-316</v>
      </c>
      <c r="Q7747">
        <v>8051</v>
      </c>
      <c r="R7747">
        <v>2141</v>
      </c>
      <c r="S7747">
        <v>1597</v>
      </c>
    </row>
    <row r="7748" spans="11:19" x14ac:dyDescent="0.3">
      <c r="K7748" s="16">
        <f t="shared" si="120"/>
        <v>44338</v>
      </c>
      <c r="L7748" s="17">
        <v>0.75</v>
      </c>
      <c r="M7748" s="14">
        <v>884</v>
      </c>
      <c r="N7748" s="14">
        <v>0</v>
      </c>
      <c r="O7748" s="14">
        <v>-398</v>
      </c>
      <c r="P7748" s="14">
        <v>486</v>
      </c>
      <c r="Q7748">
        <v>8331</v>
      </c>
      <c r="R7748">
        <v>1729</v>
      </c>
      <c r="S7748">
        <v>1024</v>
      </c>
    </row>
    <row r="7749" spans="11:19" x14ac:dyDescent="0.3">
      <c r="K7749" s="16">
        <f t="shared" si="120"/>
        <v>44338</v>
      </c>
      <c r="L7749" s="17">
        <v>0.79166666666666663</v>
      </c>
      <c r="M7749" s="14">
        <v>884</v>
      </c>
      <c r="N7749" s="14">
        <v>241</v>
      </c>
      <c r="O7749" s="14">
        <v>0</v>
      </c>
      <c r="P7749" s="14">
        <v>1125</v>
      </c>
      <c r="Q7749">
        <v>8327</v>
      </c>
      <c r="R7749">
        <v>1616</v>
      </c>
      <c r="S7749">
        <v>496</v>
      </c>
    </row>
    <row r="7750" spans="11:19" x14ac:dyDescent="0.3">
      <c r="K7750" s="16">
        <f t="shared" si="120"/>
        <v>44338</v>
      </c>
      <c r="L7750" s="17">
        <v>0.83333333333333337</v>
      </c>
      <c r="M7750" s="14">
        <v>884</v>
      </c>
      <c r="N7750" s="14">
        <v>241</v>
      </c>
      <c r="O7750" s="14">
        <v>0</v>
      </c>
      <c r="P7750" s="14">
        <v>1125</v>
      </c>
      <c r="Q7750">
        <v>8055</v>
      </c>
      <c r="R7750">
        <v>1735</v>
      </c>
      <c r="S7750">
        <v>112</v>
      </c>
    </row>
    <row r="7751" spans="11:19" x14ac:dyDescent="0.3">
      <c r="K7751" s="16">
        <f t="shared" si="120"/>
        <v>44338</v>
      </c>
      <c r="L7751" s="17">
        <v>0.875</v>
      </c>
      <c r="M7751" s="14">
        <v>884</v>
      </c>
      <c r="N7751" s="14">
        <v>169</v>
      </c>
      <c r="O7751" s="14">
        <v>0</v>
      </c>
      <c r="P7751" s="14">
        <v>1053</v>
      </c>
      <c r="Q7751">
        <v>8020</v>
      </c>
      <c r="R7751">
        <v>1882</v>
      </c>
      <c r="S7751">
        <v>3</v>
      </c>
    </row>
    <row r="7752" spans="11:19" x14ac:dyDescent="0.3">
      <c r="K7752" s="16">
        <f t="shared" si="120"/>
        <v>44338</v>
      </c>
      <c r="L7752" s="17">
        <v>0.91666666666666663</v>
      </c>
      <c r="M7752" s="14">
        <v>884</v>
      </c>
      <c r="N7752" s="14">
        <v>777</v>
      </c>
      <c r="O7752" s="14">
        <v>0</v>
      </c>
      <c r="P7752" s="14">
        <v>1661</v>
      </c>
      <c r="Q7752">
        <v>8520</v>
      </c>
      <c r="R7752">
        <v>1777</v>
      </c>
      <c r="S7752">
        <v>0</v>
      </c>
    </row>
    <row r="7753" spans="11:19" x14ac:dyDescent="0.3">
      <c r="K7753" s="16">
        <f t="shared" si="120"/>
        <v>44338</v>
      </c>
      <c r="L7753" s="17">
        <v>0.95833333333333337</v>
      </c>
      <c r="M7753" s="14">
        <v>884</v>
      </c>
      <c r="N7753" s="14">
        <v>0</v>
      </c>
      <c r="O7753" s="14">
        <v>988</v>
      </c>
      <c r="P7753" s="14">
        <v>1872</v>
      </c>
      <c r="Q7753">
        <v>8792</v>
      </c>
      <c r="R7753">
        <v>1853</v>
      </c>
      <c r="S7753">
        <v>0</v>
      </c>
    </row>
    <row r="7754" spans="11:19" x14ac:dyDescent="0.3">
      <c r="K7754" s="16">
        <f t="shared" si="120"/>
        <v>44339</v>
      </c>
      <c r="L7754" s="17">
        <v>0</v>
      </c>
      <c r="M7754" s="14">
        <v>884</v>
      </c>
      <c r="N7754" s="14">
        <v>0</v>
      </c>
      <c r="O7754" s="14">
        <v>521</v>
      </c>
      <c r="P7754" s="14">
        <v>1405</v>
      </c>
      <c r="Q7754">
        <v>8200</v>
      </c>
      <c r="R7754">
        <v>1742</v>
      </c>
      <c r="S7754">
        <v>0</v>
      </c>
    </row>
    <row r="7755" spans="11:19" x14ac:dyDescent="0.3">
      <c r="K7755" s="16">
        <f t="shared" si="120"/>
        <v>44339</v>
      </c>
      <c r="L7755" s="17">
        <v>4.1666666666666664E-2</v>
      </c>
      <c r="M7755" s="14">
        <v>884</v>
      </c>
      <c r="N7755" s="14">
        <v>0</v>
      </c>
      <c r="O7755" s="14">
        <v>0</v>
      </c>
      <c r="P7755" s="14">
        <v>884</v>
      </c>
      <c r="Q7755">
        <v>7765</v>
      </c>
      <c r="R7755">
        <v>1879</v>
      </c>
      <c r="S7755">
        <v>0</v>
      </c>
    </row>
    <row r="7756" spans="11:19" x14ac:dyDescent="0.3">
      <c r="K7756" s="16">
        <f t="shared" si="120"/>
        <v>44339</v>
      </c>
      <c r="L7756" s="17">
        <v>8.3333333333333329E-2</v>
      </c>
      <c r="M7756" s="14">
        <v>884</v>
      </c>
      <c r="N7756" s="14">
        <v>0</v>
      </c>
      <c r="O7756" s="14">
        <v>0</v>
      </c>
      <c r="P7756" s="14">
        <v>884</v>
      </c>
      <c r="Q7756">
        <v>7388</v>
      </c>
      <c r="R7756">
        <v>1979</v>
      </c>
      <c r="S7756">
        <v>0</v>
      </c>
    </row>
    <row r="7757" spans="11:19" x14ac:dyDescent="0.3">
      <c r="K7757" s="16">
        <f t="shared" si="120"/>
        <v>44339</v>
      </c>
      <c r="L7757" s="17">
        <v>0.125</v>
      </c>
      <c r="M7757" s="14">
        <v>884</v>
      </c>
      <c r="N7757" s="14">
        <v>0</v>
      </c>
      <c r="O7757" s="14">
        <v>0</v>
      </c>
      <c r="P7757" s="14">
        <v>884</v>
      </c>
      <c r="Q7757">
        <v>6924</v>
      </c>
      <c r="R7757">
        <v>2053</v>
      </c>
      <c r="S7757">
        <v>0</v>
      </c>
    </row>
    <row r="7758" spans="11:19" x14ac:dyDescent="0.3">
      <c r="K7758" s="16">
        <f t="shared" si="120"/>
        <v>44339</v>
      </c>
      <c r="L7758" s="17">
        <v>0.16666666666666666</v>
      </c>
      <c r="M7758" s="14">
        <v>884</v>
      </c>
      <c r="N7758" s="14">
        <v>0</v>
      </c>
      <c r="O7758" s="14">
        <v>-753</v>
      </c>
      <c r="P7758" s="14">
        <v>131</v>
      </c>
      <c r="Q7758">
        <v>6683</v>
      </c>
      <c r="R7758">
        <v>2111</v>
      </c>
      <c r="S7758">
        <v>0</v>
      </c>
    </row>
    <row r="7759" spans="11:19" x14ac:dyDescent="0.3">
      <c r="K7759" s="16">
        <f t="shared" si="120"/>
        <v>44339</v>
      </c>
      <c r="L7759" s="17">
        <v>0.20833333333333334</v>
      </c>
      <c r="M7759" s="14">
        <v>884</v>
      </c>
      <c r="N7759" s="14">
        <v>0</v>
      </c>
      <c r="O7759" s="14">
        <v>-747</v>
      </c>
      <c r="P7759" s="14">
        <v>137</v>
      </c>
      <c r="Q7759">
        <v>6674</v>
      </c>
      <c r="R7759">
        <v>2090</v>
      </c>
      <c r="S7759">
        <v>0</v>
      </c>
    </row>
    <row r="7760" spans="11:19" x14ac:dyDescent="0.3">
      <c r="K7760" s="16">
        <f t="shared" si="120"/>
        <v>44339</v>
      </c>
      <c r="L7760" s="17">
        <v>0.25</v>
      </c>
      <c r="M7760" s="14">
        <v>884</v>
      </c>
      <c r="N7760" s="14">
        <v>0</v>
      </c>
      <c r="O7760" s="14">
        <v>-629</v>
      </c>
      <c r="P7760" s="14">
        <v>255</v>
      </c>
      <c r="Q7760">
        <v>6693</v>
      </c>
      <c r="R7760">
        <v>2017</v>
      </c>
      <c r="S7760">
        <v>24</v>
      </c>
    </row>
    <row r="7761" spans="11:19" x14ac:dyDescent="0.3">
      <c r="K7761" s="16">
        <f t="shared" si="120"/>
        <v>44339</v>
      </c>
      <c r="L7761" s="17">
        <v>0.29166666666666669</v>
      </c>
      <c r="M7761" s="14">
        <v>884</v>
      </c>
      <c r="N7761" s="14">
        <v>0</v>
      </c>
      <c r="O7761" s="14">
        <v>0</v>
      </c>
      <c r="P7761" s="14">
        <v>884</v>
      </c>
      <c r="Q7761">
        <v>6922</v>
      </c>
      <c r="R7761">
        <v>1991</v>
      </c>
      <c r="S7761">
        <v>245</v>
      </c>
    </row>
    <row r="7762" spans="11:19" x14ac:dyDescent="0.3">
      <c r="K7762" s="16">
        <f t="shared" si="120"/>
        <v>44339</v>
      </c>
      <c r="L7762" s="17">
        <v>0.33333333333333331</v>
      </c>
      <c r="M7762" s="14">
        <v>884</v>
      </c>
      <c r="N7762" s="14">
        <v>0</v>
      </c>
      <c r="O7762" s="14">
        <v>0</v>
      </c>
      <c r="P7762" s="14">
        <v>884</v>
      </c>
      <c r="Q7762">
        <v>7374</v>
      </c>
      <c r="R7762">
        <v>2064</v>
      </c>
      <c r="S7762">
        <v>704</v>
      </c>
    </row>
    <row r="7763" spans="11:19" x14ac:dyDescent="0.3">
      <c r="K7763" s="16">
        <f t="shared" si="120"/>
        <v>44339</v>
      </c>
      <c r="L7763" s="17">
        <v>0.375</v>
      </c>
      <c r="M7763" s="14">
        <v>884</v>
      </c>
      <c r="N7763" s="14">
        <v>0</v>
      </c>
      <c r="O7763" s="14">
        <v>0</v>
      </c>
      <c r="P7763" s="14">
        <v>884</v>
      </c>
      <c r="Q7763">
        <v>7814</v>
      </c>
      <c r="R7763">
        <v>1986</v>
      </c>
      <c r="S7763">
        <v>1220</v>
      </c>
    </row>
    <row r="7764" spans="11:19" x14ac:dyDescent="0.3">
      <c r="K7764" s="16">
        <f t="shared" si="120"/>
        <v>44339</v>
      </c>
      <c r="L7764" s="17">
        <v>0.41666666666666669</v>
      </c>
      <c r="M7764" s="14">
        <v>884</v>
      </c>
      <c r="N7764" s="14">
        <v>0</v>
      </c>
      <c r="O7764" s="14">
        <v>0</v>
      </c>
      <c r="P7764" s="14">
        <v>884</v>
      </c>
      <c r="Q7764">
        <v>8059</v>
      </c>
      <c r="R7764">
        <v>2079</v>
      </c>
      <c r="S7764">
        <v>1724</v>
      </c>
    </row>
    <row r="7765" spans="11:19" x14ac:dyDescent="0.3">
      <c r="K7765" s="16">
        <f t="shared" si="120"/>
        <v>44339</v>
      </c>
      <c r="L7765" s="17">
        <v>0.45833333333333331</v>
      </c>
      <c r="M7765" s="14">
        <v>884</v>
      </c>
      <c r="N7765" s="14">
        <v>0</v>
      </c>
      <c r="O7765" s="14">
        <v>-58</v>
      </c>
      <c r="P7765" s="14">
        <v>826</v>
      </c>
      <c r="Q7765">
        <v>8226</v>
      </c>
      <c r="R7765">
        <v>1961</v>
      </c>
      <c r="S7765">
        <v>2076</v>
      </c>
    </row>
    <row r="7766" spans="11:19" x14ac:dyDescent="0.3">
      <c r="K7766" s="16">
        <f t="shared" si="120"/>
        <v>44339</v>
      </c>
      <c r="L7766" s="17">
        <v>0.5</v>
      </c>
      <c r="M7766" s="14">
        <v>884</v>
      </c>
      <c r="N7766" s="14">
        <v>0</v>
      </c>
      <c r="O7766" s="14">
        <v>0</v>
      </c>
      <c r="P7766" s="14">
        <v>884</v>
      </c>
      <c r="Q7766">
        <v>8515</v>
      </c>
      <c r="R7766">
        <v>1889</v>
      </c>
      <c r="S7766">
        <v>2305</v>
      </c>
    </row>
    <row r="7767" spans="11:19" x14ac:dyDescent="0.3">
      <c r="K7767" s="16">
        <f t="shared" si="120"/>
        <v>44339</v>
      </c>
      <c r="L7767" s="17">
        <v>0.54166666666666663</v>
      </c>
      <c r="M7767" s="14">
        <v>884</v>
      </c>
      <c r="N7767" s="14">
        <v>0</v>
      </c>
      <c r="O7767" s="14">
        <v>-491</v>
      </c>
      <c r="P7767" s="14">
        <v>393</v>
      </c>
      <c r="Q7767">
        <v>8048</v>
      </c>
      <c r="R7767">
        <v>1906</v>
      </c>
      <c r="S7767">
        <v>2393</v>
      </c>
    </row>
    <row r="7768" spans="11:19" x14ac:dyDescent="0.3">
      <c r="K7768" s="16">
        <f t="shared" si="120"/>
        <v>44339</v>
      </c>
      <c r="L7768" s="17">
        <v>0.58333333333333337</v>
      </c>
      <c r="M7768" s="14">
        <v>884</v>
      </c>
      <c r="N7768" s="14">
        <v>0</v>
      </c>
      <c r="O7768" s="14">
        <v>-1033</v>
      </c>
      <c r="P7768" s="14">
        <v>-149</v>
      </c>
      <c r="Q7768">
        <v>7618</v>
      </c>
      <c r="R7768">
        <v>2002</v>
      </c>
      <c r="S7768">
        <v>2409</v>
      </c>
    </row>
    <row r="7769" spans="11:19" x14ac:dyDescent="0.3">
      <c r="K7769" s="16">
        <f t="shared" si="120"/>
        <v>44339</v>
      </c>
      <c r="L7769" s="17">
        <v>0.625</v>
      </c>
      <c r="M7769" s="14">
        <v>884</v>
      </c>
      <c r="N7769" s="14">
        <v>0</v>
      </c>
      <c r="O7769" s="14">
        <v>-1200</v>
      </c>
      <c r="P7769" s="14">
        <v>-316</v>
      </c>
      <c r="Q7769">
        <v>7244</v>
      </c>
      <c r="R7769">
        <v>2082</v>
      </c>
      <c r="S7769">
        <v>2280</v>
      </c>
    </row>
    <row r="7770" spans="11:19" x14ac:dyDescent="0.3">
      <c r="K7770" s="16">
        <f t="shared" si="120"/>
        <v>44339</v>
      </c>
      <c r="L7770" s="17">
        <v>0.66666666666666663</v>
      </c>
      <c r="M7770" s="14">
        <v>884</v>
      </c>
      <c r="N7770" s="14">
        <v>0</v>
      </c>
      <c r="O7770" s="14">
        <v>-1200</v>
      </c>
      <c r="P7770" s="14">
        <v>-316</v>
      </c>
      <c r="Q7770">
        <v>7035</v>
      </c>
      <c r="R7770">
        <v>2053</v>
      </c>
      <c r="S7770">
        <v>2032</v>
      </c>
    </row>
    <row r="7771" spans="11:19" x14ac:dyDescent="0.3">
      <c r="K7771" s="16">
        <f t="shared" ref="K7771:K7834" si="121">K7747+1</f>
        <v>44339</v>
      </c>
      <c r="L7771" s="17">
        <v>0.70833333333333337</v>
      </c>
      <c r="M7771" s="14">
        <v>884</v>
      </c>
      <c r="N7771" s="14">
        <v>0</v>
      </c>
      <c r="O7771" s="14">
        <v>-577</v>
      </c>
      <c r="P7771" s="14">
        <v>307</v>
      </c>
      <c r="Q7771">
        <v>7079</v>
      </c>
      <c r="R7771">
        <v>1827</v>
      </c>
      <c r="S7771">
        <v>1602</v>
      </c>
    </row>
    <row r="7772" spans="11:19" x14ac:dyDescent="0.3">
      <c r="K7772" s="16">
        <f t="shared" si="121"/>
        <v>44339</v>
      </c>
      <c r="L7772" s="17">
        <v>0.75</v>
      </c>
      <c r="M7772" s="14">
        <v>884</v>
      </c>
      <c r="N7772" s="14">
        <v>0</v>
      </c>
      <c r="O7772" s="14">
        <v>0</v>
      </c>
      <c r="P7772" s="14">
        <v>884</v>
      </c>
      <c r="Q7772">
        <v>7491</v>
      </c>
      <c r="R7772">
        <v>1439</v>
      </c>
      <c r="S7772">
        <v>1071</v>
      </c>
    </row>
    <row r="7773" spans="11:19" x14ac:dyDescent="0.3">
      <c r="K7773" s="16">
        <f t="shared" si="121"/>
        <v>44339</v>
      </c>
      <c r="L7773" s="17">
        <v>0.79166666666666663</v>
      </c>
      <c r="M7773" s="14">
        <v>884</v>
      </c>
      <c r="N7773" s="14">
        <v>0</v>
      </c>
      <c r="O7773" s="14">
        <v>303</v>
      </c>
      <c r="P7773" s="14">
        <v>1187</v>
      </c>
      <c r="Q7773">
        <v>7758</v>
      </c>
      <c r="R7773">
        <v>871</v>
      </c>
      <c r="S7773">
        <v>532</v>
      </c>
    </row>
    <row r="7774" spans="11:19" x14ac:dyDescent="0.3">
      <c r="K7774" s="16">
        <f t="shared" si="121"/>
        <v>44339</v>
      </c>
      <c r="L7774" s="17">
        <v>0.83333333333333337</v>
      </c>
      <c r="M7774" s="14">
        <v>884</v>
      </c>
      <c r="N7774" s="14">
        <v>0</v>
      </c>
      <c r="O7774" s="14">
        <v>986</v>
      </c>
      <c r="P7774" s="14">
        <v>1870</v>
      </c>
      <c r="Q7774">
        <v>7663</v>
      </c>
      <c r="R7774">
        <v>516</v>
      </c>
      <c r="S7774">
        <v>115</v>
      </c>
    </row>
    <row r="7775" spans="11:19" x14ac:dyDescent="0.3">
      <c r="K7775" s="16">
        <f t="shared" si="121"/>
        <v>44339</v>
      </c>
      <c r="L7775" s="17">
        <v>0.875</v>
      </c>
      <c r="M7775" s="14">
        <v>884</v>
      </c>
      <c r="N7775" s="14">
        <v>0</v>
      </c>
      <c r="O7775" s="14">
        <v>1141</v>
      </c>
      <c r="P7775" s="14">
        <v>2025</v>
      </c>
      <c r="Q7775">
        <v>7644</v>
      </c>
      <c r="R7775">
        <v>450</v>
      </c>
      <c r="S7775">
        <v>9</v>
      </c>
    </row>
    <row r="7776" spans="11:19" x14ac:dyDescent="0.3">
      <c r="K7776" s="16">
        <f t="shared" si="121"/>
        <v>44339</v>
      </c>
      <c r="L7776" s="17">
        <v>0.91666666666666663</v>
      </c>
      <c r="M7776" s="14">
        <v>884</v>
      </c>
      <c r="N7776" s="14">
        <v>330</v>
      </c>
      <c r="O7776" s="14">
        <v>1200</v>
      </c>
      <c r="P7776" s="14">
        <v>2414</v>
      </c>
      <c r="Q7776">
        <v>8091</v>
      </c>
      <c r="R7776">
        <v>517</v>
      </c>
      <c r="S7776">
        <v>0</v>
      </c>
    </row>
    <row r="7777" spans="11:19" x14ac:dyDescent="0.3">
      <c r="K7777" s="16">
        <f t="shared" si="121"/>
        <v>44339</v>
      </c>
      <c r="L7777" s="17">
        <v>0.95833333333333337</v>
      </c>
      <c r="M7777" s="14">
        <v>884</v>
      </c>
      <c r="N7777" s="14">
        <v>573</v>
      </c>
      <c r="O7777" s="14">
        <v>1200</v>
      </c>
      <c r="P7777" s="14">
        <v>2657</v>
      </c>
      <c r="Q7777">
        <v>8326</v>
      </c>
      <c r="R7777">
        <v>494</v>
      </c>
      <c r="S7777">
        <v>0</v>
      </c>
    </row>
    <row r="7778" spans="11:19" x14ac:dyDescent="0.3">
      <c r="K7778" s="16">
        <f t="shared" si="121"/>
        <v>44340</v>
      </c>
      <c r="L7778" s="17">
        <v>0</v>
      </c>
      <c r="M7778" s="14">
        <v>884</v>
      </c>
      <c r="N7778" s="14">
        <v>180</v>
      </c>
      <c r="O7778" s="14">
        <v>1200</v>
      </c>
      <c r="P7778" s="14">
        <v>2264</v>
      </c>
      <c r="Q7778">
        <v>7823</v>
      </c>
      <c r="R7778">
        <v>505</v>
      </c>
      <c r="S7778">
        <v>0</v>
      </c>
    </row>
    <row r="7779" spans="11:19" x14ac:dyDescent="0.3">
      <c r="K7779" s="16">
        <f t="shared" si="121"/>
        <v>44340</v>
      </c>
      <c r="L7779" s="17">
        <v>4.1666666666666664E-2</v>
      </c>
      <c r="M7779" s="14">
        <v>884</v>
      </c>
      <c r="N7779" s="14">
        <v>0</v>
      </c>
      <c r="O7779" s="14">
        <v>825</v>
      </c>
      <c r="P7779" s="14">
        <v>1709</v>
      </c>
      <c r="Q7779">
        <v>7392</v>
      </c>
      <c r="R7779">
        <v>627</v>
      </c>
      <c r="S7779">
        <v>0</v>
      </c>
    </row>
    <row r="7780" spans="11:19" x14ac:dyDescent="0.3">
      <c r="K7780" s="16">
        <f t="shared" si="121"/>
        <v>44340</v>
      </c>
      <c r="L7780" s="17">
        <v>8.3333333333333329E-2</v>
      </c>
      <c r="M7780" s="14">
        <v>884</v>
      </c>
      <c r="N7780" s="14">
        <v>0</v>
      </c>
      <c r="O7780" s="14">
        <v>434</v>
      </c>
      <c r="P7780" s="14">
        <v>1318</v>
      </c>
      <c r="Q7780">
        <v>7023</v>
      </c>
      <c r="R7780">
        <v>658</v>
      </c>
      <c r="S7780">
        <v>0</v>
      </c>
    </row>
    <row r="7781" spans="11:19" x14ac:dyDescent="0.3">
      <c r="K7781" s="16">
        <f t="shared" si="121"/>
        <v>44340</v>
      </c>
      <c r="L7781" s="17">
        <v>0.125</v>
      </c>
      <c r="M7781" s="14">
        <v>884</v>
      </c>
      <c r="N7781" s="14">
        <v>0</v>
      </c>
      <c r="O7781" s="14">
        <v>0</v>
      </c>
      <c r="P7781" s="14">
        <v>884</v>
      </c>
      <c r="Q7781">
        <v>6571</v>
      </c>
      <c r="R7781">
        <v>678</v>
      </c>
      <c r="S7781">
        <v>0</v>
      </c>
    </row>
    <row r="7782" spans="11:19" x14ac:dyDescent="0.3">
      <c r="K7782" s="16">
        <f t="shared" si="121"/>
        <v>44340</v>
      </c>
      <c r="L7782" s="17">
        <v>0.16666666666666666</v>
      </c>
      <c r="M7782" s="14">
        <v>884</v>
      </c>
      <c r="N7782" s="14">
        <v>0</v>
      </c>
      <c r="O7782" s="14">
        <v>0</v>
      </c>
      <c r="P7782" s="14">
        <v>884</v>
      </c>
      <c r="Q7782">
        <v>6339</v>
      </c>
      <c r="R7782">
        <v>711</v>
      </c>
      <c r="S7782">
        <v>0</v>
      </c>
    </row>
    <row r="7783" spans="11:19" x14ac:dyDescent="0.3">
      <c r="K7783" s="16">
        <f t="shared" si="121"/>
        <v>44340</v>
      </c>
      <c r="L7783" s="17">
        <v>0.20833333333333334</v>
      </c>
      <c r="M7783" s="14">
        <v>884</v>
      </c>
      <c r="N7783" s="14">
        <v>0</v>
      </c>
      <c r="O7783" s="14">
        <v>0</v>
      </c>
      <c r="P7783" s="14">
        <v>884</v>
      </c>
      <c r="Q7783">
        <v>6299</v>
      </c>
      <c r="R7783">
        <v>753</v>
      </c>
      <c r="S7783">
        <v>0</v>
      </c>
    </row>
    <row r="7784" spans="11:19" x14ac:dyDescent="0.3">
      <c r="K7784" s="16">
        <f t="shared" si="121"/>
        <v>44340</v>
      </c>
      <c r="L7784" s="17">
        <v>0.25</v>
      </c>
      <c r="M7784" s="14">
        <v>884</v>
      </c>
      <c r="N7784" s="14">
        <v>0</v>
      </c>
      <c r="O7784" s="14">
        <v>0</v>
      </c>
      <c r="P7784" s="14">
        <v>884</v>
      </c>
      <c r="Q7784">
        <v>6319</v>
      </c>
      <c r="R7784">
        <v>863</v>
      </c>
      <c r="S7784">
        <v>29</v>
      </c>
    </row>
    <row r="7785" spans="11:19" x14ac:dyDescent="0.3">
      <c r="K7785" s="16">
        <f t="shared" si="121"/>
        <v>44340</v>
      </c>
      <c r="L7785" s="17">
        <v>0.29166666666666669</v>
      </c>
      <c r="M7785" s="14">
        <v>884</v>
      </c>
      <c r="N7785" s="14">
        <v>0</v>
      </c>
      <c r="O7785" s="14">
        <v>0</v>
      </c>
      <c r="P7785" s="14">
        <v>884</v>
      </c>
      <c r="Q7785">
        <v>6571</v>
      </c>
      <c r="R7785">
        <v>982</v>
      </c>
      <c r="S7785">
        <v>269</v>
      </c>
    </row>
    <row r="7786" spans="11:19" x14ac:dyDescent="0.3">
      <c r="K7786" s="16">
        <f t="shared" si="121"/>
        <v>44340</v>
      </c>
      <c r="L7786" s="17">
        <v>0.33333333333333331</v>
      </c>
      <c r="M7786" s="14">
        <v>884</v>
      </c>
      <c r="N7786" s="14">
        <v>0</v>
      </c>
      <c r="O7786" s="14">
        <v>-110</v>
      </c>
      <c r="P7786" s="14">
        <v>774</v>
      </c>
      <c r="Q7786">
        <v>7028</v>
      </c>
      <c r="R7786">
        <v>1108</v>
      </c>
      <c r="S7786">
        <v>669</v>
      </c>
    </row>
    <row r="7787" spans="11:19" x14ac:dyDescent="0.3">
      <c r="K7787" s="16">
        <f t="shared" si="121"/>
        <v>44340</v>
      </c>
      <c r="L7787" s="17">
        <v>0.375</v>
      </c>
      <c r="M7787" s="14">
        <v>884</v>
      </c>
      <c r="N7787" s="14">
        <v>0</v>
      </c>
      <c r="O7787" s="14">
        <v>0</v>
      </c>
      <c r="P7787" s="14">
        <v>884</v>
      </c>
      <c r="Q7787">
        <v>7453</v>
      </c>
      <c r="R7787">
        <v>1084</v>
      </c>
      <c r="S7787">
        <v>1087</v>
      </c>
    </row>
    <row r="7788" spans="11:19" x14ac:dyDescent="0.3">
      <c r="K7788" s="16">
        <f t="shared" si="121"/>
        <v>44340</v>
      </c>
      <c r="L7788" s="17">
        <v>0.41666666666666669</v>
      </c>
      <c r="M7788" s="14">
        <v>884</v>
      </c>
      <c r="N7788" s="14">
        <v>0</v>
      </c>
      <c r="O7788" s="14">
        <v>0</v>
      </c>
      <c r="P7788" s="14">
        <v>884</v>
      </c>
      <c r="Q7788">
        <v>7676</v>
      </c>
      <c r="R7788">
        <v>1205</v>
      </c>
      <c r="S7788">
        <v>1404</v>
      </c>
    </row>
    <row r="7789" spans="11:19" x14ac:dyDescent="0.3">
      <c r="K7789" s="16">
        <f t="shared" si="121"/>
        <v>44340</v>
      </c>
      <c r="L7789" s="17">
        <v>0.45833333333333331</v>
      </c>
      <c r="M7789" s="14">
        <v>884</v>
      </c>
      <c r="N7789" s="14">
        <v>0</v>
      </c>
      <c r="O7789" s="14">
        <v>-283</v>
      </c>
      <c r="P7789" s="14">
        <v>601</v>
      </c>
      <c r="Q7789">
        <v>7846</v>
      </c>
      <c r="R7789">
        <v>1102</v>
      </c>
      <c r="S7789">
        <v>1643</v>
      </c>
    </row>
    <row r="7790" spans="11:19" x14ac:dyDescent="0.3">
      <c r="K7790" s="16">
        <f t="shared" si="121"/>
        <v>44340</v>
      </c>
      <c r="L7790" s="17">
        <v>0.5</v>
      </c>
      <c r="M7790" s="14">
        <v>884</v>
      </c>
      <c r="N7790" s="14">
        <v>0</v>
      </c>
      <c r="O7790" s="14">
        <v>0</v>
      </c>
      <c r="P7790" s="14">
        <v>884</v>
      </c>
      <c r="Q7790">
        <v>8114</v>
      </c>
      <c r="R7790">
        <v>1140</v>
      </c>
      <c r="S7790">
        <v>1806</v>
      </c>
    </row>
    <row r="7791" spans="11:19" x14ac:dyDescent="0.3">
      <c r="K7791" s="16">
        <f t="shared" si="121"/>
        <v>44340</v>
      </c>
      <c r="L7791" s="17">
        <v>0.54166666666666663</v>
      </c>
      <c r="M7791" s="14">
        <v>884</v>
      </c>
      <c r="N7791" s="14">
        <v>0</v>
      </c>
      <c r="O7791" s="14">
        <v>0</v>
      </c>
      <c r="P7791" s="14">
        <v>884</v>
      </c>
      <c r="Q7791">
        <v>7689</v>
      </c>
      <c r="R7791">
        <v>1237</v>
      </c>
      <c r="S7791">
        <v>1898</v>
      </c>
    </row>
    <row r="7792" spans="11:19" x14ac:dyDescent="0.3">
      <c r="K7792" s="16">
        <f t="shared" si="121"/>
        <v>44340</v>
      </c>
      <c r="L7792" s="17">
        <v>0.58333333333333337</v>
      </c>
      <c r="M7792" s="14">
        <v>884</v>
      </c>
      <c r="N7792" s="14">
        <v>0</v>
      </c>
      <c r="O7792" s="14">
        <v>-1200</v>
      </c>
      <c r="P7792" s="14">
        <v>-316</v>
      </c>
      <c r="Q7792">
        <v>7293</v>
      </c>
      <c r="R7792">
        <v>1297</v>
      </c>
      <c r="S7792">
        <v>1845</v>
      </c>
    </row>
    <row r="7793" spans="11:19" x14ac:dyDescent="0.3">
      <c r="K7793" s="16">
        <f t="shared" si="121"/>
        <v>44340</v>
      </c>
      <c r="L7793" s="17">
        <v>0.625</v>
      </c>
      <c r="M7793" s="14">
        <v>884</v>
      </c>
      <c r="N7793" s="14">
        <v>0</v>
      </c>
      <c r="O7793" s="14">
        <v>-318</v>
      </c>
      <c r="P7793" s="14">
        <v>566</v>
      </c>
      <c r="Q7793">
        <v>6980</v>
      </c>
      <c r="R7793">
        <v>1299</v>
      </c>
      <c r="S7793">
        <v>1763</v>
      </c>
    </row>
    <row r="7794" spans="11:19" x14ac:dyDescent="0.3">
      <c r="K7794" s="16">
        <f t="shared" si="121"/>
        <v>44340</v>
      </c>
      <c r="L7794" s="17">
        <v>0.66666666666666663</v>
      </c>
      <c r="M7794" s="14">
        <v>884</v>
      </c>
      <c r="N7794" s="14">
        <v>0</v>
      </c>
      <c r="O7794" s="14">
        <v>-227</v>
      </c>
      <c r="P7794" s="14">
        <v>657</v>
      </c>
      <c r="Q7794">
        <v>6790</v>
      </c>
      <c r="R7794">
        <v>1232</v>
      </c>
      <c r="S7794">
        <v>1555</v>
      </c>
    </row>
    <row r="7795" spans="11:19" x14ac:dyDescent="0.3">
      <c r="K7795" s="16">
        <f t="shared" si="121"/>
        <v>44340</v>
      </c>
      <c r="L7795" s="17">
        <v>0.70833333333333337</v>
      </c>
      <c r="M7795" s="14">
        <v>884</v>
      </c>
      <c r="N7795" s="14">
        <v>0</v>
      </c>
      <c r="O7795" s="14">
        <v>-1200</v>
      </c>
      <c r="P7795" s="14">
        <v>-316</v>
      </c>
      <c r="Q7795">
        <v>6807</v>
      </c>
      <c r="R7795">
        <v>1396</v>
      </c>
      <c r="S7795">
        <v>1250</v>
      </c>
    </row>
    <row r="7796" spans="11:19" x14ac:dyDescent="0.3">
      <c r="K7796" s="16">
        <f t="shared" si="121"/>
        <v>44340</v>
      </c>
      <c r="L7796" s="17">
        <v>0.75</v>
      </c>
      <c r="M7796" s="14">
        <v>884</v>
      </c>
      <c r="N7796" s="14">
        <v>0</v>
      </c>
      <c r="O7796" s="14">
        <v>0</v>
      </c>
      <c r="P7796" s="14">
        <v>884</v>
      </c>
      <c r="Q7796">
        <v>7139</v>
      </c>
      <c r="R7796">
        <v>1276</v>
      </c>
      <c r="S7796">
        <v>805</v>
      </c>
    </row>
    <row r="7797" spans="11:19" x14ac:dyDescent="0.3">
      <c r="K7797" s="16">
        <f t="shared" si="121"/>
        <v>44340</v>
      </c>
      <c r="L7797" s="17">
        <v>0.79166666666666663</v>
      </c>
      <c r="M7797" s="14">
        <v>884</v>
      </c>
      <c r="N7797" s="14">
        <v>0</v>
      </c>
      <c r="O7797" s="14">
        <v>0</v>
      </c>
      <c r="P7797" s="14">
        <v>884</v>
      </c>
      <c r="Q7797">
        <v>7376</v>
      </c>
      <c r="R7797">
        <v>1243</v>
      </c>
      <c r="S7797">
        <v>387</v>
      </c>
    </row>
    <row r="7798" spans="11:19" x14ac:dyDescent="0.3">
      <c r="K7798" s="16">
        <f t="shared" si="121"/>
        <v>44340</v>
      </c>
      <c r="L7798" s="17">
        <v>0.83333333333333337</v>
      </c>
      <c r="M7798" s="14">
        <v>884</v>
      </c>
      <c r="N7798" s="14">
        <v>0</v>
      </c>
      <c r="O7798" s="14">
        <v>0</v>
      </c>
      <c r="P7798" s="14">
        <v>884</v>
      </c>
      <c r="Q7798">
        <v>7265</v>
      </c>
      <c r="R7798">
        <v>1434</v>
      </c>
      <c r="S7798">
        <v>107</v>
      </c>
    </row>
    <row r="7799" spans="11:19" x14ac:dyDescent="0.3">
      <c r="K7799" s="16">
        <f t="shared" si="121"/>
        <v>44340</v>
      </c>
      <c r="L7799" s="17">
        <v>0.875</v>
      </c>
      <c r="M7799" s="14">
        <v>884</v>
      </c>
      <c r="N7799" s="14">
        <v>0</v>
      </c>
      <c r="O7799" s="14">
        <v>0</v>
      </c>
      <c r="P7799" s="14">
        <v>884</v>
      </c>
      <c r="Q7799">
        <v>7212</v>
      </c>
      <c r="R7799">
        <v>1476</v>
      </c>
      <c r="S7799">
        <v>3</v>
      </c>
    </row>
    <row r="7800" spans="11:19" x14ac:dyDescent="0.3">
      <c r="K7800" s="16">
        <f t="shared" si="121"/>
        <v>44340</v>
      </c>
      <c r="L7800" s="17">
        <v>0.91666666666666663</v>
      </c>
      <c r="M7800" s="14">
        <v>884</v>
      </c>
      <c r="N7800" s="14">
        <v>0</v>
      </c>
      <c r="O7800" s="14">
        <v>142</v>
      </c>
      <c r="P7800" s="14">
        <v>1026</v>
      </c>
      <c r="Q7800">
        <v>7725</v>
      </c>
      <c r="R7800">
        <v>1617</v>
      </c>
      <c r="S7800">
        <v>0</v>
      </c>
    </row>
    <row r="7801" spans="11:19" x14ac:dyDescent="0.3">
      <c r="K7801" s="16">
        <f t="shared" si="121"/>
        <v>44340</v>
      </c>
      <c r="L7801" s="17">
        <v>0.95833333333333337</v>
      </c>
      <c r="M7801" s="14">
        <v>884</v>
      </c>
      <c r="N7801" s="14">
        <v>0</v>
      </c>
      <c r="O7801" s="14">
        <v>70</v>
      </c>
      <c r="P7801" s="14">
        <v>954</v>
      </c>
      <c r="Q7801">
        <v>7973</v>
      </c>
      <c r="R7801">
        <v>1953</v>
      </c>
      <c r="S7801">
        <v>0</v>
      </c>
    </row>
    <row r="7802" spans="11:19" x14ac:dyDescent="0.3">
      <c r="K7802" s="16">
        <f t="shared" si="121"/>
        <v>44341</v>
      </c>
      <c r="L7802" s="17">
        <v>0</v>
      </c>
      <c r="M7802" s="14">
        <v>884</v>
      </c>
      <c r="N7802" s="14">
        <v>0</v>
      </c>
      <c r="O7802" s="14">
        <v>-261</v>
      </c>
      <c r="P7802" s="14">
        <v>623</v>
      </c>
      <c r="Q7802">
        <v>7615</v>
      </c>
      <c r="R7802">
        <v>1933</v>
      </c>
      <c r="S7802">
        <v>0</v>
      </c>
    </row>
    <row r="7803" spans="11:19" x14ac:dyDescent="0.3">
      <c r="K7803" s="16">
        <f t="shared" si="121"/>
        <v>44341</v>
      </c>
      <c r="L7803" s="17">
        <v>4.1666666666666664E-2</v>
      </c>
      <c r="M7803" s="14">
        <v>884</v>
      </c>
      <c r="N7803" s="14">
        <v>0</v>
      </c>
      <c r="O7803" s="14">
        <v>-505</v>
      </c>
      <c r="P7803" s="14">
        <v>379</v>
      </c>
      <c r="Q7803">
        <v>7269</v>
      </c>
      <c r="R7803">
        <v>1835</v>
      </c>
      <c r="S7803">
        <v>0</v>
      </c>
    </row>
    <row r="7804" spans="11:19" x14ac:dyDescent="0.3">
      <c r="K7804" s="16">
        <f t="shared" si="121"/>
        <v>44341</v>
      </c>
      <c r="L7804" s="17">
        <v>8.3333333333333329E-2</v>
      </c>
      <c r="M7804" s="14">
        <v>884</v>
      </c>
      <c r="N7804" s="14">
        <v>0</v>
      </c>
      <c r="O7804" s="14">
        <v>-307</v>
      </c>
      <c r="P7804" s="14">
        <v>577</v>
      </c>
      <c r="Q7804">
        <v>6969</v>
      </c>
      <c r="R7804">
        <v>1951</v>
      </c>
      <c r="S7804">
        <v>0</v>
      </c>
    </row>
    <row r="7805" spans="11:19" x14ac:dyDescent="0.3">
      <c r="K7805" s="16">
        <f t="shared" si="121"/>
        <v>44341</v>
      </c>
      <c r="L7805" s="17">
        <v>0.125</v>
      </c>
      <c r="M7805" s="14">
        <v>884</v>
      </c>
      <c r="N7805" s="14">
        <v>0</v>
      </c>
      <c r="O7805" s="14">
        <v>-707</v>
      </c>
      <c r="P7805" s="14">
        <v>177</v>
      </c>
      <c r="Q7805">
        <v>6588</v>
      </c>
      <c r="R7805">
        <v>1967</v>
      </c>
      <c r="S7805">
        <v>0</v>
      </c>
    </row>
    <row r="7806" spans="11:19" x14ac:dyDescent="0.3">
      <c r="K7806" s="16">
        <f t="shared" si="121"/>
        <v>44341</v>
      </c>
      <c r="L7806" s="17">
        <v>0.16666666666666666</v>
      </c>
      <c r="M7806" s="14">
        <v>884</v>
      </c>
      <c r="N7806" s="14">
        <v>0</v>
      </c>
      <c r="O7806" s="14">
        <v>-632</v>
      </c>
      <c r="P7806" s="14">
        <v>252</v>
      </c>
      <c r="Q7806">
        <v>6558</v>
      </c>
      <c r="R7806">
        <v>1858</v>
      </c>
      <c r="S7806">
        <v>0</v>
      </c>
    </row>
    <row r="7807" spans="11:19" x14ac:dyDescent="0.3">
      <c r="K7807" s="16">
        <f t="shared" si="121"/>
        <v>44341</v>
      </c>
      <c r="L7807" s="17">
        <v>0.20833333333333334</v>
      </c>
      <c r="M7807" s="14">
        <v>884</v>
      </c>
      <c r="N7807" s="14">
        <v>0</v>
      </c>
      <c r="O7807" s="14">
        <v>-368</v>
      </c>
      <c r="P7807" s="14">
        <v>516</v>
      </c>
      <c r="Q7807">
        <v>7010</v>
      </c>
      <c r="R7807">
        <v>2030</v>
      </c>
      <c r="S7807">
        <v>0</v>
      </c>
    </row>
    <row r="7808" spans="11:19" x14ac:dyDescent="0.3">
      <c r="K7808" s="16">
        <f t="shared" si="121"/>
        <v>44341</v>
      </c>
      <c r="L7808" s="17">
        <v>0.25</v>
      </c>
      <c r="M7808" s="14">
        <v>884</v>
      </c>
      <c r="N7808" s="14">
        <v>0</v>
      </c>
      <c r="O7808" s="14">
        <v>0</v>
      </c>
      <c r="P7808" s="14">
        <v>884</v>
      </c>
      <c r="Q7808">
        <v>7847</v>
      </c>
      <c r="R7808">
        <v>2019</v>
      </c>
      <c r="S7808">
        <v>35</v>
      </c>
    </row>
    <row r="7809" spans="11:19" x14ac:dyDescent="0.3">
      <c r="K7809" s="16">
        <f t="shared" si="121"/>
        <v>44341</v>
      </c>
      <c r="L7809" s="17">
        <v>0.29166666666666669</v>
      </c>
      <c r="M7809" s="14">
        <v>884</v>
      </c>
      <c r="N7809" s="14">
        <v>0</v>
      </c>
      <c r="O7809" s="14">
        <v>399</v>
      </c>
      <c r="P7809" s="14">
        <v>1283</v>
      </c>
      <c r="Q7809">
        <v>8705</v>
      </c>
      <c r="R7809">
        <v>2026</v>
      </c>
      <c r="S7809">
        <v>265</v>
      </c>
    </row>
    <row r="7810" spans="11:19" x14ac:dyDescent="0.3">
      <c r="K7810" s="16">
        <f t="shared" si="121"/>
        <v>44341</v>
      </c>
      <c r="L7810" s="17">
        <v>0.33333333333333331</v>
      </c>
      <c r="M7810" s="14">
        <v>884</v>
      </c>
      <c r="N7810" s="14">
        <v>0</v>
      </c>
      <c r="O7810" s="14">
        <v>318</v>
      </c>
      <c r="P7810" s="14">
        <v>1202</v>
      </c>
      <c r="Q7810">
        <v>9192</v>
      </c>
      <c r="R7810">
        <v>2141</v>
      </c>
      <c r="S7810">
        <v>716</v>
      </c>
    </row>
    <row r="7811" spans="11:19" x14ac:dyDescent="0.3">
      <c r="K7811" s="16">
        <f t="shared" si="121"/>
        <v>44341</v>
      </c>
      <c r="L7811" s="17">
        <v>0.375</v>
      </c>
      <c r="M7811" s="14">
        <v>884</v>
      </c>
      <c r="N7811" s="14">
        <v>0</v>
      </c>
      <c r="O7811" s="14">
        <v>240</v>
      </c>
      <c r="P7811" s="14">
        <v>1124</v>
      </c>
      <c r="Q7811">
        <v>9479</v>
      </c>
      <c r="R7811">
        <v>1966</v>
      </c>
      <c r="S7811">
        <v>1259</v>
      </c>
    </row>
    <row r="7812" spans="11:19" x14ac:dyDescent="0.3">
      <c r="K7812" s="16">
        <f t="shared" si="121"/>
        <v>44341</v>
      </c>
      <c r="L7812" s="17">
        <v>0.41666666666666669</v>
      </c>
      <c r="M7812" s="14">
        <v>884</v>
      </c>
      <c r="N7812" s="14">
        <v>0</v>
      </c>
      <c r="O7812" s="14">
        <v>-245</v>
      </c>
      <c r="P7812" s="14">
        <v>639</v>
      </c>
      <c r="Q7812">
        <v>9579</v>
      </c>
      <c r="R7812">
        <v>2150</v>
      </c>
      <c r="S7812">
        <v>1660</v>
      </c>
    </row>
    <row r="7813" spans="11:19" x14ac:dyDescent="0.3">
      <c r="K7813" s="16">
        <f t="shared" si="121"/>
        <v>44341</v>
      </c>
      <c r="L7813" s="17">
        <v>0.45833333333333331</v>
      </c>
      <c r="M7813" s="14">
        <v>884</v>
      </c>
      <c r="N7813" s="14">
        <v>0</v>
      </c>
      <c r="O7813" s="14">
        <v>0</v>
      </c>
      <c r="P7813" s="14">
        <v>884</v>
      </c>
      <c r="Q7813">
        <v>9732</v>
      </c>
      <c r="R7813">
        <v>2116</v>
      </c>
      <c r="S7813">
        <v>1876</v>
      </c>
    </row>
    <row r="7814" spans="11:19" x14ac:dyDescent="0.3">
      <c r="K7814" s="16">
        <f t="shared" si="121"/>
        <v>44341</v>
      </c>
      <c r="L7814" s="17">
        <v>0.5</v>
      </c>
      <c r="M7814" s="14">
        <v>884</v>
      </c>
      <c r="N7814" s="14">
        <v>0</v>
      </c>
      <c r="O7814" s="14">
        <v>-602</v>
      </c>
      <c r="P7814" s="14">
        <v>282</v>
      </c>
      <c r="Q7814">
        <v>9805</v>
      </c>
      <c r="R7814">
        <v>2342</v>
      </c>
      <c r="S7814">
        <v>2057</v>
      </c>
    </row>
    <row r="7815" spans="11:19" x14ac:dyDescent="0.3">
      <c r="K7815" s="16">
        <f t="shared" si="121"/>
        <v>44341</v>
      </c>
      <c r="L7815" s="17">
        <v>0.54166666666666663</v>
      </c>
      <c r="M7815" s="14">
        <v>884</v>
      </c>
      <c r="N7815" s="14">
        <v>0</v>
      </c>
      <c r="O7815" s="14">
        <v>-397</v>
      </c>
      <c r="P7815" s="14">
        <v>487</v>
      </c>
      <c r="Q7815">
        <v>9642</v>
      </c>
      <c r="R7815">
        <v>2489</v>
      </c>
      <c r="S7815">
        <v>2160</v>
      </c>
    </row>
    <row r="7816" spans="11:19" x14ac:dyDescent="0.3">
      <c r="K7816" s="16">
        <f t="shared" si="121"/>
        <v>44341</v>
      </c>
      <c r="L7816" s="17">
        <v>0.58333333333333337</v>
      </c>
      <c r="M7816" s="14">
        <v>884</v>
      </c>
      <c r="N7816" s="14">
        <v>0</v>
      </c>
      <c r="O7816" s="14">
        <v>-1161</v>
      </c>
      <c r="P7816" s="14">
        <v>-277</v>
      </c>
      <c r="Q7816">
        <v>9464</v>
      </c>
      <c r="R7816">
        <v>2512</v>
      </c>
      <c r="S7816">
        <v>2214</v>
      </c>
    </row>
    <row r="7817" spans="11:19" x14ac:dyDescent="0.3">
      <c r="K7817" s="16">
        <f t="shared" si="121"/>
        <v>44341</v>
      </c>
      <c r="L7817" s="17">
        <v>0.625</v>
      </c>
      <c r="M7817" s="14">
        <v>884</v>
      </c>
      <c r="N7817" s="14">
        <v>0</v>
      </c>
      <c r="O7817" s="14">
        <v>-1200</v>
      </c>
      <c r="P7817" s="14">
        <v>-316</v>
      </c>
      <c r="Q7817">
        <v>9164</v>
      </c>
      <c r="R7817">
        <v>2482</v>
      </c>
      <c r="S7817">
        <v>2093</v>
      </c>
    </row>
    <row r="7818" spans="11:19" x14ac:dyDescent="0.3">
      <c r="K7818" s="16">
        <f t="shared" si="121"/>
        <v>44341</v>
      </c>
      <c r="L7818" s="17">
        <v>0.66666666666666663</v>
      </c>
      <c r="M7818" s="14">
        <v>884</v>
      </c>
      <c r="N7818" s="14">
        <v>0</v>
      </c>
      <c r="O7818" s="14">
        <v>-1200</v>
      </c>
      <c r="P7818" s="14">
        <v>-316</v>
      </c>
      <c r="Q7818">
        <v>8926</v>
      </c>
      <c r="R7818">
        <v>2489</v>
      </c>
      <c r="S7818">
        <v>1825</v>
      </c>
    </row>
    <row r="7819" spans="11:19" x14ac:dyDescent="0.3">
      <c r="K7819" s="16">
        <f t="shared" si="121"/>
        <v>44341</v>
      </c>
      <c r="L7819" s="17">
        <v>0.70833333333333337</v>
      </c>
      <c r="M7819" s="14">
        <v>884</v>
      </c>
      <c r="N7819" s="14">
        <v>0</v>
      </c>
      <c r="O7819" s="14">
        <v>-944</v>
      </c>
      <c r="P7819" s="14">
        <v>-60</v>
      </c>
      <c r="Q7819">
        <v>8800</v>
      </c>
      <c r="R7819">
        <v>2293</v>
      </c>
      <c r="S7819">
        <v>1449</v>
      </c>
    </row>
    <row r="7820" spans="11:19" x14ac:dyDescent="0.3">
      <c r="K7820" s="16">
        <f t="shared" si="121"/>
        <v>44341</v>
      </c>
      <c r="L7820" s="17">
        <v>0.75</v>
      </c>
      <c r="M7820" s="14">
        <v>884</v>
      </c>
      <c r="N7820" s="14">
        <v>0</v>
      </c>
      <c r="O7820" s="14">
        <v>278</v>
      </c>
      <c r="P7820" s="14">
        <v>1162</v>
      </c>
      <c r="Q7820">
        <v>9038</v>
      </c>
      <c r="R7820">
        <v>1879</v>
      </c>
      <c r="S7820">
        <v>881</v>
      </c>
    </row>
    <row r="7821" spans="11:19" x14ac:dyDescent="0.3">
      <c r="K7821" s="16">
        <f t="shared" si="121"/>
        <v>44341</v>
      </c>
      <c r="L7821" s="17">
        <v>0.79166666666666663</v>
      </c>
      <c r="M7821" s="14">
        <v>884</v>
      </c>
      <c r="N7821" s="14">
        <v>0</v>
      </c>
      <c r="O7821" s="14">
        <v>1017</v>
      </c>
      <c r="P7821" s="14">
        <v>1901</v>
      </c>
      <c r="Q7821">
        <v>9021</v>
      </c>
      <c r="R7821">
        <v>1583</v>
      </c>
      <c r="S7821">
        <v>433</v>
      </c>
    </row>
    <row r="7822" spans="11:19" x14ac:dyDescent="0.3">
      <c r="K7822" s="16">
        <f t="shared" si="121"/>
        <v>44341</v>
      </c>
      <c r="L7822" s="17">
        <v>0.83333333333333337</v>
      </c>
      <c r="M7822" s="14">
        <v>884</v>
      </c>
      <c r="N7822" s="14">
        <v>0</v>
      </c>
      <c r="O7822" s="14">
        <v>973</v>
      </c>
      <c r="P7822" s="14">
        <v>1857</v>
      </c>
      <c r="Q7822">
        <v>8452</v>
      </c>
      <c r="R7822">
        <v>1409</v>
      </c>
      <c r="S7822">
        <v>94</v>
      </c>
    </row>
    <row r="7823" spans="11:19" x14ac:dyDescent="0.3">
      <c r="K7823" s="16">
        <f t="shared" si="121"/>
        <v>44341</v>
      </c>
      <c r="L7823" s="17">
        <v>0.875</v>
      </c>
      <c r="M7823" s="14">
        <v>884</v>
      </c>
      <c r="N7823" s="14">
        <v>26</v>
      </c>
      <c r="O7823" s="14">
        <v>1200</v>
      </c>
      <c r="P7823" s="14">
        <v>2110</v>
      </c>
      <c r="Q7823">
        <v>8207</v>
      </c>
      <c r="R7823">
        <v>1007</v>
      </c>
      <c r="S7823">
        <v>5</v>
      </c>
    </row>
    <row r="7824" spans="11:19" x14ac:dyDescent="0.3">
      <c r="K7824" s="16">
        <f t="shared" si="121"/>
        <v>44341</v>
      </c>
      <c r="L7824" s="17">
        <v>0.91666666666666663</v>
      </c>
      <c r="M7824" s="14">
        <v>884</v>
      </c>
      <c r="N7824" s="14">
        <v>349</v>
      </c>
      <c r="O7824" s="14">
        <v>1200</v>
      </c>
      <c r="P7824" s="14">
        <v>2433</v>
      </c>
      <c r="Q7824">
        <v>8554</v>
      </c>
      <c r="R7824">
        <v>1042</v>
      </c>
      <c r="S7824">
        <v>0</v>
      </c>
    </row>
    <row r="7825" spans="11:19" x14ac:dyDescent="0.3">
      <c r="K7825" s="16">
        <f t="shared" si="121"/>
        <v>44341</v>
      </c>
      <c r="L7825" s="17">
        <v>0.95833333333333337</v>
      </c>
      <c r="M7825" s="14">
        <v>884</v>
      </c>
      <c r="N7825" s="14">
        <v>492</v>
      </c>
      <c r="O7825" s="14">
        <v>1200</v>
      </c>
      <c r="P7825" s="14">
        <v>2576</v>
      </c>
      <c r="Q7825">
        <v>8680</v>
      </c>
      <c r="R7825">
        <v>1043</v>
      </c>
      <c r="S7825">
        <v>0</v>
      </c>
    </row>
    <row r="7826" spans="11:19" x14ac:dyDescent="0.3">
      <c r="K7826" s="16">
        <f t="shared" si="121"/>
        <v>44342</v>
      </c>
      <c r="L7826" s="17">
        <v>0</v>
      </c>
      <c r="M7826" s="14">
        <v>884</v>
      </c>
      <c r="N7826" s="14">
        <v>1142</v>
      </c>
      <c r="O7826" s="14">
        <v>0</v>
      </c>
      <c r="P7826" s="14">
        <v>2026</v>
      </c>
      <c r="Q7826">
        <v>8066</v>
      </c>
      <c r="R7826">
        <v>983</v>
      </c>
      <c r="S7826">
        <v>0</v>
      </c>
    </row>
    <row r="7827" spans="11:19" x14ac:dyDescent="0.3">
      <c r="K7827" s="16">
        <f t="shared" si="121"/>
        <v>44342</v>
      </c>
      <c r="L7827" s="17">
        <v>4.1666666666666664E-2</v>
      </c>
      <c r="M7827" s="14">
        <v>884</v>
      </c>
      <c r="N7827" s="14">
        <v>600</v>
      </c>
      <c r="O7827" s="14">
        <v>0</v>
      </c>
      <c r="P7827" s="14">
        <v>1484</v>
      </c>
      <c r="Q7827">
        <v>7666</v>
      </c>
      <c r="R7827">
        <v>1128</v>
      </c>
      <c r="S7827">
        <v>0</v>
      </c>
    </row>
    <row r="7828" spans="11:19" x14ac:dyDescent="0.3">
      <c r="K7828" s="16">
        <f t="shared" si="121"/>
        <v>44342</v>
      </c>
      <c r="L7828" s="17">
        <v>8.3333333333333329E-2</v>
      </c>
      <c r="M7828" s="14">
        <v>884</v>
      </c>
      <c r="N7828" s="14">
        <v>262</v>
      </c>
      <c r="O7828" s="14">
        <v>0</v>
      </c>
      <c r="P7828" s="14">
        <v>1146</v>
      </c>
      <c r="Q7828">
        <v>7363</v>
      </c>
      <c r="R7828">
        <v>1164</v>
      </c>
      <c r="S7828">
        <v>0</v>
      </c>
    </row>
    <row r="7829" spans="11:19" x14ac:dyDescent="0.3">
      <c r="K7829" s="16">
        <f t="shared" si="121"/>
        <v>44342</v>
      </c>
      <c r="L7829" s="17">
        <v>0.125</v>
      </c>
      <c r="M7829" s="14">
        <v>884</v>
      </c>
      <c r="N7829" s="14">
        <v>0</v>
      </c>
      <c r="O7829" s="14">
        <v>-53</v>
      </c>
      <c r="P7829" s="14">
        <v>831</v>
      </c>
      <c r="Q7829">
        <v>6975</v>
      </c>
      <c r="R7829">
        <v>1088</v>
      </c>
      <c r="S7829">
        <v>0</v>
      </c>
    </row>
    <row r="7830" spans="11:19" x14ac:dyDescent="0.3">
      <c r="K7830" s="16">
        <f t="shared" si="121"/>
        <v>44342</v>
      </c>
      <c r="L7830" s="17">
        <v>0.16666666666666666</v>
      </c>
      <c r="M7830" s="14">
        <v>884</v>
      </c>
      <c r="N7830" s="14">
        <v>0</v>
      </c>
      <c r="O7830" s="14">
        <v>-109</v>
      </c>
      <c r="P7830" s="14">
        <v>775</v>
      </c>
      <c r="Q7830">
        <v>6886</v>
      </c>
      <c r="R7830">
        <v>1051</v>
      </c>
      <c r="S7830">
        <v>0</v>
      </c>
    </row>
    <row r="7831" spans="11:19" x14ac:dyDescent="0.3">
      <c r="K7831" s="16">
        <f t="shared" si="121"/>
        <v>44342</v>
      </c>
      <c r="L7831" s="17">
        <v>0.20833333333333334</v>
      </c>
      <c r="M7831" s="14">
        <v>884</v>
      </c>
      <c r="N7831" s="14">
        <v>272</v>
      </c>
      <c r="O7831" s="14">
        <v>0</v>
      </c>
      <c r="P7831" s="14">
        <v>1156</v>
      </c>
      <c r="Q7831">
        <v>7237</v>
      </c>
      <c r="R7831">
        <v>1005</v>
      </c>
      <c r="S7831">
        <v>0</v>
      </c>
    </row>
    <row r="7832" spans="11:19" x14ac:dyDescent="0.3">
      <c r="K7832" s="16">
        <f t="shared" si="121"/>
        <v>44342</v>
      </c>
      <c r="L7832" s="17">
        <v>0.25</v>
      </c>
      <c r="M7832" s="14">
        <v>884</v>
      </c>
      <c r="N7832" s="14">
        <v>933</v>
      </c>
      <c r="O7832" s="14">
        <v>0</v>
      </c>
      <c r="P7832" s="14">
        <v>1817</v>
      </c>
      <c r="Q7832">
        <v>8045</v>
      </c>
      <c r="R7832">
        <v>1093</v>
      </c>
      <c r="S7832">
        <v>23</v>
      </c>
    </row>
    <row r="7833" spans="11:19" x14ac:dyDescent="0.3">
      <c r="K7833" s="16">
        <f t="shared" si="121"/>
        <v>44342</v>
      </c>
      <c r="L7833" s="17">
        <v>0.29166666666666669</v>
      </c>
      <c r="M7833" s="14">
        <v>884</v>
      </c>
      <c r="N7833" s="14">
        <v>1292</v>
      </c>
      <c r="O7833" s="14">
        <v>0</v>
      </c>
      <c r="P7833" s="14">
        <v>2176</v>
      </c>
      <c r="Q7833">
        <v>8901</v>
      </c>
      <c r="R7833">
        <v>1119</v>
      </c>
      <c r="S7833">
        <v>157</v>
      </c>
    </row>
    <row r="7834" spans="11:19" x14ac:dyDescent="0.3">
      <c r="K7834" s="16">
        <f t="shared" si="121"/>
        <v>44342</v>
      </c>
      <c r="L7834" s="17">
        <v>0.33333333333333331</v>
      </c>
      <c r="M7834" s="14">
        <v>884</v>
      </c>
      <c r="N7834" s="14">
        <v>1452</v>
      </c>
      <c r="O7834" s="14">
        <v>0</v>
      </c>
      <c r="P7834" s="14">
        <v>2336</v>
      </c>
      <c r="Q7834">
        <v>9388</v>
      </c>
      <c r="R7834">
        <v>1209</v>
      </c>
      <c r="S7834">
        <v>392</v>
      </c>
    </row>
    <row r="7835" spans="11:19" x14ac:dyDescent="0.3">
      <c r="K7835" s="16">
        <f t="shared" ref="K7835:K7898" si="122">K7811+1</f>
        <v>44342</v>
      </c>
      <c r="L7835" s="17">
        <v>0.375</v>
      </c>
      <c r="M7835" s="14">
        <v>884</v>
      </c>
      <c r="N7835" s="14">
        <v>1618</v>
      </c>
      <c r="O7835" s="14">
        <v>0</v>
      </c>
      <c r="P7835" s="14">
        <v>2502</v>
      </c>
      <c r="Q7835">
        <v>9677</v>
      </c>
      <c r="R7835">
        <v>1120</v>
      </c>
      <c r="S7835">
        <v>608</v>
      </c>
    </row>
    <row r="7836" spans="11:19" x14ac:dyDescent="0.3">
      <c r="K7836" s="16">
        <f t="shared" si="122"/>
        <v>44342</v>
      </c>
      <c r="L7836" s="17">
        <v>0.41666666666666669</v>
      </c>
      <c r="M7836" s="14">
        <v>884</v>
      </c>
      <c r="N7836" s="14">
        <v>1564</v>
      </c>
      <c r="O7836" s="14">
        <v>0</v>
      </c>
      <c r="P7836" s="14">
        <v>2448</v>
      </c>
      <c r="Q7836">
        <v>9816</v>
      </c>
      <c r="R7836">
        <v>1129</v>
      </c>
      <c r="S7836">
        <v>791</v>
      </c>
    </row>
    <row r="7837" spans="11:19" x14ac:dyDescent="0.3">
      <c r="K7837" s="16">
        <f t="shared" si="122"/>
        <v>44342</v>
      </c>
      <c r="L7837" s="17">
        <v>0.45833333333333331</v>
      </c>
      <c r="M7837" s="14">
        <v>884</v>
      </c>
      <c r="N7837" s="14">
        <v>0</v>
      </c>
      <c r="O7837" s="14">
        <v>130</v>
      </c>
      <c r="P7837" s="14">
        <v>1014</v>
      </c>
      <c r="Q7837">
        <v>9969</v>
      </c>
      <c r="R7837">
        <v>1124</v>
      </c>
      <c r="S7837">
        <v>918</v>
      </c>
    </row>
    <row r="7838" spans="11:19" x14ac:dyDescent="0.3">
      <c r="K7838" s="16">
        <f t="shared" si="122"/>
        <v>44342</v>
      </c>
      <c r="L7838" s="17">
        <v>0.5</v>
      </c>
      <c r="M7838" s="14">
        <v>884</v>
      </c>
      <c r="N7838" s="14">
        <v>1954</v>
      </c>
      <c r="O7838" s="14">
        <v>0</v>
      </c>
      <c r="P7838" s="14">
        <v>2838</v>
      </c>
      <c r="Q7838">
        <v>10059</v>
      </c>
      <c r="R7838">
        <v>1128</v>
      </c>
      <c r="S7838">
        <v>971</v>
      </c>
    </row>
    <row r="7839" spans="11:19" x14ac:dyDescent="0.3">
      <c r="K7839" s="16">
        <f t="shared" si="122"/>
        <v>44342</v>
      </c>
      <c r="L7839" s="17">
        <v>0.54166666666666663</v>
      </c>
      <c r="M7839" s="14">
        <v>884</v>
      </c>
      <c r="N7839" s="14">
        <v>1667</v>
      </c>
      <c r="O7839" s="14">
        <v>0</v>
      </c>
      <c r="P7839" s="14">
        <v>2551</v>
      </c>
      <c r="Q7839">
        <v>9869</v>
      </c>
      <c r="R7839">
        <v>1175</v>
      </c>
      <c r="S7839">
        <v>1026</v>
      </c>
    </row>
    <row r="7840" spans="11:19" x14ac:dyDescent="0.3">
      <c r="K7840" s="16">
        <f t="shared" si="122"/>
        <v>44342</v>
      </c>
      <c r="L7840" s="17">
        <v>0.58333333333333337</v>
      </c>
      <c r="M7840" s="14">
        <v>884</v>
      </c>
      <c r="N7840" s="14">
        <v>1213</v>
      </c>
      <c r="O7840" s="14">
        <v>0</v>
      </c>
      <c r="P7840" s="14">
        <v>2097</v>
      </c>
      <c r="Q7840">
        <v>9703</v>
      </c>
      <c r="R7840">
        <v>1364</v>
      </c>
      <c r="S7840">
        <v>1123</v>
      </c>
    </row>
    <row r="7841" spans="11:19" x14ac:dyDescent="0.3">
      <c r="K7841" s="16">
        <f t="shared" si="122"/>
        <v>44342</v>
      </c>
      <c r="L7841" s="17">
        <v>0.625</v>
      </c>
      <c r="M7841" s="14">
        <v>884</v>
      </c>
      <c r="N7841" s="14">
        <v>701</v>
      </c>
      <c r="O7841" s="14">
        <v>0</v>
      </c>
      <c r="P7841" s="14">
        <v>1585</v>
      </c>
      <c r="Q7841">
        <v>9386</v>
      </c>
      <c r="R7841">
        <v>1564</v>
      </c>
      <c r="S7841">
        <v>1118</v>
      </c>
    </row>
    <row r="7842" spans="11:19" x14ac:dyDescent="0.3">
      <c r="K7842" s="16">
        <f t="shared" si="122"/>
        <v>44342</v>
      </c>
      <c r="L7842" s="17">
        <v>0.66666666666666663</v>
      </c>
      <c r="M7842" s="14">
        <v>884</v>
      </c>
      <c r="N7842" s="14">
        <v>489</v>
      </c>
      <c r="O7842" s="14">
        <v>0</v>
      </c>
      <c r="P7842" s="14">
        <v>1373</v>
      </c>
      <c r="Q7842">
        <v>9137</v>
      </c>
      <c r="R7842">
        <v>1512</v>
      </c>
      <c r="S7842">
        <v>1135</v>
      </c>
    </row>
    <row r="7843" spans="11:19" x14ac:dyDescent="0.3">
      <c r="K7843" s="16">
        <f t="shared" si="122"/>
        <v>44342</v>
      </c>
      <c r="L7843" s="17">
        <v>0.70833333333333337</v>
      </c>
      <c r="M7843" s="14">
        <v>884</v>
      </c>
      <c r="N7843" s="14">
        <v>338</v>
      </c>
      <c r="O7843" s="14">
        <v>0</v>
      </c>
      <c r="P7843" s="14">
        <v>1222</v>
      </c>
      <c r="Q7843">
        <v>9025</v>
      </c>
      <c r="R7843">
        <v>1489</v>
      </c>
      <c r="S7843">
        <v>958</v>
      </c>
    </row>
    <row r="7844" spans="11:19" x14ac:dyDescent="0.3">
      <c r="K7844" s="16">
        <f t="shared" si="122"/>
        <v>44342</v>
      </c>
      <c r="L7844" s="17">
        <v>0.75</v>
      </c>
      <c r="M7844" s="14">
        <v>884</v>
      </c>
      <c r="N7844" s="14">
        <v>0</v>
      </c>
      <c r="O7844" s="14">
        <v>0</v>
      </c>
      <c r="P7844" s="14">
        <v>884</v>
      </c>
      <c r="Q7844">
        <v>9289</v>
      </c>
      <c r="R7844">
        <v>1369</v>
      </c>
      <c r="S7844">
        <v>683</v>
      </c>
    </row>
    <row r="7845" spans="11:19" x14ac:dyDescent="0.3">
      <c r="K7845" s="16">
        <f t="shared" si="122"/>
        <v>44342</v>
      </c>
      <c r="L7845" s="17">
        <v>0.79166666666666663</v>
      </c>
      <c r="M7845" s="14">
        <v>884</v>
      </c>
      <c r="N7845" s="14">
        <v>1448</v>
      </c>
      <c r="O7845" s="14">
        <v>0</v>
      </c>
      <c r="P7845" s="14">
        <v>2332</v>
      </c>
      <c r="Q7845">
        <v>9324</v>
      </c>
      <c r="R7845">
        <v>1316</v>
      </c>
      <c r="S7845">
        <v>334</v>
      </c>
    </row>
    <row r="7846" spans="11:19" x14ac:dyDescent="0.3">
      <c r="K7846" s="16">
        <f t="shared" si="122"/>
        <v>44342</v>
      </c>
      <c r="L7846" s="17">
        <v>0.83333333333333337</v>
      </c>
      <c r="M7846" s="14">
        <v>884</v>
      </c>
      <c r="N7846" s="14">
        <v>1454</v>
      </c>
      <c r="O7846" s="14">
        <v>0</v>
      </c>
      <c r="P7846" s="14">
        <v>2338</v>
      </c>
      <c r="Q7846">
        <v>8763</v>
      </c>
      <c r="R7846">
        <v>1000</v>
      </c>
      <c r="S7846">
        <v>95</v>
      </c>
    </row>
    <row r="7847" spans="11:19" x14ac:dyDescent="0.3">
      <c r="K7847" s="16">
        <f t="shared" si="122"/>
        <v>44342</v>
      </c>
      <c r="L7847" s="17">
        <v>0.875</v>
      </c>
      <c r="M7847" s="14">
        <v>884</v>
      </c>
      <c r="N7847" s="14">
        <v>1386</v>
      </c>
      <c r="O7847" s="14">
        <v>0</v>
      </c>
      <c r="P7847" s="14">
        <v>2270</v>
      </c>
      <c r="Q7847">
        <v>8447</v>
      </c>
      <c r="R7847">
        <v>836</v>
      </c>
      <c r="S7847">
        <v>17</v>
      </c>
    </row>
    <row r="7848" spans="11:19" x14ac:dyDescent="0.3">
      <c r="K7848" s="16">
        <f t="shared" si="122"/>
        <v>44342</v>
      </c>
      <c r="L7848" s="17">
        <v>0.91666666666666663</v>
      </c>
      <c r="M7848" s="14">
        <v>884</v>
      </c>
      <c r="N7848" s="14">
        <v>1932</v>
      </c>
      <c r="O7848" s="14">
        <v>0</v>
      </c>
      <c r="P7848" s="14">
        <v>2816</v>
      </c>
      <c r="Q7848">
        <v>8831</v>
      </c>
      <c r="R7848">
        <v>858</v>
      </c>
      <c r="S7848">
        <v>0</v>
      </c>
    </row>
    <row r="7849" spans="11:19" x14ac:dyDescent="0.3">
      <c r="K7849" s="16">
        <f t="shared" si="122"/>
        <v>44342</v>
      </c>
      <c r="L7849" s="17">
        <v>0.95833333333333337</v>
      </c>
      <c r="M7849" s="14">
        <v>884</v>
      </c>
      <c r="N7849" s="14">
        <v>2145</v>
      </c>
      <c r="O7849" s="14">
        <v>0</v>
      </c>
      <c r="P7849" s="14">
        <v>3029</v>
      </c>
      <c r="Q7849">
        <v>8976</v>
      </c>
      <c r="R7849">
        <v>792</v>
      </c>
      <c r="S7849">
        <v>0</v>
      </c>
    </row>
    <row r="7850" spans="11:19" x14ac:dyDescent="0.3">
      <c r="K7850" s="16">
        <f t="shared" si="122"/>
        <v>44343</v>
      </c>
      <c r="L7850" s="17">
        <v>0</v>
      </c>
      <c r="M7850" s="14">
        <v>884</v>
      </c>
      <c r="N7850" s="14">
        <v>1671</v>
      </c>
      <c r="O7850" s="14">
        <v>0</v>
      </c>
      <c r="P7850" s="14">
        <v>2555</v>
      </c>
      <c r="Q7850">
        <v>8357</v>
      </c>
      <c r="R7850">
        <v>667</v>
      </c>
      <c r="S7850">
        <v>0</v>
      </c>
    </row>
    <row r="7851" spans="11:19" x14ac:dyDescent="0.3">
      <c r="K7851" s="16">
        <f t="shared" si="122"/>
        <v>44343</v>
      </c>
      <c r="L7851" s="17">
        <v>4.1666666666666664E-2</v>
      </c>
      <c r="M7851" s="14">
        <v>884</v>
      </c>
      <c r="N7851" s="14">
        <v>1285</v>
      </c>
      <c r="O7851" s="14">
        <v>0</v>
      </c>
      <c r="P7851" s="14">
        <v>2169</v>
      </c>
      <c r="Q7851">
        <v>7968</v>
      </c>
      <c r="R7851">
        <v>667</v>
      </c>
      <c r="S7851">
        <v>0</v>
      </c>
    </row>
    <row r="7852" spans="11:19" x14ac:dyDescent="0.3">
      <c r="K7852" s="16">
        <f t="shared" si="122"/>
        <v>44343</v>
      </c>
      <c r="L7852" s="17">
        <v>8.3333333333333329E-2</v>
      </c>
      <c r="M7852" s="14">
        <v>884</v>
      </c>
      <c r="N7852" s="14">
        <v>1064</v>
      </c>
      <c r="O7852" s="14">
        <v>0</v>
      </c>
      <c r="P7852" s="14">
        <v>1948</v>
      </c>
      <c r="Q7852">
        <v>7671</v>
      </c>
      <c r="R7852">
        <v>591</v>
      </c>
      <c r="S7852">
        <v>0</v>
      </c>
    </row>
    <row r="7853" spans="11:19" x14ac:dyDescent="0.3">
      <c r="K7853" s="16">
        <f t="shared" si="122"/>
        <v>44343</v>
      </c>
      <c r="L7853" s="17">
        <v>0.125</v>
      </c>
      <c r="M7853" s="14">
        <v>884</v>
      </c>
      <c r="N7853" s="14">
        <v>660</v>
      </c>
      <c r="O7853" s="14">
        <v>0</v>
      </c>
      <c r="P7853" s="14">
        <v>1544</v>
      </c>
      <c r="Q7853">
        <v>7291</v>
      </c>
      <c r="R7853">
        <v>533</v>
      </c>
      <c r="S7853">
        <v>0</v>
      </c>
    </row>
    <row r="7854" spans="11:19" x14ac:dyDescent="0.3">
      <c r="K7854" s="16">
        <f t="shared" si="122"/>
        <v>44343</v>
      </c>
      <c r="L7854" s="17">
        <v>0.16666666666666666</v>
      </c>
      <c r="M7854" s="14">
        <v>884</v>
      </c>
      <c r="N7854" s="14">
        <v>634</v>
      </c>
      <c r="O7854" s="14">
        <v>0</v>
      </c>
      <c r="P7854" s="14">
        <v>1518</v>
      </c>
      <c r="Q7854">
        <v>7220</v>
      </c>
      <c r="R7854">
        <v>484</v>
      </c>
      <c r="S7854">
        <v>0</v>
      </c>
    </row>
    <row r="7855" spans="11:19" x14ac:dyDescent="0.3">
      <c r="K7855" s="16">
        <f t="shared" si="122"/>
        <v>44343</v>
      </c>
      <c r="L7855" s="17">
        <v>0.20833333333333334</v>
      </c>
      <c r="M7855" s="14">
        <v>884</v>
      </c>
      <c r="N7855" s="14">
        <v>1059</v>
      </c>
      <c r="O7855" s="14">
        <v>0</v>
      </c>
      <c r="P7855" s="14">
        <v>1943</v>
      </c>
      <c r="Q7855">
        <v>7601</v>
      </c>
      <c r="R7855">
        <v>424</v>
      </c>
      <c r="S7855">
        <v>0</v>
      </c>
    </row>
    <row r="7856" spans="11:19" x14ac:dyDescent="0.3">
      <c r="K7856" s="16">
        <f t="shared" si="122"/>
        <v>44343</v>
      </c>
      <c r="L7856" s="17">
        <v>0.25</v>
      </c>
      <c r="M7856" s="14">
        <v>884</v>
      </c>
      <c r="N7856" s="14">
        <v>1745</v>
      </c>
      <c r="O7856" s="14">
        <v>0</v>
      </c>
      <c r="P7856" s="14">
        <v>2629</v>
      </c>
      <c r="Q7856">
        <v>8424</v>
      </c>
      <c r="R7856">
        <v>486</v>
      </c>
      <c r="S7856">
        <v>40</v>
      </c>
    </row>
    <row r="7857" spans="11:19" x14ac:dyDescent="0.3">
      <c r="K7857" s="16">
        <f t="shared" si="122"/>
        <v>44343</v>
      </c>
      <c r="L7857" s="17">
        <v>0.29166666666666669</v>
      </c>
      <c r="M7857" s="14">
        <v>884</v>
      </c>
      <c r="N7857" s="14">
        <v>2335</v>
      </c>
      <c r="O7857" s="14">
        <v>0</v>
      </c>
      <c r="P7857" s="14">
        <v>3219</v>
      </c>
      <c r="Q7857">
        <v>9262</v>
      </c>
      <c r="R7857">
        <v>532</v>
      </c>
      <c r="S7857">
        <v>225</v>
      </c>
    </row>
    <row r="7858" spans="11:19" x14ac:dyDescent="0.3">
      <c r="K7858" s="16">
        <f t="shared" si="122"/>
        <v>44343</v>
      </c>
      <c r="L7858" s="17">
        <v>0.33333333333333331</v>
      </c>
      <c r="M7858" s="14">
        <v>884</v>
      </c>
      <c r="N7858" s="14">
        <v>2218</v>
      </c>
      <c r="O7858" s="14">
        <v>0</v>
      </c>
      <c r="P7858" s="14">
        <v>3102</v>
      </c>
      <c r="Q7858">
        <v>9674</v>
      </c>
      <c r="R7858">
        <v>565</v>
      </c>
      <c r="S7858">
        <v>639</v>
      </c>
    </row>
    <row r="7859" spans="11:19" x14ac:dyDescent="0.3">
      <c r="K7859" s="16">
        <f t="shared" si="122"/>
        <v>44343</v>
      </c>
      <c r="L7859" s="17">
        <v>0.375</v>
      </c>
      <c r="M7859" s="14">
        <v>884</v>
      </c>
      <c r="N7859" s="14">
        <v>1913</v>
      </c>
      <c r="O7859" s="14">
        <v>0</v>
      </c>
      <c r="P7859" s="14">
        <v>2797</v>
      </c>
      <c r="Q7859">
        <v>9853</v>
      </c>
      <c r="R7859">
        <v>601</v>
      </c>
      <c r="S7859">
        <v>1091</v>
      </c>
    </row>
    <row r="7860" spans="11:19" x14ac:dyDescent="0.3">
      <c r="K7860" s="16">
        <f t="shared" si="122"/>
        <v>44343</v>
      </c>
      <c r="L7860" s="17">
        <v>0.41666666666666669</v>
      </c>
      <c r="M7860" s="14">
        <v>884</v>
      </c>
      <c r="N7860" s="14">
        <v>1494</v>
      </c>
      <c r="O7860" s="14">
        <v>0</v>
      </c>
      <c r="P7860" s="14">
        <v>2378</v>
      </c>
      <c r="Q7860">
        <v>9892</v>
      </c>
      <c r="R7860">
        <v>706</v>
      </c>
      <c r="S7860">
        <v>1443</v>
      </c>
    </row>
    <row r="7861" spans="11:19" x14ac:dyDescent="0.3">
      <c r="K7861" s="16">
        <f t="shared" si="122"/>
        <v>44343</v>
      </c>
      <c r="L7861" s="17">
        <v>0.45833333333333331</v>
      </c>
      <c r="M7861" s="14">
        <v>884</v>
      </c>
      <c r="N7861" s="14">
        <v>1376</v>
      </c>
      <c r="O7861" s="14">
        <v>0</v>
      </c>
      <c r="P7861" s="14">
        <v>2260</v>
      </c>
      <c r="Q7861">
        <v>9966</v>
      </c>
      <c r="R7861">
        <v>656</v>
      </c>
      <c r="S7861">
        <v>1686</v>
      </c>
    </row>
    <row r="7862" spans="11:19" x14ac:dyDescent="0.3">
      <c r="K7862" s="16">
        <f t="shared" si="122"/>
        <v>44343</v>
      </c>
      <c r="L7862" s="17">
        <v>0.5</v>
      </c>
      <c r="M7862" s="14">
        <v>884</v>
      </c>
      <c r="N7862" s="14">
        <v>1282</v>
      </c>
      <c r="O7862" s="14">
        <v>0</v>
      </c>
      <c r="P7862" s="14">
        <v>2166</v>
      </c>
      <c r="Q7862">
        <v>9987</v>
      </c>
      <c r="R7862">
        <v>727</v>
      </c>
      <c r="S7862">
        <v>1736</v>
      </c>
    </row>
    <row r="7863" spans="11:19" x14ac:dyDescent="0.3">
      <c r="K7863" s="16">
        <f t="shared" si="122"/>
        <v>44343</v>
      </c>
      <c r="L7863" s="17">
        <v>0.54166666666666663</v>
      </c>
      <c r="M7863" s="14">
        <v>884</v>
      </c>
      <c r="N7863" s="14">
        <v>1240</v>
      </c>
      <c r="O7863" s="14">
        <v>0</v>
      </c>
      <c r="P7863" s="14">
        <v>2124</v>
      </c>
      <c r="Q7863">
        <v>9751</v>
      </c>
      <c r="R7863">
        <v>684</v>
      </c>
      <c r="S7863">
        <v>1828</v>
      </c>
    </row>
    <row r="7864" spans="11:19" x14ac:dyDescent="0.3">
      <c r="K7864" s="16">
        <f t="shared" si="122"/>
        <v>44343</v>
      </c>
      <c r="L7864" s="17">
        <v>0.58333333333333337</v>
      </c>
      <c r="M7864" s="14">
        <v>884</v>
      </c>
      <c r="N7864" s="14">
        <v>1089</v>
      </c>
      <c r="O7864" s="14">
        <v>0</v>
      </c>
      <c r="P7864" s="14">
        <v>1973</v>
      </c>
      <c r="Q7864">
        <v>9571</v>
      </c>
      <c r="R7864">
        <v>741</v>
      </c>
      <c r="S7864">
        <v>1741</v>
      </c>
    </row>
    <row r="7865" spans="11:19" x14ac:dyDescent="0.3">
      <c r="K7865" s="16">
        <f t="shared" si="122"/>
        <v>44343</v>
      </c>
      <c r="L7865" s="17">
        <v>0.625</v>
      </c>
      <c r="M7865" s="14">
        <v>884</v>
      </c>
      <c r="N7865" s="14">
        <v>727</v>
      </c>
      <c r="O7865" s="14">
        <v>0</v>
      </c>
      <c r="P7865" s="14">
        <v>1611</v>
      </c>
      <c r="Q7865">
        <v>9252</v>
      </c>
      <c r="R7865">
        <v>864</v>
      </c>
      <c r="S7865">
        <v>1661</v>
      </c>
    </row>
    <row r="7866" spans="11:19" x14ac:dyDescent="0.3">
      <c r="K7866" s="16">
        <f t="shared" si="122"/>
        <v>44343</v>
      </c>
      <c r="L7866" s="17">
        <v>0.66666666666666663</v>
      </c>
      <c r="M7866" s="14">
        <v>884</v>
      </c>
      <c r="N7866" s="14">
        <v>493</v>
      </c>
      <c r="O7866" s="14">
        <v>0</v>
      </c>
      <c r="P7866" s="14">
        <v>1377</v>
      </c>
      <c r="Q7866">
        <v>9002</v>
      </c>
      <c r="R7866">
        <v>1009</v>
      </c>
      <c r="S7866">
        <v>1503</v>
      </c>
    </row>
    <row r="7867" spans="11:19" x14ac:dyDescent="0.3">
      <c r="K7867" s="16">
        <f t="shared" si="122"/>
        <v>44343</v>
      </c>
      <c r="L7867" s="17">
        <v>0.70833333333333337</v>
      </c>
      <c r="M7867" s="14">
        <v>884</v>
      </c>
      <c r="N7867" s="14">
        <v>604</v>
      </c>
      <c r="O7867" s="14">
        <v>0</v>
      </c>
      <c r="P7867" s="14">
        <v>1488</v>
      </c>
      <c r="Q7867">
        <v>8904</v>
      </c>
      <c r="R7867">
        <v>1079</v>
      </c>
      <c r="S7867">
        <v>1224</v>
      </c>
    </row>
    <row r="7868" spans="11:19" x14ac:dyDescent="0.3">
      <c r="K7868" s="16">
        <f t="shared" si="122"/>
        <v>44343</v>
      </c>
      <c r="L7868" s="17">
        <v>0.75</v>
      </c>
      <c r="M7868" s="14">
        <v>884</v>
      </c>
      <c r="N7868" s="14">
        <v>810</v>
      </c>
      <c r="O7868" s="14">
        <v>0</v>
      </c>
      <c r="P7868" s="14">
        <v>1694</v>
      </c>
      <c r="Q7868">
        <v>9197</v>
      </c>
      <c r="R7868">
        <v>1324</v>
      </c>
      <c r="S7868">
        <v>828</v>
      </c>
    </row>
    <row r="7869" spans="11:19" x14ac:dyDescent="0.3">
      <c r="K7869" s="16">
        <f t="shared" si="122"/>
        <v>44343</v>
      </c>
      <c r="L7869" s="17">
        <v>0.79166666666666663</v>
      </c>
      <c r="M7869" s="14">
        <v>884</v>
      </c>
      <c r="N7869" s="14">
        <v>173</v>
      </c>
      <c r="O7869" s="14">
        <v>0</v>
      </c>
      <c r="P7869" s="14">
        <v>1057</v>
      </c>
      <c r="Q7869">
        <v>9263</v>
      </c>
      <c r="R7869">
        <v>1215</v>
      </c>
      <c r="S7869">
        <v>414</v>
      </c>
    </row>
    <row r="7870" spans="11:19" x14ac:dyDescent="0.3">
      <c r="K7870" s="16">
        <f t="shared" si="122"/>
        <v>44343</v>
      </c>
      <c r="L7870" s="17">
        <v>0.83333333333333337</v>
      </c>
      <c r="M7870" s="14">
        <v>884</v>
      </c>
      <c r="N7870" s="14">
        <v>1220</v>
      </c>
      <c r="O7870" s="14">
        <v>0</v>
      </c>
      <c r="P7870" s="14">
        <v>2104</v>
      </c>
      <c r="Q7870">
        <v>8679</v>
      </c>
      <c r="R7870">
        <v>1143</v>
      </c>
      <c r="S7870">
        <v>104</v>
      </c>
    </row>
    <row r="7871" spans="11:19" x14ac:dyDescent="0.3">
      <c r="K7871" s="16">
        <f t="shared" si="122"/>
        <v>44343</v>
      </c>
      <c r="L7871" s="17">
        <v>0.875</v>
      </c>
      <c r="M7871" s="14">
        <v>884</v>
      </c>
      <c r="N7871" s="14">
        <v>1130</v>
      </c>
      <c r="O7871" s="14">
        <v>0</v>
      </c>
      <c r="P7871" s="14">
        <v>2014</v>
      </c>
      <c r="Q7871">
        <v>8379</v>
      </c>
      <c r="R7871">
        <v>1030</v>
      </c>
      <c r="S7871">
        <v>14</v>
      </c>
    </row>
    <row r="7872" spans="11:19" x14ac:dyDescent="0.3">
      <c r="K7872" s="16">
        <f t="shared" si="122"/>
        <v>44343</v>
      </c>
      <c r="L7872" s="17">
        <v>0.91666666666666663</v>
      </c>
      <c r="M7872" s="14">
        <v>884</v>
      </c>
      <c r="N7872" s="14">
        <v>1629</v>
      </c>
      <c r="O7872" s="14">
        <v>0</v>
      </c>
      <c r="P7872" s="14">
        <v>2513</v>
      </c>
      <c r="Q7872">
        <v>8775</v>
      </c>
      <c r="R7872">
        <v>948</v>
      </c>
      <c r="S7872">
        <v>0</v>
      </c>
    </row>
    <row r="7873" spans="11:19" x14ac:dyDescent="0.3">
      <c r="K7873" s="16">
        <f t="shared" si="122"/>
        <v>44343</v>
      </c>
      <c r="L7873" s="17">
        <v>0.95833333333333337</v>
      </c>
      <c r="M7873" s="14">
        <v>884</v>
      </c>
      <c r="N7873" s="14">
        <v>2085</v>
      </c>
      <c r="O7873" s="14">
        <v>0</v>
      </c>
      <c r="P7873" s="14">
        <v>2969</v>
      </c>
      <c r="Q7873">
        <v>8932</v>
      </c>
      <c r="R7873">
        <v>906</v>
      </c>
      <c r="S7873">
        <v>0</v>
      </c>
    </row>
    <row r="7874" spans="11:19" x14ac:dyDescent="0.3">
      <c r="K7874" s="16">
        <f t="shared" si="122"/>
        <v>44344</v>
      </c>
      <c r="L7874" s="17">
        <v>0</v>
      </c>
      <c r="M7874" s="14">
        <v>884</v>
      </c>
      <c r="N7874" s="14">
        <v>1523</v>
      </c>
      <c r="O7874" s="14">
        <v>43</v>
      </c>
      <c r="P7874" s="14">
        <v>2450</v>
      </c>
      <c r="Q7874">
        <v>8367</v>
      </c>
      <c r="R7874">
        <v>864</v>
      </c>
      <c r="S7874">
        <v>0</v>
      </c>
    </row>
    <row r="7875" spans="11:19" x14ac:dyDescent="0.3">
      <c r="K7875" s="16">
        <f t="shared" si="122"/>
        <v>44344</v>
      </c>
      <c r="L7875" s="17">
        <v>4.1666666666666664E-2</v>
      </c>
      <c r="M7875" s="14">
        <v>884</v>
      </c>
      <c r="N7875" s="14">
        <v>1393</v>
      </c>
      <c r="O7875" s="14">
        <v>0</v>
      </c>
      <c r="P7875" s="14">
        <v>2277</v>
      </c>
      <c r="Q7875">
        <v>7966</v>
      </c>
      <c r="R7875">
        <v>639</v>
      </c>
      <c r="S7875">
        <v>0</v>
      </c>
    </row>
    <row r="7876" spans="11:19" x14ac:dyDescent="0.3">
      <c r="K7876" s="16">
        <f t="shared" si="122"/>
        <v>44344</v>
      </c>
      <c r="L7876" s="17">
        <v>8.3333333333333329E-2</v>
      </c>
      <c r="M7876" s="14">
        <v>884</v>
      </c>
      <c r="N7876" s="14">
        <v>1010</v>
      </c>
      <c r="O7876" s="14">
        <v>0</v>
      </c>
      <c r="P7876" s="14">
        <v>1894</v>
      </c>
      <c r="Q7876">
        <v>7666</v>
      </c>
      <c r="R7876">
        <v>722</v>
      </c>
      <c r="S7876">
        <v>0</v>
      </c>
    </row>
    <row r="7877" spans="11:19" x14ac:dyDescent="0.3">
      <c r="K7877" s="16">
        <f t="shared" si="122"/>
        <v>44344</v>
      </c>
      <c r="L7877" s="17">
        <v>0.125</v>
      </c>
      <c r="M7877" s="14">
        <v>884</v>
      </c>
      <c r="N7877" s="14">
        <v>535</v>
      </c>
      <c r="O7877" s="14">
        <v>78</v>
      </c>
      <c r="P7877" s="14">
        <v>1497</v>
      </c>
      <c r="Q7877">
        <v>7283</v>
      </c>
      <c r="R7877">
        <v>732</v>
      </c>
      <c r="S7877">
        <v>0</v>
      </c>
    </row>
    <row r="7878" spans="11:19" x14ac:dyDescent="0.3">
      <c r="K7878" s="16">
        <f t="shared" si="122"/>
        <v>44344</v>
      </c>
      <c r="L7878" s="17">
        <v>0.16666666666666666</v>
      </c>
      <c r="M7878" s="14">
        <v>884</v>
      </c>
      <c r="N7878" s="14">
        <v>638</v>
      </c>
      <c r="O7878" s="14">
        <v>0</v>
      </c>
      <c r="P7878" s="14">
        <v>1522</v>
      </c>
      <c r="Q7878">
        <v>7216</v>
      </c>
      <c r="R7878">
        <v>638</v>
      </c>
      <c r="S7878">
        <v>0</v>
      </c>
    </row>
    <row r="7879" spans="11:19" x14ac:dyDescent="0.3">
      <c r="K7879" s="16">
        <f t="shared" si="122"/>
        <v>44344</v>
      </c>
      <c r="L7879" s="17">
        <v>0.20833333333333334</v>
      </c>
      <c r="M7879" s="14">
        <v>884</v>
      </c>
      <c r="N7879" s="14">
        <v>0</v>
      </c>
      <c r="O7879" s="14">
        <v>1001</v>
      </c>
      <c r="P7879" s="14">
        <v>1885</v>
      </c>
      <c r="Q7879">
        <v>7603</v>
      </c>
      <c r="R7879">
        <v>646</v>
      </c>
      <c r="S7879">
        <v>0</v>
      </c>
    </row>
    <row r="7880" spans="11:19" x14ac:dyDescent="0.3">
      <c r="K7880" s="16">
        <f t="shared" si="122"/>
        <v>44344</v>
      </c>
      <c r="L7880" s="17">
        <v>0.25</v>
      </c>
      <c r="M7880" s="14">
        <v>884</v>
      </c>
      <c r="N7880" s="14">
        <v>1523</v>
      </c>
      <c r="O7880" s="14">
        <v>241</v>
      </c>
      <c r="P7880" s="14">
        <v>2648</v>
      </c>
      <c r="Q7880">
        <v>8422</v>
      </c>
      <c r="R7880">
        <v>629</v>
      </c>
      <c r="S7880">
        <v>38</v>
      </c>
    </row>
    <row r="7881" spans="11:19" x14ac:dyDescent="0.3">
      <c r="K7881" s="16">
        <f t="shared" si="122"/>
        <v>44344</v>
      </c>
      <c r="L7881" s="17">
        <v>0.29166666666666669</v>
      </c>
      <c r="M7881" s="14">
        <v>884</v>
      </c>
      <c r="N7881" s="14">
        <v>1523</v>
      </c>
      <c r="O7881" s="14">
        <v>785</v>
      </c>
      <c r="P7881" s="14">
        <v>3192</v>
      </c>
      <c r="Q7881">
        <v>9290</v>
      </c>
      <c r="R7881">
        <v>737</v>
      </c>
      <c r="S7881">
        <v>238</v>
      </c>
    </row>
    <row r="7882" spans="11:19" x14ac:dyDescent="0.3">
      <c r="K7882" s="16">
        <f t="shared" si="122"/>
        <v>44344</v>
      </c>
      <c r="L7882" s="17">
        <v>0.33333333333333331</v>
      </c>
      <c r="M7882" s="14">
        <v>884</v>
      </c>
      <c r="N7882" s="14">
        <v>1523</v>
      </c>
      <c r="O7882" s="14">
        <v>586</v>
      </c>
      <c r="P7882" s="14">
        <v>2993</v>
      </c>
      <c r="Q7882">
        <v>9668</v>
      </c>
      <c r="R7882">
        <v>877</v>
      </c>
      <c r="S7882">
        <v>673</v>
      </c>
    </row>
    <row r="7883" spans="11:19" x14ac:dyDescent="0.3">
      <c r="K7883" s="16">
        <f t="shared" si="122"/>
        <v>44344</v>
      </c>
      <c r="L7883" s="17">
        <v>0.375</v>
      </c>
      <c r="M7883" s="14">
        <v>884</v>
      </c>
      <c r="N7883" s="14">
        <v>1523</v>
      </c>
      <c r="O7883" s="14">
        <v>200</v>
      </c>
      <c r="P7883" s="14">
        <v>2607</v>
      </c>
      <c r="Q7883">
        <v>9835</v>
      </c>
      <c r="R7883">
        <v>861</v>
      </c>
      <c r="S7883">
        <v>1165</v>
      </c>
    </row>
    <row r="7884" spans="11:19" x14ac:dyDescent="0.3">
      <c r="K7884" s="16">
        <f t="shared" si="122"/>
        <v>44344</v>
      </c>
      <c r="L7884" s="17">
        <v>0.41666666666666669</v>
      </c>
      <c r="M7884" s="14">
        <v>884</v>
      </c>
      <c r="N7884" s="14">
        <v>1098</v>
      </c>
      <c r="O7884" s="14">
        <v>0</v>
      </c>
      <c r="P7884" s="14">
        <v>1982</v>
      </c>
      <c r="Q7884">
        <v>9830</v>
      </c>
      <c r="R7884">
        <v>1029</v>
      </c>
      <c r="S7884">
        <v>1616</v>
      </c>
    </row>
    <row r="7885" spans="11:19" x14ac:dyDescent="0.3">
      <c r="K7885" s="16">
        <f t="shared" si="122"/>
        <v>44344</v>
      </c>
      <c r="L7885" s="17">
        <v>0.45833333333333331</v>
      </c>
      <c r="M7885" s="14">
        <v>884</v>
      </c>
      <c r="N7885" s="14">
        <v>780</v>
      </c>
      <c r="O7885" s="14">
        <v>0</v>
      </c>
      <c r="P7885" s="14">
        <v>1664</v>
      </c>
      <c r="Q7885">
        <v>9834</v>
      </c>
      <c r="R7885">
        <v>1082</v>
      </c>
      <c r="S7885">
        <v>1886</v>
      </c>
    </row>
    <row r="7886" spans="11:19" x14ac:dyDescent="0.3">
      <c r="K7886" s="16">
        <f t="shared" si="122"/>
        <v>44344</v>
      </c>
      <c r="L7886" s="17">
        <v>0.5</v>
      </c>
      <c r="M7886" s="14">
        <v>884</v>
      </c>
      <c r="N7886" s="14">
        <v>520</v>
      </c>
      <c r="O7886" s="14">
        <v>0</v>
      </c>
      <c r="P7886" s="14">
        <v>1404</v>
      </c>
      <c r="Q7886">
        <v>9840</v>
      </c>
      <c r="R7886">
        <v>1180</v>
      </c>
      <c r="S7886">
        <v>2060</v>
      </c>
    </row>
    <row r="7887" spans="11:19" x14ac:dyDescent="0.3">
      <c r="K7887" s="16">
        <f t="shared" si="122"/>
        <v>44344</v>
      </c>
      <c r="L7887" s="17">
        <v>0.54166666666666663</v>
      </c>
      <c r="M7887" s="14">
        <v>884</v>
      </c>
      <c r="N7887" s="14">
        <v>87</v>
      </c>
      <c r="O7887" s="14">
        <v>0</v>
      </c>
      <c r="P7887" s="14">
        <v>971</v>
      </c>
      <c r="Q7887">
        <v>9548</v>
      </c>
      <c r="R7887">
        <v>1247</v>
      </c>
      <c r="S7887">
        <v>2138</v>
      </c>
    </row>
    <row r="7888" spans="11:19" x14ac:dyDescent="0.3">
      <c r="K7888" s="16">
        <f t="shared" si="122"/>
        <v>44344</v>
      </c>
      <c r="L7888" s="17">
        <v>0.58333333333333337</v>
      </c>
      <c r="M7888" s="14">
        <v>884</v>
      </c>
      <c r="N7888" s="14">
        <v>0</v>
      </c>
      <c r="O7888" s="14">
        <v>-65</v>
      </c>
      <c r="P7888" s="14">
        <v>819</v>
      </c>
      <c r="Q7888">
        <v>9330</v>
      </c>
      <c r="R7888">
        <v>1285</v>
      </c>
      <c r="S7888">
        <v>2113</v>
      </c>
    </row>
    <row r="7889" spans="11:19" x14ac:dyDescent="0.3">
      <c r="K7889" s="16">
        <f t="shared" si="122"/>
        <v>44344</v>
      </c>
      <c r="L7889" s="17">
        <v>0.625</v>
      </c>
      <c r="M7889" s="14">
        <v>884</v>
      </c>
      <c r="N7889" s="14">
        <v>0</v>
      </c>
      <c r="O7889" s="14">
        <v>-596</v>
      </c>
      <c r="P7889" s="14">
        <v>288</v>
      </c>
      <c r="Q7889">
        <v>8994</v>
      </c>
      <c r="R7889">
        <v>1600</v>
      </c>
      <c r="S7889">
        <v>1993</v>
      </c>
    </row>
    <row r="7890" spans="11:19" x14ac:dyDescent="0.3">
      <c r="K7890" s="16">
        <f t="shared" si="122"/>
        <v>44344</v>
      </c>
      <c r="L7890" s="17">
        <v>0.66666666666666663</v>
      </c>
      <c r="M7890" s="14">
        <v>884</v>
      </c>
      <c r="N7890" s="14">
        <v>0</v>
      </c>
      <c r="O7890" s="14">
        <v>-1087</v>
      </c>
      <c r="P7890" s="14">
        <v>-203</v>
      </c>
      <c r="Q7890">
        <v>8713</v>
      </c>
      <c r="R7890">
        <v>1990</v>
      </c>
      <c r="S7890">
        <v>1814</v>
      </c>
    </row>
    <row r="7891" spans="11:19" x14ac:dyDescent="0.3">
      <c r="K7891" s="16">
        <f t="shared" si="122"/>
        <v>44344</v>
      </c>
      <c r="L7891" s="17">
        <v>0.70833333333333337</v>
      </c>
      <c r="M7891" s="14">
        <v>884</v>
      </c>
      <c r="N7891" s="14">
        <v>0</v>
      </c>
      <c r="O7891" s="14">
        <v>-1029</v>
      </c>
      <c r="P7891" s="14">
        <v>-145</v>
      </c>
      <c r="Q7891">
        <v>8621</v>
      </c>
      <c r="R7891">
        <v>2208</v>
      </c>
      <c r="S7891">
        <v>1447</v>
      </c>
    </row>
    <row r="7892" spans="11:19" x14ac:dyDescent="0.3">
      <c r="K7892" s="16">
        <f t="shared" si="122"/>
        <v>44344</v>
      </c>
      <c r="L7892" s="17">
        <v>0.75</v>
      </c>
      <c r="M7892" s="14">
        <v>884</v>
      </c>
      <c r="N7892" s="14">
        <v>0</v>
      </c>
      <c r="O7892" s="14">
        <v>-349</v>
      </c>
      <c r="P7892" s="14">
        <v>535</v>
      </c>
      <c r="Q7892">
        <v>8792</v>
      </c>
      <c r="R7892">
        <v>2260</v>
      </c>
      <c r="S7892">
        <v>889</v>
      </c>
    </row>
    <row r="7893" spans="11:19" x14ac:dyDescent="0.3">
      <c r="K7893" s="16">
        <f t="shared" si="122"/>
        <v>44344</v>
      </c>
      <c r="L7893" s="17">
        <v>0.79166666666666663</v>
      </c>
      <c r="M7893" s="14">
        <v>884</v>
      </c>
      <c r="N7893" s="14">
        <v>0</v>
      </c>
      <c r="O7893" s="14">
        <v>108</v>
      </c>
      <c r="P7893" s="14">
        <v>992</v>
      </c>
      <c r="Q7893">
        <v>8731</v>
      </c>
      <c r="R7893">
        <v>2200</v>
      </c>
      <c r="S7893">
        <v>442</v>
      </c>
    </row>
    <row r="7894" spans="11:19" x14ac:dyDescent="0.3">
      <c r="K7894" s="16">
        <f t="shared" si="122"/>
        <v>44344</v>
      </c>
      <c r="L7894" s="17">
        <v>0.83333333333333337</v>
      </c>
      <c r="M7894" s="14">
        <v>884</v>
      </c>
      <c r="N7894" s="14">
        <v>0</v>
      </c>
      <c r="O7894" s="14">
        <v>-149</v>
      </c>
      <c r="P7894" s="14">
        <v>735</v>
      </c>
      <c r="Q7894">
        <v>8241</v>
      </c>
      <c r="R7894">
        <v>2313</v>
      </c>
      <c r="S7894">
        <v>107</v>
      </c>
    </row>
    <row r="7895" spans="11:19" x14ac:dyDescent="0.3">
      <c r="K7895" s="16">
        <f t="shared" si="122"/>
        <v>44344</v>
      </c>
      <c r="L7895" s="17">
        <v>0.875</v>
      </c>
      <c r="M7895" s="14">
        <v>884</v>
      </c>
      <c r="N7895" s="14">
        <v>0</v>
      </c>
      <c r="O7895" s="14">
        <v>-465</v>
      </c>
      <c r="P7895" s="14">
        <v>419</v>
      </c>
      <c r="Q7895">
        <v>8047</v>
      </c>
      <c r="R7895">
        <v>2539</v>
      </c>
      <c r="S7895">
        <v>10</v>
      </c>
    </row>
    <row r="7896" spans="11:19" x14ac:dyDescent="0.3">
      <c r="K7896" s="16">
        <f t="shared" si="122"/>
        <v>44344</v>
      </c>
      <c r="L7896" s="17">
        <v>0.91666666666666663</v>
      </c>
      <c r="M7896" s="14">
        <v>884</v>
      </c>
      <c r="N7896" s="14">
        <v>0</v>
      </c>
      <c r="O7896" s="14">
        <v>-57</v>
      </c>
      <c r="P7896" s="14">
        <v>827</v>
      </c>
      <c r="Q7896">
        <v>8539</v>
      </c>
      <c r="R7896">
        <v>2639</v>
      </c>
      <c r="S7896">
        <v>0</v>
      </c>
    </row>
    <row r="7897" spans="11:19" x14ac:dyDescent="0.3">
      <c r="K7897" s="16">
        <f t="shared" si="122"/>
        <v>44344</v>
      </c>
      <c r="L7897" s="17">
        <v>0.95833333333333337</v>
      </c>
      <c r="M7897" s="14">
        <v>884</v>
      </c>
      <c r="N7897" s="14">
        <v>172</v>
      </c>
      <c r="O7897" s="14">
        <v>0</v>
      </c>
      <c r="P7897" s="14">
        <v>1056</v>
      </c>
      <c r="Q7897">
        <v>8715</v>
      </c>
      <c r="R7897">
        <v>2604</v>
      </c>
      <c r="S7897">
        <v>0</v>
      </c>
    </row>
    <row r="7898" spans="11:19" x14ac:dyDescent="0.3">
      <c r="K7898" s="16">
        <f t="shared" si="122"/>
        <v>44345</v>
      </c>
      <c r="L7898" s="17">
        <v>0</v>
      </c>
      <c r="M7898" s="14">
        <v>884</v>
      </c>
      <c r="N7898" s="14">
        <v>0</v>
      </c>
      <c r="O7898" s="14">
        <v>815</v>
      </c>
      <c r="P7898" s="14">
        <v>1699</v>
      </c>
      <c r="Q7898">
        <v>7944</v>
      </c>
      <c r="R7898">
        <v>2625</v>
      </c>
      <c r="S7898">
        <v>0</v>
      </c>
    </row>
    <row r="7899" spans="11:19" x14ac:dyDescent="0.3">
      <c r="K7899" s="16">
        <f t="shared" ref="K7899:K7962" si="123">K7875+1</f>
        <v>44345</v>
      </c>
      <c r="L7899" s="17">
        <v>4.1666666666666664E-2</v>
      </c>
      <c r="M7899" s="14">
        <v>884</v>
      </c>
      <c r="N7899" s="14">
        <v>0</v>
      </c>
      <c r="O7899" s="14">
        <v>552</v>
      </c>
      <c r="P7899" s="14">
        <v>1436</v>
      </c>
      <c r="Q7899">
        <v>7468</v>
      </c>
      <c r="R7899">
        <v>2410</v>
      </c>
      <c r="S7899">
        <v>0</v>
      </c>
    </row>
    <row r="7900" spans="11:19" x14ac:dyDescent="0.3">
      <c r="K7900" s="16">
        <f t="shared" si="123"/>
        <v>44345</v>
      </c>
      <c r="L7900" s="17">
        <v>8.3333333333333329E-2</v>
      </c>
      <c r="M7900" s="14">
        <v>884</v>
      </c>
      <c r="N7900" s="14">
        <v>0</v>
      </c>
      <c r="O7900" s="14">
        <v>419</v>
      </c>
      <c r="P7900" s="14">
        <v>1303</v>
      </c>
      <c r="Q7900">
        <v>7122</v>
      </c>
      <c r="R7900">
        <v>2526</v>
      </c>
      <c r="S7900">
        <v>0</v>
      </c>
    </row>
    <row r="7901" spans="11:19" x14ac:dyDescent="0.3">
      <c r="K7901" s="16">
        <f t="shared" si="123"/>
        <v>44345</v>
      </c>
      <c r="L7901" s="17">
        <v>0.125</v>
      </c>
      <c r="M7901" s="14">
        <v>884</v>
      </c>
      <c r="N7901" s="14">
        <v>0</v>
      </c>
      <c r="O7901" s="14">
        <v>-31</v>
      </c>
      <c r="P7901" s="14">
        <v>853</v>
      </c>
      <c r="Q7901">
        <v>6706</v>
      </c>
      <c r="R7901">
        <v>2558</v>
      </c>
      <c r="S7901">
        <v>0</v>
      </c>
    </row>
    <row r="7902" spans="11:19" x14ac:dyDescent="0.3">
      <c r="K7902" s="16">
        <f t="shared" si="123"/>
        <v>44345</v>
      </c>
      <c r="L7902" s="17">
        <v>0.16666666666666666</v>
      </c>
      <c r="M7902" s="14">
        <v>884</v>
      </c>
      <c r="N7902" s="14">
        <v>0</v>
      </c>
      <c r="O7902" s="14">
        <v>-177</v>
      </c>
      <c r="P7902" s="14">
        <v>707</v>
      </c>
      <c r="Q7902">
        <v>6557</v>
      </c>
      <c r="R7902">
        <v>2548</v>
      </c>
      <c r="S7902">
        <v>0</v>
      </c>
    </row>
    <row r="7903" spans="11:19" x14ac:dyDescent="0.3">
      <c r="K7903" s="16">
        <f t="shared" si="123"/>
        <v>44345</v>
      </c>
      <c r="L7903" s="17">
        <v>0.20833333333333334</v>
      </c>
      <c r="M7903" s="14">
        <v>884</v>
      </c>
      <c r="N7903" s="14">
        <v>0</v>
      </c>
      <c r="O7903" s="14">
        <v>-271</v>
      </c>
      <c r="P7903" s="14">
        <v>613</v>
      </c>
      <c r="Q7903">
        <v>6659</v>
      </c>
      <c r="R7903">
        <v>2738</v>
      </c>
      <c r="S7903">
        <v>0</v>
      </c>
    </row>
    <row r="7904" spans="11:19" x14ac:dyDescent="0.3">
      <c r="K7904" s="16">
        <f t="shared" si="123"/>
        <v>44345</v>
      </c>
      <c r="L7904" s="17">
        <v>0.25</v>
      </c>
      <c r="M7904" s="14">
        <v>884</v>
      </c>
      <c r="N7904" s="14">
        <v>0</v>
      </c>
      <c r="O7904" s="14">
        <v>-54</v>
      </c>
      <c r="P7904" s="14">
        <v>830</v>
      </c>
      <c r="Q7904">
        <v>6936</v>
      </c>
      <c r="R7904">
        <v>2731</v>
      </c>
      <c r="S7904">
        <v>37</v>
      </c>
    </row>
    <row r="7905" spans="11:19" x14ac:dyDescent="0.3">
      <c r="K7905" s="16">
        <f t="shared" si="123"/>
        <v>44345</v>
      </c>
      <c r="L7905" s="17">
        <v>0.29166666666666669</v>
      </c>
      <c r="M7905" s="14">
        <v>884</v>
      </c>
      <c r="N7905" s="14">
        <v>0</v>
      </c>
      <c r="O7905" s="14">
        <v>338</v>
      </c>
      <c r="P7905" s="14">
        <v>1222</v>
      </c>
      <c r="Q7905">
        <v>7399</v>
      </c>
      <c r="R7905">
        <v>2602</v>
      </c>
      <c r="S7905">
        <v>218</v>
      </c>
    </row>
    <row r="7906" spans="11:19" x14ac:dyDescent="0.3">
      <c r="K7906" s="16">
        <f t="shared" si="123"/>
        <v>44345</v>
      </c>
      <c r="L7906" s="17">
        <v>0.33333333333333331</v>
      </c>
      <c r="M7906" s="14">
        <v>884</v>
      </c>
      <c r="N7906" s="14">
        <v>0</v>
      </c>
      <c r="O7906" s="14">
        <v>782</v>
      </c>
      <c r="P7906" s="14">
        <v>1666</v>
      </c>
      <c r="Q7906">
        <v>7963</v>
      </c>
      <c r="R7906">
        <v>2365</v>
      </c>
      <c r="S7906">
        <v>571</v>
      </c>
    </row>
    <row r="7907" spans="11:19" x14ac:dyDescent="0.3">
      <c r="K7907" s="16">
        <f t="shared" si="123"/>
        <v>44345</v>
      </c>
      <c r="L7907" s="17">
        <v>0.375</v>
      </c>
      <c r="M7907" s="14">
        <v>884</v>
      </c>
      <c r="N7907" s="14">
        <v>0</v>
      </c>
      <c r="O7907" s="14">
        <v>777</v>
      </c>
      <c r="P7907" s="14">
        <v>1661</v>
      </c>
      <c r="Q7907">
        <v>8376</v>
      </c>
      <c r="R7907">
        <v>2388</v>
      </c>
      <c r="S7907">
        <v>967</v>
      </c>
    </row>
    <row r="7908" spans="11:19" x14ac:dyDescent="0.3">
      <c r="K7908" s="16">
        <f t="shared" si="123"/>
        <v>44345</v>
      </c>
      <c r="L7908" s="17">
        <v>0.41666666666666669</v>
      </c>
      <c r="M7908" s="14">
        <v>884</v>
      </c>
      <c r="N7908" s="14">
        <v>0</v>
      </c>
      <c r="O7908" s="14">
        <v>396</v>
      </c>
      <c r="P7908" s="14">
        <v>1280</v>
      </c>
      <c r="Q7908">
        <v>8502</v>
      </c>
      <c r="R7908">
        <v>2453</v>
      </c>
      <c r="S7908">
        <v>1411</v>
      </c>
    </row>
    <row r="7909" spans="11:19" x14ac:dyDescent="0.3">
      <c r="K7909" s="16">
        <f t="shared" si="123"/>
        <v>44345</v>
      </c>
      <c r="L7909" s="17">
        <v>0.45833333333333331</v>
      </c>
      <c r="M7909" s="14">
        <v>884</v>
      </c>
      <c r="N7909" s="14">
        <v>0</v>
      </c>
      <c r="O7909" s="14">
        <v>-100</v>
      </c>
      <c r="P7909" s="14">
        <v>784</v>
      </c>
      <c r="Q7909">
        <v>8607</v>
      </c>
      <c r="R7909">
        <v>2799</v>
      </c>
      <c r="S7909">
        <v>1666</v>
      </c>
    </row>
    <row r="7910" spans="11:19" x14ac:dyDescent="0.3">
      <c r="K7910" s="16">
        <f t="shared" si="123"/>
        <v>44345</v>
      </c>
      <c r="L7910" s="17">
        <v>0.5</v>
      </c>
      <c r="M7910" s="14">
        <v>884</v>
      </c>
      <c r="N7910" s="14">
        <v>0</v>
      </c>
      <c r="O7910" s="14">
        <v>-200</v>
      </c>
      <c r="P7910" s="14">
        <v>684</v>
      </c>
      <c r="Q7910">
        <v>8832</v>
      </c>
      <c r="R7910">
        <v>2950</v>
      </c>
      <c r="S7910">
        <v>1845</v>
      </c>
    </row>
    <row r="7911" spans="11:19" x14ac:dyDescent="0.3">
      <c r="K7911" s="16">
        <f t="shared" si="123"/>
        <v>44345</v>
      </c>
      <c r="L7911" s="17">
        <v>0.54166666666666663</v>
      </c>
      <c r="M7911" s="14">
        <v>884</v>
      </c>
      <c r="N7911" s="14">
        <v>0</v>
      </c>
      <c r="O7911" s="14">
        <v>-625</v>
      </c>
      <c r="P7911" s="14">
        <v>259</v>
      </c>
      <c r="Q7911">
        <v>8514</v>
      </c>
      <c r="R7911">
        <v>2986</v>
      </c>
      <c r="S7911">
        <v>1918</v>
      </c>
    </row>
    <row r="7912" spans="11:19" x14ac:dyDescent="0.3">
      <c r="K7912" s="16">
        <f t="shared" si="123"/>
        <v>44345</v>
      </c>
      <c r="L7912" s="17">
        <v>0.58333333333333337</v>
      </c>
      <c r="M7912" s="14">
        <v>884</v>
      </c>
      <c r="N7912" s="14">
        <v>0</v>
      </c>
      <c r="O7912" s="14">
        <v>-986</v>
      </c>
      <c r="P7912" s="14">
        <v>-102</v>
      </c>
      <c r="Q7912">
        <v>8231</v>
      </c>
      <c r="R7912">
        <v>3114</v>
      </c>
      <c r="S7912">
        <v>1869</v>
      </c>
    </row>
    <row r="7913" spans="11:19" x14ac:dyDescent="0.3">
      <c r="K7913" s="16">
        <f t="shared" si="123"/>
        <v>44345</v>
      </c>
      <c r="L7913" s="17">
        <v>0.625</v>
      </c>
      <c r="M7913" s="14">
        <v>884</v>
      </c>
      <c r="N7913" s="14">
        <v>0</v>
      </c>
      <c r="O7913" s="14">
        <v>-1200</v>
      </c>
      <c r="P7913" s="14">
        <v>-316</v>
      </c>
      <c r="Q7913">
        <v>7896</v>
      </c>
      <c r="R7913">
        <v>3284</v>
      </c>
      <c r="S7913">
        <v>1791</v>
      </c>
    </row>
    <row r="7914" spans="11:19" x14ac:dyDescent="0.3">
      <c r="K7914" s="16">
        <f t="shared" si="123"/>
        <v>44345</v>
      </c>
      <c r="L7914" s="17">
        <v>0.66666666666666663</v>
      </c>
      <c r="M7914" s="14">
        <v>884</v>
      </c>
      <c r="N7914" s="14">
        <v>0</v>
      </c>
      <c r="O7914" s="14">
        <v>-1200</v>
      </c>
      <c r="P7914" s="14">
        <v>-316</v>
      </c>
      <c r="Q7914">
        <v>7651</v>
      </c>
      <c r="R7914">
        <v>3494</v>
      </c>
      <c r="S7914">
        <v>1622</v>
      </c>
    </row>
    <row r="7915" spans="11:19" x14ac:dyDescent="0.3">
      <c r="K7915" s="16">
        <f t="shared" si="123"/>
        <v>44345</v>
      </c>
      <c r="L7915" s="17">
        <v>0.70833333333333337</v>
      </c>
      <c r="M7915" s="14">
        <v>884</v>
      </c>
      <c r="N7915" s="14">
        <v>0</v>
      </c>
      <c r="O7915" s="14">
        <v>-1200</v>
      </c>
      <c r="P7915" s="14">
        <v>-316</v>
      </c>
      <c r="Q7915">
        <v>7590</v>
      </c>
      <c r="R7915">
        <v>3751</v>
      </c>
      <c r="S7915">
        <v>1278</v>
      </c>
    </row>
    <row r="7916" spans="11:19" x14ac:dyDescent="0.3">
      <c r="K7916" s="16">
        <f t="shared" si="123"/>
        <v>44345</v>
      </c>
      <c r="L7916" s="17">
        <v>0.75</v>
      </c>
      <c r="M7916" s="14">
        <v>884</v>
      </c>
      <c r="N7916" s="14">
        <v>0</v>
      </c>
      <c r="O7916" s="14">
        <v>-915</v>
      </c>
      <c r="P7916" s="14">
        <v>-31</v>
      </c>
      <c r="Q7916">
        <v>7795</v>
      </c>
      <c r="R7916">
        <v>3705</v>
      </c>
      <c r="S7916">
        <v>785</v>
      </c>
    </row>
    <row r="7917" spans="11:19" x14ac:dyDescent="0.3">
      <c r="K7917" s="16">
        <f t="shared" si="123"/>
        <v>44345</v>
      </c>
      <c r="L7917" s="17">
        <v>0.79166666666666663</v>
      </c>
      <c r="M7917" s="14">
        <v>884</v>
      </c>
      <c r="N7917" s="14">
        <v>0</v>
      </c>
      <c r="O7917" s="14">
        <v>-317</v>
      </c>
      <c r="P7917" s="14">
        <v>567</v>
      </c>
      <c r="Q7917">
        <v>7797</v>
      </c>
      <c r="R7917">
        <v>3490</v>
      </c>
      <c r="S7917">
        <v>406</v>
      </c>
    </row>
    <row r="7918" spans="11:19" x14ac:dyDescent="0.3">
      <c r="K7918" s="16">
        <f t="shared" si="123"/>
        <v>44345</v>
      </c>
      <c r="L7918" s="17">
        <v>0.83333333333333337</v>
      </c>
      <c r="M7918" s="14">
        <v>884</v>
      </c>
      <c r="N7918" s="14">
        <v>0</v>
      </c>
      <c r="O7918" s="14">
        <v>-379</v>
      </c>
      <c r="P7918" s="14">
        <v>505</v>
      </c>
      <c r="Q7918">
        <v>7437</v>
      </c>
      <c r="R7918">
        <v>3503</v>
      </c>
      <c r="S7918">
        <v>101</v>
      </c>
    </row>
    <row r="7919" spans="11:19" x14ac:dyDescent="0.3">
      <c r="K7919" s="16">
        <f t="shared" si="123"/>
        <v>44345</v>
      </c>
      <c r="L7919" s="17">
        <v>0.875</v>
      </c>
      <c r="M7919" s="14">
        <v>884</v>
      </c>
      <c r="N7919" s="14">
        <v>0</v>
      </c>
      <c r="O7919" s="14">
        <v>-560</v>
      </c>
      <c r="P7919" s="14">
        <v>324</v>
      </c>
      <c r="Q7919">
        <v>7300</v>
      </c>
      <c r="R7919">
        <v>3643</v>
      </c>
      <c r="S7919">
        <v>7</v>
      </c>
    </row>
    <row r="7920" spans="11:19" x14ac:dyDescent="0.3">
      <c r="K7920" s="16">
        <f t="shared" si="123"/>
        <v>44345</v>
      </c>
      <c r="L7920" s="17">
        <v>0.91666666666666663</v>
      </c>
      <c r="M7920" s="14">
        <v>884</v>
      </c>
      <c r="N7920" s="14">
        <v>0</v>
      </c>
      <c r="O7920" s="14">
        <v>189</v>
      </c>
      <c r="P7920" s="14">
        <v>1073</v>
      </c>
      <c r="Q7920">
        <v>7862</v>
      </c>
      <c r="R7920">
        <v>3463</v>
      </c>
      <c r="S7920">
        <v>0</v>
      </c>
    </row>
    <row r="7921" spans="11:19" x14ac:dyDescent="0.3">
      <c r="K7921" s="16">
        <f t="shared" si="123"/>
        <v>44345</v>
      </c>
      <c r="L7921" s="17">
        <v>0.95833333333333337</v>
      </c>
      <c r="M7921" s="14">
        <v>884</v>
      </c>
      <c r="N7921" s="14">
        <v>0</v>
      </c>
      <c r="O7921" s="14">
        <v>762</v>
      </c>
      <c r="P7921" s="14">
        <v>1646</v>
      </c>
      <c r="Q7921">
        <v>8131</v>
      </c>
      <c r="R7921">
        <v>3173</v>
      </c>
      <c r="S7921">
        <v>0</v>
      </c>
    </row>
    <row r="7922" spans="11:19" x14ac:dyDescent="0.3">
      <c r="K7922" s="16">
        <f t="shared" si="123"/>
        <v>44346</v>
      </c>
      <c r="L7922" s="17">
        <v>0</v>
      </c>
      <c r="M7922" s="14">
        <v>884</v>
      </c>
      <c r="N7922" s="14">
        <v>0</v>
      </c>
      <c r="O7922" s="14">
        <v>228</v>
      </c>
      <c r="P7922" s="14">
        <v>1112</v>
      </c>
      <c r="Q7922">
        <v>7571</v>
      </c>
      <c r="R7922">
        <v>3157</v>
      </c>
      <c r="S7922">
        <v>0</v>
      </c>
    </row>
    <row r="7923" spans="11:19" x14ac:dyDescent="0.3">
      <c r="K7923" s="16">
        <f t="shared" si="123"/>
        <v>44346</v>
      </c>
      <c r="L7923" s="17">
        <v>4.1666666666666664E-2</v>
      </c>
      <c r="M7923" s="14">
        <v>884</v>
      </c>
      <c r="N7923" s="14">
        <v>0</v>
      </c>
      <c r="O7923" s="14">
        <v>0</v>
      </c>
      <c r="P7923" s="14">
        <v>884</v>
      </c>
      <c r="Q7923">
        <v>7113</v>
      </c>
      <c r="R7923">
        <v>3069</v>
      </c>
      <c r="S7923">
        <v>0</v>
      </c>
    </row>
    <row r="7924" spans="11:19" x14ac:dyDescent="0.3">
      <c r="K7924" s="16">
        <f t="shared" si="123"/>
        <v>44346</v>
      </c>
      <c r="L7924" s="17">
        <v>8.3333333333333329E-2</v>
      </c>
      <c r="M7924" s="14">
        <v>884</v>
      </c>
      <c r="N7924" s="14">
        <v>0</v>
      </c>
      <c r="O7924" s="14">
        <v>0</v>
      </c>
      <c r="P7924" s="14">
        <v>884</v>
      </c>
      <c r="Q7924">
        <v>6724</v>
      </c>
      <c r="R7924">
        <v>2962</v>
      </c>
      <c r="S7924">
        <v>0</v>
      </c>
    </row>
    <row r="7925" spans="11:19" x14ac:dyDescent="0.3">
      <c r="K7925" s="16">
        <f t="shared" si="123"/>
        <v>44346</v>
      </c>
      <c r="L7925" s="17">
        <v>0.125</v>
      </c>
      <c r="M7925" s="14">
        <v>884</v>
      </c>
      <c r="N7925" s="14">
        <v>0</v>
      </c>
      <c r="O7925" s="14">
        <v>0</v>
      </c>
      <c r="P7925" s="14">
        <v>884</v>
      </c>
      <c r="Q7925">
        <v>6255</v>
      </c>
      <c r="R7925">
        <v>2916</v>
      </c>
      <c r="S7925">
        <v>0</v>
      </c>
    </row>
    <row r="7926" spans="11:19" x14ac:dyDescent="0.3">
      <c r="K7926" s="16">
        <f t="shared" si="123"/>
        <v>44346</v>
      </c>
      <c r="L7926" s="17">
        <v>0.16666666666666666</v>
      </c>
      <c r="M7926" s="14">
        <v>884</v>
      </c>
      <c r="N7926" s="14">
        <v>0</v>
      </c>
      <c r="O7926" s="14">
        <v>0</v>
      </c>
      <c r="P7926" s="14">
        <v>884</v>
      </c>
      <c r="Q7926">
        <v>5999</v>
      </c>
      <c r="R7926">
        <v>2938</v>
      </c>
      <c r="S7926">
        <v>0</v>
      </c>
    </row>
    <row r="7927" spans="11:19" x14ac:dyDescent="0.3">
      <c r="K7927" s="16">
        <f t="shared" si="123"/>
        <v>44346</v>
      </c>
      <c r="L7927" s="17">
        <v>0.20833333333333334</v>
      </c>
      <c r="M7927" s="14">
        <v>884</v>
      </c>
      <c r="N7927" s="14">
        <v>0</v>
      </c>
      <c r="O7927" s="14">
        <v>-1187</v>
      </c>
      <c r="P7927" s="14">
        <v>-303</v>
      </c>
      <c r="Q7927">
        <v>5915</v>
      </c>
      <c r="R7927">
        <v>2909</v>
      </c>
      <c r="S7927">
        <v>0</v>
      </c>
    </row>
    <row r="7928" spans="11:19" x14ac:dyDescent="0.3">
      <c r="K7928" s="16">
        <f t="shared" si="123"/>
        <v>44346</v>
      </c>
      <c r="L7928" s="17">
        <v>0.25</v>
      </c>
      <c r="M7928" s="14">
        <v>884</v>
      </c>
      <c r="N7928" s="14">
        <v>0</v>
      </c>
      <c r="O7928" s="14">
        <v>0</v>
      </c>
      <c r="P7928" s="14">
        <v>884</v>
      </c>
      <c r="Q7928">
        <v>5905</v>
      </c>
      <c r="R7928">
        <v>3071</v>
      </c>
      <c r="S7928">
        <v>24</v>
      </c>
    </row>
    <row r="7929" spans="11:19" x14ac:dyDescent="0.3">
      <c r="K7929" s="16">
        <f t="shared" si="123"/>
        <v>44346</v>
      </c>
      <c r="L7929" s="17">
        <v>0.29166666666666669</v>
      </c>
      <c r="M7929" s="14">
        <v>884</v>
      </c>
      <c r="N7929" s="14">
        <v>0</v>
      </c>
      <c r="O7929" s="14">
        <v>0</v>
      </c>
      <c r="P7929" s="14">
        <v>884</v>
      </c>
      <c r="Q7929">
        <v>6149</v>
      </c>
      <c r="R7929">
        <v>3034</v>
      </c>
      <c r="S7929">
        <v>200</v>
      </c>
    </row>
    <row r="7930" spans="11:19" x14ac:dyDescent="0.3">
      <c r="K7930" s="16">
        <f t="shared" si="123"/>
        <v>44346</v>
      </c>
      <c r="L7930" s="17">
        <v>0.33333333333333331</v>
      </c>
      <c r="M7930" s="14">
        <v>884</v>
      </c>
      <c r="N7930" s="14">
        <v>0</v>
      </c>
      <c r="O7930" s="14">
        <v>-396</v>
      </c>
      <c r="P7930" s="14">
        <v>488</v>
      </c>
      <c r="Q7930">
        <v>6644</v>
      </c>
      <c r="R7930">
        <v>2565</v>
      </c>
      <c r="S7930">
        <v>530</v>
      </c>
    </row>
    <row r="7931" spans="11:19" x14ac:dyDescent="0.3">
      <c r="K7931" s="16">
        <f t="shared" si="123"/>
        <v>44346</v>
      </c>
      <c r="L7931" s="17">
        <v>0.375</v>
      </c>
      <c r="M7931" s="14">
        <v>884</v>
      </c>
      <c r="N7931" s="14">
        <v>0</v>
      </c>
      <c r="O7931" s="14">
        <v>-541</v>
      </c>
      <c r="P7931" s="14">
        <v>343</v>
      </c>
      <c r="Q7931">
        <v>7122</v>
      </c>
      <c r="R7931">
        <v>2550</v>
      </c>
      <c r="S7931">
        <v>867</v>
      </c>
    </row>
    <row r="7932" spans="11:19" x14ac:dyDescent="0.3">
      <c r="K7932" s="16">
        <f t="shared" si="123"/>
        <v>44346</v>
      </c>
      <c r="L7932" s="17">
        <v>0.41666666666666669</v>
      </c>
      <c r="M7932" s="14">
        <v>884</v>
      </c>
      <c r="N7932" s="14">
        <v>0</v>
      </c>
      <c r="O7932" s="14">
        <v>-672</v>
      </c>
      <c r="P7932" s="14">
        <v>212</v>
      </c>
      <c r="Q7932">
        <v>7428</v>
      </c>
      <c r="R7932">
        <v>2645</v>
      </c>
      <c r="S7932">
        <v>1211</v>
      </c>
    </row>
    <row r="7933" spans="11:19" x14ac:dyDescent="0.3">
      <c r="K7933" s="16">
        <f t="shared" si="123"/>
        <v>44346</v>
      </c>
      <c r="L7933" s="17">
        <v>0.45833333333333331</v>
      </c>
      <c r="M7933" s="14">
        <v>884</v>
      </c>
      <c r="N7933" s="14">
        <v>0</v>
      </c>
      <c r="O7933" s="14">
        <v>0</v>
      </c>
      <c r="P7933" s="14">
        <v>884</v>
      </c>
      <c r="Q7933">
        <v>7659</v>
      </c>
      <c r="R7933">
        <v>2877</v>
      </c>
      <c r="S7933">
        <v>1467</v>
      </c>
    </row>
    <row r="7934" spans="11:19" x14ac:dyDescent="0.3">
      <c r="K7934" s="16">
        <f t="shared" si="123"/>
        <v>44346</v>
      </c>
      <c r="L7934" s="17">
        <v>0.5</v>
      </c>
      <c r="M7934" s="14">
        <v>884</v>
      </c>
      <c r="N7934" s="14">
        <v>0</v>
      </c>
      <c r="O7934" s="14">
        <v>-845</v>
      </c>
      <c r="P7934" s="14">
        <v>39</v>
      </c>
      <c r="Q7934">
        <v>7976</v>
      </c>
      <c r="R7934">
        <v>2882</v>
      </c>
      <c r="S7934">
        <v>1700</v>
      </c>
    </row>
    <row r="7935" spans="11:19" x14ac:dyDescent="0.3">
      <c r="K7935" s="16">
        <f t="shared" si="123"/>
        <v>44346</v>
      </c>
      <c r="L7935" s="17">
        <v>0.54166666666666663</v>
      </c>
      <c r="M7935" s="14">
        <v>884</v>
      </c>
      <c r="N7935" s="14">
        <v>0</v>
      </c>
      <c r="O7935" s="14">
        <v>-1200</v>
      </c>
      <c r="P7935" s="14">
        <v>-316</v>
      </c>
      <c r="Q7935">
        <v>7594</v>
      </c>
      <c r="R7935">
        <v>2983</v>
      </c>
      <c r="S7935">
        <v>1798</v>
      </c>
    </row>
    <row r="7936" spans="11:19" x14ac:dyDescent="0.3">
      <c r="K7936" s="16">
        <f t="shared" si="123"/>
        <v>44346</v>
      </c>
      <c r="L7936" s="17">
        <v>0.58333333333333337</v>
      </c>
      <c r="M7936" s="14">
        <v>884</v>
      </c>
      <c r="N7936" s="14">
        <v>0</v>
      </c>
      <c r="O7936" s="14">
        <v>0</v>
      </c>
      <c r="P7936" s="14">
        <v>884</v>
      </c>
      <c r="Q7936">
        <v>7241</v>
      </c>
      <c r="R7936">
        <v>3024</v>
      </c>
      <c r="S7936">
        <v>1749</v>
      </c>
    </row>
    <row r="7937" spans="11:19" x14ac:dyDescent="0.3">
      <c r="K7937" s="16">
        <f t="shared" si="123"/>
        <v>44346</v>
      </c>
      <c r="L7937" s="17">
        <v>0.625</v>
      </c>
      <c r="M7937" s="14">
        <v>884</v>
      </c>
      <c r="N7937" s="14">
        <v>0</v>
      </c>
      <c r="O7937" s="14">
        <v>0</v>
      </c>
      <c r="P7937" s="14">
        <v>884</v>
      </c>
      <c r="Q7937">
        <v>6965</v>
      </c>
      <c r="R7937">
        <v>3138</v>
      </c>
      <c r="S7937">
        <v>1650</v>
      </c>
    </row>
    <row r="7938" spans="11:19" x14ac:dyDescent="0.3">
      <c r="K7938" s="16">
        <f t="shared" si="123"/>
        <v>44346</v>
      </c>
      <c r="L7938" s="17">
        <v>0.66666666666666663</v>
      </c>
      <c r="M7938" s="14">
        <v>884</v>
      </c>
      <c r="N7938" s="14">
        <v>0</v>
      </c>
      <c r="O7938" s="14">
        <v>0</v>
      </c>
      <c r="P7938" s="14">
        <v>884</v>
      </c>
      <c r="Q7938">
        <v>6792</v>
      </c>
      <c r="R7938">
        <v>2916</v>
      </c>
      <c r="S7938">
        <v>1493</v>
      </c>
    </row>
    <row r="7939" spans="11:19" x14ac:dyDescent="0.3">
      <c r="K7939" s="16">
        <f t="shared" si="123"/>
        <v>44346</v>
      </c>
      <c r="L7939" s="17">
        <v>0.70833333333333337</v>
      </c>
      <c r="M7939" s="14">
        <v>884</v>
      </c>
      <c r="N7939" s="14">
        <v>0</v>
      </c>
      <c r="O7939" s="14">
        <v>0</v>
      </c>
      <c r="P7939" s="14">
        <v>884</v>
      </c>
      <c r="Q7939">
        <v>6814</v>
      </c>
      <c r="R7939">
        <v>3222</v>
      </c>
      <c r="S7939">
        <v>1175</v>
      </c>
    </row>
    <row r="7940" spans="11:19" x14ac:dyDescent="0.3">
      <c r="K7940" s="16">
        <f t="shared" si="123"/>
        <v>44346</v>
      </c>
      <c r="L7940" s="17">
        <v>0.75</v>
      </c>
      <c r="M7940" s="14">
        <v>884</v>
      </c>
      <c r="N7940" s="14">
        <v>0</v>
      </c>
      <c r="O7940" s="14">
        <v>-1108</v>
      </c>
      <c r="P7940" s="14">
        <v>-224</v>
      </c>
      <c r="Q7940">
        <v>7113</v>
      </c>
      <c r="R7940">
        <v>3200</v>
      </c>
      <c r="S7940">
        <v>798</v>
      </c>
    </row>
    <row r="7941" spans="11:19" x14ac:dyDescent="0.3">
      <c r="K7941" s="16">
        <f t="shared" si="123"/>
        <v>44346</v>
      </c>
      <c r="L7941" s="17">
        <v>0.79166666666666663</v>
      </c>
      <c r="M7941" s="14">
        <v>884</v>
      </c>
      <c r="N7941" s="14">
        <v>0</v>
      </c>
      <c r="O7941" s="14">
        <v>-614</v>
      </c>
      <c r="P7941" s="14">
        <v>270</v>
      </c>
      <c r="Q7941">
        <v>7355</v>
      </c>
      <c r="R7941">
        <v>3351</v>
      </c>
      <c r="S7941">
        <v>398</v>
      </c>
    </row>
    <row r="7942" spans="11:19" x14ac:dyDescent="0.3">
      <c r="K7942" s="16">
        <f t="shared" si="123"/>
        <v>44346</v>
      </c>
      <c r="L7942" s="17">
        <v>0.83333333333333337</v>
      </c>
      <c r="M7942" s="14">
        <v>884</v>
      </c>
      <c r="N7942" s="14">
        <v>0</v>
      </c>
      <c r="O7942" s="14">
        <v>-270</v>
      </c>
      <c r="P7942" s="14">
        <v>614</v>
      </c>
      <c r="Q7942">
        <v>7230</v>
      </c>
      <c r="R7942">
        <v>3180</v>
      </c>
      <c r="S7942">
        <v>106</v>
      </c>
    </row>
    <row r="7943" spans="11:19" x14ac:dyDescent="0.3">
      <c r="K7943" s="16">
        <f t="shared" si="123"/>
        <v>44346</v>
      </c>
      <c r="L7943" s="17">
        <v>0.875</v>
      </c>
      <c r="M7943" s="14">
        <v>884</v>
      </c>
      <c r="N7943" s="14">
        <v>0</v>
      </c>
      <c r="O7943" s="14">
        <v>-107</v>
      </c>
      <c r="P7943" s="14">
        <v>777</v>
      </c>
      <c r="Q7943">
        <v>7179</v>
      </c>
      <c r="R7943">
        <v>3066</v>
      </c>
      <c r="S7943">
        <v>8</v>
      </c>
    </row>
    <row r="7944" spans="11:19" x14ac:dyDescent="0.3">
      <c r="K7944" s="16">
        <f t="shared" si="123"/>
        <v>44346</v>
      </c>
      <c r="L7944" s="17">
        <v>0.91666666666666663</v>
      </c>
      <c r="M7944" s="14">
        <v>884</v>
      </c>
      <c r="N7944" s="14">
        <v>0</v>
      </c>
      <c r="O7944" s="14">
        <v>535</v>
      </c>
      <c r="P7944" s="14">
        <v>1419</v>
      </c>
      <c r="Q7944">
        <v>7687</v>
      </c>
      <c r="R7944">
        <v>2939</v>
      </c>
      <c r="S7944">
        <v>0</v>
      </c>
    </row>
    <row r="7945" spans="11:19" x14ac:dyDescent="0.3">
      <c r="K7945" s="16">
        <f t="shared" si="123"/>
        <v>44346</v>
      </c>
      <c r="L7945" s="17">
        <v>0.95833333333333337</v>
      </c>
      <c r="M7945" s="14">
        <v>884</v>
      </c>
      <c r="N7945" s="14">
        <v>0</v>
      </c>
      <c r="O7945" s="14">
        <v>712</v>
      </c>
      <c r="P7945" s="14">
        <v>1596</v>
      </c>
      <c r="Q7945">
        <v>7908</v>
      </c>
      <c r="R7945">
        <v>2998</v>
      </c>
      <c r="S7945">
        <v>0</v>
      </c>
    </row>
    <row r="7946" spans="11:19" x14ac:dyDescent="0.3">
      <c r="K7946" s="16">
        <f t="shared" si="123"/>
        <v>44347</v>
      </c>
      <c r="L7946" s="17">
        <v>0</v>
      </c>
      <c r="M7946" s="14">
        <v>884</v>
      </c>
      <c r="N7946" s="14">
        <v>0</v>
      </c>
      <c r="O7946" s="14">
        <v>-1200</v>
      </c>
      <c r="P7946" s="14">
        <v>-316</v>
      </c>
      <c r="Q7946">
        <v>7374</v>
      </c>
      <c r="R7946">
        <v>3083</v>
      </c>
      <c r="S7946">
        <v>0</v>
      </c>
    </row>
    <row r="7947" spans="11:19" x14ac:dyDescent="0.3">
      <c r="K7947" s="16">
        <f t="shared" si="123"/>
        <v>44347</v>
      </c>
      <c r="L7947" s="17">
        <v>4.1666666666666664E-2</v>
      </c>
      <c r="M7947" s="14">
        <v>884</v>
      </c>
      <c r="N7947" s="14">
        <v>0</v>
      </c>
      <c r="O7947" s="14">
        <v>-1200</v>
      </c>
      <c r="P7947" s="14">
        <v>-316</v>
      </c>
      <c r="Q7947">
        <v>6991</v>
      </c>
      <c r="R7947">
        <v>2608</v>
      </c>
      <c r="S7947">
        <v>0</v>
      </c>
    </row>
    <row r="7948" spans="11:19" x14ac:dyDescent="0.3">
      <c r="K7948" s="16">
        <f t="shared" si="123"/>
        <v>44347</v>
      </c>
      <c r="L7948" s="17">
        <v>8.3333333333333329E-2</v>
      </c>
      <c r="M7948" s="14">
        <v>884</v>
      </c>
      <c r="N7948" s="14">
        <v>0</v>
      </c>
      <c r="O7948" s="14">
        <v>-1200</v>
      </c>
      <c r="P7948" s="14">
        <v>-316</v>
      </c>
      <c r="Q7948">
        <v>6678</v>
      </c>
      <c r="R7948">
        <v>2329</v>
      </c>
      <c r="S7948">
        <v>0</v>
      </c>
    </row>
    <row r="7949" spans="11:19" x14ac:dyDescent="0.3">
      <c r="K7949" s="16">
        <f t="shared" si="123"/>
        <v>44347</v>
      </c>
      <c r="L7949" s="17">
        <v>0.125</v>
      </c>
      <c r="M7949" s="14">
        <v>884</v>
      </c>
      <c r="N7949" s="14">
        <v>0</v>
      </c>
      <c r="O7949" s="14">
        <v>-1200</v>
      </c>
      <c r="P7949" s="14">
        <v>-316</v>
      </c>
      <c r="Q7949">
        <v>6315</v>
      </c>
      <c r="R7949">
        <v>2104</v>
      </c>
      <c r="S7949">
        <v>0</v>
      </c>
    </row>
    <row r="7950" spans="11:19" x14ac:dyDescent="0.3">
      <c r="K7950" s="16">
        <f t="shared" si="123"/>
        <v>44347</v>
      </c>
      <c r="L7950" s="17">
        <v>0.16666666666666666</v>
      </c>
      <c r="M7950" s="14">
        <v>884</v>
      </c>
      <c r="N7950" s="14">
        <v>0</v>
      </c>
      <c r="O7950" s="14">
        <v>-1200</v>
      </c>
      <c r="P7950" s="14">
        <v>-316</v>
      </c>
      <c r="Q7950">
        <v>6283</v>
      </c>
      <c r="R7950">
        <v>1903</v>
      </c>
      <c r="S7950">
        <v>0</v>
      </c>
    </row>
    <row r="7951" spans="11:19" x14ac:dyDescent="0.3">
      <c r="K7951" s="16">
        <f t="shared" si="123"/>
        <v>44347</v>
      </c>
      <c r="L7951" s="17">
        <v>0.20833333333333334</v>
      </c>
      <c r="M7951" s="14">
        <v>884</v>
      </c>
      <c r="N7951" s="14">
        <v>0</v>
      </c>
      <c r="O7951" s="14">
        <v>-1143</v>
      </c>
      <c r="P7951" s="14">
        <v>-259</v>
      </c>
      <c r="Q7951">
        <v>6704</v>
      </c>
      <c r="R7951">
        <v>1888</v>
      </c>
      <c r="S7951">
        <v>0</v>
      </c>
    </row>
    <row r="7952" spans="11:19" x14ac:dyDescent="0.3">
      <c r="K7952" s="16">
        <f t="shared" si="123"/>
        <v>44347</v>
      </c>
      <c r="L7952" s="17">
        <v>0.25</v>
      </c>
      <c r="M7952" s="14">
        <v>884</v>
      </c>
      <c r="N7952" s="14">
        <v>0</v>
      </c>
      <c r="O7952" s="14">
        <v>-165</v>
      </c>
      <c r="P7952" s="14">
        <v>719</v>
      </c>
      <c r="Q7952">
        <v>7534</v>
      </c>
      <c r="R7952">
        <v>1674</v>
      </c>
      <c r="S7952">
        <v>30</v>
      </c>
    </row>
    <row r="7953" spans="11:19" x14ac:dyDescent="0.3">
      <c r="K7953" s="16">
        <f t="shared" si="123"/>
        <v>44347</v>
      </c>
      <c r="L7953" s="17">
        <v>0.29166666666666669</v>
      </c>
      <c r="M7953" s="14">
        <v>884</v>
      </c>
      <c r="N7953" s="14">
        <v>305</v>
      </c>
      <c r="O7953" s="14">
        <v>445</v>
      </c>
      <c r="P7953" s="14">
        <v>1634</v>
      </c>
      <c r="Q7953">
        <v>8440</v>
      </c>
      <c r="R7953">
        <v>1452</v>
      </c>
      <c r="S7953">
        <v>225</v>
      </c>
    </row>
    <row r="7954" spans="11:19" x14ac:dyDescent="0.3">
      <c r="K7954" s="16">
        <f t="shared" si="123"/>
        <v>44347</v>
      </c>
      <c r="L7954" s="17">
        <v>0.33333333333333331</v>
      </c>
      <c r="M7954" s="14">
        <v>884</v>
      </c>
      <c r="N7954" s="14">
        <v>1046</v>
      </c>
      <c r="O7954" s="14">
        <v>0</v>
      </c>
      <c r="P7954" s="14">
        <v>1930</v>
      </c>
      <c r="Q7954">
        <v>8981</v>
      </c>
      <c r="R7954">
        <v>1272</v>
      </c>
      <c r="S7954">
        <v>650</v>
      </c>
    </row>
    <row r="7955" spans="11:19" x14ac:dyDescent="0.3">
      <c r="K7955" s="16">
        <f t="shared" si="123"/>
        <v>44347</v>
      </c>
      <c r="L7955" s="17">
        <v>0.375</v>
      </c>
      <c r="M7955" s="14">
        <v>884</v>
      </c>
      <c r="N7955" s="14">
        <v>1238</v>
      </c>
      <c r="O7955" s="14">
        <v>0</v>
      </c>
      <c r="P7955" s="14">
        <v>2122</v>
      </c>
      <c r="Q7955">
        <v>9307</v>
      </c>
      <c r="R7955">
        <v>952</v>
      </c>
      <c r="S7955">
        <v>1107</v>
      </c>
    </row>
    <row r="7956" spans="11:19" x14ac:dyDescent="0.3">
      <c r="K7956" s="16">
        <f t="shared" si="123"/>
        <v>44347</v>
      </c>
      <c r="L7956" s="17">
        <v>0.41666666666666669</v>
      </c>
      <c r="M7956" s="14">
        <v>884</v>
      </c>
      <c r="N7956" s="14">
        <v>0</v>
      </c>
      <c r="O7956" s="14">
        <v>953</v>
      </c>
      <c r="P7956" s="14">
        <v>1837</v>
      </c>
      <c r="Q7956">
        <v>9458</v>
      </c>
      <c r="R7956">
        <v>1030</v>
      </c>
      <c r="S7956">
        <v>1464</v>
      </c>
    </row>
    <row r="7957" spans="11:19" x14ac:dyDescent="0.3">
      <c r="K7957" s="16">
        <f t="shared" si="123"/>
        <v>44347</v>
      </c>
      <c r="L7957" s="17">
        <v>0.45833333333333331</v>
      </c>
      <c r="M7957" s="14">
        <v>884</v>
      </c>
      <c r="N7957" s="14">
        <v>909</v>
      </c>
      <c r="O7957" s="14">
        <v>0</v>
      </c>
      <c r="P7957" s="14">
        <v>1793</v>
      </c>
      <c r="Q7957">
        <v>9637</v>
      </c>
      <c r="R7957">
        <v>1031</v>
      </c>
      <c r="S7957">
        <v>1687</v>
      </c>
    </row>
    <row r="7958" spans="11:19" x14ac:dyDescent="0.3">
      <c r="K7958" s="16">
        <f t="shared" si="123"/>
        <v>44347</v>
      </c>
      <c r="L7958" s="17">
        <v>0.5</v>
      </c>
      <c r="M7958" s="14">
        <v>884</v>
      </c>
      <c r="N7958" s="14">
        <v>0</v>
      </c>
      <c r="O7958" s="14">
        <v>802</v>
      </c>
      <c r="P7958" s="14">
        <v>1686</v>
      </c>
      <c r="Q7958">
        <v>9701</v>
      </c>
      <c r="R7958">
        <v>1146</v>
      </c>
      <c r="S7958">
        <v>1749</v>
      </c>
    </row>
    <row r="7959" spans="11:19" x14ac:dyDescent="0.3">
      <c r="K7959" s="16">
        <f t="shared" si="123"/>
        <v>44347</v>
      </c>
      <c r="L7959" s="17">
        <v>0.54166666666666663</v>
      </c>
      <c r="M7959" s="14">
        <v>884</v>
      </c>
      <c r="N7959" s="14">
        <v>0</v>
      </c>
      <c r="O7959" s="14">
        <v>658</v>
      </c>
      <c r="P7959" s="14">
        <v>1542</v>
      </c>
      <c r="Q7959">
        <v>9568</v>
      </c>
      <c r="R7959">
        <v>1071</v>
      </c>
      <c r="S7959">
        <v>1838</v>
      </c>
    </row>
    <row r="7960" spans="11:19" x14ac:dyDescent="0.3">
      <c r="K7960" s="16">
        <f t="shared" si="123"/>
        <v>44347</v>
      </c>
      <c r="L7960" s="17">
        <v>0.58333333333333337</v>
      </c>
      <c r="M7960" s="14">
        <v>884</v>
      </c>
      <c r="N7960" s="14">
        <v>0</v>
      </c>
      <c r="O7960" s="14">
        <v>477</v>
      </c>
      <c r="P7960" s="14">
        <v>1361</v>
      </c>
      <c r="Q7960">
        <v>9449</v>
      </c>
      <c r="R7960">
        <v>1139</v>
      </c>
      <c r="S7960">
        <v>1832</v>
      </c>
    </row>
    <row r="7961" spans="11:19" x14ac:dyDescent="0.3">
      <c r="K7961" s="16">
        <f t="shared" si="123"/>
        <v>44347</v>
      </c>
      <c r="L7961" s="17">
        <v>0.625</v>
      </c>
      <c r="M7961" s="14">
        <v>884</v>
      </c>
      <c r="N7961" s="14">
        <v>0</v>
      </c>
      <c r="O7961" s="14">
        <v>267</v>
      </c>
      <c r="P7961" s="14">
        <v>1151</v>
      </c>
      <c r="Q7961">
        <v>9197</v>
      </c>
      <c r="R7961">
        <v>1205</v>
      </c>
      <c r="S7961">
        <v>1724</v>
      </c>
    </row>
    <row r="7962" spans="11:19" x14ac:dyDescent="0.3">
      <c r="K7962" s="16">
        <f t="shared" si="123"/>
        <v>44347</v>
      </c>
      <c r="L7962" s="17">
        <v>0.66666666666666663</v>
      </c>
      <c r="M7962" s="14">
        <v>884</v>
      </c>
      <c r="N7962" s="14">
        <v>230</v>
      </c>
      <c r="O7962" s="14">
        <v>0</v>
      </c>
      <c r="P7962" s="14">
        <v>1114</v>
      </c>
      <c r="Q7962">
        <v>8977</v>
      </c>
      <c r="R7962">
        <v>1226</v>
      </c>
      <c r="S7962">
        <v>1522</v>
      </c>
    </row>
    <row r="7963" spans="11:19" x14ac:dyDescent="0.3">
      <c r="K7963" s="16">
        <f t="shared" ref="K7963:K8026" si="124">K7939+1</f>
        <v>44347</v>
      </c>
      <c r="L7963" s="17">
        <v>0.70833333333333337</v>
      </c>
      <c r="M7963" s="14">
        <v>884</v>
      </c>
      <c r="N7963" s="14">
        <v>342</v>
      </c>
      <c r="O7963" s="14">
        <v>0</v>
      </c>
      <c r="P7963" s="14">
        <v>1226</v>
      </c>
      <c r="Q7963">
        <v>8861</v>
      </c>
      <c r="R7963">
        <v>1315</v>
      </c>
      <c r="S7963">
        <v>1205</v>
      </c>
    </row>
    <row r="7964" spans="11:19" x14ac:dyDescent="0.3">
      <c r="K7964" s="16">
        <f t="shared" si="124"/>
        <v>44347</v>
      </c>
      <c r="L7964" s="17">
        <v>0.75</v>
      </c>
      <c r="M7964" s="14">
        <v>884</v>
      </c>
      <c r="N7964" s="14">
        <v>0</v>
      </c>
      <c r="O7964" s="14">
        <v>1032</v>
      </c>
      <c r="P7964" s="14">
        <v>1916</v>
      </c>
      <c r="Q7964">
        <v>9078</v>
      </c>
      <c r="R7964">
        <v>1251</v>
      </c>
      <c r="S7964">
        <v>799</v>
      </c>
    </row>
    <row r="7965" spans="11:19" x14ac:dyDescent="0.3">
      <c r="K7965" s="16">
        <f t="shared" si="124"/>
        <v>44347</v>
      </c>
      <c r="L7965" s="17">
        <v>0.79166666666666663</v>
      </c>
      <c r="M7965" s="14">
        <v>884</v>
      </c>
      <c r="N7965" s="14">
        <v>1254</v>
      </c>
      <c r="O7965" s="14">
        <v>15</v>
      </c>
      <c r="P7965" s="14">
        <v>2153</v>
      </c>
      <c r="Q7965">
        <v>9025</v>
      </c>
      <c r="R7965">
        <v>1283</v>
      </c>
      <c r="S7965">
        <v>408</v>
      </c>
    </row>
    <row r="7966" spans="11:19" x14ac:dyDescent="0.3">
      <c r="K7966" s="16">
        <f t="shared" si="124"/>
        <v>44347</v>
      </c>
      <c r="L7966" s="17">
        <v>0.83333333333333337</v>
      </c>
      <c r="M7966" s="14">
        <v>884</v>
      </c>
      <c r="N7966" s="14">
        <v>1053</v>
      </c>
      <c r="O7966" s="14">
        <v>0</v>
      </c>
      <c r="P7966" s="14">
        <v>1937</v>
      </c>
      <c r="Q7966">
        <v>8445</v>
      </c>
      <c r="R7966">
        <v>1231</v>
      </c>
      <c r="S7966">
        <v>108</v>
      </c>
    </row>
    <row r="7967" spans="11:19" x14ac:dyDescent="0.3">
      <c r="K7967" s="16">
        <f t="shared" si="124"/>
        <v>44347</v>
      </c>
      <c r="L7967" s="17">
        <v>0.875</v>
      </c>
      <c r="M7967" s="14">
        <v>884</v>
      </c>
      <c r="N7967" s="14">
        <v>640</v>
      </c>
      <c r="O7967" s="14">
        <v>0</v>
      </c>
      <c r="P7967" s="14">
        <v>1524</v>
      </c>
      <c r="Q7967">
        <v>8120</v>
      </c>
      <c r="R7967">
        <v>1423</v>
      </c>
      <c r="S7967">
        <v>10</v>
      </c>
    </row>
    <row r="7968" spans="11:19" x14ac:dyDescent="0.3">
      <c r="K7968" s="16">
        <f t="shared" si="124"/>
        <v>44347</v>
      </c>
      <c r="L7968" s="17">
        <v>0.91666666666666663</v>
      </c>
      <c r="M7968" s="14">
        <v>884</v>
      </c>
      <c r="N7968" s="14">
        <v>1191</v>
      </c>
      <c r="O7968" s="14">
        <v>0</v>
      </c>
      <c r="P7968" s="14">
        <v>2075</v>
      </c>
      <c r="Q7968">
        <v>8502</v>
      </c>
      <c r="R7968">
        <v>1271</v>
      </c>
      <c r="S7968">
        <v>0</v>
      </c>
    </row>
    <row r="7969" spans="11:19" x14ac:dyDescent="0.3">
      <c r="K7969" s="16">
        <f t="shared" si="124"/>
        <v>44347</v>
      </c>
      <c r="L7969" s="17">
        <v>0.95833333333333337</v>
      </c>
      <c r="M7969" s="14">
        <v>884</v>
      </c>
      <c r="N7969" s="14">
        <v>0</v>
      </c>
      <c r="O7969" s="14">
        <v>1200</v>
      </c>
      <c r="P7969" s="14">
        <v>2084</v>
      </c>
      <c r="Q7969">
        <v>8608</v>
      </c>
      <c r="R7969">
        <v>1147</v>
      </c>
      <c r="S7969">
        <v>0</v>
      </c>
    </row>
    <row r="7970" spans="11:19" x14ac:dyDescent="0.3">
      <c r="K7970" s="16">
        <f t="shared" si="124"/>
        <v>44348</v>
      </c>
      <c r="L7970" s="17">
        <v>0</v>
      </c>
      <c r="M7970" s="14">
        <v>884</v>
      </c>
      <c r="N7970" s="14">
        <v>0</v>
      </c>
      <c r="O7970" s="14">
        <v>945</v>
      </c>
      <c r="P7970" s="14">
        <v>1829</v>
      </c>
      <c r="Q7970">
        <v>8000</v>
      </c>
      <c r="R7970">
        <v>1114</v>
      </c>
      <c r="S7970">
        <v>0</v>
      </c>
    </row>
    <row r="7971" spans="11:19" x14ac:dyDescent="0.3">
      <c r="K7971" s="16">
        <f t="shared" si="124"/>
        <v>44348</v>
      </c>
      <c r="L7971" s="17">
        <v>4.1666666666666664E-2</v>
      </c>
      <c r="M7971" s="14">
        <v>884</v>
      </c>
      <c r="N7971" s="14">
        <v>583</v>
      </c>
      <c r="O7971" s="14">
        <v>0</v>
      </c>
      <c r="P7971" s="14">
        <v>1467</v>
      </c>
      <c r="Q7971">
        <v>7563</v>
      </c>
      <c r="R7971">
        <v>1043</v>
      </c>
      <c r="S7971">
        <v>0</v>
      </c>
    </row>
    <row r="7972" spans="11:19" x14ac:dyDescent="0.3">
      <c r="K7972" s="16">
        <f t="shared" si="124"/>
        <v>44348</v>
      </c>
      <c r="L7972" s="17">
        <v>8.3333333333333329E-2</v>
      </c>
      <c r="M7972" s="14">
        <v>884</v>
      </c>
      <c r="N7972" s="14">
        <v>166</v>
      </c>
      <c r="O7972" s="14">
        <v>0</v>
      </c>
      <c r="P7972" s="14">
        <v>1050</v>
      </c>
      <c r="Q7972">
        <v>7259</v>
      </c>
      <c r="R7972">
        <v>1156</v>
      </c>
      <c r="S7972">
        <v>0</v>
      </c>
    </row>
    <row r="7973" spans="11:19" x14ac:dyDescent="0.3">
      <c r="K7973" s="16">
        <f t="shared" si="124"/>
        <v>44348</v>
      </c>
      <c r="L7973" s="17">
        <v>0.125</v>
      </c>
      <c r="M7973" s="14">
        <v>884</v>
      </c>
      <c r="N7973" s="14">
        <v>0</v>
      </c>
      <c r="O7973" s="14">
        <v>-158</v>
      </c>
      <c r="P7973" s="14">
        <v>726</v>
      </c>
      <c r="Q7973">
        <v>6896</v>
      </c>
      <c r="R7973">
        <v>1114</v>
      </c>
      <c r="S7973">
        <v>0</v>
      </c>
    </row>
    <row r="7974" spans="11:19" x14ac:dyDescent="0.3">
      <c r="K7974" s="16">
        <f t="shared" si="124"/>
        <v>44348</v>
      </c>
      <c r="L7974" s="17">
        <v>0.16666666666666666</v>
      </c>
      <c r="M7974" s="14">
        <v>884</v>
      </c>
      <c r="N7974" s="14">
        <v>0</v>
      </c>
      <c r="O7974" s="14">
        <v>-348</v>
      </c>
      <c r="P7974" s="14">
        <v>536</v>
      </c>
      <c r="Q7974">
        <v>6811</v>
      </c>
      <c r="R7974">
        <v>1215</v>
      </c>
      <c r="S7974">
        <v>0</v>
      </c>
    </row>
    <row r="7975" spans="11:19" x14ac:dyDescent="0.3">
      <c r="K7975" s="16">
        <f t="shared" si="124"/>
        <v>44348</v>
      </c>
      <c r="L7975" s="17">
        <v>0.20833333333333334</v>
      </c>
      <c r="M7975" s="14">
        <v>884</v>
      </c>
      <c r="N7975" s="14">
        <v>35</v>
      </c>
      <c r="O7975" s="14">
        <v>0</v>
      </c>
      <c r="P7975" s="14">
        <v>919</v>
      </c>
      <c r="Q7975">
        <v>7120</v>
      </c>
      <c r="R7975">
        <v>1125</v>
      </c>
      <c r="S7975">
        <v>0</v>
      </c>
    </row>
    <row r="7976" spans="11:19" x14ac:dyDescent="0.3">
      <c r="K7976" s="16">
        <f t="shared" si="124"/>
        <v>44348</v>
      </c>
      <c r="L7976" s="17">
        <v>0.25</v>
      </c>
      <c r="M7976" s="14">
        <v>884</v>
      </c>
      <c r="N7976" s="14">
        <v>727</v>
      </c>
      <c r="O7976" s="14">
        <v>0</v>
      </c>
      <c r="P7976" s="14">
        <v>1611</v>
      </c>
      <c r="Q7976">
        <v>7871</v>
      </c>
      <c r="R7976">
        <v>1113</v>
      </c>
      <c r="S7976">
        <v>35</v>
      </c>
    </row>
    <row r="7977" spans="11:19" x14ac:dyDescent="0.3">
      <c r="K7977" s="16">
        <f t="shared" si="124"/>
        <v>44348</v>
      </c>
      <c r="L7977" s="17">
        <v>0.29166666666666669</v>
      </c>
      <c r="M7977" s="14">
        <v>884</v>
      </c>
      <c r="N7977" s="14">
        <v>1391</v>
      </c>
      <c r="O7977" s="14">
        <v>0</v>
      </c>
      <c r="P7977" s="14">
        <v>2275</v>
      </c>
      <c r="Q7977">
        <v>8740</v>
      </c>
      <c r="R7977">
        <v>1115</v>
      </c>
      <c r="S7977">
        <v>222</v>
      </c>
    </row>
    <row r="7978" spans="11:19" x14ac:dyDescent="0.3">
      <c r="K7978" s="16">
        <f t="shared" si="124"/>
        <v>44348</v>
      </c>
      <c r="L7978" s="17">
        <v>0.33333333333333331</v>
      </c>
      <c r="M7978" s="14">
        <v>884</v>
      </c>
      <c r="N7978" s="14">
        <v>1407</v>
      </c>
      <c r="O7978" s="14">
        <v>0</v>
      </c>
      <c r="P7978" s="14">
        <v>2291</v>
      </c>
      <c r="Q7978">
        <v>9247</v>
      </c>
      <c r="R7978">
        <v>1198</v>
      </c>
      <c r="S7978">
        <v>628</v>
      </c>
    </row>
    <row r="7979" spans="11:19" x14ac:dyDescent="0.3">
      <c r="K7979" s="16">
        <f t="shared" si="124"/>
        <v>44348</v>
      </c>
      <c r="L7979" s="17">
        <v>0.375</v>
      </c>
      <c r="M7979" s="14">
        <v>884</v>
      </c>
      <c r="N7979" s="14">
        <v>1319</v>
      </c>
      <c r="O7979" s="14">
        <v>0</v>
      </c>
      <c r="P7979" s="14">
        <v>2203</v>
      </c>
      <c r="Q7979">
        <v>9533</v>
      </c>
      <c r="R7979">
        <v>1162</v>
      </c>
      <c r="S7979">
        <v>1041</v>
      </c>
    </row>
    <row r="7980" spans="11:19" x14ac:dyDescent="0.3">
      <c r="K7980" s="16">
        <f t="shared" si="124"/>
        <v>44348</v>
      </c>
      <c r="L7980" s="17">
        <v>0.41666666666666669</v>
      </c>
      <c r="M7980" s="14">
        <v>884</v>
      </c>
      <c r="N7980" s="14">
        <v>865</v>
      </c>
      <c r="O7980" s="14">
        <v>0</v>
      </c>
      <c r="P7980" s="14">
        <v>1749</v>
      </c>
      <c r="Q7980">
        <v>9660</v>
      </c>
      <c r="R7980">
        <v>1161</v>
      </c>
      <c r="S7980">
        <v>1462</v>
      </c>
    </row>
    <row r="7981" spans="11:19" x14ac:dyDescent="0.3">
      <c r="K7981" s="16">
        <f t="shared" si="124"/>
        <v>44348</v>
      </c>
      <c r="L7981" s="17">
        <v>0.45833333333333331</v>
      </c>
      <c r="M7981" s="14">
        <v>884</v>
      </c>
      <c r="N7981" s="14">
        <v>629</v>
      </c>
      <c r="O7981" s="14">
        <v>0</v>
      </c>
      <c r="P7981" s="14">
        <v>1513</v>
      </c>
      <c r="Q7981">
        <v>9812</v>
      </c>
      <c r="R7981">
        <v>1286</v>
      </c>
      <c r="S7981">
        <v>1726</v>
      </c>
    </row>
    <row r="7982" spans="11:19" x14ac:dyDescent="0.3">
      <c r="K7982" s="16">
        <f t="shared" si="124"/>
        <v>44348</v>
      </c>
      <c r="L7982" s="17">
        <v>0.5</v>
      </c>
      <c r="M7982" s="14">
        <v>884</v>
      </c>
      <c r="N7982" s="14">
        <v>501</v>
      </c>
      <c r="O7982" s="14">
        <v>0</v>
      </c>
      <c r="P7982" s="14">
        <v>1385</v>
      </c>
      <c r="Q7982">
        <v>9869</v>
      </c>
      <c r="R7982">
        <v>1343</v>
      </c>
      <c r="S7982">
        <v>1860</v>
      </c>
    </row>
    <row r="7983" spans="11:19" x14ac:dyDescent="0.3">
      <c r="K7983" s="16">
        <f t="shared" si="124"/>
        <v>44348</v>
      </c>
      <c r="L7983" s="17">
        <v>0.54166666666666663</v>
      </c>
      <c r="M7983" s="14">
        <v>884</v>
      </c>
      <c r="N7983" s="14">
        <v>216</v>
      </c>
      <c r="O7983" s="14">
        <v>0</v>
      </c>
      <c r="P7983" s="14">
        <v>1100</v>
      </c>
      <c r="Q7983">
        <v>9699</v>
      </c>
      <c r="R7983">
        <v>1346</v>
      </c>
      <c r="S7983">
        <v>1976</v>
      </c>
    </row>
    <row r="7984" spans="11:19" x14ac:dyDescent="0.3">
      <c r="K7984" s="16">
        <f t="shared" si="124"/>
        <v>44348</v>
      </c>
      <c r="L7984" s="17">
        <v>0.58333333333333337</v>
      </c>
      <c r="M7984" s="14">
        <v>884</v>
      </c>
      <c r="N7984" s="14">
        <v>45</v>
      </c>
      <c r="O7984" s="14">
        <v>0</v>
      </c>
      <c r="P7984" s="14">
        <v>929</v>
      </c>
      <c r="Q7984">
        <v>9576</v>
      </c>
      <c r="R7984">
        <v>1359</v>
      </c>
      <c r="S7984">
        <v>2010</v>
      </c>
    </row>
    <row r="7985" spans="11:19" x14ac:dyDescent="0.3">
      <c r="K7985" s="16">
        <f t="shared" si="124"/>
        <v>44348</v>
      </c>
      <c r="L7985" s="17">
        <v>0.625</v>
      </c>
      <c r="M7985" s="14">
        <v>884</v>
      </c>
      <c r="N7985" s="14">
        <v>0</v>
      </c>
      <c r="O7985" s="14">
        <v>-408</v>
      </c>
      <c r="P7985" s="14">
        <v>476</v>
      </c>
      <c r="Q7985">
        <v>9293</v>
      </c>
      <c r="R7985">
        <v>1597</v>
      </c>
      <c r="S7985">
        <v>1942</v>
      </c>
    </row>
    <row r="7986" spans="11:19" x14ac:dyDescent="0.3">
      <c r="K7986" s="16">
        <f t="shared" si="124"/>
        <v>44348</v>
      </c>
      <c r="L7986" s="17">
        <v>0.66666666666666663</v>
      </c>
      <c r="M7986" s="14">
        <v>884</v>
      </c>
      <c r="N7986" s="14">
        <v>0</v>
      </c>
      <c r="O7986" s="14">
        <v>-533</v>
      </c>
      <c r="P7986" s="14">
        <v>351</v>
      </c>
      <c r="Q7986">
        <v>9042</v>
      </c>
      <c r="R7986">
        <v>1611</v>
      </c>
      <c r="S7986">
        <v>1804</v>
      </c>
    </row>
    <row r="7987" spans="11:19" x14ac:dyDescent="0.3">
      <c r="K7987" s="16">
        <f t="shared" si="124"/>
        <v>44348</v>
      </c>
      <c r="L7987" s="17">
        <v>0.70833333333333337</v>
      </c>
      <c r="M7987" s="14">
        <v>884</v>
      </c>
      <c r="N7987" s="14">
        <v>0</v>
      </c>
      <c r="O7987" s="14">
        <v>-527</v>
      </c>
      <c r="P7987" s="14">
        <v>357</v>
      </c>
      <c r="Q7987">
        <v>8898</v>
      </c>
      <c r="R7987">
        <v>1782</v>
      </c>
      <c r="S7987">
        <v>1483</v>
      </c>
    </row>
    <row r="7988" spans="11:19" x14ac:dyDescent="0.3">
      <c r="K7988" s="16">
        <f t="shared" si="124"/>
        <v>44348</v>
      </c>
      <c r="L7988" s="17">
        <v>0.75</v>
      </c>
      <c r="M7988" s="14">
        <v>884</v>
      </c>
      <c r="N7988" s="14">
        <v>3</v>
      </c>
      <c r="O7988" s="14">
        <v>0</v>
      </c>
      <c r="P7988" s="14">
        <v>887</v>
      </c>
      <c r="Q7988">
        <v>9077</v>
      </c>
      <c r="R7988">
        <v>1873</v>
      </c>
      <c r="S7988">
        <v>1044</v>
      </c>
    </row>
    <row r="7989" spans="11:19" x14ac:dyDescent="0.3">
      <c r="K7989" s="16">
        <f t="shared" si="124"/>
        <v>44348</v>
      </c>
      <c r="L7989" s="17">
        <v>0.79166666666666663</v>
      </c>
      <c r="M7989" s="14">
        <v>884</v>
      </c>
      <c r="N7989" s="14">
        <v>0</v>
      </c>
      <c r="O7989" s="14">
        <v>0</v>
      </c>
      <c r="P7989" s="14">
        <v>884</v>
      </c>
      <c r="Q7989">
        <v>9045</v>
      </c>
      <c r="R7989">
        <v>1634</v>
      </c>
      <c r="S7989">
        <v>537</v>
      </c>
    </row>
    <row r="7990" spans="11:19" x14ac:dyDescent="0.3">
      <c r="K7990" s="16">
        <f t="shared" si="124"/>
        <v>44348</v>
      </c>
      <c r="L7990" s="17">
        <v>0.83333333333333337</v>
      </c>
      <c r="M7990" s="14">
        <v>884</v>
      </c>
      <c r="N7990" s="14">
        <v>647</v>
      </c>
      <c r="O7990" s="14">
        <v>0</v>
      </c>
      <c r="P7990" s="14">
        <v>1531</v>
      </c>
      <c r="Q7990">
        <v>8472</v>
      </c>
      <c r="R7990">
        <v>1375</v>
      </c>
      <c r="S7990">
        <v>156</v>
      </c>
    </row>
    <row r="7991" spans="11:19" x14ac:dyDescent="0.3">
      <c r="K7991" s="16">
        <f t="shared" si="124"/>
        <v>44348</v>
      </c>
      <c r="L7991" s="17">
        <v>0.875</v>
      </c>
      <c r="M7991" s="14">
        <v>884</v>
      </c>
      <c r="N7991" s="14">
        <v>571</v>
      </c>
      <c r="O7991" s="14">
        <v>0</v>
      </c>
      <c r="P7991" s="14">
        <v>1455</v>
      </c>
      <c r="Q7991">
        <v>8177</v>
      </c>
      <c r="R7991">
        <v>1307</v>
      </c>
      <c r="S7991">
        <v>12</v>
      </c>
    </row>
    <row r="7992" spans="11:19" x14ac:dyDescent="0.3">
      <c r="K7992" s="16">
        <f t="shared" si="124"/>
        <v>44348</v>
      </c>
      <c r="L7992" s="17">
        <v>0.91666666666666663</v>
      </c>
      <c r="M7992" s="14">
        <v>884</v>
      </c>
      <c r="N7992" s="14">
        <v>1223</v>
      </c>
      <c r="O7992" s="14">
        <v>0</v>
      </c>
      <c r="P7992" s="14">
        <v>2107</v>
      </c>
      <c r="Q7992">
        <v>8586</v>
      </c>
      <c r="R7992">
        <v>1082</v>
      </c>
      <c r="S7992">
        <v>0</v>
      </c>
    </row>
    <row r="7993" spans="11:19" x14ac:dyDescent="0.3">
      <c r="K7993" s="16">
        <f t="shared" si="124"/>
        <v>44348</v>
      </c>
      <c r="L7993" s="17">
        <v>0.95833333333333337</v>
      </c>
      <c r="M7993" s="14">
        <v>884</v>
      </c>
      <c r="N7993" s="14">
        <v>0</v>
      </c>
      <c r="O7993" s="14">
        <v>636</v>
      </c>
      <c r="P7993" s="14">
        <v>1520</v>
      </c>
      <c r="Q7993">
        <v>8708</v>
      </c>
      <c r="R7993">
        <v>939</v>
      </c>
      <c r="S7993">
        <v>0</v>
      </c>
    </row>
    <row r="7994" spans="11:19" x14ac:dyDescent="0.3">
      <c r="K7994" s="16">
        <f t="shared" si="124"/>
        <v>44349</v>
      </c>
      <c r="L7994" s="17">
        <v>0</v>
      </c>
      <c r="M7994" s="14">
        <v>884</v>
      </c>
      <c r="N7994" s="14">
        <v>0</v>
      </c>
      <c r="O7994" s="14">
        <v>0</v>
      </c>
      <c r="P7994" s="14">
        <v>884</v>
      </c>
      <c r="Q7994">
        <v>8002</v>
      </c>
      <c r="R7994">
        <v>889</v>
      </c>
      <c r="S7994">
        <v>0</v>
      </c>
    </row>
    <row r="7995" spans="11:19" x14ac:dyDescent="0.3">
      <c r="K7995" s="16">
        <f t="shared" si="124"/>
        <v>44349</v>
      </c>
      <c r="L7995" s="17">
        <v>4.1666666666666664E-2</v>
      </c>
      <c r="M7995" s="14">
        <v>884</v>
      </c>
      <c r="N7995" s="14">
        <v>566</v>
      </c>
      <c r="O7995" s="14">
        <v>0</v>
      </c>
      <c r="P7995" s="14">
        <v>1450</v>
      </c>
      <c r="Q7995">
        <v>7575</v>
      </c>
      <c r="R7995">
        <v>992</v>
      </c>
      <c r="S7995">
        <v>0</v>
      </c>
    </row>
    <row r="7996" spans="11:19" x14ac:dyDescent="0.3">
      <c r="K7996" s="16">
        <f t="shared" si="124"/>
        <v>44349</v>
      </c>
      <c r="L7996" s="17">
        <v>8.3333333333333329E-2</v>
      </c>
      <c r="M7996" s="14">
        <v>884</v>
      </c>
      <c r="N7996" s="14">
        <v>395</v>
      </c>
      <c r="O7996" s="14">
        <v>0</v>
      </c>
      <c r="P7996" s="14">
        <v>1279</v>
      </c>
      <c r="Q7996">
        <v>7279</v>
      </c>
      <c r="R7996">
        <v>867</v>
      </c>
      <c r="S7996">
        <v>0</v>
      </c>
    </row>
    <row r="7997" spans="11:19" x14ac:dyDescent="0.3">
      <c r="K7997" s="16">
        <f t="shared" si="124"/>
        <v>44349</v>
      </c>
      <c r="L7997" s="17">
        <v>0.125</v>
      </c>
      <c r="M7997" s="14">
        <v>884</v>
      </c>
      <c r="N7997" s="14">
        <v>129</v>
      </c>
      <c r="O7997" s="14">
        <v>0</v>
      </c>
      <c r="P7997" s="14">
        <v>1013</v>
      </c>
      <c r="Q7997">
        <v>6924</v>
      </c>
      <c r="R7997">
        <v>776</v>
      </c>
      <c r="S7997">
        <v>0</v>
      </c>
    </row>
    <row r="7998" spans="11:19" x14ac:dyDescent="0.3">
      <c r="K7998" s="16">
        <f t="shared" si="124"/>
        <v>44349</v>
      </c>
      <c r="L7998" s="17">
        <v>0.16666666666666666</v>
      </c>
      <c r="M7998" s="14">
        <v>884</v>
      </c>
      <c r="N7998" s="14">
        <v>145</v>
      </c>
      <c r="O7998" s="14">
        <v>0</v>
      </c>
      <c r="P7998" s="14">
        <v>1029</v>
      </c>
      <c r="Q7998">
        <v>6855</v>
      </c>
      <c r="R7998">
        <v>687</v>
      </c>
      <c r="S7998">
        <v>0</v>
      </c>
    </row>
    <row r="7999" spans="11:19" x14ac:dyDescent="0.3">
      <c r="K7999" s="16">
        <f t="shared" si="124"/>
        <v>44349</v>
      </c>
      <c r="L7999" s="17">
        <v>0.20833333333333334</v>
      </c>
      <c r="M7999" s="14">
        <v>884</v>
      </c>
      <c r="N7999" s="14">
        <v>557</v>
      </c>
      <c r="O7999" s="14">
        <v>0</v>
      </c>
      <c r="P7999" s="14">
        <v>1441</v>
      </c>
      <c r="Q7999">
        <v>7188</v>
      </c>
      <c r="R7999">
        <v>593</v>
      </c>
      <c r="S7999">
        <v>0</v>
      </c>
    </row>
    <row r="8000" spans="11:19" x14ac:dyDescent="0.3">
      <c r="K8000" s="16">
        <f t="shared" si="124"/>
        <v>44349</v>
      </c>
      <c r="L8000" s="17">
        <v>0.25</v>
      </c>
      <c r="M8000" s="14">
        <v>884</v>
      </c>
      <c r="N8000" s="14">
        <v>1115</v>
      </c>
      <c r="O8000" s="14">
        <v>0</v>
      </c>
      <c r="P8000" s="14">
        <v>1999</v>
      </c>
      <c r="Q8000">
        <v>7962</v>
      </c>
      <c r="R8000">
        <v>555</v>
      </c>
      <c r="S8000">
        <v>57</v>
      </c>
    </row>
    <row r="8001" spans="11:19" x14ac:dyDescent="0.3">
      <c r="K8001" s="16">
        <f t="shared" si="124"/>
        <v>44349</v>
      </c>
      <c r="L8001" s="17">
        <v>0.29166666666666669</v>
      </c>
      <c r="M8001" s="14">
        <v>884</v>
      </c>
      <c r="N8001" s="14">
        <v>1656</v>
      </c>
      <c r="O8001" s="14">
        <v>0</v>
      </c>
      <c r="P8001" s="14">
        <v>2540</v>
      </c>
      <c r="Q8001">
        <v>8836</v>
      </c>
      <c r="R8001">
        <v>598</v>
      </c>
      <c r="S8001">
        <v>319</v>
      </c>
    </row>
    <row r="8002" spans="11:19" x14ac:dyDescent="0.3">
      <c r="K8002" s="16">
        <f t="shared" si="124"/>
        <v>44349</v>
      </c>
      <c r="L8002" s="17">
        <v>0.33333333333333331</v>
      </c>
      <c r="M8002" s="14">
        <v>884</v>
      </c>
      <c r="N8002" s="14">
        <v>0</v>
      </c>
      <c r="O8002" s="14">
        <v>0</v>
      </c>
      <c r="P8002" s="14">
        <v>884</v>
      </c>
      <c r="Q8002">
        <v>9322</v>
      </c>
      <c r="R8002">
        <v>821</v>
      </c>
      <c r="S8002">
        <v>800</v>
      </c>
    </row>
    <row r="8003" spans="11:19" x14ac:dyDescent="0.3">
      <c r="K8003" s="16">
        <f t="shared" si="124"/>
        <v>44349</v>
      </c>
      <c r="L8003" s="17">
        <v>0.375</v>
      </c>
      <c r="M8003" s="14">
        <v>884</v>
      </c>
      <c r="N8003" s="14">
        <v>1012</v>
      </c>
      <c r="O8003" s="14">
        <v>0</v>
      </c>
      <c r="P8003" s="14">
        <v>1896</v>
      </c>
      <c r="Q8003">
        <v>9574</v>
      </c>
      <c r="R8003">
        <v>864</v>
      </c>
      <c r="S8003">
        <v>1448</v>
      </c>
    </row>
    <row r="8004" spans="11:19" x14ac:dyDescent="0.3">
      <c r="K8004" s="16">
        <f t="shared" si="124"/>
        <v>44349</v>
      </c>
      <c r="L8004" s="17">
        <v>0.41666666666666669</v>
      </c>
      <c r="M8004" s="14">
        <v>884</v>
      </c>
      <c r="N8004" s="14">
        <v>592</v>
      </c>
      <c r="O8004" s="14">
        <v>0</v>
      </c>
      <c r="P8004" s="14">
        <v>1476</v>
      </c>
      <c r="Q8004">
        <v>9657</v>
      </c>
      <c r="R8004">
        <v>856</v>
      </c>
      <c r="S8004">
        <v>1959</v>
      </c>
    </row>
    <row r="8005" spans="11:19" x14ac:dyDescent="0.3">
      <c r="K8005" s="16">
        <f t="shared" si="124"/>
        <v>44349</v>
      </c>
      <c r="L8005" s="17">
        <v>0.45833333333333331</v>
      </c>
      <c r="M8005" s="14">
        <v>884</v>
      </c>
      <c r="N8005" s="14">
        <v>534</v>
      </c>
      <c r="O8005" s="14">
        <v>0</v>
      </c>
      <c r="P8005" s="14">
        <v>1418</v>
      </c>
      <c r="Q8005">
        <v>9784</v>
      </c>
      <c r="R8005">
        <v>868</v>
      </c>
      <c r="S8005">
        <v>2293</v>
      </c>
    </row>
    <row r="8006" spans="11:19" x14ac:dyDescent="0.3">
      <c r="K8006" s="16">
        <f t="shared" si="124"/>
        <v>44349</v>
      </c>
      <c r="L8006" s="17">
        <v>0.5</v>
      </c>
      <c r="M8006" s="14">
        <v>884</v>
      </c>
      <c r="N8006" s="14">
        <v>0</v>
      </c>
      <c r="O8006" s="14">
        <v>0</v>
      </c>
      <c r="P8006" s="14">
        <v>884</v>
      </c>
      <c r="Q8006">
        <v>9821</v>
      </c>
      <c r="R8006">
        <v>963</v>
      </c>
      <c r="S8006">
        <v>2519</v>
      </c>
    </row>
    <row r="8007" spans="11:19" x14ac:dyDescent="0.3">
      <c r="K8007" s="16">
        <f t="shared" si="124"/>
        <v>44349</v>
      </c>
      <c r="L8007" s="17">
        <v>0.54166666666666663</v>
      </c>
      <c r="M8007" s="14">
        <v>884</v>
      </c>
      <c r="N8007" s="14">
        <v>0</v>
      </c>
      <c r="O8007" s="14">
        <v>-182</v>
      </c>
      <c r="P8007" s="14">
        <v>702</v>
      </c>
      <c r="Q8007">
        <v>9637</v>
      </c>
      <c r="R8007">
        <v>1155</v>
      </c>
      <c r="S8007">
        <v>2584</v>
      </c>
    </row>
    <row r="8008" spans="11:19" x14ac:dyDescent="0.3">
      <c r="K8008" s="16">
        <f t="shared" si="124"/>
        <v>44349</v>
      </c>
      <c r="L8008" s="17">
        <v>0.58333333333333337</v>
      </c>
      <c r="M8008" s="14">
        <v>884</v>
      </c>
      <c r="N8008" s="14">
        <v>0</v>
      </c>
      <c r="O8008" s="14">
        <v>-432</v>
      </c>
      <c r="P8008" s="14">
        <v>452</v>
      </c>
      <c r="Q8008">
        <v>9500</v>
      </c>
      <c r="R8008">
        <v>1301</v>
      </c>
      <c r="S8008">
        <v>2550</v>
      </c>
    </row>
    <row r="8009" spans="11:19" x14ac:dyDescent="0.3">
      <c r="K8009" s="16">
        <f t="shared" si="124"/>
        <v>44349</v>
      </c>
      <c r="L8009" s="17">
        <v>0.625</v>
      </c>
      <c r="M8009" s="14">
        <v>884</v>
      </c>
      <c r="N8009" s="14">
        <v>0</v>
      </c>
      <c r="O8009" s="14">
        <v>-1025</v>
      </c>
      <c r="P8009" s="14">
        <v>-141</v>
      </c>
      <c r="Q8009">
        <v>9211</v>
      </c>
      <c r="R8009">
        <v>1790</v>
      </c>
      <c r="S8009">
        <v>2365</v>
      </c>
    </row>
    <row r="8010" spans="11:19" x14ac:dyDescent="0.3">
      <c r="K8010" s="16">
        <f t="shared" si="124"/>
        <v>44349</v>
      </c>
      <c r="L8010" s="17">
        <v>0.66666666666666663</v>
      </c>
      <c r="M8010" s="14">
        <v>884</v>
      </c>
      <c r="N8010" s="14">
        <v>0</v>
      </c>
      <c r="O8010" s="14">
        <v>-837</v>
      </c>
      <c r="P8010" s="14">
        <v>47</v>
      </c>
      <c r="Q8010">
        <v>8959</v>
      </c>
      <c r="R8010">
        <v>1724</v>
      </c>
      <c r="S8010">
        <v>2073</v>
      </c>
    </row>
    <row r="8011" spans="11:19" x14ac:dyDescent="0.3">
      <c r="K8011" s="16">
        <f t="shared" si="124"/>
        <v>44349</v>
      </c>
      <c r="L8011" s="17">
        <v>0.70833333333333337</v>
      </c>
      <c r="M8011" s="14">
        <v>884</v>
      </c>
      <c r="N8011" s="14">
        <v>0</v>
      </c>
      <c r="O8011" s="14">
        <v>-687</v>
      </c>
      <c r="P8011" s="14">
        <v>197</v>
      </c>
      <c r="Q8011">
        <v>8817</v>
      </c>
      <c r="R8011">
        <v>1823</v>
      </c>
      <c r="S8011">
        <v>1683</v>
      </c>
    </row>
    <row r="8012" spans="11:19" x14ac:dyDescent="0.3">
      <c r="K8012" s="16">
        <f t="shared" si="124"/>
        <v>44349</v>
      </c>
      <c r="L8012" s="17">
        <v>0.75</v>
      </c>
      <c r="M8012" s="14">
        <v>884</v>
      </c>
      <c r="N8012" s="14">
        <v>370</v>
      </c>
      <c r="O8012" s="14">
        <v>0</v>
      </c>
      <c r="P8012" s="14">
        <v>1254</v>
      </c>
      <c r="Q8012">
        <v>9007</v>
      </c>
      <c r="R8012">
        <v>1521</v>
      </c>
      <c r="S8012">
        <v>1120</v>
      </c>
    </row>
    <row r="8013" spans="11:19" x14ac:dyDescent="0.3">
      <c r="K8013" s="16">
        <f t="shared" si="124"/>
        <v>44349</v>
      </c>
      <c r="L8013" s="17">
        <v>0.79166666666666663</v>
      </c>
      <c r="M8013" s="14">
        <v>884</v>
      </c>
      <c r="N8013" s="14">
        <v>1403</v>
      </c>
      <c r="O8013" s="14">
        <v>0</v>
      </c>
      <c r="P8013" s="14">
        <v>2287</v>
      </c>
      <c r="Q8013">
        <v>8990</v>
      </c>
      <c r="R8013">
        <v>1062</v>
      </c>
      <c r="S8013">
        <v>540</v>
      </c>
    </row>
    <row r="8014" spans="11:19" x14ac:dyDescent="0.3">
      <c r="K8014" s="16">
        <f t="shared" si="124"/>
        <v>44349</v>
      </c>
      <c r="L8014" s="17">
        <v>0.83333333333333337</v>
      </c>
      <c r="M8014" s="14">
        <v>884</v>
      </c>
      <c r="N8014" s="14">
        <v>1408</v>
      </c>
      <c r="O8014" s="14">
        <v>0</v>
      </c>
      <c r="P8014" s="14">
        <v>2292</v>
      </c>
      <c r="Q8014">
        <v>8425</v>
      </c>
      <c r="R8014">
        <v>884</v>
      </c>
      <c r="S8014">
        <v>160</v>
      </c>
    </row>
    <row r="8015" spans="11:19" x14ac:dyDescent="0.3">
      <c r="K8015" s="16">
        <f t="shared" si="124"/>
        <v>44349</v>
      </c>
      <c r="L8015" s="17">
        <v>0.875</v>
      </c>
      <c r="M8015" s="14">
        <v>884</v>
      </c>
      <c r="N8015" s="14">
        <v>0</v>
      </c>
      <c r="O8015" s="14">
        <v>1085</v>
      </c>
      <c r="P8015" s="14">
        <v>1969</v>
      </c>
      <c r="Q8015">
        <v>8139</v>
      </c>
      <c r="R8015">
        <v>749</v>
      </c>
      <c r="S8015">
        <v>19</v>
      </c>
    </row>
    <row r="8016" spans="11:19" x14ac:dyDescent="0.3">
      <c r="K8016" s="16">
        <f t="shared" si="124"/>
        <v>44349</v>
      </c>
      <c r="L8016" s="17">
        <v>0.91666666666666663</v>
      </c>
      <c r="M8016" s="14">
        <v>884</v>
      </c>
      <c r="N8016" s="14">
        <v>0</v>
      </c>
      <c r="O8016" s="14">
        <v>1200</v>
      </c>
      <c r="P8016" s="14">
        <v>2084</v>
      </c>
      <c r="Q8016">
        <v>8555</v>
      </c>
      <c r="R8016">
        <v>631</v>
      </c>
      <c r="S8016">
        <v>0</v>
      </c>
    </row>
    <row r="8017" spans="11:19" x14ac:dyDescent="0.3">
      <c r="K8017" s="16">
        <f t="shared" si="124"/>
        <v>44349</v>
      </c>
      <c r="L8017" s="17">
        <v>0.95833333333333337</v>
      </c>
      <c r="M8017" s="14">
        <v>884</v>
      </c>
      <c r="N8017" s="14">
        <v>0</v>
      </c>
      <c r="O8017" s="14">
        <v>247</v>
      </c>
      <c r="P8017" s="14">
        <v>1131</v>
      </c>
      <c r="Q8017">
        <v>8690</v>
      </c>
      <c r="R8017">
        <v>530</v>
      </c>
      <c r="S8017">
        <v>0</v>
      </c>
    </row>
    <row r="8018" spans="11:19" x14ac:dyDescent="0.3">
      <c r="K8018" s="16">
        <f t="shared" si="124"/>
        <v>44350</v>
      </c>
      <c r="L8018" s="17">
        <v>0</v>
      </c>
      <c r="M8018" s="14">
        <v>884</v>
      </c>
      <c r="N8018" s="14">
        <v>1206</v>
      </c>
      <c r="O8018" s="14">
        <v>0</v>
      </c>
      <c r="P8018" s="14">
        <v>2090</v>
      </c>
      <c r="Q8018">
        <v>7996</v>
      </c>
      <c r="R8018">
        <v>530</v>
      </c>
      <c r="S8018">
        <v>0</v>
      </c>
    </row>
    <row r="8019" spans="11:19" x14ac:dyDescent="0.3">
      <c r="K8019" s="16">
        <f t="shared" si="124"/>
        <v>44350</v>
      </c>
      <c r="L8019" s="17">
        <v>4.1666666666666664E-2</v>
      </c>
      <c r="M8019" s="14">
        <v>884</v>
      </c>
      <c r="N8019" s="14">
        <v>0</v>
      </c>
      <c r="O8019" s="14">
        <v>0</v>
      </c>
      <c r="P8019" s="14">
        <v>884</v>
      </c>
      <c r="Q8019">
        <v>7576</v>
      </c>
      <c r="R8019">
        <v>490</v>
      </c>
      <c r="S8019">
        <v>0</v>
      </c>
    </row>
    <row r="8020" spans="11:19" x14ac:dyDescent="0.3">
      <c r="K8020" s="16">
        <f t="shared" si="124"/>
        <v>44350</v>
      </c>
      <c r="L8020" s="17">
        <v>8.3333333333333329E-2</v>
      </c>
      <c r="M8020" s="14">
        <v>884</v>
      </c>
      <c r="N8020" s="14">
        <v>0</v>
      </c>
      <c r="O8020" s="14">
        <v>0</v>
      </c>
      <c r="P8020" s="14">
        <v>884</v>
      </c>
      <c r="Q8020">
        <v>7286</v>
      </c>
      <c r="R8020">
        <v>412</v>
      </c>
      <c r="S8020">
        <v>0</v>
      </c>
    </row>
    <row r="8021" spans="11:19" x14ac:dyDescent="0.3">
      <c r="K8021" s="16">
        <f t="shared" si="124"/>
        <v>44350</v>
      </c>
      <c r="L8021" s="17">
        <v>0.125</v>
      </c>
      <c r="M8021" s="14">
        <v>884</v>
      </c>
      <c r="N8021" s="14">
        <v>53</v>
      </c>
      <c r="O8021" s="14">
        <v>0</v>
      </c>
      <c r="P8021" s="14">
        <v>937</v>
      </c>
      <c r="Q8021">
        <v>6939</v>
      </c>
      <c r="R8021">
        <v>404</v>
      </c>
      <c r="S8021">
        <v>0</v>
      </c>
    </row>
    <row r="8022" spans="11:19" x14ac:dyDescent="0.3">
      <c r="K8022" s="16">
        <f t="shared" si="124"/>
        <v>44350</v>
      </c>
      <c r="L8022" s="17">
        <v>0.16666666666666666</v>
      </c>
      <c r="M8022" s="14">
        <v>884</v>
      </c>
      <c r="N8022" s="14">
        <v>376</v>
      </c>
      <c r="O8022" s="14">
        <v>0</v>
      </c>
      <c r="P8022" s="14">
        <v>1260</v>
      </c>
      <c r="Q8022">
        <v>6879</v>
      </c>
      <c r="R8022">
        <v>401</v>
      </c>
      <c r="S8022">
        <v>0</v>
      </c>
    </row>
    <row r="8023" spans="11:19" x14ac:dyDescent="0.3">
      <c r="K8023" s="16">
        <f t="shared" si="124"/>
        <v>44350</v>
      </c>
      <c r="L8023" s="17">
        <v>0.20833333333333334</v>
      </c>
      <c r="M8023" s="14">
        <v>884</v>
      </c>
      <c r="N8023" s="14">
        <v>793</v>
      </c>
      <c r="O8023" s="14">
        <v>0</v>
      </c>
      <c r="P8023" s="14">
        <v>1677</v>
      </c>
      <c r="Q8023">
        <v>7226</v>
      </c>
      <c r="R8023">
        <v>315</v>
      </c>
      <c r="S8023">
        <v>0</v>
      </c>
    </row>
    <row r="8024" spans="11:19" x14ac:dyDescent="0.3">
      <c r="K8024" s="16">
        <f t="shared" si="124"/>
        <v>44350</v>
      </c>
      <c r="L8024" s="17">
        <v>0.25</v>
      </c>
      <c r="M8024" s="14">
        <v>884</v>
      </c>
      <c r="N8024" s="14">
        <v>1436</v>
      </c>
      <c r="O8024" s="14">
        <v>0</v>
      </c>
      <c r="P8024" s="14">
        <v>2320</v>
      </c>
      <c r="Q8024">
        <v>8016</v>
      </c>
      <c r="R8024">
        <v>373</v>
      </c>
      <c r="S8024">
        <v>53</v>
      </c>
    </row>
    <row r="8025" spans="11:19" x14ac:dyDescent="0.3">
      <c r="K8025" s="16">
        <f t="shared" si="124"/>
        <v>44350</v>
      </c>
      <c r="L8025" s="17">
        <v>0.29166666666666669</v>
      </c>
      <c r="M8025" s="14">
        <v>884</v>
      </c>
      <c r="N8025" s="14">
        <v>0</v>
      </c>
      <c r="O8025" s="14">
        <v>0</v>
      </c>
      <c r="P8025" s="14">
        <v>884</v>
      </c>
      <c r="Q8025">
        <v>8899</v>
      </c>
      <c r="R8025">
        <v>350</v>
      </c>
      <c r="S8025">
        <v>338</v>
      </c>
    </row>
    <row r="8026" spans="11:19" x14ac:dyDescent="0.3">
      <c r="K8026" s="16">
        <f t="shared" si="124"/>
        <v>44350</v>
      </c>
      <c r="L8026" s="17">
        <v>0.33333333333333331</v>
      </c>
      <c r="M8026" s="14">
        <v>884</v>
      </c>
      <c r="N8026" s="14">
        <v>1791</v>
      </c>
      <c r="O8026" s="14">
        <v>0</v>
      </c>
      <c r="P8026" s="14">
        <v>2675</v>
      </c>
      <c r="Q8026">
        <v>9368</v>
      </c>
      <c r="R8026">
        <v>360</v>
      </c>
      <c r="S8026">
        <v>885</v>
      </c>
    </row>
    <row r="8027" spans="11:19" x14ac:dyDescent="0.3">
      <c r="K8027" s="16">
        <f t="shared" ref="K8027:K8090" si="125">K8003+1</f>
        <v>44350</v>
      </c>
      <c r="L8027" s="17">
        <v>0.375</v>
      </c>
      <c r="M8027" s="14">
        <v>884</v>
      </c>
      <c r="N8027" s="14">
        <v>1333</v>
      </c>
      <c r="O8027" s="14">
        <v>0</v>
      </c>
      <c r="P8027" s="14">
        <v>2217</v>
      </c>
      <c r="Q8027">
        <v>9596</v>
      </c>
      <c r="R8027">
        <v>448</v>
      </c>
      <c r="S8027">
        <v>1486</v>
      </c>
    </row>
    <row r="8028" spans="11:19" x14ac:dyDescent="0.3">
      <c r="K8028" s="16">
        <f t="shared" si="125"/>
        <v>44350</v>
      </c>
      <c r="L8028" s="17">
        <v>0.41666666666666669</v>
      </c>
      <c r="M8028" s="14">
        <v>884</v>
      </c>
      <c r="N8028" s="14">
        <v>908</v>
      </c>
      <c r="O8028" s="14">
        <v>0</v>
      </c>
      <c r="P8028" s="14">
        <v>1792</v>
      </c>
      <c r="Q8028">
        <v>9662</v>
      </c>
      <c r="R8028">
        <v>466</v>
      </c>
      <c r="S8028">
        <v>1958</v>
      </c>
    </row>
    <row r="8029" spans="11:19" x14ac:dyDescent="0.3">
      <c r="K8029" s="16">
        <f t="shared" si="125"/>
        <v>44350</v>
      </c>
      <c r="L8029" s="17">
        <v>0.45833333333333331</v>
      </c>
      <c r="M8029" s="14">
        <v>884</v>
      </c>
      <c r="N8029" s="14">
        <v>758</v>
      </c>
      <c r="O8029" s="14">
        <v>0</v>
      </c>
      <c r="P8029" s="14">
        <v>1642</v>
      </c>
      <c r="Q8029">
        <v>9782</v>
      </c>
      <c r="R8029">
        <v>457</v>
      </c>
      <c r="S8029">
        <v>2238</v>
      </c>
    </row>
    <row r="8030" spans="11:19" x14ac:dyDescent="0.3">
      <c r="K8030" s="16">
        <f t="shared" si="125"/>
        <v>44350</v>
      </c>
      <c r="L8030" s="17">
        <v>0.5</v>
      </c>
      <c r="M8030" s="14">
        <v>884</v>
      </c>
      <c r="N8030" s="14">
        <v>0</v>
      </c>
      <c r="O8030" s="14">
        <v>0</v>
      </c>
      <c r="P8030" s="14">
        <v>884</v>
      </c>
      <c r="Q8030">
        <v>9822</v>
      </c>
      <c r="R8030">
        <v>459</v>
      </c>
      <c r="S8030">
        <v>2444</v>
      </c>
    </row>
    <row r="8031" spans="11:19" x14ac:dyDescent="0.3">
      <c r="K8031" s="16">
        <f t="shared" si="125"/>
        <v>44350</v>
      </c>
      <c r="L8031" s="17">
        <v>0.54166666666666663</v>
      </c>
      <c r="M8031" s="14">
        <v>884</v>
      </c>
      <c r="N8031" s="14">
        <v>0</v>
      </c>
      <c r="O8031" s="14">
        <v>0</v>
      </c>
      <c r="P8031" s="14">
        <v>884</v>
      </c>
      <c r="Q8031">
        <v>9636</v>
      </c>
      <c r="R8031">
        <v>397</v>
      </c>
      <c r="S8031">
        <v>2608</v>
      </c>
    </row>
    <row r="8032" spans="11:19" x14ac:dyDescent="0.3">
      <c r="K8032" s="16">
        <f t="shared" si="125"/>
        <v>44350</v>
      </c>
      <c r="L8032" s="17">
        <v>0.58333333333333337</v>
      </c>
      <c r="M8032" s="14">
        <v>884</v>
      </c>
      <c r="N8032" s="14">
        <v>0</v>
      </c>
      <c r="O8032" s="14">
        <v>0</v>
      </c>
      <c r="P8032" s="14">
        <v>884</v>
      </c>
      <c r="Q8032">
        <v>9497</v>
      </c>
      <c r="R8032">
        <v>354</v>
      </c>
      <c r="S8032">
        <v>2643</v>
      </c>
    </row>
    <row r="8033" spans="11:19" x14ac:dyDescent="0.3">
      <c r="K8033" s="16">
        <f t="shared" si="125"/>
        <v>44350</v>
      </c>
      <c r="L8033" s="17">
        <v>0.625</v>
      </c>
      <c r="M8033" s="14">
        <v>884</v>
      </c>
      <c r="N8033" s="14">
        <v>237</v>
      </c>
      <c r="O8033" s="14">
        <v>0</v>
      </c>
      <c r="P8033" s="14">
        <v>1121</v>
      </c>
      <c r="Q8033">
        <v>9207</v>
      </c>
      <c r="R8033">
        <v>376</v>
      </c>
      <c r="S8033">
        <v>2433</v>
      </c>
    </row>
    <row r="8034" spans="11:19" x14ac:dyDescent="0.3">
      <c r="K8034" s="16">
        <f t="shared" si="125"/>
        <v>44350</v>
      </c>
      <c r="L8034" s="17">
        <v>0.66666666666666663</v>
      </c>
      <c r="M8034" s="14">
        <v>884</v>
      </c>
      <c r="N8034" s="14">
        <v>201</v>
      </c>
      <c r="O8034" s="14">
        <v>0</v>
      </c>
      <c r="P8034" s="14">
        <v>1085</v>
      </c>
      <c r="Q8034">
        <v>8958</v>
      </c>
      <c r="R8034">
        <v>464</v>
      </c>
      <c r="S8034">
        <v>2135</v>
      </c>
    </row>
    <row r="8035" spans="11:19" x14ac:dyDescent="0.3">
      <c r="K8035" s="16">
        <f t="shared" si="125"/>
        <v>44350</v>
      </c>
      <c r="L8035" s="17">
        <v>0.70833333333333337</v>
      </c>
      <c r="M8035" s="14">
        <v>884</v>
      </c>
      <c r="N8035" s="14">
        <v>434</v>
      </c>
      <c r="O8035" s="14">
        <v>0</v>
      </c>
      <c r="P8035" s="14">
        <v>1318</v>
      </c>
      <c r="Q8035">
        <v>8820</v>
      </c>
      <c r="R8035">
        <v>457</v>
      </c>
      <c r="S8035">
        <v>1772</v>
      </c>
    </row>
    <row r="8036" spans="11:19" x14ac:dyDescent="0.3">
      <c r="K8036" s="16">
        <f t="shared" si="125"/>
        <v>44350</v>
      </c>
      <c r="L8036" s="17">
        <v>0.75</v>
      </c>
      <c r="M8036" s="14">
        <v>884</v>
      </c>
      <c r="N8036" s="14">
        <v>1188</v>
      </c>
      <c r="O8036" s="14">
        <v>0</v>
      </c>
      <c r="P8036" s="14">
        <v>2072</v>
      </c>
      <c r="Q8036">
        <v>9010</v>
      </c>
      <c r="R8036">
        <v>455</v>
      </c>
      <c r="S8036">
        <v>1212</v>
      </c>
    </row>
    <row r="8037" spans="11:19" x14ac:dyDescent="0.3">
      <c r="K8037" s="16">
        <f t="shared" si="125"/>
        <v>44350</v>
      </c>
      <c r="L8037" s="17">
        <v>0.79166666666666663</v>
      </c>
      <c r="M8037" s="14">
        <v>884</v>
      </c>
      <c r="N8037" s="14">
        <v>1793</v>
      </c>
      <c r="O8037" s="14">
        <v>0</v>
      </c>
      <c r="P8037" s="14">
        <v>2677</v>
      </c>
      <c r="Q8037">
        <v>8984</v>
      </c>
      <c r="R8037">
        <v>437</v>
      </c>
      <c r="S8037">
        <v>610</v>
      </c>
    </row>
    <row r="8038" spans="11:19" x14ac:dyDescent="0.3">
      <c r="K8038" s="16">
        <f t="shared" si="125"/>
        <v>44350</v>
      </c>
      <c r="L8038" s="17">
        <v>0.83333333333333337</v>
      </c>
      <c r="M8038" s="14">
        <v>884</v>
      </c>
      <c r="N8038" s="14">
        <v>1713</v>
      </c>
      <c r="O8038" s="14">
        <v>0</v>
      </c>
      <c r="P8038" s="14">
        <v>2597</v>
      </c>
      <c r="Q8038">
        <v>8418</v>
      </c>
      <c r="R8038">
        <v>397</v>
      </c>
      <c r="S8038">
        <v>176</v>
      </c>
    </row>
    <row r="8039" spans="11:19" x14ac:dyDescent="0.3">
      <c r="K8039" s="16">
        <f t="shared" si="125"/>
        <v>44350</v>
      </c>
      <c r="L8039" s="17">
        <v>0.875</v>
      </c>
      <c r="M8039" s="14">
        <v>884</v>
      </c>
      <c r="N8039" s="14">
        <v>1638</v>
      </c>
      <c r="O8039" s="14">
        <v>0</v>
      </c>
      <c r="P8039" s="14">
        <v>2522</v>
      </c>
      <c r="Q8039">
        <v>8136</v>
      </c>
      <c r="R8039">
        <v>358</v>
      </c>
      <c r="S8039">
        <v>14</v>
      </c>
    </row>
    <row r="8040" spans="11:19" x14ac:dyDescent="0.3">
      <c r="K8040" s="16">
        <f t="shared" si="125"/>
        <v>44350</v>
      </c>
      <c r="L8040" s="17">
        <v>0.91666666666666663</v>
      </c>
      <c r="M8040" s="14">
        <v>884</v>
      </c>
      <c r="N8040" s="14">
        <v>1932</v>
      </c>
      <c r="O8040" s="14">
        <v>0</v>
      </c>
      <c r="P8040" s="14">
        <v>2816</v>
      </c>
      <c r="Q8040">
        <v>8549</v>
      </c>
      <c r="R8040">
        <v>338</v>
      </c>
      <c r="S8040">
        <v>0</v>
      </c>
    </row>
    <row r="8041" spans="11:19" x14ac:dyDescent="0.3">
      <c r="K8041" s="16">
        <f t="shared" si="125"/>
        <v>44350</v>
      </c>
      <c r="L8041" s="17">
        <v>0.95833333333333337</v>
      </c>
      <c r="M8041" s="14">
        <v>884</v>
      </c>
      <c r="N8041" s="14">
        <v>2071</v>
      </c>
      <c r="O8041" s="14">
        <v>0</v>
      </c>
      <c r="P8041" s="14">
        <v>2955</v>
      </c>
      <c r="Q8041">
        <v>8672</v>
      </c>
      <c r="R8041">
        <v>339</v>
      </c>
      <c r="S8041">
        <v>0</v>
      </c>
    </row>
    <row r="8042" spans="11:19" x14ac:dyDescent="0.3">
      <c r="K8042" s="16">
        <f t="shared" si="125"/>
        <v>44351</v>
      </c>
      <c r="L8042" s="17">
        <v>0</v>
      </c>
      <c r="M8042" s="14">
        <v>652</v>
      </c>
      <c r="N8042" s="14">
        <v>0</v>
      </c>
      <c r="O8042" s="14">
        <v>0</v>
      </c>
      <c r="P8042" s="14">
        <v>652</v>
      </c>
      <c r="Q8042">
        <v>8046</v>
      </c>
      <c r="R8042">
        <v>291</v>
      </c>
      <c r="S8042">
        <v>0</v>
      </c>
    </row>
    <row r="8043" spans="11:19" x14ac:dyDescent="0.3">
      <c r="K8043" s="16">
        <f t="shared" si="125"/>
        <v>44351</v>
      </c>
      <c r="L8043" s="17">
        <v>4.1666666666666664E-2</v>
      </c>
      <c r="M8043" s="14">
        <v>652</v>
      </c>
      <c r="N8043" s="14">
        <v>1377</v>
      </c>
      <c r="O8043" s="14">
        <v>0</v>
      </c>
      <c r="P8043" s="14">
        <v>2029</v>
      </c>
      <c r="Q8043">
        <v>7603</v>
      </c>
      <c r="R8043">
        <v>215</v>
      </c>
      <c r="S8043">
        <v>0</v>
      </c>
    </row>
    <row r="8044" spans="11:19" x14ac:dyDescent="0.3">
      <c r="K8044" s="16">
        <f t="shared" si="125"/>
        <v>44351</v>
      </c>
      <c r="L8044" s="17">
        <v>8.3333333333333329E-2</v>
      </c>
      <c r="M8044" s="14">
        <v>652</v>
      </c>
      <c r="N8044" s="14">
        <v>1056</v>
      </c>
      <c r="O8044" s="14">
        <v>0</v>
      </c>
      <c r="P8044" s="14">
        <v>1708</v>
      </c>
      <c r="Q8044">
        <v>7308</v>
      </c>
      <c r="R8044">
        <v>241</v>
      </c>
      <c r="S8044">
        <v>0</v>
      </c>
    </row>
    <row r="8045" spans="11:19" x14ac:dyDescent="0.3">
      <c r="K8045" s="16">
        <f t="shared" si="125"/>
        <v>44351</v>
      </c>
      <c r="L8045" s="17">
        <v>0.125</v>
      </c>
      <c r="M8045" s="14">
        <v>652</v>
      </c>
      <c r="N8045" s="14">
        <v>988</v>
      </c>
      <c r="O8045" s="14">
        <v>0</v>
      </c>
      <c r="P8045" s="14">
        <v>1640</v>
      </c>
      <c r="Q8045">
        <v>6936</v>
      </c>
      <c r="R8045">
        <v>179</v>
      </c>
      <c r="S8045">
        <v>0</v>
      </c>
    </row>
    <row r="8046" spans="11:19" x14ac:dyDescent="0.3">
      <c r="K8046" s="16">
        <f t="shared" si="125"/>
        <v>44351</v>
      </c>
      <c r="L8046" s="17">
        <v>0.16666666666666666</v>
      </c>
      <c r="M8046" s="14">
        <v>652</v>
      </c>
      <c r="N8046" s="14">
        <v>922</v>
      </c>
      <c r="O8046" s="14">
        <v>0</v>
      </c>
      <c r="P8046" s="14">
        <v>1574</v>
      </c>
      <c r="Q8046">
        <v>6861</v>
      </c>
      <c r="R8046">
        <v>170</v>
      </c>
      <c r="S8046">
        <v>0</v>
      </c>
    </row>
    <row r="8047" spans="11:19" x14ac:dyDescent="0.3">
      <c r="K8047" s="16">
        <f t="shared" si="125"/>
        <v>44351</v>
      </c>
      <c r="L8047" s="17">
        <v>0.20833333333333334</v>
      </c>
      <c r="M8047" s="14">
        <v>652</v>
      </c>
      <c r="N8047" s="14">
        <v>1233</v>
      </c>
      <c r="O8047" s="14">
        <v>0</v>
      </c>
      <c r="P8047" s="14">
        <v>1885</v>
      </c>
      <c r="Q8047">
        <v>7168</v>
      </c>
      <c r="R8047">
        <v>158</v>
      </c>
      <c r="S8047">
        <v>0</v>
      </c>
    </row>
    <row r="8048" spans="11:19" x14ac:dyDescent="0.3">
      <c r="K8048" s="16">
        <f t="shared" si="125"/>
        <v>44351</v>
      </c>
      <c r="L8048" s="17">
        <v>0.25</v>
      </c>
      <c r="M8048" s="14">
        <v>652</v>
      </c>
      <c r="N8048" s="14">
        <v>1878</v>
      </c>
      <c r="O8048" s="14">
        <v>0</v>
      </c>
      <c r="P8048" s="14">
        <v>2530</v>
      </c>
      <c r="Q8048">
        <v>7927</v>
      </c>
      <c r="R8048">
        <v>157</v>
      </c>
      <c r="S8048">
        <v>74</v>
      </c>
    </row>
    <row r="8049" spans="11:19" x14ac:dyDescent="0.3">
      <c r="K8049" s="16">
        <f t="shared" si="125"/>
        <v>44351</v>
      </c>
      <c r="L8049" s="17">
        <v>0.29166666666666669</v>
      </c>
      <c r="M8049" s="14">
        <v>652</v>
      </c>
      <c r="N8049" s="14">
        <v>1955</v>
      </c>
      <c r="O8049" s="14">
        <v>0</v>
      </c>
      <c r="P8049" s="14">
        <v>2607</v>
      </c>
      <c r="Q8049">
        <v>8794</v>
      </c>
      <c r="R8049">
        <v>191</v>
      </c>
      <c r="S8049">
        <v>412</v>
      </c>
    </row>
    <row r="8050" spans="11:19" x14ac:dyDescent="0.3">
      <c r="K8050" s="16">
        <f t="shared" si="125"/>
        <v>44351</v>
      </c>
      <c r="L8050" s="17">
        <v>0.33333333333333331</v>
      </c>
      <c r="M8050" s="14">
        <v>652</v>
      </c>
      <c r="N8050" s="14">
        <v>1955</v>
      </c>
      <c r="O8050" s="14">
        <v>0</v>
      </c>
      <c r="P8050" s="14">
        <v>2607</v>
      </c>
      <c r="Q8050">
        <v>9258</v>
      </c>
      <c r="R8050">
        <v>217</v>
      </c>
      <c r="S8050">
        <v>911</v>
      </c>
    </row>
    <row r="8051" spans="11:19" x14ac:dyDescent="0.3">
      <c r="K8051" s="16">
        <f t="shared" si="125"/>
        <v>44351</v>
      </c>
      <c r="L8051" s="17">
        <v>0.375</v>
      </c>
      <c r="M8051" s="14">
        <v>652</v>
      </c>
      <c r="N8051" s="14">
        <v>1647</v>
      </c>
      <c r="O8051" s="14">
        <v>0</v>
      </c>
      <c r="P8051" s="14">
        <v>2299</v>
      </c>
      <c r="Q8051">
        <v>9488</v>
      </c>
      <c r="R8051">
        <v>228</v>
      </c>
      <c r="S8051">
        <v>1605</v>
      </c>
    </row>
    <row r="8052" spans="11:19" x14ac:dyDescent="0.3">
      <c r="K8052" s="16">
        <f t="shared" si="125"/>
        <v>44351</v>
      </c>
      <c r="L8052" s="17">
        <v>0.41666666666666669</v>
      </c>
      <c r="M8052" s="14">
        <v>652</v>
      </c>
      <c r="N8052" s="14">
        <v>0</v>
      </c>
      <c r="O8052" s="14">
        <v>0</v>
      </c>
      <c r="P8052" s="14">
        <v>652</v>
      </c>
      <c r="Q8052">
        <v>9568</v>
      </c>
      <c r="R8052">
        <v>238</v>
      </c>
      <c r="S8052">
        <v>2112</v>
      </c>
    </row>
    <row r="8053" spans="11:19" x14ac:dyDescent="0.3">
      <c r="K8053" s="16">
        <f t="shared" si="125"/>
        <v>44351</v>
      </c>
      <c r="L8053" s="17">
        <v>0.45833333333333331</v>
      </c>
      <c r="M8053" s="14">
        <v>652</v>
      </c>
      <c r="N8053" s="14">
        <v>809</v>
      </c>
      <c r="O8053" s="14">
        <v>0</v>
      </c>
      <c r="P8053" s="14">
        <v>1461</v>
      </c>
      <c r="Q8053">
        <v>9690</v>
      </c>
      <c r="R8053">
        <v>360</v>
      </c>
      <c r="S8053">
        <v>2513</v>
      </c>
    </row>
    <row r="8054" spans="11:19" x14ac:dyDescent="0.3">
      <c r="K8054" s="16">
        <f t="shared" si="125"/>
        <v>44351</v>
      </c>
      <c r="L8054" s="17">
        <v>0.5</v>
      </c>
      <c r="M8054" s="14">
        <v>652</v>
      </c>
      <c r="N8054" s="14">
        <v>625</v>
      </c>
      <c r="O8054" s="14">
        <v>0</v>
      </c>
      <c r="P8054" s="14">
        <v>1277</v>
      </c>
      <c r="Q8054">
        <v>9753</v>
      </c>
      <c r="R8054">
        <v>273</v>
      </c>
      <c r="S8054">
        <v>2850</v>
      </c>
    </row>
    <row r="8055" spans="11:19" x14ac:dyDescent="0.3">
      <c r="K8055" s="16">
        <f t="shared" si="125"/>
        <v>44351</v>
      </c>
      <c r="L8055" s="17">
        <v>0.54166666666666663</v>
      </c>
      <c r="M8055" s="14">
        <v>652</v>
      </c>
      <c r="N8055" s="14">
        <v>433</v>
      </c>
      <c r="O8055" s="14">
        <v>0</v>
      </c>
      <c r="P8055" s="14">
        <v>1085</v>
      </c>
      <c r="Q8055">
        <v>9538</v>
      </c>
      <c r="R8055">
        <v>209</v>
      </c>
      <c r="S8055">
        <v>2972</v>
      </c>
    </row>
    <row r="8056" spans="11:19" x14ac:dyDescent="0.3">
      <c r="K8056" s="16">
        <f t="shared" si="125"/>
        <v>44351</v>
      </c>
      <c r="L8056" s="17">
        <v>0.58333333333333337</v>
      </c>
      <c r="M8056" s="14">
        <v>652</v>
      </c>
      <c r="N8056" s="14">
        <v>328</v>
      </c>
      <c r="O8056" s="14">
        <v>0</v>
      </c>
      <c r="P8056" s="14">
        <v>980</v>
      </c>
      <c r="Q8056">
        <v>9402</v>
      </c>
      <c r="R8056">
        <v>199</v>
      </c>
      <c r="S8056">
        <v>2955</v>
      </c>
    </row>
    <row r="8057" spans="11:19" x14ac:dyDescent="0.3">
      <c r="K8057" s="16">
        <f t="shared" si="125"/>
        <v>44351</v>
      </c>
      <c r="L8057" s="17">
        <v>0.625</v>
      </c>
      <c r="M8057" s="14">
        <v>652</v>
      </c>
      <c r="N8057" s="14">
        <v>164</v>
      </c>
      <c r="O8057" s="14">
        <v>0</v>
      </c>
      <c r="P8057" s="14">
        <v>816</v>
      </c>
      <c r="Q8057">
        <v>9119</v>
      </c>
      <c r="R8057">
        <v>236</v>
      </c>
      <c r="S8057">
        <v>2801</v>
      </c>
    </row>
    <row r="8058" spans="11:19" x14ac:dyDescent="0.3">
      <c r="K8058" s="16">
        <f t="shared" si="125"/>
        <v>44351</v>
      </c>
      <c r="L8058" s="17">
        <v>0.66666666666666663</v>
      </c>
      <c r="M8058" s="14">
        <v>652</v>
      </c>
      <c r="N8058" s="14">
        <v>0</v>
      </c>
      <c r="O8058" s="14">
        <v>0</v>
      </c>
      <c r="P8058" s="14">
        <v>652</v>
      </c>
      <c r="Q8058">
        <v>8889</v>
      </c>
      <c r="R8058">
        <v>263</v>
      </c>
      <c r="S8058">
        <v>2458</v>
      </c>
    </row>
    <row r="8059" spans="11:19" x14ac:dyDescent="0.3">
      <c r="K8059" s="16">
        <f t="shared" si="125"/>
        <v>44351</v>
      </c>
      <c r="L8059" s="17">
        <v>0.70833333333333337</v>
      </c>
      <c r="M8059" s="14">
        <v>652</v>
      </c>
      <c r="N8059" s="14">
        <v>0</v>
      </c>
      <c r="O8059" s="14">
        <v>0</v>
      </c>
      <c r="P8059" s="14">
        <v>652</v>
      </c>
      <c r="Q8059">
        <v>8831</v>
      </c>
      <c r="R8059">
        <v>337</v>
      </c>
      <c r="S8059">
        <v>1972</v>
      </c>
    </row>
    <row r="8060" spans="11:19" x14ac:dyDescent="0.3">
      <c r="K8060" s="16">
        <f t="shared" si="125"/>
        <v>44351</v>
      </c>
      <c r="L8060" s="17">
        <v>0.75</v>
      </c>
      <c r="M8060" s="14">
        <v>652</v>
      </c>
      <c r="N8060" s="14">
        <v>1405</v>
      </c>
      <c r="O8060" s="14">
        <v>0</v>
      </c>
      <c r="P8060" s="14">
        <v>2057</v>
      </c>
      <c r="Q8060">
        <v>8943</v>
      </c>
      <c r="R8060">
        <v>396</v>
      </c>
      <c r="S8060">
        <v>1323</v>
      </c>
    </row>
    <row r="8061" spans="11:19" x14ac:dyDescent="0.3">
      <c r="K8061" s="16">
        <f t="shared" si="125"/>
        <v>44351</v>
      </c>
      <c r="L8061" s="17">
        <v>0.79166666666666663</v>
      </c>
      <c r="M8061" s="14">
        <v>652</v>
      </c>
      <c r="N8061" s="14">
        <v>1908</v>
      </c>
      <c r="O8061" s="14">
        <v>0</v>
      </c>
      <c r="P8061" s="14">
        <v>2560</v>
      </c>
      <c r="Q8061">
        <v>8869</v>
      </c>
      <c r="R8061">
        <v>483</v>
      </c>
      <c r="S8061">
        <v>676</v>
      </c>
    </row>
    <row r="8062" spans="11:19" x14ac:dyDescent="0.3">
      <c r="K8062" s="16">
        <f t="shared" si="125"/>
        <v>44351</v>
      </c>
      <c r="L8062" s="17">
        <v>0.83333333333333337</v>
      </c>
      <c r="M8062" s="14">
        <v>652</v>
      </c>
      <c r="N8062" s="14">
        <v>1754</v>
      </c>
      <c r="O8062" s="14">
        <v>0</v>
      </c>
      <c r="P8062" s="14">
        <v>2406</v>
      </c>
      <c r="Q8062">
        <v>8371</v>
      </c>
      <c r="R8062">
        <v>590</v>
      </c>
      <c r="S8062">
        <v>235</v>
      </c>
    </row>
    <row r="8063" spans="11:19" x14ac:dyDescent="0.3">
      <c r="K8063" s="16">
        <f t="shared" si="125"/>
        <v>44351</v>
      </c>
      <c r="L8063" s="17">
        <v>0.875</v>
      </c>
      <c r="M8063" s="14">
        <v>652</v>
      </c>
      <c r="N8063" s="14">
        <v>1419</v>
      </c>
      <c r="O8063" s="14">
        <v>0</v>
      </c>
      <c r="P8063" s="14">
        <v>2071</v>
      </c>
      <c r="Q8063">
        <v>8143</v>
      </c>
      <c r="R8063">
        <v>675</v>
      </c>
      <c r="S8063">
        <v>24</v>
      </c>
    </row>
    <row r="8064" spans="11:19" x14ac:dyDescent="0.3">
      <c r="K8064" s="16">
        <f t="shared" si="125"/>
        <v>44351</v>
      </c>
      <c r="L8064" s="17">
        <v>0.91666666666666663</v>
      </c>
      <c r="M8064" s="14">
        <v>652</v>
      </c>
      <c r="N8064" s="14">
        <v>1798</v>
      </c>
      <c r="O8064" s="14">
        <v>0</v>
      </c>
      <c r="P8064" s="14">
        <v>2450</v>
      </c>
      <c r="Q8064">
        <v>8639</v>
      </c>
      <c r="R8064">
        <v>814</v>
      </c>
      <c r="S8064">
        <v>0</v>
      </c>
    </row>
    <row r="8065" spans="11:19" x14ac:dyDescent="0.3">
      <c r="K8065" s="16">
        <f t="shared" si="125"/>
        <v>44351</v>
      </c>
      <c r="L8065" s="17">
        <v>0.95833333333333337</v>
      </c>
      <c r="M8065" s="14">
        <v>652</v>
      </c>
      <c r="N8065" s="14">
        <v>0</v>
      </c>
      <c r="O8065" s="14">
        <v>0</v>
      </c>
      <c r="P8065" s="14">
        <v>652</v>
      </c>
      <c r="Q8065">
        <v>8735</v>
      </c>
      <c r="R8065">
        <v>946</v>
      </c>
      <c r="S8065">
        <v>0</v>
      </c>
    </row>
    <row r="8066" spans="11:19" x14ac:dyDescent="0.3">
      <c r="K8066" s="16">
        <f t="shared" si="125"/>
        <v>44352</v>
      </c>
      <c r="L8066" s="17">
        <v>0</v>
      </c>
      <c r="M8066" s="14">
        <v>652</v>
      </c>
      <c r="N8066" s="14">
        <v>0</v>
      </c>
      <c r="O8066" s="14">
        <v>0</v>
      </c>
      <c r="P8066" s="14">
        <v>652</v>
      </c>
      <c r="Q8066">
        <v>7936</v>
      </c>
      <c r="R8066">
        <v>794</v>
      </c>
      <c r="S8066">
        <v>0</v>
      </c>
    </row>
    <row r="8067" spans="11:19" x14ac:dyDescent="0.3">
      <c r="K8067" s="16">
        <f t="shared" si="125"/>
        <v>44352</v>
      </c>
      <c r="L8067" s="17">
        <v>4.1666666666666664E-2</v>
      </c>
      <c r="M8067" s="14">
        <v>652</v>
      </c>
      <c r="N8067" s="14">
        <v>987</v>
      </c>
      <c r="O8067" s="14">
        <v>0</v>
      </c>
      <c r="P8067" s="14">
        <v>1639</v>
      </c>
      <c r="Q8067">
        <v>7456</v>
      </c>
      <c r="R8067">
        <v>538</v>
      </c>
      <c r="S8067">
        <v>0</v>
      </c>
    </row>
    <row r="8068" spans="11:19" x14ac:dyDescent="0.3">
      <c r="K8068" s="16">
        <f t="shared" si="125"/>
        <v>44352</v>
      </c>
      <c r="L8068" s="17">
        <v>8.3333333333333329E-2</v>
      </c>
      <c r="M8068" s="14">
        <v>652</v>
      </c>
      <c r="N8068" s="14">
        <v>0</v>
      </c>
      <c r="O8068" s="14">
        <v>0</v>
      </c>
      <c r="P8068" s="14">
        <v>652</v>
      </c>
      <c r="Q8068">
        <v>7081</v>
      </c>
      <c r="R8068">
        <v>341</v>
      </c>
      <c r="S8068">
        <v>0</v>
      </c>
    </row>
    <row r="8069" spans="11:19" x14ac:dyDescent="0.3">
      <c r="K8069" s="16">
        <f t="shared" si="125"/>
        <v>44352</v>
      </c>
      <c r="L8069" s="17">
        <v>0.125</v>
      </c>
      <c r="M8069" s="14">
        <v>652</v>
      </c>
      <c r="N8069" s="14">
        <v>536</v>
      </c>
      <c r="O8069" s="14">
        <v>0</v>
      </c>
      <c r="P8069" s="14">
        <v>1188</v>
      </c>
      <c r="Q8069">
        <v>6651</v>
      </c>
      <c r="R8069">
        <v>270</v>
      </c>
      <c r="S8069">
        <v>0</v>
      </c>
    </row>
    <row r="8070" spans="11:19" x14ac:dyDescent="0.3">
      <c r="K8070" s="16">
        <f t="shared" si="125"/>
        <v>44352</v>
      </c>
      <c r="L8070" s="17">
        <v>0.16666666666666666</v>
      </c>
      <c r="M8070" s="14">
        <v>652</v>
      </c>
      <c r="N8070" s="14">
        <v>0</v>
      </c>
      <c r="O8070" s="14">
        <v>0</v>
      </c>
      <c r="P8070" s="14">
        <v>652</v>
      </c>
      <c r="Q8070">
        <v>6473</v>
      </c>
      <c r="R8070">
        <v>254</v>
      </c>
      <c r="S8070">
        <v>0</v>
      </c>
    </row>
    <row r="8071" spans="11:19" x14ac:dyDescent="0.3">
      <c r="K8071" s="16">
        <f t="shared" si="125"/>
        <v>44352</v>
      </c>
      <c r="L8071" s="17">
        <v>0.20833333333333334</v>
      </c>
      <c r="M8071" s="14">
        <v>652</v>
      </c>
      <c r="N8071" s="14">
        <v>401</v>
      </c>
      <c r="O8071" s="14">
        <v>0</v>
      </c>
      <c r="P8071" s="14">
        <v>1053</v>
      </c>
      <c r="Q8071">
        <v>6528</v>
      </c>
      <c r="R8071">
        <v>273</v>
      </c>
      <c r="S8071">
        <v>0</v>
      </c>
    </row>
    <row r="8072" spans="11:19" x14ac:dyDescent="0.3">
      <c r="K8072" s="16">
        <f t="shared" si="125"/>
        <v>44352</v>
      </c>
      <c r="L8072" s="17">
        <v>0.25</v>
      </c>
      <c r="M8072" s="14">
        <v>652</v>
      </c>
      <c r="N8072" s="14">
        <v>0</v>
      </c>
      <c r="O8072" s="14">
        <v>0</v>
      </c>
      <c r="P8072" s="14">
        <v>652</v>
      </c>
      <c r="Q8072">
        <v>6762</v>
      </c>
      <c r="R8072">
        <v>209</v>
      </c>
      <c r="S8072">
        <v>71</v>
      </c>
    </row>
    <row r="8073" spans="11:19" x14ac:dyDescent="0.3">
      <c r="K8073" s="16">
        <f t="shared" si="125"/>
        <v>44352</v>
      </c>
      <c r="L8073" s="17">
        <v>0.29166666666666669</v>
      </c>
      <c r="M8073" s="14">
        <v>652</v>
      </c>
      <c r="N8073" s="14">
        <v>0</v>
      </c>
      <c r="O8073" s="14">
        <v>0</v>
      </c>
      <c r="P8073" s="14">
        <v>652</v>
      </c>
      <c r="Q8073">
        <v>7222</v>
      </c>
      <c r="R8073">
        <v>195</v>
      </c>
      <c r="S8073">
        <v>407</v>
      </c>
    </row>
    <row r="8074" spans="11:19" x14ac:dyDescent="0.3">
      <c r="K8074" s="16">
        <f t="shared" si="125"/>
        <v>44352</v>
      </c>
      <c r="L8074" s="17">
        <v>0.33333333333333331</v>
      </c>
      <c r="M8074" s="14">
        <v>652</v>
      </c>
      <c r="N8074" s="14">
        <v>796</v>
      </c>
      <c r="O8074" s="14">
        <v>0</v>
      </c>
      <c r="P8074" s="14">
        <v>1448</v>
      </c>
      <c r="Q8074">
        <v>7780</v>
      </c>
      <c r="R8074">
        <v>185</v>
      </c>
      <c r="S8074">
        <v>889</v>
      </c>
    </row>
    <row r="8075" spans="11:19" x14ac:dyDescent="0.3">
      <c r="K8075" s="16">
        <f t="shared" si="125"/>
        <v>44352</v>
      </c>
      <c r="L8075" s="17">
        <v>0.375</v>
      </c>
      <c r="M8075" s="14">
        <v>652</v>
      </c>
      <c r="N8075" s="14">
        <v>663</v>
      </c>
      <c r="O8075" s="14">
        <v>0</v>
      </c>
      <c r="P8075" s="14">
        <v>1315</v>
      </c>
      <c r="Q8075">
        <v>8278</v>
      </c>
      <c r="R8075">
        <v>188</v>
      </c>
      <c r="S8075">
        <v>1515</v>
      </c>
    </row>
    <row r="8076" spans="11:19" x14ac:dyDescent="0.3">
      <c r="K8076" s="16">
        <f t="shared" si="125"/>
        <v>44352</v>
      </c>
      <c r="L8076" s="17">
        <v>0.41666666666666669</v>
      </c>
      <c r="M8076" s="14">
        <v>652</v>
      </c>
      <c r="N8076" s="14">
        <v>0</v>
      </c>
      <c r="O8076" s="14">
        <v>0</v>
      </c>
      <c r="P8076" s="14">
        <v>652</v>
      </c>
      <c r="Q8076">
        <v>8531</v>
      </c>
      <c r="R8076">
        <v>321</v>
      </c>
      <c r="S8076">
        <v>2071</v>
      </c>
    </row>
    <row r="8077" spans="11:19" x14ac:dyDescent="0.3">
      <c r="K8077" s="16">
        <f t="shared" si="125"/>
        <v>44352</v>
      </c>
      <c r="L8077" s="17">
        <v>0.45833333333333331</v>
      </c>
      <c r="M8077" s="14">
        <v>652</v>
      </c>
      <c r="N8077" s="14">
        <v>0</v>
      </c>
      <c r="O8077" s="14">
        <v>-26</v>
      </c>
      <c r="P8077" s="14">
        <v>626</v>
      </c>
      <c r="Q8077">
        <v>8779</v>
      </c>
      <c r="R8077">
        <v>429</v>
      </c>
      <c r="S8077">
        <v>2458</v>
      </c>
    </row>
    <row r="8078" spans="11:19" x14ac:dyDescent="0.3">
      <c r="K8078" s="16">
        <f t="shared" si="125"/>
        <v>44352</v>
      </c>
      <c r="L8078" s="17">
        <v>0.5</v>
      </c>
      <c r="M8078" s="14">
        <v>652</v>
      </c>
      <c r="N8078" s="14">
        <v>92</v>
      </c>
      <c r="O8078" s="14">
        <v>0</v>
      </c>
      <c r="P8078" s="14">
        <v>744</v>
      </c>
      <c r="Q8078">
        <v>9131</v>
      </c>
      <c r="R8078">
        <v>405</v>
      </c>
      <c r="S8078">
        <v>2717</v>
      </c>
    </row>
    <row r="8079" spans="11:19" x14ac:dyDescent="0.3">
      <c r="K8079" s="16">
        <f t="shared" si="125"/>
        <v>44352</v>
      </c>
      <c r="L8079" s="17">
        <v>0.54166666666666663</v>
      </c>
      <c r="M8079" s="14">
        <v>652</v>
      </c>
      <c r="N8079" s="14">
        <v>0</v>
      </c>
      <c r="O8079" s="14">
        <v>-225</v>
      </c>
      <c r="P8079" s="14">
        <v>427</v>
      </c>
      <c r="Q8079">
        <v>8920</v>
      </c>
      <c r="R8079">
        <v>495</v>
      </c>
      <c r="S8079">
        <v>2818</v>
      </c>
    </row>
    <row r="8080" spans="11:19" x14ac:dyDescent="0.3">
      <c r="K8080" s="16">
        <f t="shared" si="125"/>
        <v>44352</v>
      </c>
      <c r="L8080" s="17">
        <v>0.58333333333333337</v>
      </c>
      <c r="M8080" s="14">
        <v>652</v>
      </c>
      <c r="N8080" s="14">
        <v>0</v>
      </c>
      <c r="O8080" s="14">
        <v>-265</v>
      </c>
      <c r="P8080" s="14">
        <v>387</v>
      </c>
      <c r="Q8080">
        <v>8801</v>
      </c>
      <c r="R8080">
        <v>485</v>
      </c>
      <c r="S8080">
        <v>2760</v>
      </c>
    </row>
    <row r="8081" spans="11:19" x14ac:dyDescent="0.3">
      <c r="K8081" s="16">
        <f t="shared" si="125"/>
        <v>44352</v>
      </c>
      <c r="L8081" s="17">
        <v>0.625</v>
      </c>
      <c r="M8081" s="14">
        <v>652</v>
      </c>
      <c r="N8081" s="14">
        <v>0</v>
      </c>
      <c r="O8081" s="14">
        <v>-118</v>
      </c>
      <c r="P8081" s="14">
        <v>534</v>
      </c>
      <c r="Q8081">
        <v>8609</v>
      </c>
      <c r="R8081">
        <v>369</v>
      </c>
      <c r="S8081">
        <v>2539</v>
      </c>
    </row>
    <row r="8082" spans="11:19" x14ac:dyDescent="0.3">
      <c r="K8082" s="16">
        <f t="shared" si="125"/>
        <v>44352</v>
      </c>
      <c r="L8082" s="17">
        <v>0.66666666666666663</v>
      </c>
      <c r="M8082" s="14">
        <v>652</v>
      </c>
      <c r="N8082" s="14">
        <v>36</v>
      </c>
      <c r="O8082" s="14">
        <v>0</v>
      </c>
      <c r="P8082" s="14">
        <v>688</v>
      </c>
      <c r="Q8082">
        <v>8486</v>
      </c>
      <c r="R8082">
        <v>447</v>
      </c>
      <c r="S8082">
        <v>2189</v>
      </c>
    </row>
    <row r="8083" spans="11:19" x14ac:dyDescent="0.3">
      <c r="K8083" s="16">
        <f t="shared" si="125"/>
        <v>44352</v>
      </c>
      <c r="L8083" s="17">
        <v>0.70833333333333337</v>
      </c>
      <c r="M8083" s="14">
        <v>652</v>
      </c>
      <c r="N8083" s="14">
        <v>474</v>
      </c>
      <c r="O8083" s="14">
        <v>0</v>
      </c>
      <c r="P8083" s="14">
        <v>1126</v>
      </c>
      <c r="Q8083">
        <v>8487</v>
      </c>
      <c r="R8083">
        <v>467</v>
      </c>
      <c r="S8083">
        <v>1740</v>
      </c>
    </row>
    <row r="8084" spans="11:19" x14ac:dyDescent="0.3">
      <c r="K8084" s="16">
        <f t="shared" si="125"/>
        <v>44352</v>
      </c>
      <c r="L8084" s="17">
        <v>0.75</v>
      </c>
      <c r="M8084" s="14">
        <v>652</v>
      </c>
      <c r="N8084" s="14">
        <v>0</v>
      </c>
      <c r="O8084" s="14">
        <v>508</v>
      </c>
      <c r="P8084" s="14">
        <v>1160</v>
      </c>
      <c r="Q8084">
        <v>8580</v>
      </c>
      <c r="R8084">
        <v>567</v>
      </c>
      <c r="S8084">
        <v>1157</v>
      </c>
    </row>
    <row r="8085" spans="11:19" x14ac:dyDescent="0.3">
      <c r="K8085" s="16">
        <f t="shared" si="125"/>
        <v>44352</v>
      </c>
      <c r="L8085" s="17">
        <v>0.79166666666666663</v>
      </c>
      <c r="M8085" s="14">
        <v>652</v>
      </c>
      <c r="N8085" s="14">
        <v>0</v>
      </c>
      <c r="O8085" s="14">
        <v>0</v>
      </c>
      <c r="P8085" s="14">
        <v>652</v>
      </c>
      <c r="Q8085">
        <v>8512</v>
      </c>
      <c r="R8085">
        <v>813</v>
      </c>
      <c r="S8085">
        <v>603</v>
      </c>
    </row>
    <row r="8086" spans="11:19" x14ac:dyDescent="0.3">
      <c r="K8086" s="16">
        <f t="shared" si="125"/>
        <v>44352</v>
      </c>
      <c r="L8086" s="17">
        <v>0.83333333333333337</v>
      </c>
      <c r="M8086" s="14">
        <v>652</v>
      </c>
      <c r="N8086" s="14">
        <v>0</v>
      </c>
      <c r="O8086" s="14">
        <v>0</v>
      </c>
      <c r="P8086" s="14">
        <v>652</v>
      </c>
      <c r="Q8086">
        <v>8106</v>
      </c>
      <c r="R8086">
        <v>920</v>
      </c>
      <c r="S8086">
        <v>188</v>
      </c>
    </row>
    <row r="8087" spans="11:19" x14ac:dyDescent="0.3">
      <c r="K8087" s="16">
        <f t="shared" si="125"/>
        <v>44352</v>
      </c>
      <c r="L8087" s="17">
        <v>0.875</v>
      </c>
      <c r="M8087" s="14">
        <v>652</v>
      </c>
      <c r="N8087" s="14">
        <v>0</v>
      </c>
      <c r="O8087" s="14">
        <v>0</v>
      </c>
      <c r="P8087" s="14">
        <v>652</v>
      </c>
      <c r="Q8087">
        <v>7931</v>
      </c>
      <c r="R8087">
        <v>973</v>
      </c>
      <c r="S8087">
        <v>25</v>
      </c>
    </row>
    <row r="8088" spans="11:19" x14ac:dyDescent="0.3">
      <c r="K8088" s="16">
        <f t="shared" si="125"/>
        <v>44352</v>
      </c>
      <c r="L8088" s="17">
        <v>0.91666666666666663</v>
      </c>
      <c r="M8088" s="14">
        <v>652</v>
      </c>
      <c r="N8088" s="14">
        <v>0</v>
      </c>
      <c r="O8088" s="14">
        <v>0</v>
      </c>
      <c r="P8088" s="14">
        <v>652</v>
      </c>
      <c r="Q8088">
        <v>8545</v>
      </c>
      <c r="R8088">
        <v>977</v>
      </c>
      <c r="S8088">
        <v>0</v>
      </c>
    </row>
    <row r="8089" spans="11:19" x14ac:dyDescent="0.3">
      <c r="K8089" s="16">
        <f t="shared" si="125"/>
        <v>44352</v>
      </c>
      <c r="L8089" s="17">
        <v>0.95833333333333337</v>
      </c>
      <c r="M8089" s="14">
        <v>652</v>
      </c>
      <c r="N8089" s="14">
        <v>1425</v>
      </c>
      <c r="O8089" s="14">
        <v>0</v>
      </c>
      <c r="P8089" s="14">
        <v>2077</v>
      </c>
      <c r="Q8089">
        <v>8648</v>
      </c>
      <c r="R8089">
        <v>676</v>
      </c>
      <c r="S8089">
        <v>0</v>
      </c>
    </row>
    <row r="8090" spans="11:19" x14ac:dyDescent="0.3">
      <c r="K8090" s="16">
        <f t="shared" si="125"/>
        <v>44353</v>
      </c>
      <c r="L8090" s="17">
        <v>0</v>
      </c>
      <c r="M8090" s="14">
        <v>652</v>
      </c>
      <c r="N8090" s="14">
        <v>72</v>
      </c>
      <c r="O8090" s="14">
        <v>1200</v>
      </c>
      <c r="P8090" s="14">
        <v>1924</v>
      </c>
      <c r="Q8090">
        <v>7873</v>
      </c>
      <c r="R8090">
        <v>746</v>
      </c>
      <c r="S8090">
        <v>0</v>
      </c>
    </row>
    <row r="8091" spans="11:19" x14ac:dyDescent="0.3">
      <c r="K8091" s="16">
        <f t="shared" ref="K8091:K8154" si="126">K8067+1</f>
        <v>44353</v>
      </c>
      <c r="L8091" s="17">
        <v>4.1666666666666664E-2</v>
      </c>
      <c r="M8091" s="14">
        <v>652</v>
      </c>
      <c r="N8091" s="14">
        <v>0</v>
      </c>
      <c r="O8091" s="14">
        <v>1001</v>
      </c>
      <c r="P8091" s="14">
        <v>1653</v>
      </c>
      <c r="Q8091">
        <v>7433</v>
      </c>
      <c r="R8091">
        <v>580</v>
      </c>
      <c r="S8091">
        <v>0</v>
      </c>
    </row>
    <row r="8092" spans="11:19" x14ac:dyDescent="0.3">
      <c r="K8092" s="16">
        <f t="shared" si="126"/>
        <v>44353</v>
      </c>
      <c r="L8092" s="17">
        <v>8.3333333333333329E-2</v>
      </c>
      <c r="M8092" s="14">
        <v>652</v>
      </c>
      <c r="N8092" s="14">
        <v>0</v>
      </c>
      <c r="O8092" s="14">
        <v>637</v>
      </c>
      <c r="P8092" s="14">
        <v>1289</v>
      </c>
      <c r="Q8092">
        <v>7047</v>
      </c>
      <c r="R8092">
        <v>563</v>
      </c>
      <c r="S8092">
        <v>0</v>
      </c>
    </row>
    <row r="8093" spans="11:19" x14ac:dyDescent="0.3">
      <c r="K8093" s="16">
        <f t="shared" si="126"/>
        <v>44353</v>
      </c>
      <c r="L8093" s="17">
        <v>0.125</v>
      </c>
      <c r="M8093" s="14">
        <v>652</v>
      </c>
      <c r="N8093" s="14">
        <v>0</v>
      </c>
      <c r="O8093" s="14">
        <v>99</v>
      </c>
      <c r="P8093" s="14">
        <v>751</v>
      </c>
      <c r="Q8093">
        <v>6592</v>
      </c>
      <c r="R8093">
        <v>647</v>
      </c>
      <c r="S8093">
        <v>0</v>
      </c>
    </row>
    <row r="8094" spans="11:19" x14ac:dyDescent="0.3">
      <c r="K8094" s="16">
        <f t="shared" si="126"/>
        <v>44353</v>
      </c>
      <c r="L8094" s="17">
        <v>0.16666666666666666</v>
      </c>
      <c r="M8094" s="14">
        <v>652</v>
      </c>
      <c r="N8094" s="14">
        <v>0</v>
      </c>
      <c r="O8094" s="14">
        <v>44</v>
      </c>
      <c r="P8094" s="14">
        <v>696</v>
      </c>
      <c r="Q8094">
        <v>6351</v>
      </c>
      <c r="R8094">
        <v>618</v>
      </c>
      <c r="S8094">
        <v>0</v>
      </c>
    </row>
    <row r="8095" spans="11:19" x14ac:dyDescent="0.3">
      <c r="K8095" s="16">
        <f t="shared" si="126"/>
        <v>44353</v>
      </c>
      <c r="L8095" s="17">
        <v>0.20833333333333334</v>
      </c>
      <c r="M8095" s="14">
        <v>652</v>
      </c>
      <c r="N8095" s="14">
        <v>0</v>
      </c>
      <c r="O8095" s="14">
        <v>-152</v>
      </c>
      <c r="P8095" s="14">
        <v>500</v>
      </c>
      <c r="Q8095">
        <v>6210</v>
      </c>
      <c r="R8095">
        <v>667</v>
      </c>
      <c r="S8095">
        <v>0</v>
      </c>
    </row>
    <row r="8096" spans="11:19" x14ac:dyDescent="0.3">
      <c r="K8096" s="16">
        <f t="shared" si="126"/>
        <v>44353</v>
      </c>
      <c r="L8096" s="17">
        <v>0.25</v>
      </c>
      <c r="M8096" s="14">
        <v>652</v>
      </c>
      <c r="N8096" s="14">
        <v>0</v>
      </c>
      <c r="O8096" s="14">
        <v>-292</v>
      </c>
      <c r="P8096" s="14">
        <v>360</v>
      </c>
      <c r="Q8096">
        <v>6169</v>
      </c>
      <c r="R8096">
        <v>671</v>
      </c>
      <c r="S8096">
        <v>62</v>
      </c>
    </row>
    <row r="8097" spans="11:19" x14ac:dyDescent="0.3">
      <c r="K8097" s="16">
        <f t="shared" si="126"/>
        <v>44353</v>
      </c>
      <c r="L8097" s="17">
        <v>0.29166666666666669</v>
      </c>
      <c r="M8097" s="14">
        <v>652</v>
      </c>
      <c r="N8097" s="14">
        <v>0</v>
      </c>
      <c r="O8097" s="14">
        <v>-403</v>
      </c>
      <c r="P8097" s="14">
        <v>249</v>
      </c>
      <c r="Q8097">
        <v>6435</v>
      </c>
      <c r="R8097">
        <v>700</v>
      </c>
      <c r="S8097">
        <v>389</v>
      </c>
    </row>
    <row r="8098" spans="11:19" x14ac:dyDescent="0.3">
      <c r="K8098" s="16">
        <f t="shared" si="126"/>
        <v>44353</v>
      </c>
      <c r="L8098" s="17">
        <v>0.33333333333333331</v>
      </c>
      <c r="M8098" s="14">
        <v>652</v>
      </c>
      <c r="N8098" s="14">
        <v>0</v>
      </c>
      <c r="O8098" s="14">
        <v>-648</v>
      </c>
      <c r="P8098" s="14">
        <v>4</v>
      </c>
      <c r="Q8098">
        <v>6916</v>
      </c>
      <c r="R8098">
        <v>957</v>
      </c>
      <c r="S8098">
        <v>855</v>
      </c>
    </row>
    <row r="8099" spans="11:19" x14ac:dyDescent="0.3">
      <c r="K8099" s="16">
        <f t="shared" si="126"/>
        <v>44353</v>
      </c>
      <c r="L8099" s="17">
        <v>0.375</v>
      </c>
      <c r="M8099" s="14">
        <v>652</v>
      </c>
      <c r="N8099" s="14">
        <v>0</v>
      </c>
      <c r="O8099" s="14">
        <v>-1082</v>
      </c>
      <c r="P8099" s="14">
        <v>-430</v>
      </c>
      <c r="Q8099">
        <v>7510</v>
      </c>
      <c r="R8099">
        <v>1350</v>
      </c>
      <c r="S8099">
        <v>1488</v>
      </c>
    </row>
    <row r="8100" spans="11:19" x14ac:dyDescent="0.3">
      <c r="K8100" s="16">
        <f t="shared" si="126"/>
        <v>44353</v>
      </c>
      <c r="L8100" s="17">
        <v>0.41666666666666669</v>
      </c>
      <c r="M8100" s="14">
        <v>652</v>
      </c>
      <c r="N8100" s="14">
        <v>0</v>
      </c>
      <c r="O8100" s="14">
        <v>-1137</v>
      </c>
      <c r="P8100" s="14">
        <v>-485</v>
      </c>
      <c r="Q8100">
        <v>7969</v>
      </c>
      <c r="R8100">
        <v>1335</v>
      </c>
      <c r="S8100">
        <v>2012</v>
      </c>
    </row>
    <row r="8101" spans="11:19" x14ac:dyDescent="0.3">
      <c r="K8101" s="16">
        <f t="shared" si="126"/>
        <v>44353</v>
      </c>
      <c r="L8101" s="17">
        <v>0.45833333333333331</v>
      </c>
      <c r="M8101" s="14">
        <v>652</v>
      </c>
      <c r="N8101" s="14">
        <v>0</v>
      </c>
      <c r="O8101" s="14">
        <v>-1026</v>
      </c>
      <c r="P8101" s="14">
        <v>-374</v>
      </c>
      <c r="Q8101">
        <v>8362</v>
      </c>
      <c r="R8101">
        <v>1294</v>
      </c>
      <c r="S8101">
        <v>2334</v>
      </c>
    </row>
    <row r="8102" spans="11:19" x14ac:dyDescent="0.3">
      <c r="K8102" s="16">
        <f t="shared" si="126"/>
        <v>44353</v>
      </c>
      <c r="L8102" s="17">
        <v>0.5</v>
      </c>
      <c r="M8102" s="14">
        <v>652</v>
      </c>
      <c r="N8102" s="14">
        <v>0</v>
      </c>
      <c r="O8102" s="14">
        <v>-724</v>
      </c>
      <c r="P8102" s="14">
        <v>-72</v>
      </c>
      <c r="Q8102">
        <v>8834</v>
      </c>
      <c r="R8102">
        <v>1302</v>
      </c>
      <c r="S8102">
        <v>2497</v>
      </c>
    </row>
    <row r="8103" spans="11:19" x14ac:dyDescent="0.3">
      <c r="K8103" s="16">
        <f t="shared" si="126"/>
        <v>44353</v>
      </c>
      <c r="L8103" s="17">
        <v>0.54166666666666663</v>
      </c>
      <c r="M8103" s="14">
        <v>652</v>
      </c>
      <c r="N8103" s="14">
        <v>0</v>
      </c>
      <c r="O8103" s="14">
        <v>-1034</v>
      </c>
      <c r="P8103" s="14">
        <v>-382</v>
      </c>
      <c r="Q8103">
        <v>8581</v>
      </c>
      <c r="R8103">
        <v>1336</v>
      </c>
      <c r="S8103">
        <v>2526</v>
      </c>
    </row>
    <row r="8104" spans="11:19" x14ac:dyDescent="0.3">
      <c r="K8104" s="16">
        <f t="shared" si="126"/>
        <v>44353</v>
      </c>
      <c r="L8104" s="17">
        <v>0.58333333333333337</v>
      </c>
      <c r="M8104" s="14">
        <v>652</v>
      </c>
      <c r="N8104" s="14">
        <v>0</v>
      </c>
      <c r="O8104" s="14">
        <v>-910</v>
      </c>
      <c r="P8104" s="14">
        <v>-258</v>
      </c>
      <c r="Q8104">
        <v>8434</v>
      </c>
      <c r="R8104">
        <v>1427</v>
      </c>
      <c r="S8104">
        <v>2474</v>
      </c>
    </row>
    <row r="8105" spans="11:19" x14ac:dyDescent="0.3">
      <c r="K8105" s="16">
        <f t="shared" si="126"/>
        <v>44353</v>
      </c>
      <c r="L8105" s="17">
        <v>0.625</v>
      </c>
      <c r="M8105" s="14">
        <v>652</v>
      </c>
      <c r="N8105" s="14">
        <v>0</v>
      </c>
      <c r="O8105" s="14">
        <v>-1029</v>
      </c>
      <c r="P8105" s="14">
        <v>-377</v>
      </c>
      <c r="Q8105">
        <v>8273</v>
      </c>
      <c r="R8105">
        <v>1248</v>
      </c>
      <c r="S8105">
        <v>2314</v>
      </c>
    </row>
    <row r="8106" spans="11:19" x14ac:dyDescent="0.3">
      <c r="K8106" s="16">
        <f t="shared" si="126"/>
        <v>44353</v>
      </c>
      <c r="L8106" s="17">
        <v>0.66666666666666663</v>
      </c>
      <c r="M8106" s="14">
        <v>652</v>
      </c>
      <c r="N8106" s="14">
        <v>0</v>
      </c>
      <c r="O8106" s="14">
        <v>-216</v>
      </c>
      <c r="P8106" s="14">
        <v>436</v>
      </c>
      <c r="Q8106">
        <v>8177</v>
      </c>
      <c r="R8106">
        <v>1205</v>
      </c>
      <c r="S8106">
        <v>2067</v>
      </c>
    </row>
    <row r="8107" spans="11:19" x14ac:dyDescent="0.3">
      <c r="K8107" s="16">
        <f t="shared" si="126"/>
        <v>44353</v>
      </c>
      <c r="L8107" s="17">
        <v>0.70833333333333337</v>
      </c>
      <c r="M8107" s="14">
        <v>652</v>
      </c>
      <c r="N8107" s="14">
        <v>0</v>
      </c>
      <c r="O8107" s="14">
        <v>0</v>
      </c>
      <c r="P8107" s="14">
        <v>652</v>
      </c>
      <c r="Q8107">
        <v>8206</v>
      </c>
      <c r="R8107">
        <v>1260</v>
      </c>
      <c r="S8107">
        <v>1645</v>
      </c>
    </row>
    <row r="8108" spans="11:19" x14ac:dyDescent="0.3">
      <c r="K8108" s="16">
        <f t="shared" si="126"/>
        <v>44353</v>
      </c>
      <c r="L8108" s="17">
        <v>0.75</v>
      </c>
      <c r="M8108" s="14">
        <v>652</v>
      </c>
      <c r="N8108" s="14">
        <v>0</v>
      </c>
      <c r="O8108" s="14">
        <v>208</v>
      </c>
      <c r="P8108" s="14">
        <v>860</v>
      </c>
      <c r="Q8108">
        <v>8310</v>
      </c>
      <c r="R8108">
        <v>1282</v>
      </c>
      <c r="S8108">
        <v>1096</v>
      </c>
    </row>
    <row r="8109" spans="11:19" x14ac:dyDescent="0.3">
      <c r="K8109" s="16">
        <f t="shared" si="126"/>
        <v>44353</v>
      </c>
      <c r="L8109" s="17">
        <v>0.79166666666666663</v>
      </c>
      <c r="M8109" s="14">
        <v>652</v>
      </c>
      <c r="N8109" s="14">
        <v>0</v>
      </c>
      <c r="O8109" s="14">
        <v>508</v>
      </c>
      <c r="P8109" s="14">
        <v>1160</v>
      </c>
      <c r="Q8109">
        <v>8393</v>
      </c>
      <c r="R8109">
        <v>1520</v>
      </c>
      <c r="S8109">
        <v>574</v>
      </c>
    </row>
    <row r="8110" spans="11:19" x14ac:dyDescent="0.3">
      <c r="K8110" s="16">
        <f t="shared" si="126"/>
        <v>44353</v>
      </c>
      <c r="L8110" s="17">
        <v>0.83333333333333337</v>
      </c>
      <c r="M8110" s="14">
        <v>652</v>
      </c>
      <c r="N8110" s="14">
        <v>0</v>
      </c>
      <c r="O8110" s="14">
        <v>436</v>
      </c>
      <c r="P8110" s="14">
        <v>1088</v>
      </c>
      <c r="Q8110">
        <v>8136</v>
      </c>
      <c r="R8110">
        <v>1747</v>
      </c>
      <c r="S8110">
        <v>172</v>
      </c>
    </row>
    <row r="8111" spans="11:19" x14ac:dyDescent="0.3">
      <c r="K8111" s="16">
        <f t="shared" si="126"/>
        <v>44353</v>
      </c>
      <c r="L8111" s="17">
        <v>0.875</v>
      </c>
      <c r="M8111" s="14">
        <v>652</v>
      </c>
      <c r="N8111" s="14">
        <v>0</v>
      </c>
      <c r="O8111" s="14">
        <v>394</v>
      </c>
      <c r="P8111" s="14">
        <v>1046</v>
      </c>
      <c r="Q8111">
        <v>8032</v>
      </c>
      <c r="R8111">
        <v>1840</v>
      </c>
      <c r="S8111">
        <v>22</v>
      </c>
    </row>
    <row r="8112" spans="11:19" x14ac:dyDescent="0.3">
      <c r="K8112" s="16">
        <f t="shared" si="126"/>
        <v>44353</v>
      </c>
      <c r="L8112" s="17">
        <v>0.91666666666666663</v>
      </c>
      <c r="M8112" s="14">
        <v>652</v>
      </c>
      <c r="N8112" s="14">
        <v>0</v>
      </c>
      <c r="O8112" s="14">
        <v>1200</v>
      </c>
      <c r="P8112" s="14">
        <v>1852</v>
      </c>
      <c r="Q8112">
        <v>8614</v>
      </c>
      <c r="R8112">
        <v>1560</v>
      </c>
      <c r="S8112">
        <v>0</v>
      </c>
    </row>
    <row r="8113" spans="11:19" x14ac:dyDescent="0.3">
      <c r="K8113" s="16">
        <f t="shared" si="126"/>
        <v>44353</v>
      </c>
      <c r="L8113" s="17">
        <v>0.95833333333333337</v>
      </c>
      <c r="M8113" s="14">
        <v>652</v>
      </c>
      <c r="N8113" s="14">
        <v>195</v>
      </c>
      <c r="O8113" s="14">
        <v>1200</v>
      </c>
      <c r="P8113" s="14">
        <v>2047</v>
      </c>
      <c r="Q8113">
        <v>8628</v>
      </c>
      <c r="R8113">
        <v>1467</v>
      </c>
      <c r="S8113">
        <v>0</v>
      </c>
    </row>
    <row r="8114" spans="11:19" x14ac:dyDescent="0.3">
      <c r="K8114" s="16">
        <f t="shared" si="126"/>
        <v>44354</v>
      </c>
      <c r="L8114" s="17">
        <v>0</v>
      </c>
      <c r="M8114" s="14">
        <v>652</v>
      </c>
      <c r="N8114" s="14">
        <v>696</v>
      </c>
      <c r="O8114" s="14">
        <v>0</v>
      </c>
      <c r="P8114" s="14">
        <v>1348</v>
      </c>
      <c r="Q8114">
        <v>7916</v>
      </c>
      <c r="R8114">
        <v>1448</v>
      </c>
      <c r="S8114">
        <v>0</v>
      </c>
    </row>
    <row r="8115" spans="11:19" x14ac:dyDescent="0.3">
      <c r="K8115" s="16">
        <f t="shared" si="126"/>
        <v>44354</v>
      </c>
      <c r="L8115" s="17">
        <v>4.1666666666666664E-2</v>
      </c>
      <c r="M8115" s="14">
        <v>652</v>
      </c>
      <c r="N8115" s="14">
        <v>0</v>
      </c>
      <c r="O8115" s="14">
        <v>0</v>
      </c>
      <c r="P8115" s="14">
        <v>652</v>
      </c>
      <c r="Q8115">
        <v>7519</v>
      </c>
      <c r="R8115">
        <v>1272</v>
      </c>
      <c r="S8115">
        <v>0</v>
      </c>
    </row>
    <row r="8116" spans="11:19" x14ac:dyDescent="0.3">
      <c r="K8116" s="16">
        <f t="shared" si="126"/>
        <v>44354</v>
      </c>
      <c r="L8116" s="17">
        <v>8.3333333333333329E-2</v>
      </c>
      <c r="M8116" s="14">
        <v>652</v>
      </c>
      <c r="N8116" s="14">
        <v>240</v>
      </c>
      <c r="O8116" s="14">
        <v>0</v>
      </c>
      <c r="P8116" s="14">
        <v>892</v>
      </c>
      <c r="Q8116">
        <v>7209</v>
      </c>
      <c r="R8116">
        <v>1197</v>
      </c>
      <c r="S8116">
        <v>0</v>
      </c>
    </row>
    <row r="8117" spans="11:19" x14ac:dyDescent="0.3">
      <c r="K8117" s="16">
        <f t="shared" si="126"/>
        <v>44354</v>
      </c>
      <c r="L8117" s="17">
        <v>0.125</v>
      </c>
      <c r="M8117" s="14">
        <v>652</v>
      </c>
      <c r="N8117" s="14">
        <v>0</v>
      </c>
      <c r="O8117" s="14">
        <v>-20</v>
      </c>
      <c r="P8117" s="14">
        <v>632</v>
      </c>
      <c r="Q8117">
        <v>6862</v>
      </c>
      <c r="R8117">
        <v>1113</v>
      </c>
      <c r="S8117">
        <v>0</v>
      </c>
    </row>
    <row r="8118" spans="11:19" x14ac:dyDescent="0.3">
      <c r="K8118" s="16">
        <f t="shared" si="126"/>
        <v>44354</v>
      </c>
      <c r="L8118" s="17">
        <v>0.16666666666666666</v>
      </c>
      <c r="M8118" s="14">
        <v>652</v>
      </c>
      <c r="N8118" s="14">
        <v>62</v>
      </c>
      <c r="O8118" s="14">
        <v>0</v>
      </c>
      <c r="P8118" s="14">
        <v>714</v>
      </c>
      <c r="Q8118">
        <v>6844</v>
      </c>
      <c r="R8118">
        <v>1013</v>
      </c>
      <c r="S8118">
        <v>0</v>
      </c>
    </row>
    <row r="8119" spans="11:19" x14ac:dyDescent="0.3">
      <c r="K8119" s="16">
        <f t="shared" si="126"/>
        <v>44354</v>
      </c>
      <c r="L8119" s="17">
        <v>0.20833333333333334</v>
      </c>
      <c r="M8119" s="14">
        <v>652</v>
      </c>
      <c r="N8119" s="14">
        <v>0</v>
      </c>
      <c r="O8119" s="14">
        <v>0</v>
      </c>
      <c r="P8119" s="14">
        <v>652</v>
      </c>
      <c r="Q8119">
        <v>7186</v>
      </c>
      <c r="R8119">
        <v>959</v>
      </c>
      <c r="S8119">
        <v>0</v>
      </c>
    </row>
    <row r="8120" spans="11:19" x14ac:dyDescent="0.3">
      <c r="K8120" s="16">
        <f t="shared" si="126"/>
        <v>44354</v>
      </c>
      <c r="L8120" s="17">
        <v>0.25</v>
      </c>
      <c r="M8120" s="14">
        <v>652</v>
      </c>
      <c r="N8120" s="14">
        <v>0</v>
      </c>
      <c r="O8120" s="14">
        <v>0</v>
      </c>
      <c r="P8120" s="14">
        <v>652</v>
      </c>
      <c r="Q8120">
        <v>7964</v>
      </c>
      <c r="R8120">
        <v>906</v>
      </c>
      <c r="S8120">
        <v>57</v>
      </c>
    </row>
    <row r="8121" spans="11:19" x14ac:dyDescent="0.3">
      <c r="K8121" s="16">
        <f t="shared" si="126"/>
        <v>44354</v>
      </c>
      <c r="L8121" s="17">
        <v>0.29166666666666669</v>
      </c>
      <c r="M8121" s="14">
        <v>652</v>
      </c>
      <c r="N8121" s="14">
        <v>1657</v>
      </c>
      <c r="O8121" s="14">
        <v>0</v>
      </c>
      <c r="P8121" s="14">
        <v>2309</v>
      </c>
      <c r="Q8121">
        <v>8888</v>
      </c>
      <c r="R8121">
        <v>826</v>
      </c>
      <c r="S8121">
        <v>319</v>
      </c>
    </row>
    <row r="8122" spans="11:19" x14ac:dyDescent="0.3">
      <c r="K8122" s="16">
        <f t="shared" si="126"/>
        <v>44354</v>
      </c>
      <c r="L8122" s="17">
        <v>0.33333333333333331</v>
      </c>
      <c r="M8122" s="14">
        <v>652</v>
      </c>
      <c r="N8122" s="14">
        <v>1571</v>
      </c>
      <c r="O8122" s="14">
        <v>0</v>
      </c>
      <c r="P8122" s="14">
        <v>2223</v>
      </c>
      <c r="Q8122">
        <v>9432</v>
      </c>
      <c r="R8122">
        <v>986</v>
      </c>
      <c r="S8122">
        <v>786</v>
      </c>
    </row>
    <row r="8123" spans="11:19" x14ac:dyDescent="0.3">
      <c r="K8123" s="16">
        <f t="shared" si="126"/>
        <v>44354</v>
      </c>
      <c r="L8123" s="17">
        <v>0.375</v>
      </c>
      <c r="M8123" s="14">
        <v>652</v>
      </c>
      <c r="N8123" s="14">
        <v>0</v>
      </c>
      <c r="O8123" s="14">
        <v>0</v>
      </c>
      <c r="P8123" s="14">
        <v>652</v>
      </c>
      <c r="Q8123">
        <v>9822</v>
      </c>
      <c r="R8123">
        <v>865</v>
      </c>
      <c r="S8123">
        <v>1344</v>
      </c>
    </row>
    <row r="8124" spans="11:19" x14ac:dyDescent="0.3">
      <c r="K8124" s="16">
        <f t="shared" si="126"/>
        <v>44354</v>
      </c>
      <c r="L8124" s="17">
        <v>0.41666666666666669</v>
      </c>
      <c r="M8124" s="14">
        <v>652</v>
      </c>
      <c r="N8124" s="14">
        <v>1520</v>
      </c>
      <c r="O8124" s="14">
        <v>0</v>
      </c>
      <c r="P8124" s="14">
        <v>2172</v>
      </c>
      <c r="Q8124">
        <v>10095</v>
      </c>
      <c r="R8124">
        <v>755</v>
      </c>
      <c r="S8124">
        <v>1812</v>
      </c>
    </row>
    <row r="8125" spans="11:19" x14ac:dyDescent="0.3">
      <c r="K8125" s="16">
        <f t="shared" si="126"/>
        <v>44354</v>
      </c>
      <c r="L8125" s="17">
        <v>0.45833333333333331</v>
      </c>
      <c r="M8125" s="14">
        <v>652</v>
      </c>
      <c r="N8125" s="14">
        <v>0</v>
      </c>
      <c r="O8125" s="14">
        <v>0</v>
      </c>
      <c r="P8125" s="14">
        <v>652</v>
      </c>
      <c r="Q8125">
        <v>10339</v>
      </c>
      <c r="R8125">
        <v>817</v>
      </c>
      <c r="S8125">
        <v>2103</v>
      </c>
    </row>
    <row r="8126" spans="11:19" x14ac:dyDescent="0.3">
      <c r="K8126" s="16">
        <f t="shared" si="126"/>
        <v>44354</v>
      </c>
      <c r="L8126" s="17">
        <v>0.5</v>
      </c>
      <c r="M8126" s="14">
        <v>652</v>
      </c>
      <c r="N8126" s="14">
        <v>1373</v>
      </c>
      <c r="O8126" s="14">
        <v>0</v>
      </c>
      <c r="P8126" s="14">
        <v>2025</v>
      </c>
      <c r="Q8126">
        <v>10513</v>
      </c>
      <c r="R8126">
        <v>921</v>
      </c>
      <c r="S8126">
        <v>2213</v>
      </c>
    </row>
    <row r="8127" spans="11:19" x14ac:dyDescent="0.3">
      <c r="K8127" s="16">
        <f t="shared" si="126"/>
        <v>44354</v>
      </c>
      <c r="L8127" s="17">
        <v>0.54166666666666663</v>
      </c>
      <c r="M8127" s="14">
        <v>652</v>
      </c>
      <c r="N8127" s="14">
        <v>1174</v>
      </c>
      <c r="O8127" s="14">
        <v>0</v>
      </c>
      <c r="P8127" s="14">
        <v>1826</v>
      </c>
      <c r="Q8127">
        <v>10467</v>
      </c>
      <c r="R8127">
        <v>1025</v>
      </c>
      <c r="S8127">
        <v>2264</v>
      </c>
    </row>
    <row r="8128" spans="11:19" x14ac:dyDescent="0.3">
      <c r="K8128" s="16">
        <f t="shared" si="126"/>
        <v>44354</v>
      </c>
      <c r="L8128" s="17">
        <v>0.58333333333333337</v>
      </c>
      <c r="M8128" s="14">
        <v>652</v>
      </c>
      <c r="N8128" s="14">
        <v>1244</v>
      </c>
      <c r="O8128" s="14">
        <v>0</v>
      </c>
      <c r="P8128" s="14">
        <v>1896</v>
      </c>
      <c r="Q8128">
        <v>10513</v>
      </c>
      <c r="R8128">
        <v>1078</v>
      </c>
      <c r="S8128">
        <v>2190</v>
      </c>
    </row>
    <row r="8129" spans="11:19" x14ac:dyDescent="0.3">
      <c r="K8129" s="16">
        <f t="shared" si="126"/>
        <v>44354</v>
      </c>
      <c r="L8129" s="17">
        <v>0.625</v>
      </c>
      <c r="M8129" s="14">
        <v>652</v>
      </c>
      <c r="N8129" s="14">
        <v>0</v>
      </c>
      <c r="O8129" s="14">
        <v>16</v>
      </c>
      <c r="P8129" s="14">
        <v>668</v>
      </c>
      <c r="Q8129">
        <v>10345</v>
      </c>
      <c r="R8129">
        <v>913</v>
      </c>
      <c r="S8129">
        <v>2041</v>
      </c>
    </row>
    <row r="8130" spans="11:19" x14ac:dyDescent="0.3">
      <c r="K8130" s="16">
        <f t="shared" si="126"/>
        <v>44354</v>
      </c>
      <c r="L8130" s="17">
        <v>0.66666666666666663</v>
      </c>
      <c r="M8130" s="14">
        <v>652</v>
      </c>
      <c r="N8130" s="14">
        <v>1448</v>
      </c>
      <c r="O8130" s="14">
        <v>0</v>
      </c>
      <c r="P8130" s="14">
        <v>2100</v>
      </c>
      <c r="Q8130">
        <v>10147</v>
      </c>
      <c r="R8130">
        <v>832</v>
      </c>
      <c r="S8130">
        <v>1794</v>
      </c>
    </row>
    <row r="8131" spans="11:19" x14ac:dyDescent="0.3">
      <c r="K8131" s="16">
        <f t="shared" si="126"/>
        <v>44354</v>
      </c>
      <c r="L8131" s="17">
        <v>0.70833333333333337</v>
      </c>
      <c r="M8131" s="14">
        <v>652</v>
      </c>
      <c r="N8131" s="14">
        <v>1238</v>
      </c>
      <c r="O8131" s="14">
        <v>0</v>
      </c>
      <c r="P8131" s="14">
        <v>1890</v>
      </c>
      <c r="Q8131">
        <v>9987</v>
      </c>
      <c r="R8131">
        <v>934</v>
      </c>
      <c r="S8131">
        <v>1435</v>
      </c>
    </row>
    <row r="8132" spans="11:19" x14ac:dyDescent="0.3">
      <c r="K8132" s="16">
        <f t="shared" si="126"/>
        <v>44354</v>
      </c>
      <c r="L8132" s="17">
        <v>0.75</v>
      </c>
      <c r="M8132" s="14">
        <v>652</v>
      </c>
      <c r="N8132" s="14">
        <v>2094</v>
      </c>
      <c r="O8132" s="14">
        <v>0</v>
      </c>
      <c r="P8132" s="14">
        <v>2746</v>
      </c>
      <c r="Q8132">
        <v>9971</v>
      </c>
      <c r="R8132">
        <v>843</v>
      </c>
      <c r="S8132">
        <v>952</v>
      </c>
    </row>
    <row r="8133" spans="11:19" x14ac:dyDescent="0.3">
      <c r="K8133" s="16">
        <f t="shared" si="126"/>
        <v>44354</v>
      </c>
      <c r="L8133" s="17">
        <v>0.79166666666666663</v>
      </c>
      <c r="M8133" s="14">
        <v>652</v>
      </c>
      <c r="N8133" s="14">
        <v>2094</v>
      </c>
      <c r="O8133" s="14">
        <v>0</v>
      </c>
      <c r="P8133" s="14">
        <v>2746</v>
      </c>
      <c r="Q8133">
        <v>9762</v>
      </c>
      <c r="R8133">
        <v>916</v>
      </c>
      <c r="S8133">
        <v>482</v>
      </c>
    </row>
    <row r="8134" spans="11:19" x14ac:dyDescent="0.3">
      <c r="K8134" s="16">
        <f t="shared" si="126"/>
        <v>44354</v>
      </c>
      <c r="L8134" s="17">
        <v>0.83333333333333337</v>
      </c>
      <c r="M8134" s="14">
        <v>652</v>
      </c>
      <c r="N8134" s="14">
        <v>1959</v>
      </c>
      <c r="O8134" s="14">
        <v>0</v>
      </c>
      <c r="P8134" s="14">
        <v>2611</v>
      </c>
      <c r="Q8134">
        <v>9115</v>
      </c>
      <c r="R8134">
        <v>912</v>
      </c>
      <c r="S8134">
        <v>131</v>
      </c>
    </row>
    <row r="8135" spans="11:19" x14ac:dyDescent="0.3">
      <c r="K8135" s="16">
        <f t="shared" si="126"/>
        <v>44354</v>
      </c>
      <c r="L8135" s="17">
        <v>0.875</v>
      </c>
      <c r="M8135" s="14">
        <v>652</v>
      </c>
      <c r="N8135" s="14">
        <v>0</v>
      </c>
      <c r="O8135" s="14">
        <v>0</v>
      </c>
      <c r="P8135" s="14">
        <v>652</v>
      </c>
      <c r="Q8135">
        <v>8794</v>
      </c>
      <c r="R8135">
        <v>876</v>
      </c>
      <c r="S8135">
        <v>14</v>
      </c>
    </row>
    <row r="8136" spans="11:19" x14ac:dyDescent="0.3">
      <c r="K8136" s="16">
        <f t="shared" si="126"/>
        <v>44354</v>
      </c>
      <c r="L8136" s="17">
        <v>0.91666666666666663</v>
      </c>
      <c r="M8136" s="14">
        <v>652</v>
      </c>
      <c r="N8136" s="14">
        <v>2094</v>
      </c>
      <c r="O8136" s="14">
        <v>0</v>
      </c>
      <c r="P8136" s="14">
        <v>2746</v>
      </c>
      <c r="Q8136">
        <v>9244</v>
      </c>
      <c r="R8136">
        <v>724</v>
      </c>
      <c r="S8136">
        <v>0</v>
      </c>
    </row>
    <row r="8137" spans="11:19" x14ac:dyDescent="0.3">
      <c r="K8137" s="16">
        <f t="shared" si="126"/>
        <v>44354</v>
      </c>
      <c r="L8137" s="17">
        <v>0.95833333333333337</v>
      </c>
      <c r="M8137" s="14">
        <v>652</v>
      </c>
      <c r="N8137" s="14">
        <v>0</v>
      </c>
      <c r="O8137" s="14">
        <v>0</v>
      </c>
      <c r="P8137" s="14">
        <v>652</v>
      </c>
      <c r="Q8137">
        <v>9186</v>
      </c>
      <c r="R8137">
        <v>595</v>
      </c>
      <c r="S8137">
        <v>0</v>
      </c>
    </row>
    <row r="8138" spans="11:19" x14ac:dyDescent="0.3">
      <c r="K8138" s="16">
        <f t="shared" si="126"/>
        <v>44355</v>
      </c>
      <c r="L8138" s="17">
        <v>0</v>
      </c>
      <c r="M8138" s="14">
        <v>652</v>
      </c>
      <c r="N8138" s="14">
        <v>0</v>
      </c>
      <c r="O8138" s="14">
        <v>0</v>
      </c>
      <c r="P8138" s="14">
        <v>652</v>
      </c>
      <c r="Q8138">
        <v>8377</v>
      </c>
      <c r="R8138">
        <v>531</v>
      </c>
      <c r="S8138">
        <v>0</v>
      </c>
    </row>
    <row r="8139" spans="11:19" x14ac:dyDescent="0.3">
      <c r="K8139" s="16">
        <f t="shared" si="126"/>
        <v>44355</v>
      </c>
      <c r="L8139" s="17">
        <v>4.1666666666666664E-2</v>
      </c>
      <c r="M8139" s="14">
        <v>652</v>
      </c>
      <c r="N8139" s="14">
        <v>0</v>
      </c>
      <c r="O8139" s="14">
        <v>0</v>
      </c>
      <c r="P8139" s="14">
        <v>652</v>
      </c>
      <c r="Q8139">
        <v>7928</v>
      </c>
      <c r="R8139">
        <v>483</v>
      </c>
      <c r="S8139">
        <v>0</v>
      </c>
    </row>
    <row r="8140" spans="11:19" x14ac:dyDescent="0.3">
      <c r="K8140" s="16">
        <f t="shared" si="126"/>
        <v>44355</v>
      </c>
      <c r="L8140" s="17">
        <v>8.3333333333333329E-2</v>
      </c>
      <c r="M8140" s="14">
        <v>652</v>
      </c>
      <c r="N8140" s="14">
        <v>1216</v>
      </c>
      <c r="O8140" s="14">
        <v>0</v>
      </c>
      <c r="P8140" s="14">
        <v>1868</v>
      </c>
      <c r="Q8140">
        <v>7611</v>
      </c>
      <c r="R8140">
        <v>464</v>
      </c>
      <c r="S8140">
        <v>0</v>
      </c>
    </row>
    <row r="8141" spans="11:19" x14ac:dyDescent="0.3">
      <c r="K8141" s="16">
        <f t="shared" si="126"/>
        <v>44355</v>
      </c>
      <c r="L8141" s="17">
        <v>0.125</v>
      </c>
      <c r="M8141" s="14">
        <v>652</v>
      </c>
      <c r="N8141" s="14">
        <v>908</v>
      </c>
      <c r="O8141" s="14">
        <v>0</v>
      </c>
      <c r="P8141" s="14">
        <v>1560</v>
      </c>
      <c r="Q8141">
        <v>7244</v>
      </c>
      <c r="R8141">
        <v>407</v>
      </c>
      <c r="S8141">
        <v>0</v>
      </c>
    </row>
    <row r="8142" spans="11:19" x14ac:dyDescent="0.3">
      <c r="K8142" s="16">
        <f t="shared" si="126"/>
        <v>44355</v>
      </c>
      <c r="L8142" s="17">
        <v>0.16666666666666666</v>
      </c>
      <c r="M8142" s="14">
        <v>652</v>
      </c>
      <c r="N8142" s="14">
        <v>743</v>
      </c>
      <c r="O8142" s="14">
        <v>0</v>
      </c>
      <c r="P8142" s="14">
        <v>1395</v>
      </c>
      <c r="Q8142">
        <v>7152</v>
      </c>
      <c r="R8142">
        <v>481</v>
      </c>
      <c r="S8142">
        <v>0</v>
      </c>
    </row>
    <row r="8143" spans="11:19" x14ac:dyDescent="0.3">
      <c r="K8143" s="16">
        <f t="shared" si="126"/>
        <v>44355</v>
      </c>
      <c r="L8143" s="17">
        <v>0.20833333333333334</v>
      </c>
      <c r="M8143" s="14">
        <v>652</v>
      </c>
      <c r="N8143" s="14">
        <v>1021</v>
      </c>
      <c r="O8143" s="14">
        <v>0</v>
      </c>
      <c r="P8143" s="14">
        <v>1673</v>
      </c>
      <c r="Q8143">
        <v>7391</v>
      </c>
      <c r="R8143">
        <v>433</v>
      </c>
      <c r="S8143">
        <v>0</v>
      </c>
    </row>
    <row r="8144" spans="11:19" x14ac:dyDescent="0.3">
      <c r="K8144" s="16">
        <f t="shared" si="126"/>
        <v>44355</v>
      </c>
      <c r="L8144" s="17">
        <v>0.25</v>
      </c>
      <c r="M8144" s="14">
        <v>652</v>
      </c>
      <c r="N8144" s="14">
        <v>0</v>
      </c>
      <c r="O8144" s="14">
        <v>0</v>
      </c>
      <c r="P8144" s="14">
        <v>652</v>
      </c>
      <c r="Q8144">
        <v>8094</v>
      </c>
      <c r="R8144">
        <v>477</v>
      </c>
      <c r="S8144">
        <v>60</v>
      </c>
    </row>
    <row r="8145" spans="11:19" x14ac:dyDescent="0.3">
      <c r="K8145" s="16">
        <f t="shared" si="126"/>
        <v>44355</v>
      </c>
      <c r="L8145" s="17">
        <v>0.29166666666666669</v>
      </c>
      <c r="M8145" s="14">
        <v>652</v>
      </c>
      <c r="N8145" s="14">
        <v>2080</v>
      </c>
      <c r="O8145" s="14">
        <v>0</v>
      </c>
      <c r="P8145" s="14">
        <v>2732</v>
      </c>
      <c r="Q8145">
        <v>9010</v>
      </c>
      <c r="R8145">
        <v>511</v>
      </c>
      <c r="S8145">
        <v>335</v>
      </c>
    </row>
    <row r="8146" spans="11:19" x14ac:dyDescent="0.3">
      <c r="K8146" s="16">
        <f t="shared" si="126"/>
        <v>44355</v>
      </c>
      <c r="L8146" s="17">
        <v>0.33333333333333331</v>
      </c>
      <c r="M8146" s="14">
        <v>652</v>
      </c>
      <c r="N8146" s="14">
        <v>2082</v>
      </c>
      <c r="O8146" s="14">
        <v>0</v>
      </c>
      <c r="P8146" s="14">
        <v>2734</v>
      </c>
      <c r="Q8146">
        <v>9522</v>
      </c>
      <c r="R8146">
        <v>569</v>
      </c>
      <c r="S8146">
        <v>783</v>
      </c>
    </row>
    <row r="8147" spans="11:19" x14ac:dyDescent="0.3">
      <c r="K8147" s="16">
        <f t="shared" si="126"/>
        <v>44355</v>
      </c>
      <c r="L8147" s="17">
        <v>0.375</v>
      </c>
      <c r="M8147" s="14">
        <v>652</v>
      </c>
      <c r="N8147" s="14">
        <v>1899</v>
      </c>
      <c r="O8147" s="14">
        <v>0</v>
      </c>
      <c r="P8147" s="14">
        <v>2551</v>
      </c>
      <c r="Q8147">
        <v>9893</v>
      </c>
      <c r="R8147">
        <v>602</v>
      </c>
      <c r="S8147">
        <v>1305</v>
      </c>
    </row>
    <row r="8148" spans="11:19" x14ac:dyDescent="0.3">
      <c r="K8148" s="16">
        <f t="shared" si="126"/>
        <v>44355</v>
      </c>
      <c r="L8148" s="17">
        <v>0.41666666666666669</v>
      </c>
      <c r="M8148" s="14">
        <v>652</v>
      </c>
      <c r="N8148" s="14">
        <v>0</v>
      </c>
      <c r="O8148" s="14">
        <v>0</v>
      </c>
      <c r="P8148" s="14">
        <v>652</v>
      </c>
      <c r="Q8148">
        <v>10125</v>
      </c>
      <c r="R8148">
        <v>722</v>
      </c>
      <c r="S8148">
        <v>1746</v>
      </c>
    </row>
    <row r="8149" spans="11:19" x14ac:dyDescent="0.3">
      <c r="K8149" s="16">
        <f t="shared" si="126"/>
        <v>44355</v>
      </c>
      <c r="L8149" s="17">
        <v>0.45833333333333331</v>
      </c>
      <c r="M8149" s="14">
        <v>652</v>
      </c>
      <c r="N8149" s="14">
        <v>0</v>
      </c>
      <c r="O8149" s="14">
        <v>0</v>
      </c>
      <c r="P8149" s="14">
        <v>652</v>
      </c>
      <c r="Q8149">
        <v>10351</v>
      </c>
      <c r="R8149">
        <v>798</v>
      </c>
      <c r="S8149">
        <v>1983</v>
      </c>
    </row>
    <row r="8150" spans="11:19" x14ac:dyDescent="0.3">
      <c r="K8150" s="16">
        <f t="shared" si="126"/>
        <v>44355</v>
      </c>
      <c r="L8150" s="17">
        <v>0.5</v>
      </c>
      <c r="M8150" s="14">
        <v>652</v>
      </c>
      <c r="N8150" s="14">
        <v>1575</v>
      </c>
      <c r="O8150" s="14">
        <v>0</v>
      </c>
      <c r="P8150" s="14">
        <v>2227</v>
      </c>
      <c r="Q8150">
        <v>10496</v>
      </c>
      <c r="R8150">
        <v>814</v>
      </c>
      <c r="S8150">
        <v>2022</v>
      </c>
    </row>
    <row r="8151" spans="11:19" x14ac:dyDescent="0.3">
      <c r="K8151" s="16">
        <f t="shared" si="126"/>
        <v>44355</v>
      </c>
      <c r="L8151" s="17">
        <v>0.54166666666666663</v>
      </c>
      <c r="M8151" s="14">
        <v>652</v>
      </c>
      <c r="N8151" s="14">
        <v>0</v>
      </c>
      <c r="O8151" s="14">
        <v>0</v>
      </c>
      <c r="P8151" s="14">
        <v>652</v>
      </c>
      <c r="Q8151">
        <v>10411</v>
      </c>
      <c r="R8151">
        <v>795</v>
      </c>
      <c r="S8151">
        <v>2052</v>
      </c>
    </row>
    <row r="8152" spans="11:19" x14ac:dyDescent="0.3">
      <c r="K8152" s="16">
        <f t="shared" si="126"/>
        <v>44355</v>
      </c>
      <c r="L8152" s="17">
        <v>0.58333333333333337</v>
      </c>
      <c r="M8152" s="14">
        <v>652</v>
      </c>
      <c r="N8152" s="14">
        <v>0</v>
      </c>
      <c r="O8152" s="14">
        <v>0</v>
      </c>
      <c r="P8152" s="14">
        <v>652</v>
      </c>
      <c r="Q8152">
        <v>10470</v>
      </c>
      <c r="R8152">
        <v>646</v>
      </c>
      <c r="S8152">
        <v>2027</v>
      </c>
    </row>
    <row r="8153" spans="11:19" x14ac:dyDescent="0.3">
      <c r="K8153" s="16">
        <f t="shared" si="126"/>
        <v>44355</v>
      </c>
      <c r="L8153" s="17">
        <v>0.625</v>
      </c>
      <c r="M8153" s="14">
        <v>652</v>
      </c>
      <c r="N8153" s="14">
        <v>1725</v>
      </c>
      <c r="O8153" s="14">
        <v>0</v>
      </c>
      <c r="P8153" s="14">
        <v>2377</v>
      </c>
      <c r="Q8153">
        <v>10318</v>
      </c>
      <c r="R8153">
        <v>571</v>
      </c>
      <c r="S8153">
        <v>1945</v>
      </c>
    </row>
    <row r="8154" spans="11:19" x14ac:dyDescent="0.3">
      <c r="K8154" s="16">
        <f t="shared" si="126"/>
        <v>44355</v>
      </c>
      <c r="L8154" s="17">
        <v>0.66666666666666663</v>
      </c>
      <c r="M8154" s="14">
        <v>652</v>
      </c>
      <c r="N8154" s="14">
        <v>0</v>
      </c>
      <c r="O8154" s="14">
        <v>0</v>
      </c>
      <c r="P8154" s="14">
        <v>652</v>
      </c>
      <c r="Q8154">
        <v>10123</v>
      </c>
      <c r="R8154">
        <v>450</v>
      </c>
      <c r="S8154">
        <v>1797</v>
      </c>
    </row>
    <row r="8155" spans="11:19" x14ac:dyDescent="0.3">
      <c r="K8155" s="16">
        <f t="shared" ref="K8155:K8218" si="127">K8131+1</f>
        <v>44355</v>
      </c>
      <c r="L8155" s="17">
        <v>0.70833333333333337</v>
      </c>
      <c r="M8155" s="14">
        <v>652</v>
      </c>
      <c r="N8155" s="14">
        <v>0</v>
      </c>
      <c r="O8155" s="14">
        <v>0</v>
      </c>
      <c r="P8155" s="14">
        <v>652</v>
      </c>
      <c r="Q8155">
        <v>9977</v>
      </c>
      <c r="R8155">
        <v>542</v>
      </c>
      <c r="S8155">
        <v>1475</v>
      </c>
    </row>
    <row r="8156" spans="11:19" x14ac:dyDescent="0.3">
      <c r="K8156" s="16">
        <f t="shared" si="127"/>
        <v>44355</v>
      </c>
      <c r="L8156" s="17">
        <v>0.75</v>
      </c>
      <c r="M8156" s="14">
        <v>652</v>
      </c>
      <c r="N8156" s="14">
        <v>0</v>
      </c>
      <c r="O8156" s="14">
        <v>0</v>
      </c>
      <c r="P8156" s="14">
        <v>652</v>
      </c>
      <c r="Q8156">
        <v>9957</v>
      </c>
      <c r="R8156">
        <v>467</v>
      </c>
      <c r="S8156">
        <v>961</v>
      </c>
    </row>
    <row r="8157" spans="11:19" x14ac:dyDescent="0.3">
      <c r="K8157" s="16">
        <f t="shared" si="127"/>
        <v>44355</v>
      </c>
      <c r="L8157" s="17">
        <v>0.79166666666666663</v>
      </c>
      <c r="M8157" s="14">
        <v>652</v>
      </c>
      <c r="N8157" s="14">
        <v>2675</v>
      </c>
      <c r="O8157" s="14">
        <v>0</v>
      </c>
      <c r="P8157" s="14">
        <v>3327</v>
      </c>
      <c r="Q8157">
        <v>9742</v>
      </c>
      <c r="R8157">
        <v>460</v>
      </c>
      <c r="S8157">
        <v>485</v>
      </c>
    </row>
    <row r="8158" spans="11:19" x14ac:dyDescent="0.3">
      <c r="K8158" s="16">
        <f t="shared" si="127"/>
        <v>44355</v>
      </c>
      <c r="L8158" s="17">
        <v>0.83333333333333337</v>
      </c>
      <c r="M8158" s="14">
        <v>652</v>
      </c>
      <c r="N8158" s="14">
        <v>0</v>
      </c>
      <c r="O8158" s="14">
        <v>0</v>
      </c>
      <c r="P8158" s="14">
        <v>652</v>
      </c>
      <c r="Q8158">
        <v>9100</v>
      </c>
      <c r="R8158">
        <v>436</v>
      </c>
      <c r="S8158">
        <v>150</v>
      </c>
    </row>
    <row r="8159" spans="11:19" x14ac:dyDescent="0.3">
      <c r="K8159" s="16">
        <f t="shared" si="127"/>
        <v>44355</v>
      </c>
      <c r="L8159" s="17">
        <v>0.875</v>
      </c>
      <c r="M8159" s="14">
        <v>652</v>
      </c>
      <c r="N8159" s="14">
        <v>2648</v>
      </c>
      <c r="O8159" s="14">
        <v>0</v>
      </c>
      <c r="P8159" s="14">
        <v>3300</v>
      </c>
      <c r="Q8159">
        <v>8811</v>
      </c>
      <c r="R8159">
        <v>354</v>
      </c>
      <c r="S8159">
        <v>24</v>
      </c>
    </row>
    <row r="8160" spans="11:19" x14ac:dyDescent="0.3">
      <c r="K8160" s="16">
        <f t="shared" si="127"/>
        <v>44355</v>
      </c>
      <c r="L8160" s="17">
        <v>0.91666666666666663</v>
      </c>
      <c r="M8160" s="14">
        <v>652</v>
      </c>
      <c r="N8160" s="14">
        <v>2684</v>
      </c>
      <c r="O8160" s="14">
        <v>0</v>
      </c>
      <c r="P8160" s="14">
        <v>3336</v>
      </c>
      <c r="Q8160">
        <v>9265</v>
      </c>
      <c r="R8160">
        <v>291</v>
      </c>
      <c r="S8160">
        <v>0</v>
      </c>
    </row>
    <row r="8161" spans="11:19" x14ac:dyDescent="0.3">
      <c r="K8161" s="16">
        <f t="shared" si="127"/>
        <v>44355</v>
      </c>
      <c r="L8161" s="17">
        <v>0.95833333333333337</v>
      </c>
      <c r="M8161" s="14">
        <v>652</v>
      </c>
      <c r="N8161" s="14">
        <v>2684</v>
      </c>
      <c r="O8161" s="14">
        <v>0</v>
      </c>
      <c r="P8161" s="14">
        <v>3336</v>
      </c>
      <c r="Q8161">
        <v>9200</v>
      </c>
      <c r="R8161">
        <v>331</v>
      </c>
      <c r="S8161">
        <v>0</v>
      </c>
    </row>
    <row r="8162" spans="11:19" x14ac:dyDescent="0.3">
      <c r="K8162" s="16">
        <f t="shared" si="127"/>
        <v>44356</v>
      </c>
      <c r="L8162" s="17">
        <v>0</v>
      </c>
      <c r="M8162" s="14">
        <v>652</v>
      </c>
      <c r="N8162" s="14">
        <v>2267</v>
      </c>
      <c r="O8162" s="14">
        <v>0</v>
      </c>
      <c r="P8162" s="14">
        <v>2919</v>
      </c>
      <c r="Q8162">
        <v>8359</v>
      </c>
      <c r="R8162">
        <v>321</v>
      </c>
      <c r="S8162">
        <v>0</v>
      </c>
    </row>
    <row r="8163" spans="11:19" x14ac:dyDescent="0.3">
      <c r="K8163" s="16">
        <f t="shared" si="127"/>
        <v>44356</v>
      </c>
      <c r="L8163" s="17">
        <v>4.1666666666666664E-2</v>
      </c>
      <c r="M8163" s="14">
        <v>652</v>
      </c>
      <c r="N8163" s="14">
        <v>1788</v>
      </c>
      <c r="O8163" s="14">
        <v>0</v>
      </c>
      <c r="P8163" s="14">
        <v>2440</v>
      </c>
      <c r="Q8163">
        <v>7912</v>
      </c>
      <c r="R8163">
        <v>354</v>
      </c>
      <c r="S8163">
        <v>0</v>
      </c>
    </row>
    <row r="8164" spans="11:19" x14ac:dyDescent="0.3">
      <c r="K8164" s="16">
        <f t="shared" si="127"/>
        <v>44356</v>
      </c>
      <c r="L8164" s="17">
        <v>8.3333333333333329E-2</v>
      </c>
      <c r="M8164" s="14">
        <v>652</v>
      </c>
      <c r="N8164" s="14">
        <v>0</v>
      </c>
      <c r="O8164" s="14">
        <v>0</v>
      </c>
      <c r="P8164" s="14">
        <v>652</v>
      </c>
      <c r="Q8164">
        <v>7597</v>
      </c>
      <c r="R8164">
        <v>351</v>
      </c>
      <c r="S8164">
        <v>0</v>
      </c>
    </row>
    <row r="8165" spans="11:19" x14ac:dyDescent="0.3">
      <c r="K8165" s="16">
        <f t="shared" si="127"/>
        <v>44356</v>
      </c>
      <c r="L8165" s="17">
        <v>0.125</v>
      </c>
      <c r="M8165" s="14">
        <v>652</v>
      </c>
      <c r="N8165" s="14">
        <v>0</v>
      </c>
      <c r="O8165" s="14">
        <v>0</v>
      </c>
      <c r="P8165" s="14">
        <v>652</v>
      </c>
      <c r="Q8165">
        <v>7231</v>
      </c>
      <c r="R8165">
        <v>361</v>
      </c>
      <c r="S8165">
        <v>0</v>
      </c>
    </row>
    <row r="8166" spans="11:19" x14ac:dyDescent="0.3">
      <c r="K8166" s="16">
        <f t="shared" si="127"/>
        <v>44356</v>
      </c>
      <c r="L8166" s="17">
        <v>0.16666666666666666</v>
      </c>
      <c r="M8166" s="14">
        <v>652</v>
      </c>
      <c r="N8166" s="14">
        <v>904</v>
      </c>
      <c r="O8166" s="14">
        <v>0</v>
      </c>
      <c r="P8166" s="14">
        <v>1556</v>
      </c>
      <c r="Q8166">
        <v>7140</v>
      </c>
      <c r="R8166">
        <v>308</v>
      </c>
      <c r="S8166">
        <v>0</v>
      </c>
    </row>
    <row r="8167" spans="11:19" x14ac:dyDescent="0.3">
      <c r="K8167" s="16">
        <f t="shared" si="127"/>
        <v>44356</v>
      </c>
      <c r="L8167" s="17">
        <v>0.20833333333333334</v>
      </c>
      <c r="M8167" s="14">
        <v>652</v>
      </c>
      <c r="N8167" s="14">
        <v>0</v>
      </c>
      <c r="O8167" s="14">
        <v>0</v>
      </c>
      <c r="P8167" s="14">
        <v>652</v>
      </c>
      <c r="Q8167">
        <v>7380</v>
      </c>
      <c r="R8167">
        <v>289</v>
      </c>
      <c r="S8167">
        <v>0</v>
      </c>
    </row>
    <row r="8168" spans="11:19" x14ac:dyDescent="0.3">
      <c r="K8168" s="16">
        <f t="shared" si="127"/>
        <v>44356</v>
      </c>
      <c r="L8168" s="17">
        <v>0.25</v>
      </c>
      <c r="M8168" s="14">
        <v>652</v>
      </c>
      <c r="N8168" s="14">
        <v>1720</v>
      </c>
      <c r="O8168" s="14">
        <v>0</v>
      </c>
      <c r="P8168" s="14">
        <v>2372</v>
      </c>
      <c r="Q8168">
        <v>8087</v>
      </c>
      <c r="R8168">
        <v>321</v>
      </c>
      <c r="S8168">
        <v>69</v>
      </c>
    </row>
    <row r="8169" spans="11:19" x14ac:dyDescent="0.3">
      <c r="K8169" s="16">
        <f t="shared" si="127"/>
        <v>44356</v>
      </c>
      <c r="L8169" s="17">
        <v>0.29166666666666669</v>
      </c>
      <c r="M8169" s="14">
        <v>652</v>
      </c>
      <c r="N8169" s="14">
        <v>0</v>
      </c>
      <c r="O8169" s="14">
        <v>0</v>
      </c>
      <c r="P8169" s="14">
        <v>652</v>
      </c>
      <c r="Q8169">
        <v>9003</v>
      </c>
      <c r="R8169">
        <v>285</v>
      </c>
      <c r="S8169">
        <v>402</v>
      </c>
    </row>
    <row r="8170" spans="11:19" x14ac:dyDescent="0.3">
      <c r="K8170" s="16">
        <f t="shared" si="127"/>
        <v>44356</v>
      </c>
      <c r="L8170" s="17">
        <v>0.33333333333333331</v>
      </c>
      <c r="M8170" s="14">
        <v>652</v>
      </c>
      <c r="N8170" s="14">
        <v>2159</v>
      </c>
      <c r="O8170" s="14">
        <v>0</v>
      </c>
      <c r="P8170" s="14">
        <v>2811</v>
      </c>
      <c r="Q8170">
        <v>9519</v>
      </c>
      <c r="R8170">
        <v>300</v>
      </c>
      <c r="S8170">
        <v>893</v>
      </c>
    </row>
    <row r="8171" spans="11:19" x14ac:dyDescent="0.3">
      <c r="K8171" s="16">
        <f t="shared" si="127"/>
        <v>44356</v>
      </c>
      <c r="L8171" s="17">
        <v>0.375</v>
      </c>
      <c r="M8171" s="14">
        <v>652</v>
      </c>
      <c r="N8171" s="14">
        <v>1849</v>
      </c>
      <c r="O8171" s="14">
        <v>0</v>
      </c>
      <c r="P8171" s="14">
        <v>2501</v>
      </c>
      <c r="Q8171">
        <v>9894</v>
      </c>
      <c r="R8171">
        <v>383</v>
      </c>
      <c r="S8171">
        <v>1496</v>
      </c>
    </row>
    <row r="8172" spans="11:19" x14ac:dyDescent="0.3">
      <c r="K8172" s="16">
        <f t="shared" si="127"/>
        <v>44356</v>
      </c>
      <c r="L8172" s="17">
        <v>0.41666666666666669</v>
      </c>
      <c r="M8172" s="14">
        <v>652</v>
      </c>
      <c r="N8172" s="14">
        <v>1596</v>
      </c>
      <c r="O8172" s="14">
        <v>0</v>
      </c>
      <c r="P8172" s="14">
        <v>2248</v>
      </c>
      <c r="Q8172">
        <v>10133</v>
      </c>
      <c r="R8172">
        <v>407</v>
      </c>
      <c r="S8172">
        <v>1965</v>
      </c>
    </row>
    <row r="8173" spans="11:19" x14ac:dyDescent="0.3">
      <c r="K8173" s="16">
        <f t="shared" si="127"/>
        <v>44356</v>
      </c>
      <c r="L8173" s="17">
        <v>0.45833333333333331</v>
      </c>
      <c r="M8173" s="14">
        <v>652</v>
      </c>
      <c r="N8173" s="14">
        <v>0</v>
      </c>
      <c r="O8173" s="14">
        <v>0</v>
      </c>
      <c r="P8173" s="14">
        <v>652</v>
      </c>
      <c r="Q8173">
        <v>10368</v>
      </c>
      <c r="R8173">
        <v>363</v>
      </c>
      <c r="S8173">
        <v>2221</v>
      </c>
    </row>
    <row r="8174" spans="11:19" x14ac:dyDescent="0.3">
      <c r="K8174" s="16">
        <f t="shared" si="127"/>
        <v>44356</v>
      </c>
      <c r="L8174" s="17">
        <v>0.5</v>
      </c>
      <c r="M8174" s="14">
        <v>652</v>
      </c>
      <c r="N8174" s="14">
        <v>1778</v>
      </c>
      <c r="O8174" s="14">
        <v>0</v>
      </c>
      <c r="P8174" s="14">
        <v>2430</v>
      </c>
      <c r="Q8174">
        <v>10523</v>
      </c>
      <c r="R8174">
        <v>359</v>
      </c>
      <c r="S8174">
        <v>2302</v>
      </c>
    </row>
    <row r="8175" spans="11:19" x14ac:dyDescent="0.3">
      <c r="K8175" s="16">
        <f t="shared" si="127"/>
        <v>44356</v>
      </c>
      <c r="L8175" s="17">
        <v>0.54166666666666663</v>
      </c>
      <c r="M8175" s="14">
        <v>652</v>
      </c>
      <c r="N8175" s="14">
        <v>1680</v>
      </c>
      <c r="O8175" s="14">
        <v>0</v>
      </c>
      <c r="P8175" s="14">
        <v>2332</v>
      </c>
      <c r="Q8175">
        <v>10450</v>
      </c>
      <c r="R8175">
        <v>370</v>
      </c>
      <c r="S8175">
        <v>2318</v>
      </c>
    </row>
    <row r="8176" spans="11:19" x14ac:dyDescent="0.3">
      <c r="K8176" s="16">
        <f t="shared" si="127"/>
        <v>44356</v>
      </c>
      <c r="L8176" s="17">
        <v>0.58333333333333337</v>
      </c>
      <c r="M8176" s="14">
        <v>652</v>
      </c>
      <c r="N8176" s="14">
        <v>1822</v>
      </c>
      <c r="O8176" s="14">
        <v>0</v>
      </c>
      <c r="P8176" s="14">
        <v>2474</v>
      </c>
      <c r="Q8176">
        <v>10524</v>
      </c>
      <c r="R8176">
        <v>329</v>
      </c>
      <c r="S8176">
        <v>2294</v>
      </c>
    </row>
    <row r="8177" spans="11:19" x14ac:dyDescent="0.3">
      <c r="K8177" s="16">
        <f t="shared" si="127"/>
        <v>44356</v>
      </c>
      <c r="L8177" s="17">
        <v>0.625</v>
      </c>
      <c r="M8177" s="14">
        <v>652</v>
      </c>
      <c r="N8177" s="14">
        <v>1838</v>
      </c>
      <c r="O8177" s="14">
        <v>0</v>
      </c>
      <c r="P8177" s="14">
        <v>2490</v>
      </c>
      <c r="Q8177">
        <v>10385</v>
      </c>
      <c r="R8177">
        <v>331</v>
      </c>
      <c r="S8177">
        <v>2139</v>
      </c>
    </row>
    <row r="8178" spans="11:19" x14ac:dyDescent="0.3">
      <c r="K8178" s="16">
        <f t="shared" si="127"/>
        <v>44356</v>
      </c>
      <c r="L8178" s="17">
        <v>0.66666666666666663</v>
      </c>
      <c r="M8178" s="14">
        <v>652</v>
      </c>
      <c r="N8178" s="14">
        <v>1924</v>
      </c>
      <c r="O8178" s="14">
        <v>0</v>
      </c>
      <c r="P8178" s="14">
        <v>2576</v>
      </c>
      <c r="Q8178">
        <v>10196</v>
      </c>
      <c r="R8178">
        <v>306</v>
      </c>
      <c r="S8178">
        <v>1896</v>
      </c>
    </row>
    <row r="8179" spans="11:19" x14ac:dyDescent="0.3">
      <c r="K8179" s="16">
        <f t="shared" si="127"/>
        <v>44356</v>
      </c>
      <c r="L8179" s="17">
        <v>0.70833333333333337</v>
      </c>
      <c r="M8179" s="14">
        <v>652</v>
      </c>
      <c r="N8179" s="14">
        <v>2087</v>
      </c>
      <c r="O8179" s="14">
        <v>0</v>
      </c>
      <c r="P8179" s="14">
        <v>2739</v>
      </c>
      <c r="Q8179">
        <v>10048</v>
      </c>
      <c r="R8179">
        <v>277</v>
      </c>
      <c r="S8179">
        <v>1539</v>
      </c>
    </row>
    <row r="8180" spans="11:19" x14ac:dyDescent="0.3">
      <c r="K8180" s="16">
        <f t="shared" si="127"/>
        <v>44356</v>
      </c>
      <c r="L8180" s="17">
        <v>0.75</v>
      </c>
      <c r="M8180" s="14">
        <v>652</v>
      </c>
      <c r="N8180" s="14">
        <v>0</v>
      </c>
      <c r="O8180" s="14">
        <v>0</v>
      </c>
      <c r="P8180" s="14">
        <v>652</v>
      </c>
      <c r="Q8180">
        <v>10014</v>
      </c>
      <c r="R8180">
        <v>334</v>
      </c>
      <c r="S8180">
        <v>1035</v>
      </c>
    </row>
    <row r="8181" spans="11:19" x14ac:dyDescent="0.3">
      <c r="K8181" s="16">
        <f t="shared" si="127"/>
        <v>44356</v>
      </c>
      <c r="L8181" s="17">
        <v>0.79166666666666663</v>
      </c>
      <c r="M8181" s="14">
        <v>652</v>
      </c>
      <c r="N8181" s="14">
        <v>128</v>
      </c>
      <c r="O8181" s="14">
        <v>0</v>
      </c>
      <c r="P8181" s="14">
        <v>780</v>
      </c>
      <c r="Q8181">
        <v>9787</v>
      </c>
      <c r="R8181">
        <v>482</v>
      </c>
      <c r="S8181">
        <v>516</v>
      </c>
    </row>
    <row r="8182" spans="11:19" x14ac:dyDescent="0.3">
      <c r="K8182" s="16">
        <f t="shared" si="127"/>
        <v>44356</v>
      </c>
      <c r="L8182" s="17">
        <v>0.83333333333333337</v>
      </c>
      <c r="M8182" s="14">
        <v>652</v>
      </c>
      <c r="N8182" s="14">
        <v>0</v>
      </c>
      <c r="O8182" s="14">
        <v>0</v>
      </c>
      <c r="P8182" s="14">
        <v>652</v>
      </c>
      <c r="Q8182">
        <v>9139</v>
      </c>
      <c r="R8182">
        <v>532</v>
      </c>
      <c r="S8182">
        <v>170</v>
      </c>
    </row>
    <row r="8183" spans="11:19" x14ac:dyDescent="0.3">
      <c r="K8183" s="16">
        <f t="shared" si="127"/>
        <v>44356</v>
      </c>
      <c r="L8183" s="17">
        <v>0.875</v>
      </c>
      <c r="M8183" s="14">
        <v>652</v>
      </c>
      <c r="N8183" s="14">
        <v>2259</v>
      </c>
      <c r="O8183" s="14">
        <v>0</v>
      </c>
      <c r="P8183" s="14">
        <v>2911</v>
      </c>
      <c r="Q8183">
        <v>8847</v>
      </c>
      <c r="R8183">
        <v>458</v>
      </c>
      <c r="S8183">
        <v>25</v>
      </c>
    </row>
    <row r="8184" spans="11:19" x14ac:dyDescent="0.3">
      <c r="K8184" s="16">
        <f t="shared" si="127"/>
        <v>44356</v>
      </c>
      <c r="L8184" s="17">
        <v>0.91666666666666663</v>
      </c>
      <c r="M8184" s="14">
        <v>652</v>
      </c>
      <c r="N8184" s="14">
        <v>302</v>
      </c>
      <c r="O8184" s="14">
        <v>0</v>
      </c>
      <c r="P8184" s="14">
        <v>954</v>
      </c>
      <c r="Q8184">
        <v>9301</v>
      </c>
      <c r="R8184">
        <v>353</v>
      </c>
      <c r="S8184">
        <v>0</v>
      </c>
    </row>
    <row r="8185" spans="11:19" x14ac:dyDescent="0.3">
      <c r="K8185" s="16">
        <f t="shared" si="127"/>
        <v>44356</v>
      </c>
      <c r="L8185" s="17">
        <v>0.95833333333333337</v>
      </c>
      <c r="M8185" s="14">
        <v>652</v>
      </c>
      <c r="N8185" s="14">
        <v>2776</v>
      </c>
      <c r="O8185" s="14">
        <v>0</v>
      </c>
      <c r="P8185" s="14">
        <v>3428</v>
      </c>
      <c r="Q8185">
        <v>9227</v>
      </c>
      <c r="R8185">
        <v>354</v>
      </c>
      <c r="S8185">
        <v>0</v>
      </c>
    </row>
    <row r="8186" spans="11:19" x14ac:dyDescent="0.3">
      <c r="K8186" s="16">
        <f t="shared" si="127"/>
        <v>44357</v>
      </c>
      <c r="L8186" s="17">
        <v>0</v>
      </c>
      <c r="M8186" s="14">
        <v>652</v>
      </c>
      <c r="N8186" s="14">
        <v>0</v>
      </c>
      <c r="O8186" s="14">
        <v>0</v>
      </c>
      <c r="P8186" s="14">
        <v>652</v>
      </c>
      <c r="Q8186">
        <v>8380</v>
      </c>
      <c r="R8186">
        <v>323</v>
      </c>
      <c r="S8186">
        <v>0</v>
      </c>
    </row>
    <row r="8187" spans="11:19" x14ac:dyDescent="0.3">
      <c r="K8187" s="16">
        <f t="shared" si="127"/>
        <v>44357</v>
      </c>
      <c r="L8187" s="17">
        <v>4.1666666666666664E-2</v>
      </c>
      <c r="M8187" s="14">
        <v>652</v>
      </c>
      <c r="N8187" s="14">
        <v>0</v>
      </c>
      <c r="O8187" s="14">
        <v>0</v>
      </c>
      <c r="P8187" s="14">
        <v>652</v>
      </c>
      <c r="Q8187">
        <v>7932</v>
      </c>
      <c r="R8187">
        <v>240</v>
      </c>
      <c r="S8187">
        <v>0</v>
      </c>
    </row>
    <row r="8188" spans="11:19" x14ac:dyDescent="0.3">
      <c r="K8188" s="16">
        <f t="shared" si="127"/>
        <v>44357</v>
      </c>
      <c r="L8188" s="17">
        <v>8.3333333333333329E-2</v>
      </c>
      <c r="M8188" s="14">
        <v>652</v>
      </c>
      <c r="N8188" s="14">
        <v>0</v>
      </c>
      <c r="O8188" s="14">
        <v>0</v>
      </c>
      <c r="P8188" s="14">
        <v>652</v>
      </c>
      <c r="Q8188">
        <v>7617</v>
      </c>
      <c r="R8188">
        <v>249</v>
      </c>
      <c r="S8188">
        <v>0</v>
      </c>
    </row>
    <row r="8189" spans="11:19" x14ac:dyDescent="0.3">
      <c r="K8189" s="16">
        <f t="shared" si="127"/>
        <v>44357</v>
      </c>
      <c r="L8189" s="17">
        <v>0.125</v>
      </c>
      <c r="M8189" s="14">
        <v>652</v>
      </c>
      <c r="N8189" s="14">
        <v>1052</v>
      </c>
      <c r="O8189" s="14">
        <v>0</v>
      </c>
      <c r="P8189" s="14">
        <v>1704</v>
      </c>
      <c r="Q8189">
        <v>7252</v>
      </c>
      <c r="R8189">
        <v>273</v>
      </c>
      <c r="S8189">
        <v>0</v>
      </c>
    </row>
    <row r="8190" spans="11:19" x14ac:dyDescent="0.3">
      <c r="K8190" s="16">
        <f t="shared" si="127"/>
        <v>44357</v>
      </c>
      <c r="L8190" s="17">
        <v>0.16666666666666666</v>
      </c>
      <c r="M8190" s="14">
        <v>652</v>
      </c>
      <c r="N8190" s="14">
        <v>0</v>
      </c>
      <c r="O8190" s="14">
        <v>0</v>
      </c>
      <c r="P8190" s="14">
        <v>652</v>
      </c>
      <c r="Q8190">
        <v>7163</v>
      </c>
      <c r="R8190">
        <v>298</v>
      </c>
      <c r="S8190">
        <v>0</v>
      </c>
    </row>
    <row r="8191" spans="11:19" x14ac:dyDescent="0.3">
      <c r="K8191" s="16">
        <f t="shared" si="127"/>
        <v>44357</v>
      </c>
      <c r="L8191" s="17">
        <v>0.20833333333333334</v>
      </c>
      <c r="M8191" s="14">
        <v>652</v>
      </c>
      <c r="N8191" s="14">
        <v>0</v>
      </c>
      <c r="O8191" s="14">
        <v>0</v>
      </c>
      <c r="P8191" s="14">
        <v>652</v>
      </c>
      <c r="Q8191">
        <v>7404</v>
      </c>
      <c r="R8191">
        <v>325</v>
      </c>
      <c r="S8191">
        <v>1</v>
      </c>
    </row>
    <row r="8192" spans="11:19" x14ac:dyDescent="0.3">
      <c r="K8192" s="16">
        <f t="shared" si="127"/>
        <v>44357</v>
      </c>
      <c r="L8192" s="17">
        <v>0.25</v>
      </c>
      <c r="M8192" s="14">
        <v>652</v>
      </c>
      <c r="N8192" s="14">
        <v>1765</v>
      </c>
      <c r="O8192" s="14">
        <v>0</v>
      </c>
      <c r="P8192" s="14">
        <v>2417</v>
      </c>
      <c r="Q8192">
        <v>8110</v>
      </c>
      <c r="R8192">
        <v>307</v>
      </c>
      <c r="S8192">
        <v>62</v>
      </c>
    </row>
    <row r="8193" spans="11:19" x14ac:dyDescent="0.3">
      <c r="K8193" s="16">
        <f t="shared" si="127"/>
        <v>44357</v>
      </c>
      <c r="L8193" s="17">
        <v>0.29166666666666669</v>
      </c>
      <c r="M8193" s="14">
        <v>652</v>
      </c>
      <c r="N8193" s="14">
        <v>2302</v>
      </c>
      <c r="O8193" s="14">
        <v>0</v>
      </c>
      <c r="P8193" s="14">
        <v>2954</v>
      </c>
      <c r="Q8193">
        <v>9033</v>
      </c>
      <c r="R8193">
        <v>338</v>
      </c>
      <c r="S8193">
        <v>391</v>
      </c>
    </row>
    <row r="8194" spans="11:19" x14ac:dyDescent="0.3">
      <c r="K8194" s="16">
        <f t="shared" si="127"/>
        <v>44357</v>
      </c>
      <c r="L8194" s="17">
        <v>0.33333333333333331</v>
      </c>
      <c r="M8194" s="14">
        <v>652</v>
      </c>
      <c r="N8194" s="14">
        <v>2167</v>
      </c>
      <c r="O8194" s="14">
        <v>0</v>
      </c>
      <c r="P8194" s="14">
        <v>2819</v>
      </c>
      <c r="Q8194">
        <v>9551</v>
      </c>
      <c r="R8194">
        <v>354</v>
      </c>
      <c r="S8194">
        <v>864</v>
      </c>
    </row>
    <row r="8195" spans="11:19" x14ac:dyDescent="0.3">
      <c r="K8195" s="16">
        <f t="shared" si="127"/>
        <v>44357</v>
      </c>
      <c r="L8195" s="17">
        <v>0.375</v>
      </c>
      <c r="M8195" s="14">
        <v>652</v>
      </c>
      <c r="N8195" s="14">
        <v>1998</v>
      </c>
      <c r="O8195" s="14">
        <v>0</v>
      </c>
      <c r="P8195" s="14">
        <v>2650</v>
      </c>
      <c r="Q8195">
        <v>9933</v>
      </c>
      <c r="R8195">
        <v>302</v>
      </c>
      <c r="S8195">
        <v>1468</v>
      </c>
    </row>
    <row r="8196" spans="11:19" x14ac:dyDescent="0.3">
      <c r="K8196" s="16">
        <f t="shared" si="127"/>
        <v>44357</v>
      </c>
      <c r="L8196" s="17">
        <v>0.41666666666666669</v>
      </c>
      <c r="M8196" s="14">
        <v>652</v>
      </c>
      <c r="N8196" s="14">
        <v>1913</v>
      </c>
      <c r="O8196" s="14">
        <v>0</v>
      </c>
      <c r="P8196" s="14">
        <v>2565</v>
      </c>
      <c r="Q8196">
        <v>10179</v>
      </c>
      <c r="R8196">
        <v>248</v>
      </c>
      <c r="S8196">
        <v>1854</v>
      </c>
    </row>
    <row r="8197" spans="11:19" x14ac:dyDescent="0.3">
      <c r="K8197" s="16">
        <f t="shared" si="127"/>
        <v>44357</v>
      </c>
      <c r="L8197" s="17">
        <v>0.45833333333333331</v>
      </c>
      <c r="M8197" s="14">
        <v>652</v>
      </c>
      <c r="N8197" s="14">
        <v>0</v>
      </c>
      <c r="O8197" s="14">
        <v>0</v>
      </c>
      <c r="P8197" s="14">
        <v>652</v>
      </c>
      <c r="Q8197">
        <v>10418</v>
      </c>
      <c r="R8197">
        <v>233</v>
      </c>
      <c r="S8197">
        <v>2099</v>
      </c>
    </row>
    <row r="8198" spans="11:19" x14ac:dyDescent="0.3">
      <c r="K8198" s="16">
        <f t="shared" si="127"/>
        <v>44357</v>
      </c>
      <c r="L8198" s="17">
        <v>0.5</v>
      </c>
      <c r="M8198" s="14">
        <v>652</v>
      </c>
      <c r="N8198" s="14">
        <v>0</v>
      </c>
      <c r="O8198" s="14">
        <v>0</v>
      </c>
      <c r="P8198" s="14">
        <v>652</v>
      </c>
      <c r="Q8198">
        <v>10573</v>
      </c>
      <c r="R8198">
        <v>241</v>
      </c>
      <c r="S8198">
        <v>2132</v>
      </c>
    </row>
    <row r="8199" spans="11:19" x14ac:dyDescent="0.3">
      <c r="K8199" s="16">
        <f t="shared" si="127"/>
        <v>44357</v>
      </c>
      <c r="L8199" s="17">
        <v>0.54166666666666663</v>
      </c>
      <c r="M8199" s="14">
        <v>652</v>
      </c>
      <c r="N8199" s="14">
        <v>1923</v>
      </c>
      <c r="O8199" s="14">
        <v>0</v>
      </c>
      <c r="P8199" s="14">
        <v>2575</v>
      </c>
      <c r="Q8199">
        <v>10501</v>
      </c>
      <c r="R8199">
        <v>253</v>
      </c>
      <c r="S8199">
        <v>2164</v>
      </c>
    </row>
    <row r="8200" spans="11:19" x14ac:dyDescent="0.3">
      <c r="K8200" s="16">
        <f t="shared" si="127"/>
        <v>44357</v>
      </c>
      <c r="L8200" s="17">
        <v>0.58333333333333337</v>
      </c>
      <c r="M8200" s="14">
        <v>652</v>
      </c>
      <c r="N8200" s="14">
        <v>2111</v>
      </c>
      <c r="O8200" s="14">
        <v>0</v>
      </c>
      <c r="P8200" s="14">
        <v>2763</v>
      </c>
      <c r="Q8200">
        <v>10579</v>
      </c>
      <c r="R8200">
        <v>235</v>
      </c>
      <c r="S8200">
        <v>2075</v>
      </c>
    </row>
    <row r="8201" spans="11:19" x14ac:dyDescent="0.3">
      <c r="K8201" s="16">
        <f t="shared" si="127"/>
        <v>44357</v>
      </c>
      <c r="L8201" s="17">
        <v>0.625</v>
      </c>
      <c r="M8201" s="14">
        <v>652</v>
      </c>
      <c r="N8201" s="14">
        <v>0</v>
      </c>
      <c r="O8201" s="14">
        <v>0</v>
      </c>
      <c r="P8201" s="14">
        <v>652</v>
      </c>
      <c r="Q8201">
        <v>10437</v>
      </c>
      <c r="R8201">
        <v>310</v>
      </c>
      <c r="S8201">
        <v>1974</v>
      </c>
    </row>
    <row r="8202" spans="11:19" x14ac:dyDescent="0.3">
      <c r="K8202" s="16">
        <f t="shared" si="127"/>
        <v>44357</v>
      </c>
      <c r="L8202" s="17">
        <v>0.66666666666666663</v>
      </c>
      <c r="M8202" s="14">
        <v>652</v>
      </c>
      <c r="N8202" s="14">
        <v>1774</v>
      </c>
      <c r="O8202" s="14">
        <v>0</v>
      </c>
      <c r="P8202" s="14">
        <v>2426</v>
      </c>
      <c r="Q8202">
        <v>10243</v>
      </c>
      <c r="R8202">
        <v>501</v>
      </c>
      <c r="S8202">
        <v>1819</v>
      </c>
    </row>
    <row r="8203" spans="11:19" x14ac:dyDescent="0.3">
      <c r="K8203" s="16">
        <f t="shared" si="127"/>
        <v>44357</v>
      </c>
      <c r="L8203" s="17">
        <v>0.70833333333333337</v>
      </c>
      <c r="M8203" s="14">
        <v>652</v>
      </c>
      <c r="N8203" s="14">
        <v>1733</v>
      </c>
      <c r="O8203" s="14">
        <v>0</v>
      </c>
      <c r="P8203" s="14">
        <v>2385</v>
      </c>
      <c r="Q8203">
        <v>10089</v>
      </c>
      <c r="R8203">
        <v>729</v>
      </c>
      <c r="S8203">
        <v>1483</v>
      </c>
    </row>
    <row r="8204" spans="11:19" x14ac:dyDescent="0.3">
      <c r="K8204" s="16">
        <f t="shared" si="127"/>
        <v>44357</v>
      </c>
      <c r="L8204" s="17">
        <v>0.75</v>
      </c>
      <c r="M8204" s="14">
        <v>652</v>
      </c>
      <c r="N8204" s="14">
        <v>2053</v>
      </c>
      <c r="O8204" s="14">
        <v>0</v>
      </c>
      <c r="P8204" s="14">
        <v>2705</v>
      </c>
      <c r="Q8204">
        <v>10044</v>
      </c>
      <c r="R8204">
        <v>871</v>
      </c>
      <c r="S8204">
        <v>983</v>
      </c>
    </row>
    <row r="8205" spans="11:19" x14ac:dyDescent="0.3">
      <c r="K8205" s="16">
        <f t="shared" si="127"/>
        <v>44357</v>
      </c>
      <c r="L8205" s="17">
        <v>0.79166666666666663</v>
      </c>
      <c r="M8205" s="14">
        <v>652</v>
      </c>
      <c r="N8205" s="14">
        <v>2065</v>
      </c>
      <c r="O8205" s="14">
        <v>0</v>
      </c>
      <c r="P8205" s="14">
        <v>2717</v>
      </c>
      <c r="Q8205">
        <v>9811</v>
      </c>
      <c r="R8205">
        <v>1117</v>
      </c>
      <c r="S8205">
        <v>508</v>
      </c>
    </row>
    <row r="8206" spans="11:19" x14ac:dyDescent="0.3">
      <c r="K8206" s="16">
        <f t="shared" si="127"/>
        <v>44357</v>
      </c>
      <c r="L8206" s="17">
        <v>0.83333333333333337</v>
      </c>
      <c r="M8206" s="14">
        <v>652</v>
      </c>
      <c r="N8206" s="14">
        <v>0</v>
      </c>
      <c r="O8206" s="14">
        <v>0</v>
      </c>
      <c r="P8206" s="14">
        <v>652</v>
      </c>
      <c r="Q8206">
        <v>9159</v>
      </c>
      <c r="R8206">
        <v>1242</v>
      </c>
      <c r="S8206">
        <v>174</v>
      </c>
    </row>
    <row r="8207" spans="11:19" x14ac:dyDescent="0.3">
      <c r="K8207" s="16">
        <f t="shared" si="127"/>
        <v>44357</v>
      </c>
      <c r="L8207" s="17">
        <v>0.875</v>
      </c>
      <c r="M8207" s="14">
        <v>652</v>
      </c>
      <c r="N8207" s="14">
        <v>0</v>
      </c>
      <c r="O8207" s="14">
        <v>0</v>
      </c>
      <c r="P8207" s="14">
        <v>652</v>
      </c>
      <c r="Q8207">
        <v>8866</v>
      </c>
      <c r="R8207">
        <v>1214</v>
      </c>
      <c r="S8207">
        <v>22</v>
      </c>
    </row>
    <row r="8208" spans="11:19" x14ac:dyDescent="0.3">
      <c r="K8208" s="16">
        <f t="shared" si="127"/>
        <v>44357</v>
      </c>
      <c r="L8208" s="17">
        <v>0.91666666666666663</v>
      </c>
      <c r="M8208" s="14">
        <v>652</v>
      </c>
      <c r="N8208" s="14">
        <v>2042</v>
      </c>
      <c r="O8208" s="14">
        <v>0</v>
      </c>
      <c r="P8208" s="14">
        <v>2694</v>
      </c>
      <c r="Q8208">
        <v>9321</v>
      </c>
      <c r="R8208">
        <v>1174</v>
      </c>
      <c r="S8208">
        <v>0</v>
      </c>
    </row>
    <row r="8209" spans="11:19" x14ac:dyDescent="0.3">
      <c r="K8209" s="16">
        <f t="shared" si="127"/>
        <v>44357</v>
      </c>
      <c r="L8209" s="17">
        <v>0.95833333333333337</v>
      </c>
      <c r="M8209" s="14">
        <v>652</v>
      </c>
      <c r="N8209" s="14">
        <v>2111</v>
      </c>
      <c r="O8209" s="14">
        <v>0</v>
      </c>
      <c r="P8209" s="14">
        <v>2763</v>
      </c>
      <c r="Q8209">
        <v>9242</v>
      </c>
      <c r="R8209">
        <v>1035</v>
      </c>
      <c r="S8209">
        <v>0</v>
      </c>
    </row>
    <row r="8210" spans="11:19" x14ac:dyDescent="0.3">
      <c r="K8210" s="16">
        <f t="shared" si="127"/>
        <v>44358</v>
      </c>
      <c r="L8210" s="17">
        <v>0</v>
      </c>
      <c r="M8210" s="14">
        <v>652</v>
      </c>
      <c r="N8210" s="14">
        <v>1324</v>
      </c>
      <c r="O8210" s="14">
        <v>0</v>
      </c>
      <c r="P8210" s="14">
        <v>1976</v>
      </c>
      <c r="Q8210">
        <v>8388</v>
      </c>
      <c r="R8210">
        <v>973</v>
      </c>
      <c r="S8210">
        <v>0</v>
      </c>
    </row>
    <row r="8211" spans="11:19" x14ac:dyDescent="0.3">
      <c r="K8211" s="16">
        <f t="shared" si="127"/>
        <v>44358</v>
      </c>
      <c r="L8211" s="17">
        <v>4.1666666666666664E-2</v>
      </c>
      <c r="M8211" s="14">
        <v>652</v>
      </c>
      <c r="N8211" s="14">
        <v>0</v>
      </c>
      <c r="O8211" s="14">
        <v>0</v>
      </c>
      <c r="P8211" s="14">
        <v>652</v>
      </c>
      <c r="Q8211">
        <v>7918</v>
      </c>
      <c r="R8211">
        <v>734</v>
      </c>
      <c r="S8211">
        <v>0</v>
      </c>
    </row>
    <row r="8212" spans="11:19" x14ac:dyDescent="0.3">
      <c r="K8212" s="16">
        <f t="shared" si="127"/>
        <v>44358</v>
      </c>
      <c r="L8212" s="17">
        <v>8.3333333333333329E-2</v>
      </c>
      <c r="M8212" s="14">
        <v>652</v>
      </c>
      <c r="N8212" s="14">
        <v>0</v>
      </c>
      <c r="O8212" s="14">
        <v>0</v>
      </c>
      <c r="P8212" s="14">
        <v>652</v>
      </c>
      <c r="Q8212">
        <v>7601</v>
      </c>
      <c r="R8212">
        <v>571</v>
      </c>
      <c r="S8212">
        <v>0</v>
      </c>
    </row>
    <row r="8213" spans="11:19" x14ac:dyDescent="0.3">
      <c r="K8213" s="16">
        <f t="shared" si="127"/>
        <v>44358</v>
      </c>
      <c r="L8213" s="17">
        <v>0.125</v>
      </c>
      <c r="M8213" s="14">
        <v>652</v>
      </c>
      <c r="N8213" s="14">
        <v>0</v>
      </c>
      <c r="O8213" s="14">
        <v>0</v>
      </c>
      <c r="P8213" s="14">
        <v>652</v>
      </c>
      <c r="Q8213">
        <v>7248</v>
      </c>
      <c r="R8213">
        <v>556</v>
      </c>
      <c r="S8213">
        <v>0</v>
      </c>
    </row>
    <row r="8214" spans="11:19" x14ac:dyDescent="0.3">
      <c r="K8214" s="16">
        <f t="shared" si="127"/>
        <v>44358</v>
      </c>
      <c r="L8214" s="17">
        <v>0.16666666666666666</v>
      </c>
      <c r="M8214" s="14">
        <v>652</v>
      </c>
      <c r="N8214" s="14">
        <v>424</v>
      </c>
      <c r="O8214" s="14">
        <v>0</v>
      </c>
      <c r="P8214" s="14">
        <v>1076</v>
      </c>
      <c r="Q8214">
        <v>7165</v>
      </c>
      <c r="R8214">
        <v>733</v>
      </c>
      <c r="S8214">
        <v>0</v>
      </c>
    </row>
    <row r="8215" spans="11:19" x14ac:dyDescent="0.3">
      <c r="K8215" s="16">
        <f t="shared" si="127"/>
        <v>44358</v>
      </c>
      <c r="L8215" s="17">
        <v>0.20833333333333334</v>
      </c>
      <c r="M8215" s="14">
        <v>652</v>
      </c>
      <c r="N8215" s="14">
        <v>561</v>
      </c>
      <c r="O8215" s="14">
        <v>0</v>
      </c>
      <c r="P8215" s="14">
        <v>1213</v>
      </c>
      <c r="Q8215">
        <v>7391</v>
      </c>
      <c r="R8215">
        <v>813</v>
      </c>
      <c r="S8215">
        <v>1</v>
      </c>
    </row>
    <row r="8216" spans="11:19" x14ac:dyDescent="0.3">
      <c r="K8216" s="16">
        <f t="shared" si="127"/>
        <v>44358</v>
      </c>
      <c r="L8216" s="17">
        <v>0.25</v>
      </c>
      <c r="M8216" s="14">
        <v>652</v>
      </c>
      <c r="N8216" s="14">
        <v>1125</v>
      </c>
      <c r="O8216" s="14">
        <v>0</v>
      </c>
      <c r="P8216" s="14">
        <v>1777</v>
      </c>
      <c r="Q8216">
        <v>8064</v>
      </c>
      <c r="R8216">
        <v>813</v>
      </c>
      <c r="S8216">
        <v>69</v>
      </c>
    </row>
    <row r="8217" spans="11:19" x14ac:dyDescent="0.3">
      <c r="K8217" s="16">
        <f t="shared" si="127"/>
        <v>44358</v>
      </c>
      <c r="L8217" s="17">
        <v>0.29166666666666669</v>
      </c>
      <c r="M8217" s="14">
        <v>652</v>
      </c>
      <c r="N8217" s="14">
        <v>0</v>
      </c>
      <c r="O8217" s="14">
        <v>0</v>
      </c>
      <c r="P8217" s="14">
        <v>652</v>
      </c>
      <c r="Q8217">
        <v>8992</v>
      </c>
      <c r="R8217">
        <v>797</v>
      </c>
      <c r="S8217">
        <v>377</v>
      </c>
    </row>
    <row r="8218" spans="11:19" x14ac:dyDescent="0.3">
      <c r="K8218" s="16">
        <f t="shared" si="127"/>
        <v>44358</v>
      </c>
      <c r="L8218" s="17">
        <v>0.33333333333333331</v>
      </c>
      <c r="M8218" s="14">
        <v>652</v>
      </c>
      <c r="N8218" s="14">
        <v>0</v>
      </c>
      <c r="O8218" s="14">
        <v>0</v>
      </c>
      <c r="P8218" s="14">
        <v>652</v>
      </c>
      <c r="Q8218">
        <v>9500</v>
      </c>
      <c r="R8218">
        <v>636</v>
      </c>
      <c r="S8218">
        <v>825</v>
      </c>
    </row>
    <row r="8219" spans="11:19" x14ac:dyDescent="0.3">
      <c r="K8219" s="16">
        <f t="shared" ref="K8219:K8282" si="128">K8195+1</f>
        <v>44358</v>
      </c>
      <c r="L8219" s="17">
        <v>0.375</v>
      </c>
      <c r="M8219" s="14">
        <v>652</v>
      </c>
      <c r="N8219" s="14">
        <v>0</v>
      </c>
      <c r="O8219" s="14">
        <v>0</v>
      </c>
      <c r="P8219" s="14">
        <v>652</v>
      </c>
      <c r="Q8219">
        <v>9899</v>
      </c>
      <c r="R8219">
        <v>605</v>
      </c>
      <c r="S8219">
        <v>1387</v>
      </c>
    </row>
    <row r="8220" spans="11:19" x14ac:dyDescent="0.3">
      <c r="K8220" s="16">
        <f t="shared" si="128"/>
        <v>44358</v>
      </c>
      <c r="L8220" s="17">
        <v>0.41666666666666669</v>
      </c>
      <c r="M8220" s="14">
        <v>652</v>
      </c>
      <c r="N8220" s="14">
        <v>1485</v>
      </c>
      <c r="O8220" s="14">
        <v>0</v>
      </c>
      <c r="P8220" s="14">
        <v>2137</v>
      </c>
      <c r="Q8220">
        <v>10132</v>
      </c>
      <c r="R8220">
        <v>780</v>
      </c>
      <c r="S8220">
        <v>1782</v>
      </c>
    </row>
    <row r="8221" spans="11:19" x14ac:dyDescent="0.3">
      <c r="K8221" s="16">
        <f t="shared" si="128"/>
        <v>44358</v>
      </c>
      <c r="L8221" s="17">
        <v>0.45833333333333331</v>
      </c>
      <c r="M8221" s="14">
        <v>652</v>
      </c>
      <c r="N8221" s="14">
        <v>0</v>
      </c>
      <c r="O8221" s="14">
        <v>0</v>
      </c>
      <c r="P8221" s="14">
        <v>652</v>
      </c>
      <c r="Q8221">
        <v>10333</v>
      </c>
      <c r="R8221">
        <v>839</v>
      </c>
      <c r="S8221">
        <v>2006</v>
      </c>
    </row>
    <row r="8222" spans="11:19" x14ac:dyDescent="0.3">
      <c r="K8222" s="16">
        <f t="shared" si="128"/>
        <v>44358</v>
      </c>
      <c r="L8222" s="17">
        <v>0.5</v>
      </c>
      <c r="M8222" s="14">
        <v>652</v>
      </c>
      <c r="N8222" s="14">
        <v>1526</v>
      </c>
      <c r="O8222" s="14">
        <v>0</v>
      </c>
      <c r="P8222" s="14">
        <v>2178</v>
      </c>
      <c r="Q8222">
        <v>10474</v>
      </c>
      <c r="R8222">
        <v>835</v>
      </c>
      <c r="S8222">
        <v>2029</v>
      </c>
    </row>
    <row r="8223" spans="11:19" x14ac:dyDescent="0.3">
      <c r="K8223" s="16">
        <f t="shared" si="128"/>
        <v>44358</v>
      </c>
      <c r="L8223" s="17">
        <v>0.54166666666666663</v>
      </c>
      <c r="M8223" s="14">
        <v>652</v>
      </c>
      <c r="N8223" s="14">
        <v>0</v>
      </c>
      <c r="O8223" s="14">
        <v>0</v>
      </c>
      <c r="P8223" s="14">
        <v>652</v>
      </c>
      <c r="Q8223">
        <v>10327</v>
      </c>
      <c r="R8223">
        <v>826</v>
      </c>
      <c r="S8223">
        <v>2069</v>
      </c>
    </row>
    <row r="8224" spans="11:19" x14ac:dyDescent="0.3">
      <c r="K8224" s="16">
        <f t="shared" si="128"/>
        <v>44358</v>
      </c>
      <c r="L8224" s="17">
        <v>0.58333333333333337</v>
      </c>
      <c r="M8224" s="14">
        <v>652</v>
      </c>
      <c r="N8224" s="14">
        <v>0</v>
      </c>
      <c r="O8224" s="14">
        <v>0</v>
      </c>
      <c r="P8224" s="14">
        <v>652</v>
      </c>
      <c r="Q8224">
        <v>10329</v>
      </c>
      <c r="R8224">
        <v>844</v>
      </c>
      <c r="S8224">
        <v>2075</v>
      </c>
    </row>
    <row r="8225" spans="11:19" x14ac:dyDescent="0.3">
      <c r="K8225" s="16">
        <f t="shared" si="128"/>
        <v>44358</v>
      </c>
      <c r="L8225" s="17">
        <v>0.625</v>
      </c>
      <c r="M8225" s="14">
        <v>652</v>
      </c>
      <c r="N8225" s="14">
        <v>0</v>
      </c>
      <c r="O8225" s="14">
        <v>0</v>
      </c>
      <c r="P8225" s="14">
        <v>652</v>
      </c>
      <c r="Q8225">
        <v>10097</v>
      </c>
      <c r="R8225">
        <v>929</v>
      </c>
      <c r="S8225">
        <v>2003</v>
      </c>
    </row>
    <row r="8226" spans="11:19" x14ac:dyDescent="0.3">
      <c r="K8226" s="16">
        <f t="shared" si="128"/>
        <v>44358</v>
      </c>
      <c r="L8226" s="17">
        <v>0.66666666666666663</v>
      </c>
      <c r="M8226" s="14">
        <v>652</v>
      </c>
      <c r="N8226" s="14">
        <v>977</v>
      </c>
      <c r="O8226" s="14">
        <v>0</v>
      </c>
      <c r="P8226" s="14">
        <v>1629</v>
      </c>
      <c r="Q8226">
        <v>9861</v>
      </c>
      <c r="R8226">
        <v>1093</v>
      </c>
      <c r="S8226">
        <v>1800</v>
      </c>
    </row>
    <row r="8227" spans="11:19" x14ac:dyDescent="0.3">
      <c r="K8227" s="16">
        <f t="shared" si="128"/>
        <v>44358</v>
      </c>
      <c r="L8227" s="17">
        <v>0.70833333333333337</v>
      </c>
      <c r="M8227" s="14">
        <v>652</v>
      </c>
      <c r="N8227" s="14">
        <v>956</v>
      </c>
      <c r="O8227" s="14">
        <v>0</v>
      </c>
      <c r="P8227" s="14">
        <v>1608</v>
      </c>
      <c r="Q8227">
        <v>9699</v>
      </c>
      <c r="R8227">
        <v>1281</v>
      </c>
      <c r="S8227">
        <v>1477</v>
      </c>
    </row>
    <row r="8228" spans="11:19" x14ac:dyDescent="0.3">
      <c r="K8228" s="16">
        <f t="shared" si="128"/>
        <v>44358</v>
      </c>
      <c r="L8228" s="17">
        <v>0.75</v>
      </c>
      <c r="M8228" s="14">
        <v>652</v>
      </c>
      <c r="N8228" s="14">
        <v>1046</v>
      </c>
      <c r="O8228" s="14">
        <v>0</v>
      </c>
      <c r="P8228" s="14">
        <v>1698</v>
      </c>
      <c r="Q8228">
        <v>9606</v>
      </c>
      <c r="R8228">
        <v>1541</v>
      </c>
      <c r="S8228">
        <v>1041</v>
      </c>
    </row>
    <row r="8229" spans="11:19" x14ac:dyDescent="0.3">
      <c r="K8229" s="16">
        <f t="shared" si="128"/>
        <v>44358</v>
      </c>
      <c r="L8229" s="17">
        <v>0.79166666666666663</v>
      </c>
      <c r="M8229" s="14">
        <v>652</v>
      </c>
      <c r="N8229" s="14">
        <v>0</v>
      </c>
      <c r="O8229" s="14">
        <v>0</v>
      </c>
      <c r="P8229" s="14">
        <v>652</v>
      </c>
      <c r="Q8229">
        <v>9341</v>
      </c>
      <c r="R8229">
        <v>1710</v>
      </c>
      <c r="S8229">
        <v>512</v>
      </c>
    </row>
    <row r="8230" spans="11:19" x14ac:dyDescent="0.3">
      <c r="K8230" s="16">
        <f t="shared" si="128"/>
        <v>44358</v>
      </c>
      <c r="L8230" s="17">
        <v>0.83333333333333337</v>
      </c>
      <c r="M8230" s="14">
        <v>652</v>
      </c>
      <c r="N8230" s="14">
        <v>0</v>
      </c>
      <c r="O8230" s="14">
        <v>0</v>
      </c>
      <c r="P8230" s="14">
        <v>652</v>
      </c>
      <c r="Q8230">
        <v>8770</v>
      </c>
      <c r="R8230">
        <v>1681</v>
      </c>
      <c r="S8230">
        <v>158</v>
      </c>
    </row>
    <row r="8231" spans="11:19" x14ac:dyDescent="0.3">
      <c r="K8231" s="16">
        <f t="shared" si="128"/>
        <v>44358</v>
      </c>
      <c r="L8231" s="17">
        <v>0.875</v>
      </c>
      <c r="M8231" s="14">
        <v>652</v>
      </c>
      <c r="N8231" s="14">
        <v>0</v>
      </c>
      <c r="O8231" s="14">
        <v>0</v>
      </c>
      <c r="P8231" s="14">
        <v>652</v>
      </c>
      <c r="Q8231">
        <v>8515</v>
      </c>
      <c r="R8231">
        <v>1778</v>
      </c>
      <c r="S8231">
        <v>26</v>
      </c>
    </row>
    <row r="8232" spans="11:19" x14ac:dyDescent="0.3">
      <c r="K8232" s="16">
        <f t="shared" si="128"/>
        <v>44358</v>
      </c>
      <c r="L8232" s="17">
        <v>0.91666666666666663</v>
      </c>
      <c r="M8232" s="14">
        <v>652</v>
      </c>
      <c r="N8232" s="14">
        <v>0</v>
      </c>
      <c r="O8232" s="14">
        <v>0</v>
      </c>
      <c r="P8232" s="14">
        <v>652</v>
      </c>
      <c r="Q8232">
        <v>8997</v>
      </c>
      <c r="R8232">
        <v>1897</v>
      </c>
      <c r="S8232">
        <v>0</v>
      </c>
    </row>
    <row r="8233" spans="11:19" x14ac:dyDescent="0.3">
      <c r="K8233" s="16">
        <f t="shared" si="128"/>
        <v>44358</v>
      </c>
      <c r="L8233" s="17">
        <v>0.95833333333333337</v>
      </c>
      <c r="M8233" s="14">
        <v>652</v>
      </c>
      <c r="N8233" s="14">
        <v>1274</v>
      </c>
      <c r="O8233" s="14">
        <v>0</v>
      </c>
      <c r="P8233" s="14">
        <v>1926</v>
      </c>
      <c r="Q8233">
        <v>8990</v>
      </c>
      <c r="R8233">
        <v>1779</v>
      </c>
      <c r="S8233">
        <v>0</v>
      </c>
    </row>
    <row r="8234" spans="11:19" x14ac:dyDescent="0.3">
      <c r="K8234" s="16">
        <f t="shared" si="128"/>
        <v>44359</v>
      </c>
      <c r="L8234" s="17">
        <v>0</v>
      </c>
      <c r="M8234" s="14">
        <v>652</v>
      </c>
      <c r="N8234" s="14">
        <v>0</v>
      </c>
      <c r="O8234" s="14">
        <v>396</v>
      </c>
      <c r="P8234" s="14">
        <v>1048</v>
      </c>
      <c r="Q8234">
        <v>8124</v>
      </c>
      <c r="R8234">
        <v>1794</v>
      </c>
      <c r="S8234">
        <v>0</v>
      </c>
    </row>
    <row r="8235" spans="11:19" x14ac:dyDescent="0.3">
      <c r="K8235" s="16">
        <f t="shared" si="128"/>
        <v>44359</v>
      </c>
      <c r="L8235" s="17">
        <v>4.1666666666666664E-2</v>
      </c>
      <c r="M8235" s="14">
        <v>652</v>
      </c>
      <c r="N8235" s="14">
        <v>0</v>
      </c>
      <c r="O8235" s="14">
        <v>661</v>
      </c>
      <c r="P8235" s="14">
        <v>1313</v>
      </c>
      <c r="Q8235">
        <v>7613</v>
      </c>
      <c r="R8235">
        <v>1262</v>
      </c>
      <c r="S8235">
        <v>0</v>
      </c>
    </row>
    <row r="8236" spans="11:19" x14ac:dyDescent="0.3">
      <c r="K8236" s="16">
        <f t="shared" si="128"/>
        <v>44359</v>
      </c>
      <c r="L8236" s="17">
        <v>8.3333333333333329E-2</v>
      </c>
      <c r="M8236" s="14">
        <v>652</v>
      </c>
      <c r="N8236" s="14">
        <v>0</v>
      </c>
      <c r="O8236" s="14">
        <v>103</v>
      </c>
      <c r="P8236" s="14">
        <v>755</v>
      </c>
      <c r="Q8236">
        <v>7232</v>
      </c>
      <c r="R8236">
        <v>1444</v>
      </c>
      <c r="S8236">
        <v>0</v>
      </c>
    </row>
    <row r="8237" spans="11:19" x14ac:dyDescent="0.3">
      <c r="K8237" s="16">
        <f t="shared" si="128"/>
        <v>44359</v>
      </c>
      <c r="L8237" s="17">
        <v>0.125</v>
      </c>
      <c r="M8237" s="14">
        <v>652</v>
      </c>
      <c r="N8237" s="14">
        <v>0</v>
      </c>
      <c r="O8237" s="14">
        <v>0</v>
      </c>
      <c r="P8237" s="14">
        <v>652</v>
      </c>
      <c r="Q8237">
        <v>6804</v>
      </c>
      <c r="R8237">
        <v>1299</v>
      </c>
      <c r="S8237">
        <v>0</v>
      </c>
    </row>
    <row r="8238" spans="11:19" x14ac:dyDescent="0.3">
      <c r="K8238" s="16">
        <f t="shared" si="128"/>
        <v>44359</v>
      </c>
      <c r="L8238" s="17">
        <v>0.16666666666666666</v>
      </c>
      <c r="M8238" s="14">
        <v>652</v>
      </c>
      <c r="N8238" s="14">
        <v>0</v>
      </c>
      <c r="O8238" s="14">
        <v>0</v>
      </c>
      <c r="P8238" s="14">
        <v>652</v>
      </c>
      <c r="Q8238">
        <v>6598</v>
      </c>
      <c r="R8238">
        <v>1281</v>
      </c>
      <c r="S8238">
        <v>0</v>
      </c>
    </row>
    <row r="8239" spans="11:19" x14ac:dyDescent="0.3">
      <c r="K8239" s="16">
        <f t="shared" si="128"/>
        <v>44359</v>
      </c>
      <c r="L8239" s="17">
        <v>0.20833333333333334</v>
      </c>
      <c r="M8239" s="14">
        <v>652</v>
      </c>
      <c r="N8239" s="14">
        <v>0</v>
      </c>
      <c r="O8239" s="14">
        <v>0</v>
      </c>
      <c r="P8239" s="14">
        <v>652</v>
      </c>
      <c r="Q8239">
        <v>6543</v>
      </c>
      <c r="R8239">
        <v>1365</v>
      </c>
      <c r="S8239">
        <v>1</v>
      </c>
    </row>
    <row r="8240" spans="11:19" x14ac:dyDescent="0.3">
      <c r="K8240" s="16">
        <f t="shared" si="128"/>
        <v>44359</v>
      </c>
      <c r="L8240" s="17">
        <v>0.25</v>
      </c>
      <c r="M8240" s="14">
        <v>652</v>
      </c>
      <c r="N8240" s="14">
        <v>0</v>
      </c>
      <c r="O8240" s="14">
        <v>0</v>
      </c>
      <c r="P8240" s="14">
        <v>652</v>
      </c>
      <c r="Q8240">
        <v>6647</v>
      </c>
      <c r="R8240">
        <v>1363</v>
      </c>
      <c r="S8240">
        <v>71</v>
      </c>
    </row>
    <row r="8241" spans="11:19" x14ac:dyDescent="0.3">
      <c r="K8241" s="16">
        <f t="shared" si="128"/>
        <v>44359</v>
      </c>
      <c r="L8241" s="17">
        <v>0.29166666666666669</v>
      </c>
      <c r="M8241" s="14">
        <v>652</v>
      </c>
      <c r="N8241" s="14">
        <v>0</v>
      </c>
      <c r="O8241" s="14">
        <v>0</v>
      </c>
      <c r="P8241" s="14">
        <v>652</v>
      </c>
      <c r="Q8241">
        <v>7059</v>
      </c>
      <c r="R8241">
        <v>1323</v>
      </c>
      <c r="S8241">
        <v>371</v>
      </c>
    </row>
    <row r="8242" spans="11:19" x14ac:dyDescent="0.3">
      <c r="K8242" s="16">
        <f t="shared" si="128"/>
        <v>44359</v>
      </c>
      <c r="L8242" s="17">
        <v>0.33333333333333331</v>
      </c>
      <c r="M8242" s="14">
        <v>652</v>
      </c>
      <c r="N8242" s="14">
        <v>0</v>
      </c>
      <c r="O8242" s="14">
        <v>53</v>
      </c>
      <c r="P8242" s="14">
        <v>705</v>
      </c>
      <c r="Q8242">
        <v>7630</v>
      </c>
      <c r="R8242">
        <v>1006</v>
      </c>
      <c r="S8242">
        <v>822</v>
      </c>
    </row>
    <row r="8243" spans="11:19" x14ac:dyDescent="0.3">
      <c r="K8243" s="16">
        <f t="shared" si="128"/>
        <v>44359</v>
      </c>
      <c r="L8243" s="17">
        <v>0.375</v>
      </c>
      <c r="M8243" s="14">
        <v>652</v>
      </c>
      <c r="N8243" s="14">
        <v>0</v>
      </c>
      <c r="O8243" s="14">
        <v>0</v>
      </c>
      <c r="P8243" s="14">
        <v>652</v>
      </c>
      <c r="Q8243">
        <v>8200</v>
      </c>
      <c r="R8243">
        <v>1081</v>
      </c>
      <c r="S8243">
        <v>1398</v>
      </c>
    </row>
    <row r="8244" spans="11:19" x14ac:dyDescent="0.3">
      <c r="K8244" s="16">
        <f t="shared" si="128"/>
        <v>44359</v>
      </c>
      <c r="L8244" s="17">
        <v>0.41666666666666669</v>
      </c>
      <c r="M8244" s="14">
        <v>652</v>
      </c>
      <c r="N8244" s="14">
        <v>0</v>
      </c>
      <c r="O8244" s="14">
        <v>0</v>
      </c>
      <c r="P8244" s="14">
        <v>652</v>
      </c>
      <c r="Q8244">
        <v>8471</v>
      </c>
      <c r="R8244">
        <v>1314</v>
      </c>
      <c r="S8244">
        <v>1824</v>
      </c>
    </row>
    <row r="8245" spans="11:19" x14ac:dyDescent="0.3">
      <c r="K8245" s="16">
        <f t="shared" si="128"/>
        <v>44359</v>
      </c>
      <c r="L8245" s="17">
        <v>0.45833333333333331</v>
      </c>
      <c r="M8245" s="14">
        <v>652</v>
      </c>
      <c r="N8245" s="14">
        <v>0</v>
      </c>
      <c r="O8245" s="14">
        <v>-29</v>
      </c>
      <c r="P8245" s="14">
        <v>623</v>
      </c>
      <c r="Q8245">
        <v>8701</v>
      </c>
      <c r="R8245">
        <v>1523</v>
      </c>
      <c r="S8245">
        <v>2063</v>
      </c>
    </row>
    <row r="8246" spans="11:19" x14ac:dyDescent="0.3">
      <c r="K8246" s="16">
        <f t="shared" si="128"/>
        <v>44359</v>
      </c>
      <c r="L8246" s="17">
        <v>0.5</v>
      </c>
      <c r="M8246" s="14">
        <v>652</v>
      </c>
      <c r="N8246" s="14">
        <v>0</v>
      </c>
      <c r="O8246" s="14">
        <v>0</v>
      </c>
      <c r="P8246" s="14">
        <v>652</v>
      </c>
      <c r="Q8246">
        <v>9045</v>
      </c>
      <c r="R8246">
        <v>1505</v>
      </c>
      <c r="S8246">
        <v>2103</v>
      </c>
    </row>
    <row r="8247" spans="11:19" x14ac:dyDescent="0.3">
      <c r="K8247" s="16">
        <f t="shared" si="128"/>
        <v>44359</v>
      </c>
      <c r="L8247" s="17">
        <v>0.54166666666666663</v>
      </c>
      <c r="M8247" s="14">
        <v>652</v>
      </c>
      <c r="N8247" s="14">
        <v>0</v>
      </c>
      <c r="O8247" s="14">
        <v>-1</v>
      </c>
      <c r="P8247" s="14">
        <v>651</v>
      </c>
      <c r="Q8247">
        <v>8769</v>
      </c>
      <c r="R8247">
        <v>1461</v>
      </c>
      <c r="S8247">
        <v>2172</v>
      </c>
    </row>
    <row r="8248" spans="11:19" x14ac:dyDescent="0.3">
      <c r="K8248" s="16">
        <f t="shared" si="128"/>
        <v>44359</v>
      </c>
      <c r="L8248" s="17">
        <v>0.58333333333333337</v>
      </c>
      <c r="M8248" s="14">
        <v>652</v>
      </c>
      <c r="N8248" s="14">
        <v>0</v>
      </c>
      <c r="O8248" s="14">
        <v>-203</v>
      </c>
      <c r="P8248" s="14">
        <v>449</v>
      </c>
      <c r="Q8248">
        <v>8609</v>
      </c>
      <c r="R8248">
        <v>1471</v>
      </c>
      <c r="S8248">
        <v>2215</v>
      </c>
    </row>
    <row r="8249" spans="11:19" x14ac:dyDescent="0.3">
      <c r="K8249" s="16">
        <f t="shared" si="128"/>
        <v>44359</v>
      </c>
      <c r="L8249" s="17">
        <v>0.625</v>
      </c>
      <c r="M8249" s="14">
        <v>652</v>
      </c>
      <c r="N8249" s="14">
        <v>0</v>
      </c>
      <c r="O8249" s="14">
        <v>-365</v>
      </c>
      <c r="P8249" s="14">
        <v>287</v>
      </c>
      <c r="Q8249">
        <v>8392</v>
      </c>
      <c r="R8249">
        <v>1499</v>
      </c>
      <c r="S8249">
        <v>2134</v>
      </c>
    </row>
    <row r="8250" spans="11:19" x14ac:dyDescent="0.3">
      <c r="K8250" s="16">
        <f t="shared" si="128"/>
        <v>44359</v>
      </c>
      <c r="L8250" s="17">
        <v>0.66666666666666663</v>
      </c>
      <c r="M8250" s="14">
        <v>652</v>
      </c>
      <c r="N8250" s="14">
        <v>0</v>
      </c>
      <c r="O8250" s="14">
        <v>-720</v>
      </c>
      <c r="P8250" s="14">
        <v>-68</v>
      </c>
      <c r="Q8250">
        <v>8202</v>
      </c>
      <c r="R8250">
        <v>1596</v>
      </c>
      <c r="S8250">
        <v>1895</v>
      </c>
    </row>
    <row r="8251" spans="11:19" x14ac:dyDescent="0.3">
      <c r="K8251" s="16">
        <f t="shared" si="128"/>
        <v>44359</v>
      </c>
      <c r="L8251" s="17">
        <v>0.70833333333333337</v>
      </c>
      <c r="M8251" s="14">
        <v>652</v>
      </c>
      <c r="N8251" s="14">
        <v>0</v>
      </c>
      <c r="O8251" s="14">
        <v>-418</v>
      </c>
      <c r="P8251" s="14">
        <v>234</v>
      </c>
      <c r="Q8251">
        <v>8151</v>
      </c>
      <c r="R8251">
        <v>1908</v>
      </c>
      <c r="S8251">
        <v>1549</v>
      </c>
    </row>
    <row r="8252" spans="11:19" x14ac:dyDescent="0.3">
      <c r="K8252" s="16">
        <f t="shared" si="128"/>
        <v>44359</v>
      </c>
      <c r="L8252" s="17">
        <v>0.75</v>
      </c>
      <c r="M8252" s="14">
        <v>652</v>
      </c>
      <c r="N8252" s="14">
        <v>0</v>
      </c>
      <c r="O8252" s="14">
        <v>-234</v>
      </c>
      <c r="P8252" s="14">
        <v>418</v>
      </c>
      <c r="Q8252">
        <v>8189</v>
      </c>
      <c r="R8252">
        <v>2211</v>
      </c>
      <c r="S8252">
        <v>1104</v>
      </c>
    </row>
    <row r="8253" spans="11:19" x14ac:dyDescent="0.3">
      <c r="K8253" s="16">
        <f t="shared" si="128"/>
        <v>44359</v>
      </c>
      <c r="L8253" s="17">
        <v>0.79166666666666663</v>
      </c>
      <c r="M8253" s="14">
        <v>652</v>
      </c>
      <c r="N8253" s="14">
        <v>0</v>
      </c>
      <c r="O8253" s="14">
        <v>0</v>
      </c>
      <c r="P8253" s="14">
        <v>652</v>
      </c>
      <c r="Q8253">
        <v>8086</v>
      </c>
      <c r="R8253">
        <v>2073</v>
      </c>
      <c r="S8253">
        <v>563</v>
      </c>
    </row>
    <row r="8254" spans="11:19" x14ac:dyDescent="0.3">
      <c r="K8254" s="16">
        <f t="shared" si="128"/>
        <v>44359</v>
      </c>
      <c r="L8254" s="17">
        <v>0.83333333333333337</v>
      </c>
      <c r="M8254" s="14">
        <v>652</v>
      </c>
      <c r="N8254" s="14">
        <v>0</v>
      </c>
      <c r="O8254" s="14">
        <v>0</v>
      </c>
      <c r="P8254" s="14">
        <v>652</v>
      </c>
      <c r="Q8254">
        <v>7716</v>
      </c>
      <c r="R8254">
        <v>2134</v>
      </c>
      <c r="S8254">
        <v>159</v>
      </c>
    </row>
    <row r="8255" spans="11:19" x14ac:dyDescent="0.3">
      <c r="K8255" s="16">
        <f t="shared" si="128"/>
        <v>44359</v>
      </c>
      <c r="L8255" s="17">
        <v>0.875</v>
      </c>
      <c r="M8255" s="14">
        <v>652</v>
      </c>
      <c r="N8255" s="14">
        <v>0</v>
      </c>
      <c r="O8255" s="14">
        <v>0</v>
      </c>
      <c r="P8255" s="14">
        <v>652</v>
      </c>
      <c r="Q8255">
        <v>7539</v>
      </c>
      <c r="R8255">
        <v>2294</v>
      </c>
      <c r="S8255">
        <v>22</v>
      </c>
    </row>
    <row r="8256" spans="11:19" x14ac:dyDescent="0.3">
      <c r="K8256" s="16">
        <f t="shared" si="128"/>
        <v>44359</v>
      </c>
      <c r="L8256" s="17">
        <v>0.91666666666666663</v>
      </c>
      <c r="M8256" s="14">
        <v>652</v>
      </c>
      <c r="N8256" s="14">
        <v>0</v>
      </c>
      <c r="O8256" s="14">
        <v>57</v>
      </c>
      <c r="P8256" s="14">
        <v>709</v>
      </c>
      <c r="Q8256">
        <v>8129</v>
      </c>
      <c r="R8256">
        <v>2384</v>
      </c>
      <c r="S8256">
        <v>0</v>
      </c>
    </row>
    <row r="8257" spans="11:19" x14ac:dyDescent="0.3">
      <c r="K8257" s="16">
        <f t="shared" si="128"/>
        <v>44359</v>
      </c>
      <c r="L8257" s="17">
        <v>0.95833333333333337</v>
      </c>
      <c r="M8257" s="14">
        <v>652</v>
      </c>
      <c r="N8257" s="14">
        <v>0</v>
      </c>
      <c r="O8257" s="14">
        <v>306</v>
      </c>
      <c r="P8257" s="14">
        <v>958</v>
      </c>
      <c r="Q8257">
        <v>8284</v>
      </c>
      <c r="R8257">
        <v>2294</v>
      </c>
      <c r="S8257">
        <v>0</v>
      </c>
    </row>
    <row r="8258" spans="11:19" x14ac:dyDescent="0.3">
      <c r="K8258" s="16">
        <f t="shared" si="128"/>
        <v>44360</v>
      </c>
      <c r="L8258" s="17">
        <v>0</v>
      </c>
      <c r="M8258" s="14">
        <v>652</v>
      </c>
      <c r="N8258" s="14">
        <v>0</v>
      </c>
      <c r="O8258" s="14">
        <v>0</v>
      </c>
      <c r="P8258" s="14">
        <v>652</v>
      </c>
      <c r="Q8258">
        <v>7604</v>
      </c>
      <c r="R8258">
        <v>2159</v>
      </c>
      <c r="S8258">
        <v>0</v>
      </c>
    </row>
    <row r="8259" spans="11:19" x14ac:dyDescent="0.3">
      <c r="K8259" s="16">
        <f t="shared" si="128"/>
        <v>44360</v>
      </c>
      <c r="L8259" s="17">
        <v>4.1666666666666664E-2</v>
      </c>
      <c r="M8259" s="14">
        <v>652</v>
      </c>
      <c r="N8259" s="14">
        <v>0</v>
      </c>
      <c r="O8259" s="14">
        <v>0</v>
      </c>
      <c r="P8259" s="14">
        <v>652</v>
      </c>
      <c r="Q8259">
        <v>7146</v>
      </c>
      <c r="R8259">
        <v>1774</v>
      </c>
      <c r="S8259">
        <v>0</v>
      </c>
    </row>
    <row r="8260" spans="11:19" x14ac:dyDescent="0.3">
      <c r="K8260" s="16">
        <f t="shared" si="128"/>
        <v>44360</v>
      </c>
      <c r="L8260" s="17">
        <v>8.3333333333333329E-2</v>
      </c>
      <c r="M8260" s="14">
        <v>652</v>
      </c>
      <c r="N8260" s="14">
        <v>0</v>
      </c>
      <c r="O8260" s="14">
        <v>0</v>
      </c>
      <c r="P8260" s="14">
        <v>652</v>
      </c>
      <c r="Q8260">
        <v>6759</v>
      </c>
      <c r="R8260">
        <v>1529</v>
      </c>
      <c r="S8260">
        <v>0</v>
      </c>
    </row>
    <row r="8261" spans="11:19" x14ac:dyDescent="0.3">
      <c r="K8261" s="16">
        <f t="shared" si="128"/>
        <v>44360</v>
      </c>
      <c r="L8261" s="17">
        <v>0.125</v>
      </c>
      <c r="M8261" s="14">
        <v>652</v>
      </c>
      <c r="N8261" s="14">
        <v>0</v>
      </c>
      <c r="O8261" s="14">
        <v>-187</v>
      </c>
      <c r="P8261" s="14">
        <v>465</v>
      </c>
      <c r="Q8261">
        <v>6321</v>
      </c>
      <c r="R8261">
        <v>1439</v>
      </c>
      <c r="S8261">
        <v>0</v>
      </c>
    </row>
    <row r="8262" spans="11:19" x14ac:dyDescent="0.3">
      <c r="K8262" s="16">
        <f t="shared" si="128"/>
        <v>44360</v>
      </c>
      <c r="L8262" s="17">
        <v>0.16666666666666666</v>
      </c>
      <c r="M8262" s="14">
        <v>652</v>
      </c>
      <c r="N8262" s="14">
        <v>0</v>
      </c>
      <c r="O8262" s="14">
        <v>-370</v>
      </c>
      <c r="P8262" s="14">
        <v>282</v>
      </c>
      <c r="Q8262">
        <v>6095</v>
      </c>
      <c r="R8262">
        <v>1392</v>
      </c>
      <c r="S8262">
        <v>0</v>
      </c>
    </row>
    <row r="8263" spans="11:19" x14ac:dyDescent="0.3">
      <c r="K8263" s="16">
        <f t="shared" si="128"/>
        <v>44360</v>
      </c>
      <c r="L8263" s="17">
        <v>0.20833333333333334</v>
      </c>
      <c r="M8263" s="14">
        <v>652</v>
      </c>
      <c r="N8263" s="14">
        <v>0</v>
      </c>
      <c r="O8263" s="14">
        <v>-373</v>
      </c>
      <c r="P8263" s="14">
        <v>279</v>
      </c>
      <c r="Q8263">
        <v>5952</v>
      </c>
      <c r="R8263">
        <v>1246</v>
      </c>
      <c r="S8263">
        <v>1</v>
      </c>
    </row>
    <row r="8264" spans="11:19" x14ac:dyDescent="0.3">
      <c r="K8264" s="16">
        <f t="shared" si="128"/>
        <v>44360</v>
      </c>
      <c r="L8264" s="17">
        <v>0.25</v>
      </c>
      <c r="M8264" s="14">
        <v>652</v>
      </c>
      <c r="N8264" s="14">
        <v>0</v>
      </c>
      <c r="O8264" s="14">
        <v>-390</v>
      </c>
      <c r="P8264" s="14">
        <v>262</v>
      </c>
      <c r="Q8264">
        <v>5916</v>
      </c>
      <c r="R8264">
        <v>1146</v>
      </c>
      <c r="S8264">
        <v>49</v>
      </c>
    </row>
    <row r="8265" spans="11:19" x14ac:dyDescent="0.3">
      <c r="K8265" s="16">
        <f t="shared" si="128"/>
        <v>44360</v>
      </c>
      <c r="L8265" s="17">
        <v>0.29166666666666669</v>
      </c>
      <c r="M8265" s="14">
        <v>652</v>
      </c>
      <c r="N8265" s="14">
        <v>0</v>
      </c>
      <c r="O8265" s="14">
        <v>0</v>
      </c>
      <c r="P8265" s="14">
        <v>652</v>
      </c>
      <c r="Q8265">
        <v>6168</v>
      </c>
      <c r="R8265">
        <v>1106</v>
      </c>
      <c r="S8265">
        <v>342</v>
      </c>
    </row>
    <row r="8266" spans="11:19" x14ac:dyDescent="0.3">
      <c r="K8266" s="16">
        <f t="shared" si="128"/>
        <v>44360</v>
      </c>
      <c r="L8266" s="17">
        <v>0.33333333333333331</v>
      </c>
      <c r="M8266" s="14">
        <v>652</v>
      </c>
      <c r="N8266" s="14">
        <v>0</v>
      </c>
      <c r="O8266" s="14">
        <v>-296</v>
      </c>
      <c r="P8266" s="14">
        <v>356</v>
      </c>
      <c r="Q8266">
        <v>6644</v>
      </c>
      <c r="R8266">
        <v>1019</v>
      </c>
      <c r="S8266">
        <v>787</v>
      </c>
    </row>
    <row r="8267" spans="11:19" x14ac:dyDescent="0.3">
      <c r="K8267" s="16">
        <f t="shared" si="128"/>
        <v>44360</v>
      </c>
      <c r="L8267" s="17">
        <v>0.375</v>
      </c>
      <c r="M8267" s="14">
        <v>652</v>
      </c>
      <c r="N8267" s="14">
        <v>0</v>
      </c>
      <c r="O8267" s="14">
        <v>0</v>
      </c>
      <c r="P8267" s="14">
        <v>652</v>
      </c>
      <c r="Q8267">
        <v>7170</v>
      </c>
      <c r="R8267">
        <v>1150</v>
      </c>
      <c r="S8267">
        <v>1387</v>
      </c>
    </row>
    <row r="8268" spans="11:19" x14ac:dyDescent="0.3">
      <c r="K8268" s="16">
        <f t="shared" si="128"/>
        <v>44360</v>
      </c>
      <c r="L8268" s="17">
        <v>0.41666666666666669</v>
      </c>
      <c r="M8268" s="14">
        <v>652</v>
      </c>
      <c r="N8268" s="14">
        <v>0</v>
      </c>
      <c r="O8268" s="14">
        <v>-489</v>
      </c>
      <c r="P8268" s="14">
        <v>163</v>
      </c>
      <c r="Q8268">
        <v>7541</v>
      </c>
      <c r="R8268">
        <v>1031</v>
      </c>
      <c r="S8268">
        <v>1859</v>
      </c>
    </row>
    <row r="8269" spans="11:19" x14ac:dyDescent="0.3">
      <c r="K8269" s="16">
        <f t="shared" si="128"/>
        <v>44360</v>
      </c>
      <c r="L8269" s="17">
        <v>0.45833333333333331</v>
      </c>
      <c r="M8269" s="14">
        <v>652</v>
      </c>
      <c r="N8269" s="14">
        <v>0</v>
      </c>
      <c r="O8269" s="14">
        <v>-309</v>
      </c>
      <c r="P8269" s="14">
        <v>343</v>
      </c>
      <c r="Q8269">
        <v>7828</v>
      </c>
      <c r="R8269">
        <v>1018</v>
      </c>
      <c r="S8269">
        <v>2174</v>
      </c>
    </row>
    <row r="8270" spans="11:19" x14ac:dyDescent="0.3">
      <c r="K8270" s="16">
        <f t="shared" si="128"/>
        <v>44360</v>
      </c>
      <c r="L8270" s="17">
        <v>0.5</v>
      </c>
      <c r="M8270" s="14">
        <v>652</v>
      </c>
      <c r="N8270" s="14">
        <v>0</v>
      </c>
      <c r="O8270" s="14">
        <v>-255</v>
      </c>
      <c r="P8270" s="14">
        <v>397</v>
      </c>
      <c r="Q8270">
        <v>8204</v>
      </c>
      <c r="R8270">
        <v>916</v>
      </c>
      <c r="S8270">
        <v>2403</v>
      </c>
    </row>
    <row r="8271" spans="11:19" x14ac:dyDescent="0.3">
      <c r="K8271" s="16">
        <f t="shared" si="128"/>
        <v>44360</v>
      </c>
      <c r="L8271" s="17">
        <v>0.54166666666666663</v>
      </c>
      <c r="M8271" s="14">
        <v>652</v>
      </c>
      <c r="N8271" s="14">
        <v>0</v>
      </c>
      <c r="O8271" s="14">
        <v>0</v>
      </c>
      <c r="P8271" s="14">
        <v>652</v>
      </c>
      <c r="Q8271">
        <v>7878</v>
      </c>
      <c r="R8271">
        <v>854</v>
      </c>
      <c r="S8271">
        <v>2499</v>
      </c>
    </row>
    <row r="8272" spans="11:19" x14ac:dyDescent="0.3">
      <c r="K8272" s="16">
        <f t="shared" si="128"/>
        <v>44360</v>
      </c>
      <c r="L8272" s="17">
        <v>0.58333333333333337</v>
      </c>
      <c r="M8272" s="14">
        <v>652</v>
      </c>
      <c r="N8272" s="14">
        <v>0</v>
      </c>
      <c r="O8272" s="14">
        <v>-889</v>
      </c>
      <c r="P8272" s="14">
        <v>-237</v>
      </c>
      <c r="Q8272">
        <v>7634</v>
      </c>
      <c r="R8272">
        <v>893</v>
      </c>
      <c r="S8272">
        <v>2506</v>
      </c>
    </row>
    <row r="8273" spans="11:19" x14ac:dyDescent="0.3">
      <c r="K8273" s="16">
        <f t="shared" si="128"/>
        <v>44360</v>
      </c>
      <c r="L8273" s="17">
        <v>0.625</v>
      </c>
      <c r="M8273" s="14">
        <v>652</v>
      </c>
      <c r="N8273" s="14">
        <v>0</v>
      </c>
      <c r="O8273" s="14">
        <v>-1022</v>
      </c>
      <c r="P8273" s="14">
        <v>-370</v>
      </c>
      <c r="Q8273">
        <v>7402</v>
      </c>
      <c r="R8273">
        <v>897</v>
      </c>
      <c r="S8273">
        <v>2404</v>
      </c>
    </row>
    <row r="8274" spans="11:19" x14ac:dyDescent="0.3">
      <c r="K8274" s="16">
        <f t="shared" si="128"/>
        <v>44360</v>
      </c>
      <c r="L8274" s="17">
        <v>0.66666666666666663</v>
      </c>
      <c r="M8274" s="14">
        <v>652</v>
      </c>
      <c r="N8274" s="14">
        <v>0</v>
      </c>
      <c r="O8274" s="14">
        <v>-901</v>
      </c>
      <c r="P8274" s="14">
        <v>-249</v>
      </c>
      <c r="Q8274">
        <v>7259</v>
      </c>
      <c r="R8274">
        <v>876</v>
      </c>
      <c r="S8274">
        <v>2166</v>
      </c>
    </row>
    <row r="8275" spans="11:19" x14ac:dyDescent="0.3">
      <c r="K8275" s="16">
        <f t="shared" si="128"/>
        <v>44360</v>
      </c>
      <c r="L8275" s="17">
        <v>0.70833333333333337</v>
      </c>
      <c r="M8275" s="14">
        <v>652</v>
      </c>
      <c r="N8275" s="14">
        <v>0</v>
      </c>
      <c r="O8275" s="14">
        <v>-336</v>
      </c>
      <c r="P8275" s="14">
        <v>316</v>
      </c>
      <c r="Q8275">
        <v>7309</v>
      </c>
      <c r="R8275">
        <v>768</v>
      </c>
      <c r="S8275">
        <v>1766</v>
      </c>
    </row>
    <row r="8276" spans="11:19" x14ac:dyDescent="0.3">
      <c r="K8276" s="16">
        <f t="shared" si="128"/>
        <v>44360</v>
      </c>
      <c r="L8276" s="17">
        <v>0.75</v>
      </c>
      <c r="M8276" s="14">
        <v>652</v>
      </c>
      <c r="N8276" s="14">
        <v>0</v>
      </c>
      <c r="O8276" s="14">
        <v>0</v>
      </c>
      <c r="P8276" s="14">
        <v>652</v>
      </c>
      <c r="Q8276">
        <v>7549</v>
      </c>
      <c r="R8276">
        <v>858</v>
      </c>
      <c r="S8276">
        <v>1197</v>
      </c>
    </row>
    <row r="8277" spans="11:19" x14ac:dyDescent="0.3">
      <c r="K8277" s="16">
        <f t="shared" si="128"/>
        <v>44360</v>
      </c>
      <c r="L8277" s="17">
        <v>0.79166666666666663</v>
      </c>
      <c r="M8277" s="14">
        <v>652</v>
      </c>
      <c r="N8277" s="14">
        <v>0</v>
      </c>
      <c r="O8277" s="14">
        <v>472</v>
      </c>
      <c r="P8277" s="14">
        <v>1124</v>
      </c>
      <c r="Q8277">
        <v>7725</v>
      </c>
      <c r="R8277">
        <v>943</v>
      </c>
      <c r="S8277">
        <v>602</v>
      </c>
    </row>
    <row r="8278" spans="11:19" x14ac:dyDescent="0.3">
      <c r="K8278" s="16">
        <f t="shared" si="128"/>
        <v>44360</v>
      </c>
      <c r="L8278" s="17">
        <v>0.83333333333333337</v>
      </c>
      <c r="M8278" s="14">
        <v>652</v>
      </c>
      <c r="N8278" s="14">
        <v>0</v>
      </c>
      <c r="O8278" s="14">
        <v>788</v>
      </c>
      <c r="P8278" s="14">
        <v>1440</v>
      </c>
      <c r="Q8278">
        <v>7560</v>
      </c>
      <c r="R8278">
        <v>868</v>
      </c>
      <c r="S8278">
        <v>205</v>
      </c>
    </row>
    <row r="8279" spans="11:19" x14ac:dyDescent="0.3">
      <c r="K8279" s="16">
        <f t="shared" si="128"/>
        <v>44360</v>
      </c>
      <c r="L8279" s="17">
        <v>0.875</v>
      </c>
      <c r="M8279" s="14">
        <v>652</v>
      </c>
      <c r="N8279" s="14">
        <v>0</v>
      </c>
      <c r="O8279" s="14">
        <v>991</v>
      </c>
      <c r="P8279" s="14">
        <v>1643</v>
      </c>
      <c r="Q8279">
        <v>7456</v>
      </c>
      <c r="R8279">
        <v>744</v>
      </c>
      <c r="S8279">
        <v>28</v>
      </c>
    </row>
    <row r="8280" spans="11:19" x14ac:dyDescent="0.3">
      <c r="K8280" s="16">
        <f t="shared" si="128"/>
        <v>44360</v>
      </c>
      <c r="L8280" s="17">
        <v>0.91666666666666663</v>
      </c>
      <c r="M8280" s="14">
        <v>652</v>
      </c>
      <c r="N8280" s="14">
        <v>189</v>
      </c>
      <c r="O8280" s="14">
        <v>1200</v>
      </c>
      <c r="P8280" s="14">
        <v>2041</v>
      </c>
      <c r="Q8280">
        <v>7943</v>
      </c>
      <c r="R8280">
        <v>707</v>
      </c>
      <c r="S8280">
        <v>0</v>
      </c>
    </row>
    <row r="8281" spans="11:19" x14ac:dyDescent="0.3">
      <c r="K8281" s="16">
        <f t="shared" si="128"/>
        <v>44360</v>
      </c>
      <c r="L8281" s="17">
        <v>0.95833333333333337</v>
      </c>
      <c r="M8281" s="14">
        <v>652</v>
      </c>
      <c r="N8281" s="14">
        <v>312</v>
      </c>
      <c r="O8281" s="14">
        <v>1200</v>
      </c>
      <c r="P8281" s="14">
        <v>2164</v>
      </c>
      <c r="Q8281">
        <v>8040</v>
      </c>
      <c r="R8281">
        <v>685</v>
      </c>
      <c r="S8281">
        <v>0</v>
      </c>
    </row>
    <row r="8282" spans="11:19" x14ac:dyDescent="0.3">
      <c r="K8282" s="16">
        <f t="shared" si="128"/>
        <v>44361</v>
      </c>
      <c r="L8282" s="17">
        <v>0</v>
      </c>
      <c r="M8282" s="14">
        <v>652</v>
      </c>
      <c r="N8282" s="14">
        <v>0</v>
      </c>
      <c r="O8282" s="14">
        <v>0</v>
      </c>
      <c r="P8282" s="14">
        <v>652</v>
      </c>
      <c r="Q8282">
        <v>7415</v>
      </c>
      <c r="R8282">
        <v>743</v>
      </c>
      <c r="S8282">
        <v>0</v>
      </c>
    </row>
    <row r="8283" spans="11:19" x14ac:dyDescent="0.3">
      <c r="K8283" s="16">
        <f t="shared" ref="K8283:K8346" si="129">K8259+1</f>
        <v>44361</v>
      </c>
      <c r="L8283" s="17">
        <v>4.1666666666666664E-2</v>
      </c>
      <c r="M8283" s="14">
        <v>652</v>
      </c>
      <c r="N8283" s="14">
        <v>572</v>
      </c>
      <c r="O8283" s="14">
        <v>0</v>
      </c>
      <c r="P8283" s="14">
        <v>1224</v>
      </c>
      <c r="Q8283">
        <v>6998</v>
      </c>
      <c r="R8283">
        <v>576</v>
      </c>
      <c r="S8283">
        <v>0</v>
      </c>
    </row>
    <row r="8284" spans="11:19" x14ac:dyDescent="0.3">
      <c r="K8284" s="16">
        <f t="shared" si="129"/>
        <v>44361</v>
      </c>
      <c r="L8284" s="17">
        <v>8.3333333333333329E-2</v>
      </c>
      <c r="M8284" s="14">
        <v>652</v>
      </c>
      <c r="N8284" s="14">
        <v>324</v>
      </c>
      <c r="O8284" s="14">
        <v>0</v>
      </c>
      <c r="P8284" s="14">
        <v>976</v>
      </c>
      <c r="Q8284">
        <v>6682</v>
      </c>
      <c r="R8284">
        <v>508</v>
      </c>
      <c r="S8284">
        <v>0</v>
      </c>
    </row>
    <row r="8285" spans="11:19" x14ac:dyDescent="0.3">
      <c r="K8285" s="16">
        <f t="shared" si="129"/>
        <v>44361</v>
      </c>
      <c r="L8285" s="17">
        <v>0.125</v>
      </c>
      <c r="M8285" s="14">
        <v>652</v>
      </c>
      <c r="N8285" s="14">
        <v>0</v>
      </c>
      <c r="O8285" s="14">
        <v>-114</v>
      </c>
      <c r="P8285" s="14">
        <v>538</v>
      </c>
      <c r="Q8285">
        <v>6347</v>
      </c>
      <c r="R8285">
        <v>533</v>
      </c>
      <c r="S8285">
        <v>0</v>
      </c>
    </row>
    <row r="8286" spans="11:19" x14ac:dyDescent="0.3">
      <c r="K8286" s="16">
        <f t="shared" si="129"/>
        <v>44361</v>
      </c>
      <c r="L8286" s="17">
        <v>0.16666666666666666</v>
      </c>
      <c r="M8286" s="14">
        <v>652</v>
      </c>
      <c r="N8286" s="14">
        <v>0</v>
      </c>
      <c r="O8286" s="14">
        <v>-170</v>
      </c>
      <c r="P8286" s="14">
        <v>482</v>
      </c>
      <c r="Q8286">
        <v>6318</v>
      </c>
      <c r="R8286">
        <v>560</v>
      </c>
      <c r="S8286">
        <v>0</v>
      </c>
    </row>
    <row r="8287" spans="11:19" x14ac:dyDescent="0.3">
      <c r="K8287" s="16">
        <f t="shared" si="129"/>
        <v>44361</v>
      </c>
      <c r="L8287" s="17">
        <v>0.20833333333333334</v>
      </c>
      <c r="M8287" s="14">
        <v>652</v>
      </c>
      <c r="N8287" s="14">
        <v>190</v>
      </c>
      <c r="O8287" s="14">
        <v>0</v>
      </c>
      <c r="P8287" s="14">
        <v>842</v>
      </c>
      <c r="Q8287">
        <v>6682</v>
      </c>
      <c r="R8287">
        <v>555</v>
      </c>
      <c r="S8287">
        <v>1</v>
      </c>
    </row>
    <row r="8288" spans="11:19" x14ac:dyDescent="0.3">
      <c r="K8288" s="16">
        <f t="shared" si="129"/>
        <v>44361</v>
      </c>
      <c r="L8288" s="17">
        <v>0.25</v>
      </c>
      <c r="M8288" s="14">
        <v>652</v>
      </c>
      <c r="N8288" s="14">
        <v>0</v>
      </c>
      <c r="O8288" s="14">
        <v>359</v>
      </c>
      <c r="P8288" s="14">
        <v>1011</v>
      </c>
      <c r="Q8288">
        <v>7441</v>
      </c>
      <c r="R8288">
        <v>627</v>
      </c>
      <c r="S8288">
        <v>71</v>
      </c>
    </row>
    <row r="8289" spans="11:19" x14ac:dyDescent="0.3">
      <c r="K8289" s="16">
        <f t="shared" si="129"/>
        <v>44361</v>
      </c>
      <c r="L8289" s="17">
        <v>0.29166666666666669</v>
      </c>
      <c r="M8289" s="14">
        <v>652</v>
      </c>
      <c r="N8289" s="14">
        <v>0</v>
      </c>
      <c r="O8289" s="14">
        <v>0</v>
      </c>
      <c r="P8289" s="14">
        <v>652</v>
      </c>
      <c r="Q8289">
        <v>8328</v>
      </c>
      <c r="R8289">
        <v>650</v>
      </c>
      <c r="S8289">
        <v>362</v>
      </c>
    </row>
    <row r="8290" spans="11:19" x14ac:dyDescent="0.3">
      <c r="K8290" s="16">
        <f t="shared" si="129"/>
        <v>44361</v>
      </c>
      <c r="L8290" s="17">
        <v>0.33333333333333331</v>
      </c>
      <c r="M8290" s="14">
        <v>652</v>
      </c>
      <c r="N8290" s="14">
        <v>0</v>
      </c>
      <c r="O8290" s="14">
        <v>0</v>
      </c>
      <c r="P8290" s="14">
        <v>652</v>
      </c>
      <c r="Q8290">
        <v>8897</v>
      </c>
      <c r="R8290">
        <v>622</v>
      </c>
      <c r="S8290">
        <v>821</v>
      </c>
    </row>
    <row r="8291" spans="11:19" x14ac:dyDescent="0.3">
      <c r="K8291" s="16">
        <f t="shared" si="129"/>
        <v>44361</v>
      </c>
      <c r="L8291" s="17">
        <v>0.375</v>
      </c>
      <c r="M8291" s="14">
        <v>652</v>
      </c>
      <c r="N8291" s="14">
        <v>0</v>
      </c>
      <c r="O8291" s="14">
        <v>0</v>
      </c>
      <c r="P8291" s="14">
        <v>652</v>
      </c>
      <c r="Q8291">
        <v>9286</v>
      </c>
      <c r="R8291">
        <v>555</v>
      </c>
      <c r="S8291">
        <v>1434</v>
      </c>
    </row>
    <row r="8292" spans="11:19" x14ac:dyDescent="0.3">
      <c r="K8292" s="16">
        <f t="shared" si="129"/>
        <v>44361</v>
      </c>
      <c r="L8292" s="17">
        <v>0.41666666666666669</v>
      </c>
      <c r="M8292" s="14">
        <v>652</v>
      </c>
      <c r="N8292" s="14">
        <v>0</v>
      </c>
      <c r="O8292" s="14">
        <v>0</v>
      </c>
      <c r="P8292" s="14">
        <v>652</v>
      </c>
      <c r="Q8292">
        <v>9473</v>
      </c>
      <c r="R8292">
        <v>724</v>
      </c>
      <c r="S8292">
        <v>1882</v>
      </c>
    </row>
    <row r="8293" spans="11:19" x14ac:dyDescent="0.3">
      <c r="K8293" s="16">
        <f t="shared" si="129"/>
        <v>44361</v>
      </c>
      <c r="L8293" s="17">
        <v>0.45833333333333331</v>
      </c>
      <c r="M8293" s="14">
        <v>652</v>
      </c>
      <c r="N8293" s="14">
        <v>698</v>
      </c>
      <c r="O8293" s="14">
        <v>0</v>
      </c>
      <c r="P8293" s="14">
        <v>1350</v>
      </c>
      <c r="Q8293">
        <v>9683</v>
      </c>
      <c r="R8293">
        <v>787</v>
      </c>
      <c r="S8293">
        <v>2191</v>
      </c>
    </row>
    <row r="8294" spans="11:19" x14ac:dyDescent="0.3">
      <c r="K8294" s="16">
        <f t="shared" si="129"/>
        <v>44361</v>
      </c>
      <c r="L8294" s="17">
        <v>0.5</v>
      </c>
      <c r="M8294" s="14">
        <v>652</v>
      </c>
      <c r="N8294" s="14">
        <v>0</v>
      </c>
      <c r="O8294" s="14">
        <v>0</v>
      </c>
      <c r="P8294" s="14">
        <v>652</v>
      </c>
      <c r="Q8294">
        <v>9809</v>
      </c>
      <c r="R8294">
        <v>1021</v>
      </c>
      <c r="S8294">
        <v>2395</v>
      </c>
    </row>
    <row r="8295" spans="11:19" x14ac:dyDescent="0.3">
      <c r="K8295" s="16">
        <f t="shared" si="129"/>
        <v>44361</v>
      </c>
      <c r="L8295" s="17">
        <v>0.54166666666666663</v>
      </c>
      <c r="M8295" s="14">
        <v>652</v>
      </c>
      <c r="N8295" s="14">
        <v>209</v>
      </c>
      <c r="O8295" s="14">
        <v>0</v>
      </c>
      <c r="P8295" s="14">
        <v>861</v>
      </c>
      <c r="Q8295">
        <v>9704</v>
      </c>
      <c r="R8295">
        <v>1143</v>
      </c>
      <c r="S8295">
        <v>2509</v>
      </c>
    </row>
    <row r="8296" spans="11:19" x14ac:dyDescent="0.3">
      <c r="K8296" s="16">
        <f t="shared" si="129"/>
        <v>44361</v>
      </c>
      <c r="L8296" s="17">
        <v>0.58333333333333337</v>
      </c>
      <c r="M8296" s="14">
        <v>652</v>
      </c>
      <c r="N8296" s="14">
        <v>0</v>
      </c>
      <c r="O8296" s="14">
        <v>0</v>
      </c>
      <c r="P8296" s="14">
        <v>652</v>
      </c>
      <c r="Q8296">
        <v>9644</v>
      </c>
      <c r="R8296">
        <v>1192</v>
      </c>
      <c r="S8296">
        <v>2477</v>
      </c>
    </row>
    <row r="8297" spans="11:19" x14ac:dyDescent="0.3">
      <c r="K8297" s="16">
        <f t="shared" si="129"/>
        <v>44361</v>
      </c>
      <c r="L8297" s="17">
        <v>0.625</v>
      </c>
      <c r="M8297" s="14">
        <v>652</v>
      </c>
      <c r="N8297" s="14">
        <v>0</v>
      </c>
      <c r="O8297" s="14">
        <v>-8</v>
      </c>
      <c r="P8297" s="14">
        <v>644</v>
      </c>
      <c r="Q8297">
        <v>9431</v>
      </c>
      <c r="R8297">
        <v>1258</v>
      </c>
      <c r="S8297">
        <v>2344</v>
      </c>
    </row>
    <row r="8298" spans="11:19" x14ac:dyDescent="0.3">
      <c r="K8298" s="16">
        <f t="shared" si="129"/>
        <v>44361</v>
      </c>
      <c r="L8298" s="17">
        <v>0.66666666666666663</v>
      </c>
      <c r="M8298" s="14">
        <v>652</v>
      </c>
      <c r="N8298" s="14">
        <v>0</v>
      </c>
      <c r="O8298" s="14">
        <v>-155</v>
      </c>
      <c r="P8298" s="14">
        <v>497</v>
      </c>
      <c r="Q8298">
        <v>9217</v>
      </c>
      <c r="R8298">
        <v>1435</v>
      </c>
      <c r="S8298">
        <v>2106</v>
      </c>
    </row>
    <row r="8299" spans="11:19" x14ac:dyDescent="0.3">
      <c r="K8299" s="16">
        <f t="shared" si="129"/>
        <v>44361</v>
      </c>
      <c r="L8299" s="17">
        <v>0.70833333333333337</v>
      </c>
      <c r="M8299" s="14">
        <v>652</v>
      </c>
      <c r="N8299" s="14">
        <v>62</v>
      </c>
      <c r="O8299" s="14">
        <v>0</v>
      </c>
      <c r="P8299" s="14">
        <v>714</v>
      </c>
      <c r="Q8299">
        <v>9092</v>
      </c>
      <c r="R8299">
        <v>1496</v>
      </c>
      <c r="S8299">
        <v>1709</v>
      </c>
    </row>
    <row r="8300" spans="11:19" x14ac:dyDescent="0.3">
      <c r="K8300" s="16">
        <f t="shared" si="129"/>
        <v>44361</v>
      </c>
      <c r="L8300" s="17">
        <v>0.75</v>
      </c>
      <c r="M8300" s="14">
        <v>652</v>
      </c>
      <c r="N8300" s="14">
        <v>0</v>
      </c>
      <c r="O8300" s="14">
        <v>0</v>
      </c>
      <c r="P8300" s="14">
        <v>652</v>
      </c>
      <c r="Q8300">
        <v>9252</v>
      </c>
      <c r="R8300">
        <v>1678</v>
      </c>
      <c r="S8300">
        <v>1172</v>
      </c>
    </row>
    <row r="8301" spans="11:19" x14ac:dyDescent="0.3">
      <c r="K8301" s="16">
        <f t="shared" si="129"/>
        <v>44361</v>
      </c>
      <c r="L8301" s="17">
        <v>0.79166666666666663</v>
      </c>
      <c r="M8301" s="14">
        <v>652</v>
      </c>
      <c r="N8301" s="14">
        <v>1175</v>
      </c>
      <c r="O8301" s="14">
        <v>0</v>
      </c>
      <c r="P8301" s="14">
        <v>1827</v>
      </c>
      <c r="Q8301">
        <v>9156</v>
      </c>
      <c r="R8301">
        <v>1442</v>
      </c>
      <c r="S8301">
        <v>577</v>
      </c>
    </row>
    <row r="8302" spans="11:19" x14ac:dyDescent="0.3">
      <c r="K8302" s="16">
        <f t="shared" si="129"/>
        <v>44361</v>
      </c>
      <c r="L8302" s="17">
        <v>0.83333333333333337</v>
      </c>
      <c r="M8302" s="14">
        <v>652</v>
      </c>
      <c r="N8302" s="14">
        <v>0</v>
      </c>
      <c r="O8302" s="14">
        <v>0</v>
      </c>
      <c r="P8302" s="14">
        <v>652</v>
      </c>
      <c r="Q8302">
        <v>8567</v>
      </c>
      <c r="R8302">
        <v>1255</v>
      </c>
      <c r="S8302">
        <v>183</v>
      </c>
    </row>
    <row r="8303" spans="11:19" x14ac:dyDescent="0.3">
      <c r="K8303" s="16">
        <f t="shared" si="129"/>
        <v>44361</v>
      </c>
      <c r="L8303" s="17">
        <v>0.875</v>
      </c>
      <c r="M8303" s="14">
        <v>652</v>
      </c>
      <c r="N8303" s="14">
        <v>50</v>
      </c>
      <c r="O8303" s="14">
        <v>0</v>
      </c>
      <c r="P8303" s="14">
        <v>702</v>
      </c>
      <c r="Q8303">
        <v>8213</v>
      </c>
      <c r="R8303">
        <v>1169</v>
      </c>
      <c r="S8303">
        <v>18</v>
      </c>
    </row>
    <row r="8304" spans="11:19" x14ac:dyDescent="0.3">
      <c r="K8304" s="16">
        <f t="shared" si="129"/>
        <v>44361</v>
      </c>
      <c r="L8304" s="17">
        <v>0.91666666666666663</v>
      </c>
      <c r="M8304" s="14">
        <v>652</v>
      </c>
      <c r="N8304" s="14">
        <v>0</v>
      </c>
      <c r="O8304" s="14">
        <v>0</v>
      </c>
      <c r="P8304" s="14">
        <v>652</v>
      </c>
      <c r="Q8304">
        <v>8603</v>
      </c>
      <c r="R8304">
        <v>1154</v>
      </c>
      <c r="S8304">
        <v>0</v>
      </c>
    </row>
    <row r="8305" spans="11:19" x14ac:dyDescent="0.3">
      <c r="K8305" s="16">
        <f t="shared" si="129"/>
        <v>44361</v>
      </c>
      <c r="L8305" s="17">
        <v>0.95833333333333337</v>
      </c>
      <c r="M8305" s="14">
        <v>652</v>
      </c>
      <c r="N8305" s="14">
        <v>1459</v>
      </c>
      <c r="O8305" s="14">
        <v>0</v>
      </c>
      <c r="P8305" s="14">
        <v>2111</v>
      </c>
      <c r="Q8305">
        <v>8630</v>
      </c>
      <c r="R8305">
        <v>1110</v>
      </c>
      <c r="S8305">
        <v>0</v>
      </c>
    </row>
    <row r="8306" spans="11:19" x14ac:dyDescent="0.3">
      <c r="K8306" s="16">
        <f t="shared" si="129"/>
        <v>44362</v>
      </c>
      <c r="L8306" s="17">
        <v>0</v>
      </c>
      <c r="M8306" s="14">
        <v>652</v>
      </c>
      <c r="N8306" s="14">
        <v>1064</v>
      </c>
      <c r="O8306" s="14">
        <v>0</v>
      </c>
      <c r="P8306" s="14">
        <v>1716</v>
      </c>
      <c r="Q8306">
        <v>7977</v>
      </c>
      <c r="R8306">
        <v>1062</v>
      </c>
      <c r="S8306">
        <v>0</v>
      </c>
    </row>
    <row r="8307" spans="11:19" x14ac:dyDescent="0.3">
      <c r="K8307" s="16">
        <f t="shared" si="129"/>
        <v>44362</v>
      </c>
      <c r="L8307" s="17">
        <v>4.1666666666666664E-2</v>
      </c>
      <c r="M8307" s="14">
        <v>652</v>
      </c>
      <c r="N8307" s="14">
        <v>796</v>
      </c>
      <c r="O8307" s="14">
        <v>0</v>
      </c>
      <c r="P8307" s="14">
        <v>1448</v>
      </c>
      <c r="Q8307">
        <v>7541</v>
      </c>
      <c r="R8307">
        <v>895</v>
      </c>
      <c r="S8307">
        <v>0</v>
      </c>
    </row>
    <row r="8308" spans="11:19" x14ac:dyDescent="0.3">
      <c r="K8308" s="16">
        <f t="shared" si="129"/>
        <v>44362</v>
      </c>
      <c r="L8308" s="17">
        <v>8.3333333333333329E-2</v>
      </c>
      <c r="M8308" s="14">
        <v>652</v>
      </c>
      <c r="N8308" s="14">
        <v>0</v>
      </c>
      <c r="O8308" s="14">
        <v>0</v>
      </c>
      <c r="P8308" s="14">
        <v>652</v>
      </c>
      <c r="Q8308">
        <v>7225</v>
      </c>
      <c r="R8308">
        <v>765</v>
      </c>
      <c r="S8308">
        <v>0</v>
      </c>
    </row>
    <row r="8309" spans="11:19" x14ac:dyDescent="0.3">
      <c r="K8309" s="16">
        <f t="shared" si="129"/>
        <v>44362</v>
      </c>
      <c r="L8309" s="17">
        <v>0.125</v>
      </c>
      <c r="M8309" s="14">
        <v>652</v>
      </c>
      <c r="N8309" s="14">
        <v>280</v>
      </c>
      <c r="O8309" s="14">
        <v>0</v>
      </c>
      <c r="P8309" s="14">
        <v>932</v>
      </c>
      <c r="Q8309">
        <v>6866</v>
      </c>
      <c r="R8309">
        <v>738</v>
      </c>
      <c r="S8309">
        <v>0</v>
      </c>
    </row>
    <row r="8310" spans="11:19" x14ac:dyDescent="0.3">
      <c r="K8310" s="16">
        <f t="shared" si="129"/>
        <v>44362</v>
      </c>
      <c r="L8310" s="17">
        <v>0.16666666666666666</v>
      </c>
      <c r="M8310" s="14">
        <v>652</v>
      </c>
      <c r="N8310" s="14">
        <v>429</v>
      </c>
      <c r="O8310" s="14">
        <v>0</v>
      </c>
      <c r="P8310" s="14">
        <v>1081</v>
      </c>
      <c r="Q8310">
        <v>6780</v>
      </c>
      <c r="R8310">
        <v>583</v>
      </c>
      <c r="S8310">
        <v>0</v>
      </c>
    </row>
    <row r="8311" spans="11:19" x14ac:dyDescent="0.3">
      <c r="K8311" s="16">
        <f t="shared" si="129"/>
        <v>44362</v>
      </c>
      <c r="L8311" s="17">
        <v>0.20833333333333334</v>
      </c>
      <c r="M8311" s="14">
        <v>652</v>
      </c>
      <c r="N8311" s="14">
        <v>793</v>
      </c>
      <c r="O8311" s="14">
        <v>0</v>
      </c>
      <c r="P8311" s="14">
        <v>1445</v>
      </c>
      <c r="Q8311">
        <v>7034</v>
      </c>
      <c r="R8311">
        <v>463</v>
      </c>
      <c r="S8311">
        <v>1</v>
      </c>
    </row>
    <row r="8312" spans="11:19" x14ac:dyDescent="0.3">
      <c r="K8312" s="16">
        <f t="shared" si="129"/>
        <v>44362</v>
      </c>
      <c r="L8312" s="17">
        <v>0.25</v>
      </c>
      <c r="M8312" s="14">
        <v>652</v>
      </c>
      <c r="N8312" s="14">
        <v>1346</v>
      </c>
      <c r="O8312" s="14">
        <v>0</v>
      </c>
      <c r="P8312" s="14">
        <v>1998</v>
      </c>
      <c r="Q8312">
        <v>7740</v>
      </c>
      <c r="R8312">
        <v>508</v>
      </c>
      <c r="S8312">
        <v>68</v>
      </c>
    </row>
    <row r="8313" spans="11:19" x14ac:dyDescent="0.3">
      <c r="K8313" s="16">
        <f t="shared" si="129"/>
        <v>44362</v>
      </c>
      <c r="L8313" s="17">
        <v>0.29166666666666669</v>
      </c>
      <c r="M8313" s="14">
        <v>652</v>
      </c>
      <c r="N8313" s="14">
        <v>1913</v>
      </c>
      <c r="O8313" s="14">
        <v>0</v>
      </c>
      <c r="P8313" s="14">
        <v>2565</v>
      </c>
      <c r="Q8313">
        <v>8582</v>
      </c>
      <c r="R8313">
        <v>447</v>
      </c>
      <c r="S8313">
        <v>378</v>
      </c>
    </row>
    <row r="8314" spans="11:19" x14ac:dyDescent="0.3">
      <c r="K8314" s="16">
        <f t="shared" si="129"/>
        <v>44362</v>
      </c>
      <c r="L8314" s="17">
        <v>0.33333333333333331</v>
      </c>
      <c r="M8314" s="14">
        <v>652</v>
      </c>
      <c r="N8314" s="14">
        <v>1946</v>
      </c>
      <c r="O8314" s="14">
        <v>0</v>
      </c>
      <c r="P8314" s="14">
        <v>2598</v>
      </c>
      <c r="Q8314">
        <v>9106</v>
      </c>
      <c r="R8314">
        <v>347</v>
      </c>
      <c r="S8314">
        <v>840</v>
      </c>
    </row>
    <row r="8315" spans="11:19" x14ac:dyDescent="0.3">
      <c r="K8315" s="16">
        <f t="shared" si="129"/>
        <v>44362</v>
      </c>
      <c r="L8315" s="17">
        <v>0.375</v>
      </c>
      <c r="M8315" s="14">
        <v>652</v>
      </c>
      <c r="N8315" s="14">
        <v>1698</v>
      </c>
      <c r="O8315" s="14">
        <v>0</v>
      </c>
      <c r="P8315" s="14">
        <v>2350</v>
      </c>
      <c r="Q8315">
        <v>9434</v>
      </c>
      <c r="R8315">
        <v>266</v>
      </c>
      <c r="S8315">
        <v>1463</v>
      </c>
    </row>
    <row r="8316" spans="11:19" x14ac:dyDescent="0.3">
      <c r="K8316" s="16">
        <f t="shared" si="129"/>
        <v>44362</v>
      </c>
      <c r="L8316" s="17">
        <v>0.41666666666666669</v>
      </c>
      <c r="M8316" s="14">
        <v>652</v>
      </c>
      <c r="N8316" s="14">
        <v>1476</v>
      </c>
      <c r="O8316" s="14">
        <v>0</v>
      </c>
      <c r="P8316" s="14">
        <v>2128</v>
      </c>
      <c r="Q8316">
        <v>9582</v>
      </c>
      <c r="R8316">
        <v>205</v>
      </c>
      <c r="S8316">
        <v>1895</v>
      </c>
    </row>
    <row r="8317" spans="11:19" x14ac:dyDescent="0.3">
      <c r="K8317" s="16">
        <f t="shared" si="129"/>
        <v>44362</v>
      </c>
      <c r="L8317" s="17">
        <v>0.45833333333333331</v>
      </c>
      <c r="M8317" s="14">
        <v>652</v>
      </c>
      <c r="N8317" s="14">
        <v>1377</v>
      </c>
      <c r="O8317" s="14">
        <v>0</v>
      </c>
      <c r="P8317" s="14">
        <v>2029</v>
      </c>
      <c r="Q8317">
        <v>9762</v>
      </c>
      <c r="R8317">
        <v>205</v>
      </c>
      <c r="S8317">
        <v>2173</v>
      </c>
    </row>
    <row r="8318" spans="11:19" x14ac:dyDescent="0.3">
      <c r="K8318" s="16">
        <f t="shared" si="129"/>
        <v>44362</v>
      </c>
      <c r="L8318" s="17">
        <v>0.5</v>
      </c>
      <c r="M8318" s="14">
        <v>652</v>
      </c>
      <c r="N8318" s="14">
        <v>1243</v>
      </c>
      <c r="O8318" s="14">
        <v>0</v>
      </c>
      <c r="P8318" s="14">
        <v>1895</v>
      </c>
      <c r="Q8318">
        <v>9843</v>
      </c>
      <c r="R8318">
        <v>218</v>
      </c>
      <c r="S8318">
        <v>2377</v>
      </c>
    </row>
    <row r="8319" spans="11:19" x14ac:dyDescent="0.3">
      <c r="K8319" s="16">
        <f t="shared" si="129"/>
        <v>44362</v>
      </c>
      <c r="L8319" s="17">
        <v>0.54166666666666663</v>
      </c>
      <c r="M8319" s="14">
        <v>652</v>
      </c>
      <c r="N8319" s="14">
        <v>0</v>
      </c>
      <c r="O8319" s="14">
        <v>0</v>
      </c>
      <c r="P8319" s="14">
        <v>652</v>
      </c>
      <c r="Q8319">
        <v>9699</v>
      </c>
      <c r="R8319">
        <v>212</v>
      </c>
      <c r="S8319">
        <v>2489</v>
      </c>
    </row>
    <row r="8320" spans="11:19" x14ac:dyDescent="0.3">
      <c r="K8320" s="16">
        <f t="shared" si="129"/>
        <v>44362</v>
      </c>
      <c r="L8320" s="17">
        <v>0.58333333333333337</v>
      </c>
      <c r="M8320" s="14">
        <v>652</v>
      </c>
      <c r="N8320" s="14">
        <v>844</v>
      </c>
      <c r="O8320" s="14">
        <v>0</v>
      </c>
      <c r="P8320" s="14">
        <v>1496</v>
      </c>
      <c r="Q8320">
        <v>9635</v>
      </c>
      <c r="R8320">
        <v>268</v>
      </c>
      <c r="S8320">
        <v>2443</v>
      </c>
    </row>
    <row r="8321" spans="11:19" x14ac:dyDescent="0.3">
      <c r="K8321" s="16">
        <f t="shared" si="129"/>
        <v>44362</v>
      </c>
      <c r="L8321" s="17">
        <v>0.625</v>
      </c>
      <c r="M8321" s="14">
        <v>652</v>
      </c>
      <c r="N8321" s="14">
        <v>0</v>
      </c>
      <c r="O8321" s="14">
        <v>0</v>
      </c>
      <c r="P8321" s="14">
        <v>652</v>
      </c>
      <c r="Q8321">
        <v>9395</v>
      </c>
      <c r="R8321">
        <v>319</v>
      </c>
      <c r="S8321">
        <v>2332</v>
      </c>
    </row>
    <row r="8322" spans="11:19" x14ac:dyDescent="0.3">
      <c r="K8322" s="16">
        <f t="shared" si="129"/>
        <v>44362</v>
      </c>
      <c r="L8322" s="17">
        <v>0.66666666666666663</v>
      </c>
      <c r="M8322" s="14">
        <v>652</v>
      </c>
      <c r="N8322" s="14">
        <v>605</v>
      </c>
      <c r="O8322" s="14">
        <v>0</v>
      </c>
      <c r="P8322" s="14">
        <v>1257</v>
      </c>
      <c r="Q8322">
        <v>9181</v>
      </c>
      <c r="R8322">
        <v>396</v>
      </c>
      <c r="S8322">
        <v>2109</v>
      </c>
    </row>
    <row r="8323" spans="11:19" x14ac:dyDescent="0.3">
      <c r="K8323" s="16">
        <f t="shared" si="129"/>
        <v>44362</v>
      </c>
      <c r="L8323" s="17">
        <v>0.70833333333333337</v>
      </c>
      <c r="M8323" s="14">
        <v>652</v>
      </c>
      <c r="N8323" s="14">
        <v>786</v>
      </c>
      <c r="O8323" s="14">
        <v>0</v>
      </c>
      <c r="P8323" s="14">
        <v>1438</v>
      </c>
      <c r="Q8323">
        <v>9067</v>
      </c>
      <c r="R8323">
        <v>483</v>
      </c>
      <c r="S8323">
        <v>1732</v>
      </c>
    </row>
    <row r="8324" spans="11:19" x14ac:dyDescent="0.3">
      <c r="K8324" s="16">
        <f t="shared" si="129"/>
        <v>44362</v>
      </c>
      <c r="L8324" s="17">
        <v>0.75</v>
      </c>
      <c r="M8324" s="14">
        <v>652</v>
      </c>
      <c r="N8324" s="14">
        <v>0</v>
      </c>
      <c r="O8324" s="14">
        <v>0</v>
      </c>
      <c r="P8324" s="14">
        <v>652</v>
      </c>
      <c r="Q8324">
        <v>9208</v>
      </c>
      <c r="R8324">
        <v>443</v>
      </c>
      <c r="S8324">
        <v>1175</v>
      </c>
    </row>
    <row r="8325" spans="11:19" x14ac:dyDescent="0.3">
      <c r="K8325" s="16">
        <f t="shared" si="129"/>
        <v>44362</v>
      </c>
      <c r="L8325" s="17">
        <v>0.79166666666666663</v>
      </c>
      <c r="M8325" s="14">
        <v>652</v>
      </c>
      <c r="N8325" s="14">
        <v>1832</v>
      </c>
      <c r="O8325" s="14">
        <v>0</v>
      </c>
      <c r="P8325" s="14">
        <v>2484</v>
      </c>
      <c r="Q8325">
        <v>9132</v>
      </c>
      <c r="R8325">
        <v>651</v>
      </c>
      <c r="S8325">
        <v>607</v>
      </c>
    </row>
    <row r="8326" spans="11:19" x14ac:dyDescent="0.3">
      <c r="K8326" s="16">
        <f t="shared" si="129"/>
        <v>44362</v>
      </c>
      <c r="L8326" s="17">
        <v>0.83333333333333337</v>
      </c>
      <c r="M8326" s="14">
        <v>652</v>
      </c>
      <c r="N8326" s="14">
        <v>1484</v>
      </c>
      <c r="O8326" s="14">
        <v>0</v>
      </c>
      <c r="P8326" s="14">
        <v>2136</v>
      </c>
      <c r="Q8326">
        <v>8552</v>
      </c>
      <c r="R8326">
        <v>823</v>
      </c>
      <c r="S8326">
        <v>213</v>
      </c>
    </row>
    <row r="8327" spans="11:19" x14ac:dyDescent="0.3">
      <c r="K8327" s="16">
        <f t="shared" si="129"/>
        <v>44362</v>
      </c>
      <c r="L8327" s="17">
        <v>0.875</v>
      </c>
      <c r="M8327" s="14">
        <v>652</v>
      </c>
      <c r="N8327" s="14">
        <v>1228</v>
      </c>
      <c r="O8327" s="14">
        <v>0</v>
      </c>
      <c r="P8327" s="14">
        <v>1880</v>
      </c>
      <c r="Q8327">
        <v>8232</v>
      </c>
      <c r="R8327">
        <v>958</v>
      </c>
      <c r="S8327">
        <v>21</v>
      </c>
    </row>
    <row r="8328" spans="11:19" x14ac:dyDescent="0.3">
      <c r="K8328" s="16">
        <f t="shared" si="129"/>
        <v>44362</v>
      </c>
      <c r="L8328" s="17">
        <v>0.91666666666666663</v>
      </c>
      <c r="M8328" s="14">
        <v>652</v>
      </c>
      <c r="N8328" s="14">
        <v>1748</v>
      </c>
      <c r="O8328" s="14">
        <v>0</v>
      </c>
      <c r="P8328" s="14">
        <v>2400</v>
      </c>
      <c r="Q8328">
        <v>8639</v>
      </c>
      <c r="R8328">
        <v>865</v>
      </c>
      <c r="S8328">
        <v>0</v>
      </c>
    </row>
    <row r="8329" spans="11:19" x14ac:dyDescent="0.3">
      <c r="K8329" s="16">
        <f t="shared" si="129"/>
        <v>44362</v>
      </c>
      <c r="L8329" s="17">
        <v>0.95833333333333337</v>
      </c>
      <c r="M8329" s="14">
        <v>652</v>
      </c>
      <c r="N8329" s="14">
        <v>0</v>
      </c>
      <c r="O8329" s="14">
        <v>0</v>
      </c>
      <c r="P8329" s="14">
        <v>652</v>
      </c>
      <c r="Q8329">
        <v>8709</v>
      </c>
      <c r="R8329">
        <v>792</v>
      </c>
      <c r="S8329">
        <v>0</v>
      </c>
    </row>
    <row r="8330" spans="11:19" x14ac:dyDescent="0.3">
      <c r="K8330" s="16">
        <f t="shared" si="129"/>
        <v>44363</v>
      </c>
      <c r="L8330" s="17">
        <v>0</v>
      </c>
      <c r="M8330" s="14">
        <v>652</v>
      </c>
      <c r="N8330" s="14">
        <v>1294</v>
      </c>
      <c r="O8330" s="14">
        <v>0</v>
      </c>
      <c r="P8330" s="14">
        <v>1946</v>
      </c>
      <c r="Q8330">
        <v>7948</v>
      </c>
      <c r="R8330">
        <v>803</v>
      </c>
      <c r="S8330">
        <v>0</v>
      </c>
    </row>
    <row r="8331" spans="11:19" x14ac:dyDescent="0.3">
      <c r="K8331" s="16">
        <f t="shared" si="129"/>
        <v>44363</v>
      </c>
      <c r="L8331" s="17">
        <v>4.1666666666666664E-2</v>
      </c>
      <c r="M8331" s="14">
        <v>652</v>
      </c>
      <c r="N8331" s="14">
        <v>0</v>
      </c>
      <c r="O8331" s="14">
        <v>0</v>
      </c>
      <c r="P8331" s="14">
        <v>652</v>
      </c>
      <c r="Q8331">
        <v>7515</v>
      </c>
      <c r="R8331">
        <v>704</v>
      </c>
      <c r="S8331">
        <v>0</v>
      </c>
    </row>
    <row r="8332" spans="11:19" x14ac:dyDescent="0.3">
      <c r="K8332" s="16">
        <f t="shared" si="129"/>
        <v>44363</v>
      </c>
      <c r="L8332" s="17">
        <v>8.3333333333333329E-2</v>
      </c>
      <c r="M8332" s="14">
        <v>652</v>
      </c>
      <c r="N8332" s="14">
        <v>0</v>
      </c>
      <c r="O8332" s="14">
        <v>0</v>
      </c>
      <c r="P8332" s="14">
        <v>652</v>
      </c>
      <c r="Q8332">
        <v>7201</v>
      </c>
      <c r="R8332">
        <v>576</v>
      </c>
      <c r="S8332">
        <v>0</v>
      </c>
    </row>
    <row r="8333" spans="11:19" x14ac:dyDescent="0.3">
      <c r="K8333" s="16">
        <f t="shared" si="129"/>
        <v>44363</v>
      </c>
      <c r="L8333" s="17">
        <v>0.125</v>
      </c>
      <c r="M8333" s="14">
        <v>652</v>
      </c>
      <c r="N8333" s="14">
        <v>456</v>
      </c>
      <c r="O8333" s="14">
        <v>0</v>
      </c>
      <c r="P8333" s="14">
        <v>1108</v>
      </c>
      <c r="Q8333">
        <v>6845</v>
      </c>
      <c r="R8333">
        <v>541</v>
      </c>
      <c r="S8333">
        <v>0</v>
      </c>
    </row>
    <row r="8334" spans="11:19" x14ac:dyDescent="0.3">
      <c r="K8334" s="16">
        <f t="shared" si="129"/>
        <v>44363</v>
      </c>
      <c r="L8334" s="17">
        <v>0.16666666666666666</v>
      </c>
      <c r="M8334" s="14">
        <v>652</v>
      </c>
      <c r="N8334" s="14">
        <v>0</v>
      </c>
      <c r="O8334" s="14">
        <v>0</v>
      </c>
      <c r="P8334" s="14">
        <v>652</v>
      </c>
      <c r="Q8334">
        <v>6761</v>
      </c>
      <c r="R8334">
        <v>470</v>
      </c>
      <c r="S8334">
        <v>0</v>
      </c>
    </row>
    <row r="8335" spans="11:19" x14ac:dyDescent="0.3">
      <c r="K8335" s="16">
        <f t="shared" si="129"/>
        <v>44363</v>
      </c>
      <c r="L8335" s="17">
        <v>0.20833333333333334</v>
      </c>
      <c r="M8335" s="14">
        <v>652</v>
      </c>
      <c r="N8335" s="14">
        <v>552</v>
      </c>
      <c r="O8335" s="14">
        <v>0</v>
      </c>
      <c r="P8335" s="14">
        <v>1204</v>
      </c>
      <c r="Q8335">
        <v>7020</v>
      </c>
      <c r="R8335">
        <v>451</v>
      </c>
      <c r="S8335">
        <v>1</v>
      </c>
    </row>
    <row r="8336" spans="11:19" x14ac:dyDescent="0.3">
      <c r="K8336" s="16">
        <f t="shared" si="129"/>
        <v>44363</v>
      </c>
      <c r="L8336" s="17">
        <v>0.25</v>
      </c>
      <c r="M8336" s="14">
        <v>652</v>
      </c>
      <c r="N8336" s="14">
        <v>1201</v>
      </c>
      <c r="O8336" s="14">
        <v>0</v>
      </c>
      <c r="P8336" s="14">
        <v>1853</v>
      </c>
      <c r="Q8336">
        <v>7730</v>
      </c>
      <c r="R8336">
        <v>405</v>
      </c>
      <c r="S8336">
        <v>66</v>
      </c>
    </row>
    <row r="8337" spans="11:19" x14ac:dyDescent="0.3">
      <c r="K8337" s="16">
        <f t="shared" si="129"/>
        <v>44363</v>
      </c>
      <c r="L8337" s="17">
        <v>0.29166666666666669</v>
      </c>
      <c r="M8337" s="14">
        <v>652</v>
      </c>
      <c r="N8337" s="14">
        <v>0</v>
      </c>
      <c r="O8337" s="14">
        <v>0</v>
      </c>
      <c r="P8337" s="14">
        <v>652</v>
      </c>
      <c r="Q8337">
        <v>8572</v>
      </c>
      <c r="R8337">
        <v>383</v>
      </c>
      <c r="S8337">
        <v>301</v>
      </c>
    </row>
    <row r="8338" spans="11:19" x14ac:dyDescent="0.3">
      <c r="K8338" s="16">
        <f t="shared" si="129"/>
        <v>44363</v>
      </c>
      <c r="L8338" s="17">
        <v>0.33333333333333331</v>
      </c>
      <c r="M8338" s="14">
        <v>652</v>
      </c>
      <c r="N8338" s="14">
        <v>1817</v>
      </c>
      <c r="O8338" s="14">
        <v>0</v>
      </c>
      <c r="P8338" s="14">
        <v>2469</v>
      </c>
      <c r="Q8338">
        <v>9098</v>
      </c>
      <c r="R8338">
        <v>422</v>
      </c>
      <c r="S8338">
        <v>771</v>
      </c>
    </row>
    <row r="8339" spans="11:19" x14ac:dyDescent="0.3">
      <c r="K8339" s="16">
        <f t="shared" si="129"/>
        <v>44363</v>
      </c>
      <c r="L8339" s="17">
        <v>0.375</v>
      </c>
      <c r="M8339" s="14">
        <v>652</v>
      </c>
      <c r="N8339" s="14">
        <v>1709</v>
      </c>
      <c r="O8339" s="14">
        <v>0</v>
      </c>
      <c r="P8339" s="14">
        <v>2361</v>
      </c>
      <c r="Q8339">
        <v>9430</v>
      </c>
      <c r="R8339">
        <v>349</v>
      </c>
      <c r="S8339">
        <v>1285</v>
      </c>
    </row>
    <row r="8340" spans="11:19" x14ac:dyDescent="0.3">
      <c r="K8340" s="16">
        <f t="shared" si="129"/>
        <v>44363</v>
      </c>
      <c r="L8340" s="17">
        <v>0.41666666666666669</v>
      </c>
      <c r="M8340" s="14">
        <v>652</v>
      </c>
      <c r="N8340" s="14">
        <v>1797</v>
      </c>
      <c r="O8340" s="14">
        <v>0</v>
      </c>
      <c r="P8340" s="14">
        <v>2449</v>
      </c>
      <c r="Q8340">
        <v>9587</v>
      </c>
      <c r="R8340">
        <v>349</v>
      </c>
      <c r="S8340">
        <v>1675</v>
      </c>
    </row>
    <row r="8341" spans="11:19" x14ac:dyDescent="0.3">
      <c r="K8341" s="16">
        <f t="shared" si="129"/>
        <v>44363</v>
      </c>
      <c r="L8341" s="17">
        <v>0.45833333333333331</v>
      </c>
      <c r="M8341" s="14">
        <v>652</v>
      </c>
      <c r="N8341" s="14">
        <v>1718</v>
      </c>
      <c r="O8341" s="14">
        <v>0</v>
      </c>
      <c r="P8341" s="14">
        <v>2370</v>
      </c>
      <c r="Q8341">
        <v>9779</v>
      </c>
      <c r="R8341">
        <v>366</v>
      </c>
      <c r="S8341">
        <v>1928</v>
      </c>
    </row>
    <row r="8342" spans="11:19" x14ac:dyDescent="0.3">
      <c r="K8342" s="16">
        <f t="shared" si="129"/>
        <v>44363</v>
      </c>
      <c r="L8342" s="17">
        <v>0.5</v>
      </c>
      <c r="M8342" s="14">
        <v>652</v>
      </c>
      <c r="N8342" s="14">
        <v>1737</v>
      </c>
      <c r="O8342" s="14">
        <v>0</v>
      </c>
      <c r="P8342" s="14">
        <v>2389</v>
      </c>
      <c r="Q8342">
        <v>9875</v>
      </c>
      <c r="R8342">
        <v>354</v>
      </c>
      <c r="S8342">
        <v>2020</v>
      </c>
    </row>
    <row r="8343" spans="11:19" x14ac:dyDescent="0.3">
      <c r="K8343" s="16">
        <f t="shared" si="129"/>
        <v>44363</v>
      </c>
      <c r="L8343" s="17">
        <v>0.54166666666666663</v>
      </c>
      <c r="M8343" s="14">
        <v>652</v>
      </c>
      <c r="N8343" s="14">
        <v>1570</v>
      </c>
      <c r="O8343" s="14">
        <v>0</v>
      </c>
      <c r="P8343" s="14">
        <v>2222</v>
      </c>
      <c r="Q8343">
        <v>9751</v>
      </c>
      <c r="R8343">
        <v>324</v>
      </c>
      <c r="S8343">
        <v>2094</v>
      </c>
    </row>
    <row r="8344" spans="11:19" x14ac:dyDescent="0.3">
      <c r="K8344" s="16">
        <f t="shared" si="129"/>
        <v>44363</v>
      </c>
      <c r="L8344" s="17">
        <v>0.58333333333333337</v>
      </c>
      <c r="M8344" s="14">
        <v>652</v>
      </c>
      <c r="N8344" s="14">
        <v>1642</v>
      </c>
      <c r="O8344" s="14">
        <v>0</v>
      </c>
      <c r="P8344" s="14">
        <v>2294</v>
      </c>
      <c r="Q8344">
        <v>9716</v>
      </c>
      <c r="R8344">
        <v>371</v>
      </c>
      <c r="S8344">
        <v>1944</v>
      </c>
    </row>
    <row r="8345" spans="11:19" x14ac:dyDescent="0.3">
      <c r="K8345" s="16">
        <f t="shared" si="129"/>
        <v>44363</v>
      </c>
      <c r="L8345" s="17">
        <v>0.625</v>
      </c>
      <c r="M8345" s="14">
        <v>652</v>
      </c>
      <c r="N8345" s="14">
        <v>1185</v>
      </c>
      <c r="O8345" s="14">
        <v>0</v>
      </c>
      <c r="P8345" s="14">
        <v>1837</v>
      </c>
      <c r="Q8345">
        <v>9501</v>
      </c>
      <c r="R8345">
        <v>390</v>
      </c>
      <c r="S8345">
        <v>1849</v>
      </c>
    </row>
    <row r="8346" spans="11:19" x14ac:dyDescent="0.3">
      <c r="K8346" s="16">
        <f t="shared" si="129"/>
        <v>44363</v>
      </c>
      <c r="L8346" s="17">
        <v>0.66666666666666663</v>
      </c>
      <c r="M8346" s="14">
        <v>652</v>
      </c>
      <c r="N8346" s="14">
        <v>1196</v>
      </c>
      <c r="O8346" s="14">
        <v>0</v>
      </c>
      <c r="P8346" s="14">
        <v>1848</v>
      </c>
      <c r="Q8346">
        <v>9307</v>
      </c>
      <c r="R8346">
        <v>397</v>
      </c>
      <c r="S8346">
        <v>1643</v>
      </c>
    </row>
    <row r="8347" spans="11:19" x14ac:dyDescent="0.3">
      <c r="K8347" s="16">
        <f t="shared" ref="K8347:K8410" si="130">K8323+1</f>
        <v>44363</v>
      </c>
      <c r="L8347" s="17">
        <v>0.70833333333333337</v>
      </c>
      <c r="M8347" s="14">
        <v>652</v>
      </c>
      <c r="N8347" s="14">
        <v>0</v>
      </c>
      <c r="O8347" s="14">
        <v>0</v>
      </c>
      <c r="P8347" s="14">
        <v>652</v>
      </c>
      <c r="Q8347">
        <v>9204</v>
      </c>
      <c r="R8347">
        <v>421</v>
      </c>
      <c r="S8347">
        <v>1350</v>
      </c>
    </row>
    <row r="8348" spans="11:19" x14ac:dyDescent="0.3">
      <c r="K8348" s="16">
        <f t="shared" si="130"/>
        <v>44363</v>
      </c>
      <c r="L8348" s="17">
        <v>0.75</v>
      </c>
      <c r="M8348" s="14">
        <v>652</v>
      </c>
      <c r="N8348" s="14">
        <v>1770</v>
      </c>
      <c r="O8348" s="14">
        <v>0</v>
      </c>
      <c r="P8348" s="14">
        <v>2422</v>
      </c>
      <c r="Q8348">
        <v>9330</v>
      </c>
      <c r="R8348">
        <v>577</v>
      </c>
      <c r="S8348">
        <v>925</v>
      </c>
    </row>
    <row r="8349" spans="11:19" x14ac:dyDescent="0.3">
      <c r="K8349" s="16">
        <f t="shared" si="130"/>
        <v>44363</v>
      </c>
      <c r="L8349" s="17">
        <v>0.79166666666666663</v>
      </c>
      <c r="M8349" s="14">
        <v>652</v>
      </c>
      <c r="N8349" s="14">
        <v>0</v>
      </c>
      <c r="O8349" s="14">
        <v>0</v>
      </c>
      <c r="P8349" s="14">
        <v>652</v>
      </c>
      <c r="Q8349">
        <v>9242</v>
      </c>
      <c r="R8349">
        <v>771</v>
      </c>
      <c r="S8349">
        <v>515</v>
      </c>
    </row>
    <row r="8350" spans="11:19" x14ac:dyDescent="0.3">
      <c r="K8350" s="16">
        <f t="shared" si="130"/>
        <v>44363</v>
      </c>
      <c r="L8350" s="17">
        <v>0.83333333333333337</v>
      </c>
      <c r="M8350" s="14">
        <v>652</v>
      </c>
      <c r="N8350" s="14">
        <v>1620</v>
      </c>
      <c r="O8350" s="14">
        <v>0</v>
      </c>
      <c r="P8350" s="14">
        <v>2272</v>
      </c>
      <c r="Q8350">
        <v>8659</v>
      </c>
      <c r="R8350">
        <v>965</v>
      </c>
      <c r="S8350">
        <v>123</v>
      </c>
    </row>
    <row r="8351" spans="11:19" x14ac:dyDescent="0.3">
      <c r="K8351" s="16">
        <f t="shared" si="130"/>
        <v>44363</v>
      </c>
      <c r="L8351" s="17">
        <v>0.875</v>
      </c>
      <c r="M8351" s="14">
        <v>652</v>
      </c>
      <c r="N8351" s="14">
        <v>0</v>
      </c>
      <c r="O8351" s="14">
        <v>0</v>
      </c>
      <c r="P8351" s="14">
        <v>652</v>
      </c>
      <c r="Q8351">
        <v>8348</v>
      </c>
      <c r="R8351">
        <v>1146</v>
      </c>
      <c r="S8351">
        <v>11</v>
      </c>
    </row>
    <row r="8352" spans="11:19" x14ac:dyDescent="0.3">
      <c r="K8352" s="16">
        <f t="shared" si="130"/>
        <v>44363</v>
      </c>
      <c r="L8352" s="17">
        <v>0.91666666666666663</v>
      </c>
      <c r="M8352" s="14">
        <v>652</v>
      </c>
      <c r="N8352" s="14">
        <v>1752</v>
      </c>
      <c r="O8352" s="14">
        <v>0</v>
      </c>
      <c r="P8352" s="14">
        <v>2404</v>
      </c>
      <c r="Q8352">
        <v>8770</v>
      </c>
      <c r="R8352">
        <v>1072</v>
      </c>
      <c r="S8352">
        <v>0</v>
      </c>
    </row>
    <row r="8353" spans="11:19" x14ac:dyDescent="0.3">
      <c r="K8353" s="16">
        <f t="shared" si="130"/>
        <v>44363</v>
      </c>
      <c r="L8353" s="17">
        <v>0.95833333333333337</v>
      </c>
      <c r="M8353" s="14">
        <v>652</v>
      </c>
      <c r="N8353" s="14">
        <v>1780</v>
      </c>
      <c r="O8353" s="14">
        <v>0</v>
      </c>
      <c r="P8353" s="14">
        <v>2432</v>
      </c>
      <c r="Q8353">
        <v>8821</v>
      </c>
      <c r="R8353">
        <v>1103</v>
      </c>
      <c r="S8353">
        <v>0</v>
      </c>
    </row>
    <row r="8354" spans="11:19" x14ac:dyDescent="0.3">
      <c r="K8354" s="16">
        <f t="shared" si="130"/>
        <v>44364</v>
      </c>
      <c r="L8354" s="17">
        <v>0</v>
      </c>
      <c r="M8354" s="14">
        <v>652</v>
      </c>
      <c r="N8354" s="14">
        <v>988</v>
      </c>
      <c r="O8354" s="14">
        <v>0</v>
      </c>
      <c r="P8354" s="14">
        <v>1640</v>
      </c>
      <c r="Q8354">
        <v>8038</v>
      </c>
      <c r="R8354">
        <v>1120</v>
      </c>
      <c r="S8354">
        <v>0</v>
      </c>
    </row>
    <row r="8355" spans="11:19" x14ac:dyDescent="0.3">
      <c r="K8355" s="16">
        <f t="shared" si="130"/>
        <v>44364</v>
      </c>
      <c r="L8355" s="17">
        <v>4.1666666666666664E-2</v>
      </c>
      <c r="M8355" s="14">
        <v>652</v>
      </c>
      <c r="N8355" s="14">
        <v>0</v>
      </c>
      <c r="O8355" s="14">
        <v>0</v>
      </c>
      <c r="P8355" s="14">
        <v>652</v>
      </c>
      <c r="Q8355">
        <v>7610</v>
      </c>
      <c r="R8355">
        <v>874</v>
      </c>
      <c r="S8355">
        <v>0</v>
      </c>
    </row>
    <row r="8356" spans="11:19" x14ac:dyDescent="0.3">
      <c r="K8356" s="16">
        <f t="shared" si="130"/>
        <v>44364</v>
      </c>
      <c r="L8356" s="17">
        <v>8.3333333333333329E-2</v>
      </c>
      <c r="M8356" s="14">
        <v>652</v>
      </c>
      <c r="N8356" s="14">
        <v>0</v>
      </c>
      <c r="O8356" s="14">
        <v>0</v>
      </c>
      <c r="P8356" s="14">
        <v>652</v>
      </c>
      <c r="Q8356">
        <v>7301</v>
      </c>
      <c r="R8356">
        <v>864</v>
      </c>
      <c r="S8356">
        <v>0</v>
      </c>
    </row>
    <row r="8357" spans="11:19" x14ac:dyDescent="0.3">
      <c r="K8357" s="16">
        <f t="shared" si="130"/>
        <v>44364</v>
      </c>
      <c r="L8357" s="17">
        <v>0.125</v>
      </c>
      <c r="M8357" s="14">
        <v>652</v>
      </c>
      <c r="N8357" s="14">
        <v>239</v>
      </c>
      <c r="O8357" s="14">
        <v>0</v>
      </c>
      <c r="P8357" s="14">
        <v>891</v>
      </c>
      <c r="Q8357">
        <v>6953</v>
      </c>
      <c r="R8357">
        <v>867</v>
      </c>
      <c r="S8357">
        <v>0</v>
      </c>
    </row>
    <row r="8358" spans="11:19" x14ac:dyDescent="0.3">
      <c r="K8358" s="16">
        <f t="shared" si="130"/>
        <v>44364</v>
      </c>
      <c r="L8358" s="17">
        <v>0.16666666666666666</v>
      </c>
      <c r="M8358" s="14">
        <v>652</v>
      </c>
      <c r="N8358" s="14">
        <v>0</v>
      </c>
      <c r="O8358" s="14">
        <v>0</v>
      </c>
      <c r="P8358" s="14">
        <v>652</v>
      </c>
      <c r="Q8358">
        <v>6876</v>
      </c>
      <c r="R8358">
        <v>847</v>
      </c>
      <c r="S8358">
        <v>0</v>
      </c>
    </row>
    <row r="8359" spans="11:19" x14ac:dyDescent="0.3">
      <c r="K8359" s="16">
        <f t="shared" si="130"/>
        <v>44364</v>
      </c>
      <c r="L8359" s="17">
        <v>0.20833333333333334</v>
      </c>
      <c r="M8359" s="14">
        <v>652</v>
      </c>
      <c r="N8359" s="14">
        <v>472</v>
      </c>
      <c r="O8359" s="14">
        <v>0</v>
      </c>
      <c r="P8359" s="14">
        <v>1124</v>
      </c>
      <c r="Q8359">
        <v>7129</v>
      </c>
      <c r="R8359">
        <v>801</v>
      </c>
      <c r="S8359">
        <v>1</v>
      </c>
    </row>
    <row r="8360" spans="11:19" x14ac:dyDescent="0.3">
      <c r="K8360" s="16">
        <f t="shared" si="130"/>
        <v>44364</v>
      </c>
      <c r="L8360" s="17">
        <v>0.25</v>
      </c>
      <c r="M8360" s="14">
        <v>652</v>
      </c>
      <c r="N8360" s="14">
        <v>0</v>
      </c>
      <c r="O8360" s="14">
        <v>0</v>
      </c>
      <c r="P8360" s="14">
        <v>652</v>
      </c>
      <c r="Q8360">
        <v>7830</v>
      </c>
      <c r="R8360">
        <v>901</v>
      </c>
      <c r="S8360">
        <v>28</v>
      </c>
    </row>
    <row r="8361" spans="11:19" x14ac:dyDescent="0.3">
      <c r="K8361" s="16">
        <f t="shared" si="130"/>
        <v>44364</v>
      </c>
      <c r="L8361" s="17">
        <v>0.29166666666666669</v>
      </c>
      <c r="M8361" s="14">
        <v>652</v>
      </c>
      <c r="N8361" s="14">
        <v>0</v>
      </c>
      <c r="O8361" s="14">
        <v>0</v>
      </c>
      <c r="P8361" s="14">
        <v>652</v>
      </c>
      <c r="Q8361">
        <v>8689</v>
      </c>
      <c r="R8361">
        <v>1053</v>
      </c>
      <c r="S8361">
        <v>227</v>
      </c>
    </row>
    <row r="8362" spans="11:19" x14ac:dyDescent="0.3">
      <c r="K8362" s="16">
        <f t="shared" si="130"/>
        <v>44364</v>
      </c>
      <c r="L8362" s="17">
        <v>0.33333333333333331</v>
      </c>
      <c r="M8362" s="14">
        <v>652</v>
      </c>
      <c r="N8362" s="14">
        <v>1441</v>
      </c>
      <c r="O8362" s="14">
        <v>0</v>
      </c>
      <c r="P8362" s="14">
        <v>2093</v>
      </c>
      <c r="Q8362">
        <v>9221</v>
      </c>
      <c r="R8362">
        <v>1076</v>
      </c>
      <c r="S8362">
        <v>618</v>
      </c>
    </row>
    <row r="8363" spans="11:19" x14ac:dyDescent="0.3">
      <c r="K8363" s="16">
        <f t="shared" si="130"/>
        <v>44364</v>
      </c>
      <c r="L8363" s="17">
        <v>0.375</v>
      </c>
      <c r="M8363" s="14">
        <v>652</v>
      </c>
      <c r="N8363" s="14">
        <v>0</v>
      </c>
      <c r="O8363" s="14">
        <v>0</v>
      </c>
      <c r="P8363" s="14">
        <v>652</v>
      </c>
      <c r="Q8363">
        <v>9578</v>
      </c>
      <c r="R8363">
        <v>946</v>
      </c>
      <c r="S8363">
        <v>1019</v>
      </c>
    </row>
    <row r="8364" spans="11:19" x14ac:dyDescent="0.3">
      <c r="K8364" s="16">
        <f t="shared" si="130"/>
        <v>44364</v>
      </c>
      <c r="L8364" s="17">
        <v>0.41666666666666669</v>
      </c>
      <c r="M8364" s="14">
        <v>652</v>
      </c>
      <c r="N8364" s="14">
        <v>1359</v>
      </c>
      <c r="O8364" s="14">
        <v>0</v>
      </c>
      <c r="P8364" s="14">
        <v>2011</v>
      </c>
      <c r="Q8364">
        <v>9763</v>
      </c>
      <c r="R8364">
        <v>940</v>
      </c>
      <c r="S8364">
        <v>1380</v>
      </c>
    </row>
    <row r="8365" spans="11:19" x14ac:dyDescent="0.3">
      <c r="K8365" s="16">
        <f t="shared" si="130"/>
        <v>44364</v>
      </c>
      <c r="L8365" s="17">
        <v>0.45833333333333331</v>
      </c>
      <c r="M8365" s="14">
        <v>652</v>
      </c>
      <c r="N8365" s="14">
        <v>0</v>
      </c>
      <c r="O8365" s="14">
        <v>0</v>
      </c>
      <c r="P8365" s="14">
        <v>652</v>
      </c>
      <c r="Q8365">
        <v>9971</v>
      </c>
      <c r="R8365">
        <v>865</v>
      </c>
      <c r="S8365">
        <v>1599</v>
      </c>
    </row>
    <row r="8366" spans="11:19" x14ac:dyDescent="0.3">
      <c r="K8366" s="16">
        <f t="shared" si="130"/>
        <v>44364</v>
      </c>
      <c r="L8366" s="17">
        <v>0.5</v>
      </c>
      <c r="M8366" s="14">
        <v>652</v>
      </c>
      <c r="N8366" s="14">
        <v>1297</v>
      </c>
      <c r="O8366" s="14">
        <v>0</v>
      </c>
      <c r="P8366" s="14">
        <v>1949</v>
      </c>
      <c r="Q8366">
        <v>10074</v>
      </c>
      <c r="R8366">
        <v>1096</v>
      </c>
      <c r="S8366">
        <v>1678</v>
      </c>
    </row>
    <row r="8367" spans="11:19" x14ac:dyDescent="0.3">
      <c r="K8367" s="16">
        <f t="shared" si="130"/>
        <v>44364</v>
      </c>
      <c r="L8367" s="17">
        <v>0.54166666666666663</v>
      </c>
      <c r="M8367" s="14">
        <v>652</v>
      </c>
      <c r="N8367" s="14">
        <v>0</v>
      </c>
      <c r="O8367" s="14">
        <v>0</v>
      </c>
      <c r="P8367" s="14">
        <v>652</v>
      </c>
      <c r="Q8367">
        <v>9959</v>
      </c>
      <c r="R8367">
        <v>1105</v>
      </c>
      <c r="S8367">
        <v>1786</v>
      </c>
    </row>
    <row r="8368" spans="11:19" x14ac:dyDescent="0.3">
      <c r="K8368" s="16">
        <f t="shared" si="130"/>
        <v>44364</v>
      </c>
      <c r="L8368" s="17">
        <v>0.58333333333333337</v>
      </c>
      <c r="M8368" s="14">
        <v>652</v>
      </c>
      <c r="N8368" s="14">
        <v>1194</v>
      </c>
      <c r="O8368" s="14">
        <v>0</v>
      </c>
      <c r="P8368" s="14">
        <v>1846</v>
      </c>
      <c r="Q8368">
        <v>9942</v>
      </c>
      <c r="R8368">
        <v>1049</v>
      </c>
      <c r="S8368">
        <v>1701</v>
      </c>
    </row>
    <row r="8369" spans="11:19" x14ac:dyDescent="0.3">
      <c r="K8369" s="16">
        <f t="shared" si="130"/>
        <v>44364</v>
      </c>
      <c r="L8369" s="17">
        <v>0.625</v>
      </c>
      <c r="M8369" s="14">
        <v>652</v>
      </c>
      <c r="N8369" s="14">
        <v>1188</v>
      </c>
      <c r="O8369" s="14">
        <v>0</v>
      </c>
      <c r="P8369" s="14">
        <v>1840</v>
      </c>
      <c r="Q8369">
        <v>9723</v>
      </c>
      <c r="R8369">
        <v>918</v>
      </c>
      <c r="S8369">
        <v>1622</v>
      </c>
    </row>
    <row r="8370" spans="11:19" x14ac:dyDescent="0.3">
      <c r="K8370" s="16">
        <f t="shared" si="130"/>
        <v>44364</v>
      </c>
      <c r="L8370" s="17">
        <v>0.66666666666666663</v>
      </c>
      <c r="M8370" s="14">
        <v>652</v>
      </c>
      <c r="N8370" s="14">
        <v>0</v>
      </c>
      <c r="O8370" s="14">
        <v>0</v>
      </c>
      <c r="P8370" s="14">
        <v>652</v>
      </c>
      <c r="Q8370">
        <v>9507</v>
      </c>
      <c r="R8370">
        <v>875</v>
      </c>
      <c r="S8370">
        <v>1493</v>
      </c>
    </row>
    <row r="8371" spans="11:19" x14ac:dyDescent="0.3">
      <c r="K8371" s="16">
        <f t="shared" si="130"/>
        <v>44364</v>
      </c>
      <c r="L8371" s="17">
        <v>0.70833333333333337</v>
      </c>
      <c r="M8371" s="14">
        <v>652</v>
      </c>
      <c r="N8371" s="14">
        <v>1187</v>
      </c>
      <c r="O8371" s="14">
        <v>0</v>
      </c>
      <c r="P8371" s="14">
        <v>1839</v>
      </c>
      <c r="Q8371">
        <v>9369</v>
      </c>
      <c r="R8371">
        <v>887</v>
      </c>
      <c r="S8371">
        <v>1231</v>
      </c>
    </row>
    <row r="8372" spans="11:19" x14ac:dyDescent="0.3">
      <c r="K8372" s="16">
        <f t="shared" si="130"/>
        <v>44364</v>
      </c>
      <c r="L8372" s="17">
        <v>0.75</v>
      </c>
      <c r="M8372" s="14">
        <v>652</v>
      </c>
      <c r="N8372" s="14">
        <v>1523</v>
      </c>
      <c r="O8372" s="14">
        <v>0</v>
      </c>
      <c r="P8372" s="14">
        <v>2175</v>
      </c>
      <c r="Q8372">
        <v>9440</v>
      </c>
      <c r="R8372">
        <v>1032</v>
      </c>
      <c r="S8372">
        <v>828</v>
      </c>
    </row>
    <row r="8373" spans="11:19" x14ac:dyDescent="0.3">
      <c r="K8373" s="16">
        <f t="shared" si="130"/>
        <v>44364</v>
      </c>
      <c r="L8373" s="17">
        <v>0.79166666666666663</v>
      </c>
      <c r="M8373" s="14">
        <v>652</v>
      </c>
      <c r="N8373" s="14">
        <v>1655</v>
      </c>
      <c r="O8373" s="14">
        <v>0</v>
      </c>
      <c r="P8373" s="14">
        <v>2307</v>
      </c>
      <c r="Q8373">
        <v>9314</v>
      </c>
      <c r="R8373">
        <v>1176</v>
      </c>
      <c r="S8373">
        <v>442</v>
      </c>
    </row>
    <row r="8374" spans="11:19" x14ac:dyDescent="0.3">
      <c r="K8374" s="16">
        <f t="shared" si="130"/>
        <v>44364</v>
      </c>
      <c r="L8374" s="17">
        <v>0.83333333333333337</v>
      </c>
      <c r="M8374" s="14">
        <v>652</v>
      </c>
      <c r="N8374" s="14">
        <v>0</v>
      </c>
      <c r="O8374" s="14">
        <v>0</v>
      </c>
      <c r="P8374" s="14">
        <v>652</v>
      </c>
      <c r="Q8374">
        <v>8707</v>
      </c>
      <c r="R8374">
        <v>1364</v>
      </c>
      <c r="S8374">
        <v>112</v>
      </c>
    </row>
    <row r="8375" spans="11:19" x14ac:dyDescent="0.3">
      <c r="K8375" s="16">
        <f t="shared" si="130"/>
        <v>44364</v>
      </c>
      <c r="L8375" s="17">
        <v>0.875</v>
      </c>
      <c r="M8375" s="14">
        <v>652</v>
      </c>
      <c r="N8375" s="14">
        <v>1236</v>
      </c>
      <c r="O8375" s="14">
        <v>0</v>
      </c>
      <c r="P8375" s="14">
        <v>1888</v>
      </c>
      <c r="Q8375">
        <v>8382</v>
      </c>
      <c r="R8375">
        <v>1353</v>
      </c>
      <c r="S8375">
        <v>9</v>
      </c>
    </row>
    <row r="8376" spans="11:19" x14ac:dyDescent="0.3">
      <c r="K8376" s="16">
        <f t="shared" si="130"/>
        <v>44364</v>
      </c>
      <c r="L8376" s="17">
        <v>0.91666666666666663</v>
      </c>
      <c r="M8376" s="14">
        <v>652</v>
      </c>
      <c r="N8376" s="14">
        <v>1846</v>
      </c>
      <c r="O8376" s="14">
        <v>0</v>
      </c>
      <c r="P8376" s="14">
        <v>2498</v>
      </c>
      <c r="Q8376">
        <v>8794</v>
      </c>
      <c r="R8376">
        <v>1163</v>
      </c>
      <c r="S8376">
        <v>0</v>
      </c>
    </row>
    <row r="8377" spans="11:19" x14ac:dyDescent="0.3">
      <c r="K8377" s="16">
        <f t="shared" si="130"/>
        <v>44364</v>
      </c>
      <c r="L8377" s="17">
        <v>0.95833333333333337</v>
      </c>
      <c r="M8377" s="14">
        <v>652</v>
      </c>
      <c r="N8377" s="14">
        <v>1900</v>
      </c>
      <c r="O8377" s="14">
        <v>0</v>
      </c>
      <c r="P8377" s="14">
        <v>2552</v>
      </c>
      <c r="Q8377">
        <v>8834</v>
      </c>
      <c r="R8377">
        <v>1158</v>
      </c>
      <c r="S8377">
        <v>0</v>
      </c>
    </row>
    <row r="8378" spans="11:19" x14ac:dyDescent="0.3">
      <c r="K8378" s="16">
        <f t="shared" si="130"/>
        <v>44365</v>
      </c>
      <c r="L8378" s="17">
        <v>0</v>
      </c>
      <c r="M8378" s="14">
        <v>652</v>
      </c>
      <c r="N8378" s="14">
        <v>1152</v>
      </c>
      <c r="O8378" s="14">
        <v>0</v>
      </c>
      <c r="P8378" s="14">
        <v>1804</v>
      </c>
      <c r="Q8378">
        <v>8076</v>
      </c>
      <c r="R8378">
        <v>1154</v>
      </c>
      <c r="S8378">
        <v>0</v>
      </c>
    </row>
    <row r="8379" spans="11:19" x14ac:dyDescent="0.3">
      <c r="K8379" s="16">
        <f t="shared" si="130"/>
        <v>44365</v>
      </c>
      <c r="L8379" s="17">
        <v>4.1666666666666664E-2</v>
      </c>
      <c r="M8379" s="14">
        <v>652</v>
      </c>
      <c r="N8379" s="14">
        <v>510</v>
      </c>
      <c r="O8379" s="14">
        <v>0</v>
      </c>
      <c r="P8379" s="14">
        <v>1162</v>
      </c>
      <c r="Q8379">
        <v>7630</v>
      </c>
      <c r="R8379">
        <v>1351</v>
      </c>
      <c r="S8379">
        <v>0</v>
      </c>
    </row>
    <row r="8380" spans="11:19" x14ac:dyDescent="0.3">
      <c r="K8380" s="16">
        <f t="shared" si="130"/>
        <v>44365</v>
      </c>
      <c r="L8380" s="17">
        <v>8.3333333333333329E-2</v>
      </c>
      <c r="M8380" s="14">
        <v>652</v>
      </c>
      <c r="N8380" s="14">
        <v>128</v>
      </c>
      <c r="O8380" s="14">
        <v>0</v>
      </c>
      <c r="P8380" s="14">
        <v>780</v>
      </c>
      <c r="Q8380">
        <v>7318</v>
      </c>
      <c r="R8380">
        <v>1500</v>
      </c>
      <c r="S8380">
        <v>0</v>
      </c>
    </row>
    <row r="8381" spans="11:19" x14ac:dyDescent="0.3">
      <c r="K8381" s="16">
        <f t="shared" si="130"/>
        <v>44365</v>
      </c>
      <c r="L8381" s="17">
        <v>0.125</v>
      </c>
      <c r="M8381" s="14">
        <v>652</v>
      </c>
      <c r="N8381" s="14">
        <v>0</v>
      </c>
      <c r="O8381" s="14">
        <v>-228</v>
      </c>
      <c r="P8381" s="14">
        <v>424</v>
      </c>
      <c r="Q8381">
        <v>6961</v>
      </c>
      <c r="R8381">
        <v>1501</v>
      </c>
      <c r="S8381">
        <v>0</v>
      </c>
    </row>
    <row r="8382" spans="11:19" x14ac:dyDescent="0.3">
      <c r="K8382" s="16">
        <f t="shared" si="130"/>
        <v>44365</v>
      </c>
      <c r="L8382" s="17">
        <v>0.16666666666666666</v>
      </c>
      <c r="M8382" s="14">
        <v>652</v>
      </c>
      <c r="N8382" s="14">
        <v>0</v>
      </c>
      <c r="O8382" s="14">
        <v>-328</v>
      </c>
      <c r="P8382" s="14">
        <v>324</v>
      </c>
      <c r="Q8382">
        <v>6897</v>
      </c>
      <c r="R8382">
        <v>1538</v>
      </c>
      <c r="S8382">
        <v>0</v>
      </c>
    </row>
    <row r="8383" spans="11:19" x14ac:dyDescent="0.3">
      <c r="K8383" s="16">
        <f t="shared" si="130"/>
        <v>44365</v>
      </c>
      <c r="L8383" s="17">
        <v>0.20833333333333334</v>
      </c>
      <c r="M8383" s="14">
        <v>652</v>
      </c>
      <c r="N8383" s="14">
        <v>0</v>
      </c>
      <c r="O8383" s="14">
        <v>-15</v>
      </c>
      <c r="P8383" s="14">
        <v>637</v>
      </c>
      <c r="Q8383">
        <v>7140</v>
      </c>
      <c r="R8383">
        <v>1459</v>
      </c>
      <c r="S8383">
        <v>0</v>
      </c>
    </row>
    <row r="8384" spans="11:19" x14ac:dyDescent="0.3">
      <c r="K8384" s="16">
        <f t="shared" si="130"/>
        <v>44365</v>
      </c>
      <c r="L8384" s="17">
        <v>0.25</v>
      </c>
      <c r="M8384" s="14">
        <v>652</v>
      </c>
      <c r="N8384" s="14">
        <v>756</v>
      </c>
      <c r="O8384" s="14">
        <v>0</v>
      </c>
      <c r="P8384" s="14">
        <v>1408</v>
      </c>
      <c r="Q8384">
        <v>7842</v>
      </c>
      <c r="R8384">
        <v>1322</v>
      </c>
      <c r="S8384">
        <v>27</v>
      </c>
    </row>
    <row r="8385" spans="11:19" x14ac:dyDescent="0.3">
      <c r="K8385" s="16">
        <f t="shared" si="130"/>
        <v>44365</v>
      </c>
      <c r="L8385" s="17">
        <v>0.29166666666666669</v>
      </c>
      <c r="M8385" s="14">
        <v>652</v>
      </c>
      <c r="N8385" s="14">
        <v>1020</v>
      </c>
      <c r="O8385" s="14">
        <v>0</v>
      </c>
      <c r="P8385" s="14">
        <v>1672</v>
      </c>
      <c r="Q8385">
        <v>8697</v>
      </c>
      <c r="R8385">
        <v>1394</v>
      </c>
      <c r="S8385">
        <v>200</v>
      </c>
    </row>
    <row r="8386" spans="11:19" x14ac:dyDescent="0.3">
      <c r="K8386" s="16">
        <f t="shared" si="130"/>
        <v>44365</v>
      </c>
      <c r="L8386" s="17">
        <v>0.33333333333333331</v>
      </c>
      <c r="M8386" s="14">
        <v>652</v>
      </c>
      <c r="N8386" s="14">
        <v>1267</v>
      </c>
      <c r="O8386" s="14">
        <v>0</v>
      </c>
      <c r="P8386" s="14">
        <v>1919</v>
      </c>
      <c r="Q8386">
        <v>9223</v>
      </c>
      <c r="R8386">
        <v>1297</v>
      </c>
      <c r="S8386">
        <v>572</v>
      </c>
    </row>
    <row r="8387" spans="11:19" x14ac:dyDescent="0.3">
      <c r="K8387" s="16">
        <f t="shared" si="130"/>
        <v>44365</v>
      </c>
      <c r="L8387" s="17">
        <v>0.375</v>
      </c>
      <c r="M8387" s="14">
        <v>652</v>
      </c>
      <c r="N8387" s="14">
        <v>1431</v>
      </c>
      <c r="O8387" s="14">
        <v>0</v>
      </c>
      <c r="P8387" s="14">
        <v>2083</v>
      </c>
      <c r="Q8387">
        <v>9597</v>
      </c>
      <c r="R8387">
        <v>1186</v>
      </c>
      <c r="S8387">
        <v>895</v>
      </c>
    </row>
    <row r="8388" spans="11:19" x14ac:dyDescent="0.3">
      <c r="K8388" s="16">
        <f t="shared" si="130"/>
        <v>44365</v>
      </c>
      <c r="L8388" s="17">
        <v>0.41666666666666669</v>
      </c>
      <c r="M8388" s="14">
        <v>652</v>
      </c>
      <c r="N8388" s="14">
        <v>0</v>
      </c>
      <c r="O8388" s="14">
        <v>0</v>
      </c>
      <c r="P8388" s="14">
        <v>652</v>
      </c>
      <c r="Q8388">
        <v>9776</v>
      </c>
      <c r="R8388">
        <v>764</v>
      </c>
      <c r="S8388">
        <v>1047</v>
      </c>
    </row>
    <row r="8389" spans="11:19" x14ac:dyDescent="0.3">
      <c r="K8389" s="16">
        <f t="shared" si="130"/>
        <v>44365</v>
      </c>
      <c r="L8389" s="17">
        <v>0.45833333333333331</v>
      </c>
      <c r="M8389" s="14">
        <v>652</v>
      </c>
      <c r="N8389" s="14">
        <v>0</v>
      </c>
      <c r="O8389" s="14">
        <v>0</v>
      </c>
      <c r="P8389" s="14">
        <v>652</v>
      </c>
      <c r="Q8389">
        <v>9942</v>
      </c>
      <c r="R8389">
        <v>730</v>
      </c>
      <c r="S8389">
        <v>1260</v>
      </c>
    </row>
    <row r="8390" spans="11:19" x14ac:dyDescent="0.3">
      <c r="K8390" s="16">
        <f t="shared" si="130"/>
        <v>44365</v>
      </c>
      <c r="L8390" s="17">
        <v>0.5</v>
      </c>
      <c r="M8390" s="14">
        <v>652</v>
      </c>
      <c r="N8390" s="14">
        <v>0</v>
      </c>
      <c r="O8390" s="14">
        <v>0</v>
      </c>
      <c r="P8390" s="14">
        <v>652</v>
      </c>
      <c r="Q8390">
        <v>10014</v>
      </c>
      <c r="R8390">
        <v>695</v>
      </c>
      <c r="S8390">
        <v>1212</v>
      </c>
    </row>
    <row r="8391" spans="11:19" x14ac:dyDescent="0.3">
      <c r="K8391" s="16">
        <f t="shared" si="130"/>
        <v>44365</v>
      </c>
      <c r="L8391" s="17">
        <v>0.54166666666666663</v>
      </c>
      <c r="M8391" s="14">
        <v>652</v>
      </c>
      <c r="N8391" s="14">
        <v>0</v>
      </c>
      <c r="O8391" s="14">
        <v>458</v>
      </c>
      <c r="P8391" s="14">
        <v>1110</v>
      </c>
      <c r="Q8391">
        <v>9799</v>
      </c>
      <c r="R8391">
        <v>799</v>
      </c>
      <c r="S8391">
        <v>1288</v>
      </c>
    </row>
    <row r="8392" spans="11:19" x14ac:dyDescent="0.3">
      <c r="K8392" s="16">
        <f t="shared" si="130"/>
        <v>44365</v>
      </c>
      <c r="L8392" s="17">
        <v>0.58333333333333337</v>
      </c>
      <c r="M8392" s="14">
        <v>652</v>
      </c>
      <c r="N8392" s="14">
        <v>1744</v>
      </c>
      <c r="O8392" s="14">
        <v>0</v>
      </c>
      <c r="P8392" s="14">
        <v>2396</v>
      </c>
      <c r="Q8392">
        <v>9697</v>
      </c>
      <c r="R8392">
        <v>827</v>
      </c>
      <c r="S8392">
        <v>1047</v>
      </c>
    </row>
    <row r="8393" spans="11:19" x14ac:dyDescent="0.3">
      <c r="K8393" s="16">
        <f t="shared" si="130"/>
        <v>44365</v>
      </c>
      <c r="L8393" s="17">
        <v>0.625</v>
      </c>
      <c r="M8393" s="14">
        <v>652</v>
      </c>
      <c r="N8393" s="14">
        <v>1727</v>
      </c>
      <c r="O8393" s="14">
        <v>0</v>
      </c>
      <c r="P8393" s="14">
        <v>2379</v>
      </c>
      <c r="Q8393">
        <v>9421</v>
      </c>
      <c r="R8393">
        <v>600</v>
      </c>
      <c r="S8393">
        <v>1018</v>
      </c>
    </row>
    <row r="8394" spans="11:19" x14ac:dyDescent="0.3">
      <c r="K8394" s="16">
        <f t="shared" si="130"/>
        <v>44365</v>
      </c>
      <c r="L8394" s="17">
        <v>0.66666666666666663</v>
      </c>
      <c r="M8394" s="14">
        <v>652</v>
      </c>
      <c r="N8394" s="14">
        <v>1598</v>
      </c>
      <c r="O8394" s="14">
        <v>0</v>
      </c>
      <c r="P8394" s="14">
        <v>2250</v>
      </c>
      <c r="Q8394">
        <v>9137</v>
      </c>
      <c r="R8394">
        <v>527</v>
      </c>
      <c r="S8394">
        <v>942</v>
      </c>
    </row>
    <row r="8395" spans="11:19" x14ac:dyDescent="0.3">
      <c r="K8395" s="16">
        <f t="shared" si="130"/>
        <v>44365</v>
      </c>
      <c r="L8395" s="17">
        <v>0.70833333333333337</v>
      </c>
      <c r="M8395" s="14">
        <v>652</v>
      </c>
      <c r="N8395" s="14">
        <v>1425</v>
      </c>
      <c r="O8395" s="14">
        <v>0</v>
      </c>
      <c r="P8395" s="14">
        <v>2077</v>
      </c>
      <c r="Q8395">
        <v>8996</v>
      </c>
      <c r="R8395">
        <v>690</v>
      </c>
      <c r="S8395">
        <v>817</v>
      </c>
    </row>
    <row r="8396" spans="11:19" x14ac:dyDescent="0.3">
      <c r="K8396" s="16">
        <f t="shared" si="130"/>
        <v>44365</v>
      </c>
      <c r="L8396" s="17">
        <v>0.75</v>
      </c>
      <c r="M8396" s="14">
        <v>652</v>
      </c>
      <c r="N8396" s="14">
        <v>0</v>
      </c>
      <c r="O8396" s="14">
        <v>0</v>
      </c>
      <c r="P8396" s="14">
        <v>652</v>
      </c>
      <c r="Q8396">
        <v>9025</v>
      </c>
      <c r="R8396">
        <v>875</v>
      </c>
      <c r="S8396">
        <v>542</v>
      </c>
    </row>
    <row r="8397" spans="11:19" x14ac:dyDescent="0.3">
      <c r="K8397" s="16">
        <f t="shared" si="130"/>
        <v>44365</v>
      </c>
      <c r="L8397" s="17">
        <v>0.79166666666666663</v>
      </c>
      <c r="M8397" s="14">
        <v>652</v>
      </c>
      <c r="N8397" s="14">
        <v>0</v>
      </c>
      <c r="O8397" s="14">
        <v>0</v>
      </c>
      <c r="P8397" s="14">
        <v>652</v>
      </c>
      <c r="Q8397">
        <v>8841</v>
      </c>
      <c r="R8397">
        <v>972</v>
      </c>
      <c r="S8397">
        <v>335</v>
      </c>
    </row>
    <row r="8398" spans="11:19" x14ac:dyDescent="0.3">
      <c r="K8398" s="16">
        <f t="shared" si="130"/>
        <v>44365</v>
      </c>
      <c r="L8398" s="17">
        <v>0.83333333333333337</v>
      </c>
      <c r="M8398" s="14">
        <v>652</v>
      </c>
      <c r="N8398" s="14">
        <v>1128</v>
      </c>
      <c r="O8398" s="14">
        <v>0</v>
      </c>
      <c r="P8398" s="14">
        <v>1780</v>
      </c>
      <c r="Q8398">
        <v>8329</v>
      </c>
      <c r="R8398">
        <v>1159</v>
      </c>
      <c r="S8398">
        <v>91</v>
      </c>
    </row>
    <row r="8399" spans="11:19" x14ac:dyDescent="0.3">
      <c r="K8399" s="16">
        <f t="shared" si="130"/>
        <v>44365</v>
      </c>
      <c r="L8399" s="17">
        <v>0.875</v>
      </c>
      <c r="M8399" s="14">
        <v>652</v>
      </c>
      <c r="N8399" s="14">
        <v>0</v>
      </c>
      <c r="O8399" s="14">
        <v>0</v>
      </c>
      <c r="P8399" s="14">
        <v>652</v>
      </c>
      <c r="Q8399">
        <v>8044</v>
      </c>
      <c r="R8399">
        <v>1344</v>
      </c>
      <c r="S8399">
        <v>5</v>
      </c>
    </row>
    <row r="8400" spans="11:19" x14ac:dyDescent="0.3">
      <c r="K8400" s="16">
        <f t="shared" si="130"/>
        <v>44365</v>
      </c>
      <c r="L8400" s="17">
        <v>0.91666666666666663</v>
      </c>
      <c r="M8400" s="14">
        <v>652</v>
      </c>
      <c r="N8400" s="14">
        <v>957</v>
      </c>
      <c r="O8400" s="14">
        <v>0</v>
      </c>
      <c r="P8400" s="14">
        <v>1609</v>
      </c>
      <c r="Q8400">
        <v>8530</v>
      </c>
      <c r="R8400">
        <v>1628</v>
      </c>
      <c r="S8400">
        <v>0</v>
      </c>
    </row>
    <row r="8401" spans="11:19" x14ac:dyDescent="0.3">
      <c r="K8401" s="16">
        <f t="shared" si="130"/>
        <v>44365</v>
      </c>
      <c r="L8401" s="17">
        <v>0.95833333333333337</v>
      </c>
      <c r="M8401" s="14">
        <v>652</v>
      </c>
      <c r="N8401" s="14">
        <v>0</v>
      </c>
      <c r="O8401" s="14">
        <v>0</v>
      </c>
      <c r="P8401" s="14">
        <v>652</v>
      </c>
      <c r="Q8401">
        <v>8622</v>
      </c>
      <c r="R8401">
        <v>1765</v>
      </c>
      <c r="S8401">
        <v>0</v>
      </c>
    </row>
    <row r="8402" spans="11:19" x14ac:dyDescent="0.3">
      <c r="K8402" s="16">
        <f t="shared" si="130"/>
        <v>44366</v>
      </c>
      <c r="L8402" s="17">
        <v>0</v>
      </c>
      <c r="M8402" s="14">
        <v>652</v>
      </c>
      <c r="N8402" s="14">
        <v>0</v>
      </c>
      <c r="O8402" s="14">
        <v>501</v>
      </c>
      <c r="P8402" s="14">
        <v>1153</v>
      </c>
      <c r="Q8402">
        <v>7855</v>
      </c>
      <c r="R8402">
        <v>1660</v>
      </c>
      <c r="S8402">
        <v>0</v>
      </c>
    </row>
    <row r="8403" spans="11:19" x14ac:dyDescent="0.3">
      <c r="K8403" s="16">
        <f t="shared" si="130"/>
        <v>44366</v>
      </c>
      <c r="L8403" s="17">
        <v>4.1666666666666664E-2</v>
      </c>
      <c r="M8403" s="14">
        <v>652</v>
      </c>
      <c r="N8403" s="14">
        <v>0</v>
      </c>
      <c r="O8403" s="14">
        <v>208</v>
      </c>
      <c r="P8403" s="14">
        <v>860</v>
      </c>
      <c r="Q8403">
        <v>7383</v>
      </c>
      <c r="R8403">
        <v>1484</v>
      </c>
      <c r="S8403">
        <v>0</v>
      </c>
    </row>
    <row r="8404" spans="11:19" x14ac:dyDescent="0.3">
      <c r="K8404" s="16">
        <f t="shared" si="130"/>
        <v>44366</v>
      </c>
      <c r="L8404" s="17">
        <v>8.3333333333333329E-2</v>
      </c>
      <c r="M8404" s="14">
        <v>652</v>
      </c>
      <c r="N8404" s="14">
        <v>0</v>
      </c>
      <c r="O8404" s="14">
        <v>176</v>
      </c>
      <c r="P8404" s="14">
        <v>828</v>
      </c>
      <c r="Q8404">
        <v>7006</v>
      </c>
      <c r="R8404">
        <v>1444</v>
      </c>
      <c r="S8404">
        <v>0</v>
      </c>
    </row>
    <row r="8405" spans="11:19" x14ac:dyDescent="0.3">
      <c r="K8405" s="16">
        <f t="shared" si="130"/>
        <v>44366</v>
      </c>
      <c r="L8405" s="17">
        <v>0.125</v>
      </c>
      <c r="M8405" s="14">
        <v>652</v>
      </c>
      <c r="N8405" s="14">
        <v>0</v>
      </c>
      <c r="O8405" s="14">
        <v>0</v>
      </c>
      <c r="P8405" s="14">
        <v>652</v>
      </c>
      <c r="Q8405">
        <v>6598</v>
      </c>
      <c r="R8405">
        <v>1510</v>
      </c>
      <c r="S8405">
        <v>0</v>
      </c>
    </row>
    <row r="8406" spans="11:19" x14ac:dyDescent="0.3">
      <c r="K8406" s="16">
        <f t="shared" si="130"/>
        <v>44366</v>
      </c>
      <c r="L8406" s="17">
        <v>0.16666666666666666</v>
      </c>
      <c r="M8406" s="14">
        <v>652</v>
      </c>
      <c r="N8406" s="14">
        <v>0</v>
      </c>
      <c r="O8406" s="14">
        <v>0</v>
      </c>
      <c r="P8406" s="14">
        <v>652</v>
      </c>
      <c r="Q8406">
        <v>6405</v>
      </c>
      <c r="R8406">
        <v>1947</v>
      </c>
      <c r="S8406">
        <v>0</v>
      </c>
    </row>
    <row r="8407" spans="11:19" x14ac:dyDescent="0.3">
      <c r="K8407" s="16">
        <f t="shared" si="130"/>
        <v>44366</v>
      </c>
      <c r="L8407" s="17">
        <v>0.20833333333333334</v>
      </c>
      <c r="M8407" s="14">
        <v>652</v>
      </c>
      <c r="N8407" s="14">
        <v>0</v>
      </c>
      <c r="O8407" s="14">
        <v>0</v>
      </c>
      <c r="P8407" s="14">
        <v>652</v>
      </c>
      <c r="Q8407">
        <v>6379</v>
      </c>
      <c r="R8407">
        <v>2334</v>
      </c>
      <c r="S8407">
        <v>0</v>
      </c>
    </row>
    <row r="8408" spans="11:19" x14ac:dyDescent="0.3">
      <c r="K8408" s="16">
        <f t="shared" si="130"/>
        <v>44366</v>
      </c>
      <c r="L8408" s="17">
        <v>0.25</v>
      </c>
      <c r="M8408" s="14">
        <v>652</v>
      </c>
      <c r="N8408" s="14">
        <v>0</v>
      </c>
      <c r="O8408" s="14">
        <v>-82</v>
      </c>
      <c r="P8408" s="14">
        <v>570</v>
      </c>
      <c r="Q8408">
        <v>6487</v>
      </c>
      <c r="R8408">
        <v>2578</v>
      </c>
      <c r="S8408">
        <v>13</v>
      </c>
    </row>
    <row r="8409" spans="11:19" x14ac:dyDescent="0.3">
      <c r="K8409" s="16">
        <f t="shared" si="130"/>
        <v>44366</v>
      </c>
      <c r="L8409" s="17">
        <v>0.29166666666666669</v>
      </c>
      <c r="M8409" s="14">
        <v>652</v>
      </c>
      <c r="N8409" s="14">
        <v>0</v>
      </c>
      <c r="O8409" s="14">
        <v>-285</v>
      </c>
      <c r="P8409" s="14">
        <v>367</v>
      </c>
      <c r="Q8409">
        <v>6865</v>
      </c>
      <c r="R8409">
        <v>3028</v>
      </c>
      <c r="S8409">
        <v>123</v>
      </c>
    </row>
    <row r="8410" spans="11:19" x14ac:dyDescent="0.3">
      <c r="K8410" s="16">
        <f t="shared" si="130"/>
        <v>44366</v>
      </c>
      <c r="L8410" s="17">
        <v>0.33333333333333331</v>
      </c>
      <c r="M8410" s="14">
        <v>652</v>
      </c>
      <c r="N8410" s="14">
        <v>0</v>
      </c>
      <c r="O8410" s="14">
        <v>-269</v>
      </c>
      <c r="P8410" s="14">
        <v>383</v>
      </c>
      <c r="Q8410">
        <v>7423</v>
      </c>
      <c r="R8410">
        <v>3327</v>
      </c>
      <c r="S8410">
        <v>363</v>
      </c>
    </row>
    <row r="8411" spans="11:19" x14ac:dyDescent="0.3">
      <c r="K8411" s="16">
        <f t="shared" ref="K8411:K8474" si="131">K8387+1</f>
        <v>44366</v>
      </c>
      <c r="L8411" s="17">
        <v>0.375</v>
      </c>
      <c r="M8411" s="14">
        <v>652</v>
      </c>
      <c r="N8411" s="14">
        <v>0</v>
      </c>
      <c r="O8411" s="14">
        <v>-47</v>
      </c>
      <c r="P8411" s="14">
        <v>605</v>
      </c>
      <c r="Q8411">
        <v>7942</v>
      </c>
      <c r="R8411">
        <v>3441</v>
      </c>
      <c r="S8411">
        <v>544</v>
      </c>
    </row>
    <row r="8412" spans="11:19" x14ac:dyDescent="0.3">
      <c r="K8412" s="16">
        <f t="shared" si="131"/>
        <v>44366</v>
      </c>
      <c r="L8412" s="17">
        <v>0.41666666666666669</v>
      </c>
      <c r="M8412" s="14">
        <v>652</v>
      </c>
      <c r="N8412" s="14">
        <v>0</v>
      </c>
      <c r="O8412" s="14">
        <v>0</v>
      </c>
      <c r="P8412" s="14">
        <v>652</v>
      </c>
      <c r="Q8412">
        <v>8189</v>
      </c>
      <c r="R8412">
        <v>3281</v>
      </c>
      <c r="S8412">
        <v>736</v>
      </c>
    </row>
    <row r="8413" spans="11:19" x14ac:dyDescent="0.3">
      <c r="K8413" s="16">
        <f t="shared" si="131"/>
        <v>44366</v>
      </c>
      <c r="L8413" s="17">
        <v>0.45833333333333331</v>
      </c>
      <c r="M8413" s="14">
        <v>652</v>
      </c>
      <c r="N8413" s="14">
        <v>0</v>
      </c>
      <c r="O8413" s="14">
        <v>0</v>
      </c>
      <c r="P8413" s="14">
        <v>652</v>
      </c>
      <c r="Q8413">
        <v>8381</v>
      </c>
      <c r="R8413">
        <v>2817</v>
      </c>
      <c r="S8413">
        <v>874</v>
      </c>
    </row>
    <row r="8414" spans="11:19" x14ac:dyDescent="0.3">
      <c r="K8414" s="16">
        <f t="shared" si="131"/>
        <v>44366</v>
      </c>
      <c r="L8414" s="17">
        <v>0.5</v>
      </c>
      <c r="M8414" s="14">
        <v>652</v>
      </c>
      <c r="N8414" s="14">
        <v>0</v>
      </c>
      <c r="O8414" s="14">
        <v>0</v>
      </c>
      <c r="P8414" s="14">
        <v>652</v>
      </c>
      <c r="Q8414">
        <v>8676</v>
      </c>
      <c r="R8414">
        <v>2554</v>
      </c>
      <c r="S8414">
        <v>1101</v>
      </c>
    </row>
    <row r="8415" spans="11:19" x14ac:dyDescent="0.3">
      <c r="K8415" s="16">
        <f t="shared" si="131"/>
        <v>44366</v>
      </c>
      <c r="L8415" s="17">
        <v>0.54166666666666663</v>
      </c>
      <c r="M8415" s="14">
        <v>652</v>
      </c>
      <c r="N8415" s="14">
        <v>0</v>
      </c>
      <c r="O8415" s="14">
        <v>0</v>
      </c>
      <c r="P8415" s="14">
        <v>652</v>
      </c>
      <c r="Q8415">
        <v>8336</v>
      </c>
      <c r="R8415">
        <v>2311</v>
      </c>
      <c r="S8415">
        <v>1202</v>
      </c>
    </row>
    <row r="8416" spans="11:19" x14ac:dyDescent="0.3">
      <c r="K8416" s="16">
        <f t="shared" si="131"/>
        <v>44366</v>
      </c>
      <c r="L8416" s="17">
        <v>0.58333333333333337</v>
      </c>
      <c r="M8416" s="14">
        <v>652</v>
      </c>
      <c r="N8416" s="14">
        <v>0</v>
      </c>
      <c r="O8416" s="14">
        <v>0</v>
      </c>
      <c r="P8416" s="14">
        <v>652</v>
      </c>
      <c r="Q8416">
        <v>8071</v>
      </c>
      <c r="R8416">
        <v>2221</v>
      </c>
      <c r="S8416">
        <v>1377</v>
      </c>
    </row>
    <row r="8417" spans="11:19" x14ac:dyDescent="0.3">
      <c r="K8417" s="16">
        <f t="shared" si="131"/>
        <v>44366</v>
      </c>
      <c r="L8417" s="17">
        <v>0.625</v>
      </c>
      <c r="M8417" s="14">
        <v>652</v>
      </c>
      <c r="N8417" s="14">
        <v>0</v>
      </c>
      <c r="O8417" s="14">
        <v>0</v>
      </c>
      <c r="P8417" s="14">
        <v>652</v>
      </c>
      <c r="Q8417">
        <v>7766</v>
      </c>
      <c r="R8417">
        <v>2334</v>
      </c>
      <c r="S8417">
        <v>1352</v>
      </c>
    </row>
    <row r="8418" spans="11:19" x14ac:dyDescent="0.3">
      <c r="K8418" s="16">
        <f t="shared" si="131"/>
        <v>44366</v>
      </c>
      <c r="L8418" s="17">
        <v>0.66666666666666663</v>
      </c>
      <c r="M8418" s="14">
        <v>652</v>
      </c>
      <c r="N8418" s="14">
        <v>0</v>
      </c>
      <c r="O8418" s="14">
        <v>-273</v>
      </c>
      <c r="P8418" s="14">
        <v>379</v>
      </c>
      <c r="Q8418">
        <v>7525</v>
      </c>
      <c r="R8418">
        <v>2468</v>
      </c>
      <c r="S8418">
        <v>1345</v>
      </c>
    </row>
    <row r="8419" spans="11:19" x14ac:dyDescent="0.3">
      <c r="K8419" s="16">
        <f t="shared" si="131"/>
        <v>44366</v>
      </c>
      <c r="L8419" s="17">
        <v>0.70833333333333337</v>
      </c>
      <c r="M8419" s="14">
        <v>652</v>
      </c>
      <c r="N8419" s="14">
        <v>0</v>
      </c>
      <c r="O8419" s="14">
        <v>-150</v>
      </c>
      <c r="P8419" s="14">
        <v>502</v>
      </c>
      <c r="Q8419">
        <v>7473</v>
      </c>
      <c r="R8419">
        <v>2536</v>
      </c>
      <c r="S8419">
        <v>1109</v>
      </c>
    </row>
    <row r="8420" spans="11:19" x14ac:dyDescent="0.3">
      <c r="K8420" s="16">
        <f t="shared" si="131"/>
        <v>44366</v>
      </c>
      <c r="L8420" s="17">
        <v>0.75</v>
      </c>
      <c r="M8420" s="14">
        <v>652</v>
      </c>
      <c r="N8420" s="14">
        <v>0</v>
      </c>
      <c r="O8420" s="14">
        <v>0</v>
      </c>
      <c r="P8420" s="14">
        <v>652</v>
      </c>
      <c r="Q8420">
        <v>7645</v>
      </c>
      <c r="R8420">
        <v>2259</v>
      </c>
      <c r="S8420">
        <v>795</v>
      </c>
    </row>
    <row r="8421" spans="11:19" x14ac:dyDescent="0.3">
      <c r="K8421" s="16">
        <f t="shared" si="131"/>
        <v>44366</v>
      </c>
      <c r="L8421" s="17">
        <v>0.79166666666666663</v>
      </c>
      <c r="M8421" s="14">
        <v>652</v>
      </c>
      <c r="N8421" s="14">
        <v>0</v>
      </c>
      <c r="O8421" s="14">
        <v>0</v>
      </c>
      <c r="P8421" s="14">
        <v>652</v>
      </c>
      <c r="Q8421">
        <v>7625</v>
      </c>
      <c r="R8421">
        <v>1948</v>
      </c>
      <c r="S8421">
        <v>433</v>
      </c>
    </row>
    <row r="8422" spans="11:19" x14ac:dyDescent="0.3">
      <c r="K8422" s="16">
        <f t="shared" si="131"/>
        <v>44366</v>
      </c>
      <c r="L8422" s="17">
        <v>0.83333333333333337</v>
      </c>
      <c r="M8422" s="14">
        <v>652</v>
      </c>
      <c r="N8422" s="14">
        <v>0</v>
      </c>
      <c r="O8422" s="14">
        <v>0</v>
      </c>
      <c r="P8422" s="14">
        <v>652</v>
      </c>
      <c r="Q8422">
        <v>7278</v>
      </c>
      <c r="R8422">
        <v>1805</v>
      </c>
      <c r="S8422">
        <v>155</v>
      </c>
    </row>
    <row r="8423" spans="11:19" x14ac:dyDescent="0.3">
      <c r="K8423" s="16">
        <f t="shared" si="131"/>
        <v>44366</v>
      </c>
      <c r="L8423" s="17">
        <v>0.875</v>
      </c>
      <c r="M8423" s="14">
        <v>652</v>
      </c>
      <c r="N8423" s="14">
        <v>0</v>
      </c>
      <c r="O8423" s="14">
        <v>0</v>
      </c>
      <c r="P8423" s="14">
        <v>652</v>
      </c>
      <c r="Q8423">
        <v>7063</v>
      </c>
      <c r="R8423">
        <v>1743</v>
      </c>
      <c r="S8423">
        <v>24</v>
      </c>
    </row>
    <row r="8424" spans="11:19" x14ac:dyDescent="0.3">
      <c r="K8424" s="16">
        <f t="shared" si="131"/>
        <v>44366</v>
      </c>
      <c r="L8424" s="17">
        <v>0.91666666666666663</v>
      </c>
      <c r="M8424" s="14">
        <v>652</v>
      </c>
      <c r="N8424" s="14">
        <v>0</v>
      </c>
      <c r="O8424" s="14">
        <v>0</v>
      </c>
      <c r="P8424" s="14">
        <v>652</v>
      </c>
      <c r="Q8424">
        <v>7627</v>
      </c>
      <c r="R8424">
        <v>1963</v>
      </c>
      <c r="S8424">
        <v>0</v>
      </c>
    </row>
    <row r="8425" spans="11:19" x14ac:dyDescent="0.3">
      <c r="K8425" s="16">
        <f t="shared" si="131"/>
        <v>44366</v>
      </c>
      <c r="L8425" s="17">
        <v>0.95833333333333337</v>
      </c>
      <c r="M8425" s="14">
        <v>652</v>
      </c>
      <c r="N8425" s="14">
        <v>0</v>
      </c>
      <c r="O8425" s="14">
        <v>0</v>
      </c>
      <c r="P8425" s="14">
        <v>652</v>
      </c>
      <c r="Q8425">
        <v>7892</v>
      </c>
      <c r="R8425">
        <v>2207</v>
      </c>
      <c r="S8425">
        <v>0</v>
      </c>
    </row>
    <row r="8426" spans="11:19" x14ac:dyDescent="0.3">
      <c r="K8426" s="16">
        <f t="shared" si="131"/>
        <v>44367</v>
      </c>
      <c r="L8426" s="17">
        <v>0</v>
      </c>
      <c r="M8426" s="14">
        <v>652</v>
      </c>
      <c r="N8426" s="14">
        <v>0</v>
      </c>
      <c r="O8426" s="14">
        <v>1030</v>
      </c>
      <c r="P8426" s="14">
        <v>1682</v>
      </c>
      <c r="Q8426">
        <v>7284</v>
      </c>
      <c r="R8426">
        <v>2312</v>
      </c>
      <c r="S8426">
        <v>0</v>
      </c>
    </row>
    <row r="8427" spans="11:19" x14ac:dyDescent="0.3">
      <c r="K8427" s="16">
        <f t="shared" si="131"/>
        <v>44367</v>
      </c>
      <c r="L8427" s="17">
        <v>4.1666666666666664E-2</v>
      </c>
      <c r="M8427" s="14">
        <v>652</v>
      </c>
      <c r="N8427" s="14">
        <v>0</v>
      </c>
      <c r="O8427" s="14">
        <v>487</v>
      </c>
      <c r="P8427" s="14">
        <v>1139</v>
      </c>
      <c r="Q8427">
        <v>6860</v>
      </c>
      <c r="R8427">
        <v>2434</v>
      </c>
      <c r="S8427">
        <v>0</v>
      </c>
    </row>
    <row r="8428" spans="11:19" x14ac:dyDescent="0.3">
      <c r="K8428" s="16">
        <f t="shared" si="131"/>
        <v>44367</v>
      </c>
      <c r="L8428" s="17">
        <v>8.3333333333333329E-2</v>
      </c>
      <c r="M8428" s="14">
        <v>652</v>
      </c>
      <c r="N8428" s="14">
        <v>0</v>
      </c>
      <c r="O8428" s="14">
        <v>25</v>
      </c>
      <c r="P8428" s="14">
        <v>677</v>
      </c>
      <c r="Q8428">
        <v>6477</v>
      </c>
      <c r="R8428">
        <v>2518</v>
      </c>
      <c r="S8428">
        <v>0</v>
      </c>
    </row>
    <row r="8429" spans="11:19" x14ac:dyDescent="0.3">
      <c r="K8429" s="16">
        <f t="shared" si="131"/>
        <v>44367</v>
      </c>
      <c r="L8429" s="17">
        <v>0.125</v>
      </c>
      <c r="M8429" s="14">
        <v>652</v>
      </c>
      <c r="N8429" s="14">
        <v>0</v>
      </c>
      <c r="O8429" s="14">
        <v>0</v>
      </c>
      <c r="P8429" s="14">
        <v>652</v>
      </c>
      <c r="Q8429">
        <v>6040</v>
      </c>
      <c r="R8429">
        <v>2588</v>
      </c>
      <c r="S8429">
        <v>0</v>
      </c>
    </row>
    <row r="8430" spans="11:19" x14ac:dyDescent="0.3">
      <c r="K8430" s="16">
        <f t="shared" si="131"/>
        <v>44367</v>
      </c>
      <c r="L8430" s="17">
        <v>0.16666666666666666</v>
      </c>
      <c r="M8430" s="14">
        <v>652</v>
      </c>
      <c r="N8430" s="14">
        <v>0</v>
      </c>
      <c r="O8430" s="14">
        <v>-784</v>
      </c>
      <c r="P8430" s="14">
        <v>-132</v>
      </c>
      <c r="Q8430">
        <v>5838</v>
      </c>
      <c r="R8430">
        <v>2686</v>
      </c>
      <c r="S8430">
        <v>0</v>
      </c>
    </row>
    <row r="8431" spans="11:19" x14ac:dyDescent="0.3">
      <c r="K8431" s="16">
        <f t="shared" si="131"/>
        <v>44367</v>
      </c>
      <c r="L8431" s="17">
        <v>0.20833333333333334</v>
      </c>
      <c r="M8431" s="14">
        <v>652</v>
      </c>
      <c r="N8431" s="14">
        <v>0</v>
      </c>
      <c r="O8431" s="14">
        <v>0</v>
      </c>
      <c r="P8431" s="14">
        <v>652</v>
      </c>
      <c r="Q8431">
        <v>5740</v>
      </c>
      <c r="R8431">
        <v>3022</v>
      </c>
      <c r="S8431">
        <v>1</v>
      </c>
    </row>
    <row r="8432" spans="11:19" x14ac:dyDescent="0.3">
      <c r="K8432" s="16">
        <f t="shared" si="131"/>
        <v>44367</v>
      </c>
      <c r="L8432" s="17">
        <v>0.25</v>
      </c>
      <c r="M8432" s="14">
        <v>652</v>
      </c>
      <c r="N8432" s="14">
        <v>0</v>
      </c>
      <c r="O8432" s="14">
        <v>0</v>
      </c>
      <c r="P8432" s="14">
        <v>652</v>
      </c>
      <c r="Q8432">
        <v>5747</v>
      </c>
      <c r="R8432">
        <v>2735</v>
      </c>
      <c r="S8432">
        <v>61</v>
      </c>
    </row>
    <row r="8433" spans="11:19" x14ac:dyDescent="0.3">
      <c r="K8433" s="16">
        <f t="shared" si="131"/>
        <v>44367</v>
      </c>
      <c r="L8433" s="17">
        <v>0.29166666666666669</v>
      </c>
      <c r="M8433" s="14">
        <v>652</v>
      </c>
      <c r="N8433" s="14">
        <v>0</v>
      </c>
      <c r="O8433" s="14">
        <v>-1076</v>
      </c>
      <c r="P8433" s="14">
        <v>-424</v>
      </c>
      <c r="Q8433">
        <v>5975</v>
      </c>
      <c r="R8433">
        <v>2977</v>
      </c>
      <c r="S8433">
        <v>296</v>
      </c>
    </row>
    <row r="8434" spans="11:19" x14ac:dyDescent="0.3">
      <c r="K8434" s="16">
        <f t="shared" si="131"/>
        <v>44367</v>
      </c>
      <c r="L8434" s="17">
        <v>0.33333333333333331</v>
      </c>
      <c r="M8434" s="14">
        <v>652</v>
      </c>
      <c r="N8434" s="14">
        <v>0</v>
      </c>
      <c r="O8434" s="14">
        <v>-1200</v>
      </c>
      <c r="P8434" s="14">
        <v>-548</v>
      </c>
      <c r="Q8434">
        <v>6447</v>
      </c>
      <c r="R8434">
        <v>3008</v>
      </c>
      <c r="S8434">
        <v>730</v>
      </c>
    </row>
    <row r="8435" spans="11:19" x14ac:dyDescent="0.3">
      <c r="K8435" s="16">
        <f t="shared" si="131"/>
        <v>44367</v>
      </c>
      <c r="L8435" s="17">
        <v>0.375</v>
      </c>
      <c r="M8435" s="14">
        <v>652</v>
      </c>
      <c r="N8435" s="14">
        <v>0</v>
      </c>
      <c r="O8435" s="14">
        <v>0</v>
      </c>
      <c r="P8435" s="14">
        <v>652</v>
      </c>
      <c r="Q8435">
        <v>6942</v>
      </c>
      <c r="R8435">
        <v>3221</v>
      </c>
      <c r="S8435">
        <v>1308</v>
      </c>
    </row>
    <row r="8436" spans="11:19" x14ac:dyDescent="0.3">
      <c r="K8436" s="16">
        <f t="shared" si="131"/>
        <v>44367</v>
      </c>
      <c r="L8436" s="17">
        <v>0.41666666666666669</v>
      </c>
      <c r="M8436" s="14">
        <v>652</v>
      </c>
      <c r="N8436" s="14">
        <v>0</v>
      </c>
      <c r="O8436" s="14">
        <v>-1200</v>
      </c>
      <c r="P8436" s="14">
        <v>-548</v>
      </c>
      <c r="Q8436">
        <v>7276</v>
      </c>
      <c r="R8436">
        <v>3486</v>
      </c>
      <c r="S8436">
        <v>1703</v>
      </c>
    </row>
    <row r="8437" spans="11:19" x14ac:dyDescent="0.3">
      <c r="K8437" s="16">
        <f t="shared" si="131"/>
        <v>44367</v>
      </c>
      <c r="L8437" s="17">
        <v>0.45833333333333331</v>
      </c>
      <c r="M8437" s="14">
        <v>652</v>
      </c>
      <c r="N8437" s="14">
        <v>0</v>
      </c>
      <c r="O8437" s="14">
        <v>0</v>
      </c>
      <c r="P8437" s="14">
        <v>652</v>
      </c>
      <c r="Q8437">
        <v>7552</v>
      </c>
      <c r="R8437">
        <v>3655</v>
      </c>
      <c r="S8437">
        <v>1943</v>
      </c>
    </row>
    <row r="8438" spans="11:19" x14ac:dyDescent="0.3">
      <c r="K8438" s="16">
        <f t="shared" si="131"/>
        <v>44367</v>
      </c>
      <c r="L8438" s="17">
        <v>0.5</v>
      </c>
      <c r="M8438" s="14">
        <v>652</v>
      </c>
      <c r="N8438" s="14">
        <v>0</v>
      </c>
      <c r="O8438" s="14">
        <v>-1200</v>
      </c>
      <c r="P8438" s="14">
        <v>-548</v>
      </c>
      <c r="Q8438">
        <v>7894</v>
      </c>
      <c r="R8438">
        <v>3793</v>
      </c>
      <c r="S8438">
        <v>2085</v>
      </c>
    </row>
    <row r="8439" spans="11:19" x14ac:dyDescent="0.3">
      <c r="K8439" s="16">
        <f t="shared" si="131"/>
        <v>44367</v>
      </c>
      <c r="L8439" s="17">
        <v>0.54166666666666663</v>
      </c>
      <c r="M8439" s="14">
        <v>652</v>
      </c>
      <c r="N8439" s="14">
        <v>0</v>
      </c>
      <c r="O8439" s="14">
        <v>-1200</v>
      </c>
      <c r="P8439" s="14">
        <v>-548</v>
      </c>
      <c r="Q8439">
        <v>7493</v>
      </c>
      <c r="R8439">
        <v>3757</v>
      </c>
      <c r="S8439">
        <v>2154</v>
      </c>
    </row>
    <row r="8440" spans="11:19" x14ac:dyDescent="0.3">
      <c r="K8440" s="16">
        <f t="shared" si="131"/>
        <v>44367</v>
      </c>
      <c r="L8440" s="17">
        <v>0.58333333333333337</v>
      </c>
      <c r="M8440" s="14">
        <v>652</v>
      </c>
      <c r="N8440" s="14">
        <v>0</v>
      </c>
      <c r="O8440" s="14">
        <v>-1200</v>
      </c>
      <c r="P8440" s="14">
        <v>-548</v>
      </c>
      <c r="Q8440">
        <v>7152</v>
      </c>
      <c r="R8440">
        <v>3812</v>
      </c>
      <c r="S8440">
        <v>2152</v>
      </c>
    </row>
    <row r="8441" spans="11:19" x14ac:dyDescent="0.3">
      <c r="K8441" s="16">
        <f t="shared" si="131"/>
        <v>44367</v>
      </c>
      <c r="L8441" s="17">
        <v>0.625</v>
      </c>
      <c r="M8441" s="14">
        <v>652</v>
      </c>
      <c r="N8441" s="14">
        <v>0</v>
      </c>
      <c r="O8441" s="14">
        <v>-1200</v>
      </c>
      <c r="P8441" s="14">
        <v>-548</v>
      </c>
      <c r="Q8441">
        <v>6852</v>
      </c>
      <c r="R8441">
        <v>3919</v>
      </c>
      <c r="S8441">
        <v>2039</v>
      </c>
    </row>
    <row r="8442" spans="11:19" x14ac:dyDescent="0.3">
      <c r="K8442" s="16">
        <f t="shared" si="131"/>
        <v>44367</v>
      </c>
      <c r="L8442" s="17">
        <v>0.66666666666666663</v>
      </c>
      <c r="M8442" s="14">
        <v>652</v>
      </c>
      <c r="N8442" s="14">
        <v>0</v>
      </c>
      <c r="O8442" s="14">
        <v>0</v>
      </c>
      <c r="P8442" s="14">
        <v>652</v>
      </c>
      <c r="Q8442">
        <v>6690</v>
      </c>
      <c r="R8442">
        <v>3923</v>
      </c>
      <c r="S8442">
        <v>1844</v>
      </c>
    </row>
    <row r="8443" spans="11:19" x14ac:dyDescent="0.3">
      <c r="K8443" s="16">
        <f t="shared" si="131"/>
        <v>44367</v>
      </c>
      <c r="L8443" s="17">
        <v>0.70833333333333337</v>
      </c>
      <c r="M8443" s="14">
        <v>652</v>
      </c>
      <c r="N8443" s="14">
        <v>0</v>
      </c>
      <c r="O8443" s="14">
        <v>0</v>
      </c>
      <c r="P8443" s="14">
        <v>652</v>
      </c>
      <c r="Q8443">
        <v>6727</v>
      </c>
      <c r="R8443">
        <v>3649</v>
      </c>
      <c r="S8443">
        <v>1481</v>
      </c>
    </row>
    <row r="8444" spans="11:19" x14ac:dyDescent="0.3">
      <c r="K8444" s="16">
        <f t="shared" si="131"/>
        <v>44367</v>
      </c>
      <c r="L8444" s="17">
        <v>0.75</v>
      </c>
      <c r="M8444" s="14">
        <v>652</v>
      </c>
      <c r="N8444" s="14">
        <v>0</v>
      </c>
      <c r="O8444" s="14">
        <v>-1131</v>
      </c>
      <c r="P8444" s="14">
        <v>-479</v>
      </c>
      <c r="Q8444">
        <v>7080</v>
      </c>
      <c r="R8444">
        <v>3204</v>
      </c>
      <c r="S8444">
        <v>1037</v>
      </c>
    </row>
    <row r="8445" spans="11:19" x14ac:dyDescent="0.3">
      <c r="K8445" s="16">
        <f t="shared" si="131"/>
        <v>44367</v>
      </c>
      <c r="L8445" s="17">
        <v>0.79166666666666663</v>
      </c>
      <c r="M8445" s="14">
        <v>652</v>
      </c>
      <c r="N8445" s="14">
        <v>0</v>
      </c>
      <c r="O8445" s="14">
        <v>45</v>
      </c>
      <c r="P8445" s="14">
        <v>697</v>
      </c>
      <c r="Q8445">
        <v>7366</v>
      </c>
      <c r="R8445">
        <v>2856</v>
      </c>
      <c r="S8445">
        <v>508</v>
      </c>
    </row>
    <row r="8446" spans="11:19" x14ac:dyDescent="0.3">
      <c r="K8446" s="16">
        <f t="shared" si="131"/>
        <v>44367</v>
      </c>
      <c r="L8446" s="17">
        <v>0.83333333333333337</v>
      </c>
      <c r="M8446" s="14">
        <v>652</v>
      </c>
      <c r="N8446" s="14">
        <v>0</v>
      </c>
      <c r="O8446" s="14">
        <v>687</v>
      </c>
      <c r="P8446" s="14">
        <v>1339</v>
      </c>
      <c r="Q8446">
        <v>7249</v>
      </c>
      <c r="R8446">
        <v>2443</v>
      </c>
      <c r="S8446">
        <v>171</v>
      </c>
    </row>
    <row r="8447" spans="11:19" x14ac:dyDescent="0.3">
      <c r="K8447" s="16">
        <f t="shared" si="131"/>
        <v>44367</v>
      </c>
      <c r="L8447" s="17">
        <v>0.875</v>
      </c>
      <c r="M8447" s="14">
        <v>652</v>
      </c>
      <c r="N8447" s="14">
        <v>0</v>
      </c>
      <c r="O8447" s="14">
        <v>865</v>
      </c>
      <c r="P8447" s="14">
        <v>1517</v>
      </c>
      <c r="Q8447">
        <v>7104</v>
      </c>
      <c r="R8447">
        <v>2270</v>
      </c>
      <c r="S8447">
        <v>27</v>
      </c>
    </row>
    <row r="8448" spans="11:19" x14ac:dyDescent="0.3">
      <c r="K8448" s="16">
        <f t="shared" si="131"/>
        <v>44367</v>
      </c>
      <c r="L8448" s="17">
        <v>0.91666666666666663</v>
      </c>
      <c r="M8448" s="14">
        <v>652</v>
      </c>
      <c r="N8448" s="14">
        <v>0</v>
      </c>
      <c r="O8448" s="14">
        <v>1200</v>
      </c>
      <c r="P8448" s="14">
        <v>1852</v>
      </c>
      <c r="Q8448">
        <v>7591</v>
      </c>
      <c r="R8448">
        <v>2048</v>
      </c>
      <c r="S8448">
        <v>0</v>
      </c>
    </row>
    <row r="8449" spans="11:19" x14ac:dyDescent="0.3">
      <c r="K8449" s="16">
        <f t="shared" si="131"/>
        <v>44367</v>
      </c>
      <c r="L8449" s="17">
        <v>0.95833333333333337</v>
      </c>
      <c r="M8449" s="14">
        <v>652</v>
      </c>
      <c r="N8449" s="14">
        <v>0</v>
      </c>
      <c r="O8449" s="14">
        <v>1200</v>
      </c>
      <c r="P8449" s="14">
        <v>1852</v>
      </c>
      <c r="Q8449">
        <v>7792</v>
      </c>
      <c r="R8449">
        <v>1797</v>
      </c>
      <c r="S8449">
        <v>0</v>
      </c>
    </row>
    <row r="8450" spans="11:19" x14ac:dyDescent="0.3">
      <c r="K8450" s="16">
        <f t="shared" si="131"/>
        <v>44368</v>
      </c>
      <c r="L8450" s="17">
        <v>0</v>
      </c>
      <c r="M8450" s="14">
        <v>652</v>
      </c>
      <c r="N8450" s="14">
        <v>0</v>
      </c>
      <c r="O8450" s="14">
        <v>-170</v>
      </c>
      <c r="P8450" s="14">
        <v>482</v>
      </c>
      <c r="Q8450">
        <v>7233</v>
      </c>
      <c r="R8450">
        <v>1717</v>
      </c>
      <c r="S8450">
        <v>0</v>
      </c>
    </row>
    <row r="8451" spans="11:19" x14ac:dyDescent="0.3">
      <c r="K8451" s="16">
        <f t="shared" si="131"/>
        <v>44368</v>
      </c>
      <c r="L8451" s="17">
        <v>4.1666666666666664E-2</v>
      </c>
      <c r="M8451" s="14">
        <v>652</v>
      </c>
      <c r="N8451" s="14">
        <v>0</v>
      </c>
      <c r="O8451" s="14">
        <v>-473</v>
      </c>
      <c r="P8451" s="14">
        <v>179</v>
      </c>
      <c r="Q8451">
        <v>6847</v>
      </c>
      <c r="R8451">
        <v>1635</v>
      </c>
      <c r="S8451">
        <v>0</v>
      </c>
    </row>
    <row r="8452" spans="11:19" x14ac:dyDescent="0.3">
      <c r="K8452" s="16">
        <f t="shared" si="131"/>
        <v>44368</v>
      </c>
      <c r="L8452" s="17">
        <v>8.3333333333333329E-2</v>
      </c>
      <c r="M8452" s="14">
        <v>652</v>
      </c>
      <c r="N8452" s="14">
        <v>0</v>
      </c>
      <c r="O8452" s="14">
        <v>-536</v>
      </c>
      <c r="P8452" s="14">
        <v>116</v>
      </c>
      <c r="Q8452">
        <v>6548</v>
      </c>
      <c r="R8452">
        <v>1398</v>
      </c>
      <c r="S8452">
        <v>0</v>
      </c>
    </row>
    <row r="8453" spans="11:19" x14ac:dyDescent="0.3">
      <c r="K8453" s="16">
        <f t="shared" si="131"/>
        <v>44368</v>
      </c>
      <c r="L8453" s="17">
        <v>0.125</v>
      </c>
      <c r="M8453" s="14">
        <v>652</v>
      </c>
      <c r="N8453" s="14">
        <v>0</v>
      </c>
      <c r="O8453" s="14">
        <v>-700</v>
      </c>
      <c r="P8453" s="14">
        <v>-48</v>
      </c>
      <c r="Q8453">
        <v>6217</v>
      </c>
      <c r="R8453">
        <v>1154</v>
      </c>
      <c r="S8453">
        <v>0</v>
      </c>
    </row>
    <row r="8454" spans="11:19" x14ac:dyDescent="0.3">
      <c r="K8454" s="16">
        <f t="shared" si="131"/>
        <v>44368</v>
      </c>
      <c r="L8454" s="17">
        <v>0.16666666666666666</v>
      </c>
      <c r="M8454" s="14">
        <v>652</v>
      </c>
      <c r="N8454" s="14">
        <v>0</v>
      </c>
      <c r="O8454" s="14">
        <v>-483</v>
      </c>
      <c r="P8454" s="14">
        <v>169</v>
      </c>
      <c r="Q8454">
        <v>6213</v>
      </c>
      <c r="R8454">
        <v>933</v>
      </c>
      <c r="S8454">
        <v>0</v>
      </c>
    </row>
    <row r="8455" spans="11:19" x14ac:dyDescent="0.3">
      <c r="K8455" s="16">
        <f t="shared" si="131"/>
        <v>44368</v>
      </c>
      <c r="L8455" s="17">
        <v>0.20833333333333334</v>
      </c>
      <c r="M8455" s="14">
        <v>652</v>
      </c>
      <c r="N8455" s="14">
        <v>0</v>
      </c>
      <c r="O8455" s="14">
        <v>-84</v>
      </c>
      <c r="P8455" s="14">
        <v>568</v>
      </c>
      <c r="Q8455">
        <v>6612</v>
      </c>
      <c r="R8455">
        <v>923</v>
      </c>
      <c r="S8455">
        <v>1</v>
      </c>
    </row>
    <row r="8456" spans="11:19" x14ac:dyDescent="0.3">
      <c r="K8456" s="16">
        <f t="shared" si="131"/>
        <v>44368</v>
      </c>
      <c r="L8456" s="17">
        <v>0.25</v>
      </c>
      <c r="M8456" s="14">
        <v>652</v>
      </c>
      <c r="N8456" s="14">
        <v>852</v>
      </c>
      <c r="O8456" s="14">
        <v>0</v>
      </c>
      <c r="P8456" s="14">
        <v>1504</v>
      </c>
      <c r="Q8456">
        <v>7393</v>
      </c>
      <c r="R8456">
        <v>667</v>
      </c>
      <c r="S8456">
        <v>62</v>
      </c>
    </row>
    <row r="8457" spans="11:19" x14ac:dyDescent="0.3">
      <c r="K8457" s="16">
        <f t="shared" si="131"/>
        <v>44368</v>
      </c>
      <c r="L8457" s="17">
        <v>0.29166666666666669</v>
      </c>
      <c r="M8457" s="14">
        <v>652</v>
      </c>
      <c r="N8457" s="14">
        <v>1464</v>
      </c>
      <c r="O8457" s="14">
        <v>0</v>
      </c>
      <c r="P8457" s="14">
        <v>2116</v>
      </c>
      <c r="Q8457">
        <v>8274</v>
      </c>
      <c r="R8457">
        <v>606</v>
      </c>
      <c r="S8457">
        <v>319</v>
      </c>
    </row>
    <row r="8458" spans="11:19" x14ac:dyDescent="0.3">
      <c r="K8458" s="16">
        <f t="shared" si="131"/>
        <v>44368</v>
      </c>
      <c r="L8458" s="17">
        <v>0.33333333333333331</v>
      </c>
      <c r="M8458" s="14">
        <v>652</v>
      </c>
      <c r="N8458" s="14">
        <v>1464</v>
      </c>
      <c r="O8458" s="14">
        <v>82</v>
      </c>
      <c r="P8458" s="14">
        <v>2198</v>
      </c>
      <c r="Q8458">
        <v>8851</v>
      </c>
      <c r="R8458">
        <v>562</v>
      </c>
      <c r="S8458">
        <v>742</v>
      </c>
    </row>
    <row r="8459" spans="11:19" x14ac:dyDescent="0.3">
      <c r="K8459" s="16">
        <f t="shared" si="131"/>
        <v>44368</v>
      </c>
      <c r="L8459" s="17">
        <v>0.375</v>
      </c>
      <c r="M8459" s="14">
        <v>652</v>
      </c>
      <c r="N8459" s="14">
        <v>1256</v>
      </c>
      <c r="O8459" s="14">
        <v>0</v>
      </c>
      <c r="P8459" s="14">
        <v>1908</v>
      </c>
      <c r="Q8459">
        <v>9171</v>
      </c>
      <c r="R8459">
        <v>665</v>
      </c>
      <c r="S8459">
        <v>1251</v>
      </c>
    </row>
    <row r="8460" spans="11:19" x14ac:dyDescent="0.3">
      <c r="K8460" s="16">
        <f t="shared" si="131"/>
        <v>44368</v>
      </c>
      <c r="L8460" s="17">
        <v>0.41666666666666669</v>
      </c>
      <c r="M8460" s="14">
        <v>652</v>
      </c>
      <c r="N8460" s="14">
        <v>1103</v>
      </c>
      <c r="O8460" s="14">
        <v>0</v>
      </c>
      <c r="P8460" s="14">
        <v>1755</v>
      </c>
      <c r="Q8460">
        <v>9325</v>
      </c>
      <c r="R8460">
        <v>630</v>
      </c>
      <c r="S8460">
        <v>1593</v>
      </c>
    </row>
    <row r="8461" spans="11:19" x14ac:dyDescent="0.3">
      <c r="K8461" s="16">
        <f t="shared" si="131"/>
        <v>44368</v>
      </c>
      <c r="L8461" s="17">
        <v>0.45833333333333331</v>
      </c>
      <c r="M8461" s="14">
        <v>652</v>
      </c>
      <c r="N8461" s="14">
        <v>922</v>
      </c>
      <c r="O8461" s="14">
        <v>0</v>
      </c>
      <c r="P8461" s="14">
        <v>1574</v>
      </c>
      <c r="Q8461">
        <v>9490</v>
      </c>
      <c r="R8461">
        <v>711</v>
      </c>
      <c r="S8461">
        <v>1857</v>
      </c>
    </row>
    <row r="8462" spans="11:19" x14ac:dyDescent="0.3">
      <c r="K8462" s="16">
        <f t="shared" si="131"/>
        <v>44368</v>
      </c>
      <c r="L8462" s="17">
        <v>0.5</v>
      </c>
      <c r="M8462" s="14">
        <v>652</v>
      </c>
      <c r="N8462" s="14">
        <v>927</v>
      </c>
      <c r="O8462" s="14">
        <v>0</v>
      </c>
      <c r="P8462" s="14">
        <v>1579</v>
      </c>
      <c r="Q8462">
        <v>9580</v>
      </c>
      <c r="R8462">
        <v>702</v>
      </c>
      <c r="S8462">
        <v>1953</v>
      </c>
    </row>
    <row r="8463" spans="11:19" x14ac:dyDescent="0.3">
      <c r="K8463" s="16">
        <f t="shared" si="131"/>
        <v>44368</v>
      </c>
      <c r="L8463" s="17">
        <v>0.54166666666666663</v>
      </c>
      <c r="M8463" s="14">
        <v>652</v>
      </c>
      <c r="N8463" s="14">
        <v>0</v>
      </c>
      <c r="O8463" s="14">
        <v>0</v>
      </c>
      <c r="P8463" s="14">
        <v>652</v>
      </c>
      <c r="Q8463">
        <v>9415</v>
      </c>
      <c r="R8463">
        <v>848</v>
      </c>
      <c r="S8463">
        <v>2004</v>
      </c>
    </row>
    <row r="8464" spans="11:19" x14ac:dyDescent="0.3">
      <c r="K8464" s="16">
        <f t="shared" si="131"/>
        <v>44368</v>
      </c>
      <c r="L8464" s="17">
        <v>0.58333333333333337</v>
      </c>
      <c r="M8464" s="14">
        <v>652</v>
      </c>
      <c r="N8464" s="14">
        <v>534</v>
      </c>
      <c r="O8464" s="14">
        <v>0</v>
      </c>
      <c r="P8464" s="14">
        <v>1186</v>
      </c>
      <c r="Q8464">
        <v>9271</v>
      </c>
      <c r="R8464">
        <v>883</v>
      </c>
      <c r="S8464">
        <v>1941</v>
      </c>
    </row>
    <row r="8465" spans="11:19" x14ac:dyDescent="0.3">
      <c r="K8465" s="16">
        <f t="shared" si="131"/>
        <v>44368</v>
      </c>
      <c r="L8465" s="17">
        <v>0.625</v>
      </c>
      <c r="M8465" s="14">
        <v>652</v>
      </c>
      <c r="N8465" s="14">
        <v>316</v>
      </c>
      <c r="O8465" s="14">
        <v>0</v>
      </c>
      <c r="P8465" s="14">
        <v>968</v>
      </c>
      <c r="Q8465">
        <v>8998</v>
      </c>
      <c r="R8465">
        <v>899</v>
      </c>
      <c r="S8465">
        <v>1873</v>
      </c>
    </row>
    <row r="8466" spans="11:19" x14ac:dyDescent="0.3">
      <c r="K8466" s="16">
        <f t="shared" si="131"/>
        <v>44368</v>
      </c>
      <c r="L8466" s="17">
        <v>0.66666666666666663</v>
      </c>
      <c r="M8466" s="14">
        <v>652</v>
      </c>
      <c r="N8466" s="14">
        <v>244</v>
      </c>
      <c r="O8466" s="14">
        <v>0</v>
      </c>
      <c r="P8466" s="14">
        <v>896</v>
      </c>
      <c r="Q8466">
        <v>8756</v>
      </c>
      <c r="R8466">
        <v>935</v>
      </c>
      <c r="S8466">
        <v>1673</v>
      </c>
    </row>
    <row r="8467" spans="11:19" x14ac:dyDescent="0.3">
      <c r="K8467" s="16">
        <f t="shared" si="131"/>
        <v>44368</v>
      </c>
      <c r="L8467" s="17">
        <v>0.70833333333333337</v>
      </c>
      <c r="M8467" s="14">
        <v>652</v>
      </c>
      <c r="N8467" s="14">
        <v>432</v>
      </c>
      <c r="O8467" s="14">
        <v>0</v>
      </c>
      <c r="P8467" s="14">
        <v>1084</v>
      </c>
      <c r="Q8467">
        <v>8641</v>
      </c>
      <c r="R8467">
        <v>929</v>
      </c>
      <c r="S8467">
        <v>1381</v>
      </c>
    </row>
    <row r="8468" spans="11:19" x14ac:dyDescent="0.3">
      <c r="K8468" s="16">
        <f t="shared" si="131"/>
        <v>44368</v>
      </c>
      <c r="L8468" s="17">
        <v>0.75</v>
      </c>
      <c r="M8468" s="14">
        <v>652</v>
      </c>
      <c r="N8468" s="14">
        <v>0</v>
      </c>
      <c r="O8468" s="14">
        <v>676</v>
      </c>
      <c r="P8468" s="14">
        <v>1328</v>
      </c>
      <c r="Q8468">
        <v>8880</v>
      </c>
      <c r="R8468">
        <v>831</v>
      </c>
      <c r="S8468">
        <v>905</v>
      </c>
    </row>
    <row r="8469" spans="11:19" x14ac:dyDescent="0.3">
      <c r="K8469" s="16">
        <f t="shared" si="131"/>
        <v>44368</v>
      </c>
      <c r="L8469" s="17">
        <v>0.79166666666666663</v>
      </c>
      <c r="M8469" s="14">
        <v>652</v>
      </c>
      <c r="N8469" s="14">
        <v>0</v>
      </c>
      <c r="O8469" s="14">
        <v>1200</v>
      </c>
      <c r="P8469" s="14">
        <v>1852</v>
      </c>
      <c r="Q8469">
        <v>8889</v>
      </c>
      <c r="R8469">
        <v>775</v>
      </c>
      <c r="S8469">
        <v>491</v>
      </c>
    </row>
    <row r="8470" spans="11:19" x14ac:dyDescent="0.3">
      <c r="K8470" s="16">
        <f t="shared" si="131"/>
        <v>44368</v>
      </c>
      <c r="L8470" s="17">
        <v>0.83333333333333337</v>
      </c>
      <c r="M8470" s="14">
        <v>652</v>
      </c>
      <c r="N8470" s="14">
        <v>1462</v>
      </c>
      <c r="O8470" s="14">
        <v>0</v>
      </c>
      <c r="P8470" s="14">
        <v>2114</v>
      </c>
      <c r="Q8470">
        <v>8315</v>
      </c>
      <c r="R8470">
        <v>696</v>
      </c>
      <c r="S8470">
        <v>131</v>
      </c>
    </row>
    <row r="8471" spans="11:19" x14ac:dyDescent="0.3">
      <c r="K8471" s="16">
        <f t="shared" si="131"/>
        <v>44368</v>
      </c>
      <c r="L8471" s="17">
        <v>0.875</v>
      </c>
      <c r="M8471" s="14">
        <v>652</v>
      </c>
      <c r="N8471" s="14">
        <v>1138</v>
      </c>
      <c r="O8471" s="14">
        <v>0</v>
      </c>
      <c r="P8471" s="14">
        <v>1790</v>
      </c>
      <c r="Q8471">
        <v>7942</v>
      </c>
      <c r="R8471">
        <v>767</v>
      </c>
      <c r="S8471">
        <v>17</v>
      </c>
    </row>
    <row r="8472" spans="11:19" x14ac:dyDescent="0.3">
      <c r="K8472" s="16">
        <f t="shared" si="131"/>
        <v>44368</v>
      </c>
      <c r="L8472" s="17">
        <v>0.91666666666666663</v>
      </c>
      <c r="M8472" s="14">
        <v>652</v>
      </c>
      <c r="N8472" s="14">
        <v>0</v>
      </c>
      <c r="O8472" s="14">
        <v>0</v>
      </c>
      <c r="P8472" s="14">
        <v>652</v>
      </c>
      <c r="Q8472">
        <v>8337</v>
      </c>
      <c r="R8472">
        <v>833</v>
      </c>
      <c r="S8472">
        <v>0</v>
      </c>
    </row>
    <row r="8473" spans="11:19" x14ac:dyDescent="0.3">
      <c r="K8473" s="16">
        <f t="shared" si="131"/>
        <v>44368</v>
      </c>
      <c r="L8473" s="17">
        <v>0.95833333333333337</v>
      </c>
      <c r="M8473" s="14">
        <v>652</v>
      </c>
      <c r="N8473" s="14">
        <v>1464</v>
      </c>
      <c r="O8473" s="14">
        <v>0</v>
      </c>
      <c r="P8473" s="14">
        <v>2116</v>
      </c>
      <c r="Q8473">
        <v>8471</v>
      </c>
      <c r="R8473">
        <v>907</v>
      </c>
      <c r="S8473">
        <v>0</v>
      </c>
    </row>
    <row r="8474" spans="11:19" x14ac:dyDescent="0.3">
      <c r="K8474" s="16">
        <f t="shared" si="131"/>
        <v>44369</v>
      </c>
      <c r="L8474" s="17">
        <v>0</v>
      </c>
      <c r="M8474" s="14">
        <v>652</v>
      </c>
      <c r="N8474" s="14">
        <v>1200</v>
      </c>
      <c r="O8474" s="14">
        <v>11</v>
      </c>
      <c r="P8474" s="14">
        <v>1863</v>
      </c>
      <c r="Q8474">
        <v>7865</v>
      </c>
      <c r="R8474">
        <v>888</v>
      </c>
      <c r="S8474">
        <v>0</v>
      </c>
    </row>
    <row r="8475" spans="11:19" x14ac:dyDescent="0.3">
      <c r="K8475" s="16">
        <f t="shared" ref="K8475:K8538" si="132">K8451+1</f>
        <v>44369</v>
      </c>
      <c r="L8475" s="17">
        <v>4.1666666666666664E-2</v>
      </c>
      <c r="M8475" s="14">
        <v>652</v>
      </c>
      <c r="N8475" s="14">
        <v>783</v>
      </c>
      <c r="O8475" s="14">
        <v>0</v>
      </c>
      <c r="P8475" s="14">
        <v>1435</v>
      </c>
      <c r="Q8475">
        <v>7448</v>
      </c>
      <c r="R8475">
        <v>900</v>
      </c>
      <c r="S8475">
        <v>0</v>
      </c>
    </row>
    <row r="8476" spans="11:19" x14ac:dyDescent="0.3">
      <c r="K8476" s="16">
        <f t="shared" si="132"/>
        <v>44369</v>
      </c>
      <c r="L8476" s="17">
        <v>8.3333333333333329E-2</v>
      </c>
      <c r="M8476" s="14">
        <v>652</v>
      </c>
      <c r="N8476" s="14">
        <v>387</v>
      </c>
      <c r="O8476" s="14">
        <v>0</v>
      </c>
      <c r="P8476" s="14">
        <v>1039</v>
      </c>
      <c r="Q8476">
        <v>7146</v>
      </c>
      <c r="R8476">
        <v>993</v>
      </c>
      <c r="S8476">
        <v>0</v>
      </c>
    </row>
    <row r="8477" spans="11:19" x14ac:dyDescent="0.3">
      <c r="K8477" s="16">
        <f t="shared" si="132"/>
        <v>44369</v>
      </c>
      <c r="L8477" s="17">
        <v>0.125</v>
      </c>
      <c r="M8477" s="14">
        <v>652</v>
      </c>
      <c r="N8477" s="14">
        <v>1</v>
      </c>
      <c r="O8477" s="14">
        <v>0</v>
      </c>
      <c r="P8477" s="14">
        <v>653</v>
      </c>
      <c r="Q8477">
        <v>6791</v>
      </c>
      <c r="R8477">
        <v>1027</v>
      </c>
      <c r="S8477">
        <v>0</v>
      </c>
    </row>
    <row r="8478" spans="11:19" x14ac:dyDescent="0.3">
      <c r="K8478" s="16">
        <f t="shared" si="132"/>
        <v>44369</v>
      </c>
      <c r="L8478" s="17">
        <v>0.16666666666666666</v>
      </c>
      <c r="M8478" s="14">
        <v>652</v>
      </c>
      <c r="N8478" s="14">
        <v>0</v>
      </c>
      <c r="O8478" s="14">
        <v>67</v>
      </c>
      <c r="P8478" s="14">
        <v>719</v>
      </c>
      <c r="Q8478">
        <v>6704</v>
      </c>
      <c r="R8478">
        <v>874</v>
      </c>
      <c r="S8478">
        <v>0</v>
      </c>
    </row>
    <row r="8479" spans="11:19" x14ac:dyDescent="0.3">
      <c r="K8479" s="16">
        <f t="shared" si="132"/>
        <v>44369</v>
      </c>
      <c r="L8479" s="17">
        <v>0.20833333333333334</v>
      </c>
      <c r="M8479" s="14">
        <v>652</v>
      </c>
      <c r="N8479" s="14">
        <v>291</v>
      </c>
      <c r="O8479" s="14">
        <v>0</v>
      </c>
      <c r="P8479" s="14">
        <v>943</v>
      </c>
      <c r="Q8479">
        <v>6988</v>
      </c>
      <c r="R8479">
        <v>924</v>
      </c>
      <c r="S8479">
        <v>1</v>
      </c>
    </row>
    <row r="8480" spans="11:19" x14ac:dyDescent="0.3">
      <c r="K8480" s="16">
        <f t="shared" si="132"/>
        <v>44369</v>
      </c>
      <c r="L8480" s="17">
        <v>0.25</v>
      </c>
      <c r="M8480" s="14">
        <v>652</v>
      </c>
      <c r="N8480" s="14">
        <v>821</v>
      </c>
      <c r="O8480" s="14">
        <v>0</v>
      </c>
      <c r="P8480" s="14">
        <v>1473</v>
      </c>
      <c r="Q8480">
        <v>7709</v>
      </c>
      <c r="R8480">
        <v>1023</v>
      </c>
      <c r="S8480">
        <v>53</v>
      </c>
    </row>
    <row r="8481" spans="11:19" x14ac:dyDescent="0.3">
      <c r="K8481" s="16">
        <f t="shared" si="132"/>
        <v>44369</v>
      </c>
      <c r="L8481" s="17">
        <v>0.29166666666666669</v>
      </c>
      <c r="M8481" s="14">
        <v>652</v>
      </c>
      <c r="N8481" s="14">
        <v>1200</v>
      </c>
      <c r="O8481" s="14">
        <v>65</v>
      </c>
      <c r="P8481" s="14">
        <v>1917</v>
      </c>
      <c r="Q8481">
        <v>8550</v>
      </c>
      <c r="R8481">
        <v>1158</v>
      </c>
      <c r="S8481">
        <v>290</v>
      </c>
    </row>
    <row r="8482" spans="11:19" x14ac:dyDescent="0.3">
      <c r="K8482" s="16">
        <f t="shared" si="132"/>
        <v>44369</v>
      </c>
      <c r="L8482" s="17">
        <v>0.33333333333333331</v>
      </c>
      <c r="M8482" s="14">
        <v>652</v>
      </c>
      <c r="N8482" s="14">
        <v>1147</v>
      </c>
      <c r="O8482" s="14">
        <v>214</v>
      </c>
      <c r="P8482" s="14">
        <v>2013</v>
      </c>
      <c r="Q8482">
        <v>9087</v>
      </c>
      <c r="R8482">
        <v>1185</v>
      </c>
      <c r="S8482">
        <v>700</v>
      </c>
    </row>
    <row r="8483" spans="11:19" x14ac:dyDescent="0.3">
      <c r="K8483" s="16">
        <f t="shared" si="132"/>
        <v>44369</v>
      </c>
      <c r="L8483" s="17">
        <v>0.375</v>
      </c>
      <c r="M8483" s="14">
        <v>652</v>
      </c>
      <c r="N8483" s="14">
        <v>839</v>
      </c>
      <c r="O8483" s="14">
        <v>0</v>
      </c>
      <c r="P8483" s="14">
        <v>1491</v>
      </c>
      <c r="Q8483">
        <v>9407</v>
      </c>
      <c r="R8483">
        <v>1481</v>
      </c>
      <c r="S8483">
        <v>1248</v>
      </c>
    </row>
    <row r="8484" spans="11:19" x14ac:dyDescent="0.3">
      <c r="K8484" s="16">
        <f t="shared" si="132"/>
        <v>44369</v>
      </c>
      <c r="L8484" s="17">
        <v>0.41666666666666669</v>
      </c>
      <c r="M8484" s="14">
        <v>652</v>
      </c>
      <c r="N8484" s="14">
        <v>618</v>
      </c>
      <c r="O8484" s="14">
        <v>0</v>
      </c>
      <c r="P8484" s="14">
        <v>1270</v>
      </c>
      <c r="Q8484">
        <v>9545</v>
      </c>
      <c r="R8484">
        <v>1519</v>
      </c>
      <c r="S8484">
        <v>1569</v>
      </c>
    </row>
    <row r="8485" spans="11:19" x14ac:dyDescent="0.3">
      <c r="K8485" s="16">
        <f t="shared" si="132"/>
        <v>44369</v>
      </c>
      <c r="L8485" s="17">
        <v>0.45833333333333331</v>
      </c>
      <c r="M8485" s="14">
        <v>652</v>
      </c>
      <c r="N8485" s="14">
        <v>0</v>
      </c>
      <c r="O8485" s="14">
        <v>619</v>
      </c>
      <c r="P8485" s="14">
        <v>1271</v>
      </c>
      <c r="Q8485">
        <v>9705</v>
      </c>
      <c r="R8485">
        <v>1436</v>
      </c>
      <c r="S8485">
        <v>1811</v>
      </c>
    </row>
    <row r="8486" spans="11:19" x14ac:dyDescent="0.3">
      <c r="K8486" s="16">
        <f t="shared" si="132"/>
        <v>44369</v>
      </c>
      <c r="L8486" s="17">
        <v>0.5</v>
      </c>
      <c r="M8486" s="14">
        <v>652</v>
      </c>
      <c r="N8486" s="14">
        <v>346</v>
      </c>
      <c r="O8486" s="14">
        <v>0</v>
      </c>
      <c r="P8486" s="14">
        <v>998</v>
      </c>
      <c r="Q8486">
        <v>9753</v>
      </c>
      <c r="R8486">
        <v>1639</v>
      </c>
      <c r="S8486">
        <v>1931</v>
      </c>
    </row>
    <row r="8487" spans="11:19" x14ac:dyDescent="0.3">
      <c r="K8487" s="16">
        <f t="shared" si="132"/>
        <v>44369</v>
      </c>
      <c r="L8487" s="17">
        <v>0.54166666666666663</v>
      </c>
      <c r="M8487" s="14">
        <v>652</v>
      </c>
      <c r="N8487" s="14">
        <v>0</v>
      </c>
      <c r="O8487" s="14">
        <v>-62</v>
      </c>
      <c r="P8487" s="14">
        <v>590</v>
      </c>
      <c r="Q8487">
        <v>9575</v>
      </c>
      <c r="R8487">
        <v>1792</v>
      </c>
      <c r="S8487">
        <v>2010</v>
      </c>
    </row>
    <row r="8488" spans="11:19" x14ac:dyDescent="0.3">
      <c r="K8488" s="16">
        <f t="shared" si="132"/>
        <v>44369</v>
      </c>
      <c r="L8488" s="17">
        <v>0.58333333333333337</v>
      </c>
      <c r="M8488" s="14">
        <v>652</v>
      </c>
      <c r="N8488" s="14">
        <v>0</v>
      </c>
      <c r="O8488" s="14">
        <v>-388</v>
      </c>
      <c r="P8488" s="14">
        <v>264</v>
      </c>
      <c r="Q8488">
        <v>9440</v>
      </c>
      <c r="R8488">
        <v>2005</v>
      </c>
      <c r="S8488">
        <v>2070</v>
      </c>
    </row>
    <row r="8489" spans="11:19" x14ac:dyDescent="0.3">
      <c r="K8489" s="16">
        <f t="shared" si="132"/>
        <v>44369</v>
      </c>
      <c r="L8489" s="17">
        <v>0.625</v>
      </c>
      <c r="M8489" s="14">
        <v>652</v>
      </c>
      <c r="N8489" s="14">
        <v>0</v>
      </c>
      <c r="O8489" s="14">
        <v>-536</v>
      </c>
      <c r="P8489" s="14">
        <v>116</v>
      </c>
      <c r="Q8489">
        <v>9150</v>
      </c>
      <c r="R8489">
        <v>1947</v>
      </c>
      <c r="S8489">
        <v>1989</v>
      </c>
    </row>
    <row r="8490" spans="11:19" x14ac:dyDescent="0.3">
      <c r="K8490" s="16">
        <f t="shared" si="132"/>
        <v>44369</v>
      </c>
      <c r="L8490" s="17">
        <v>0.66666666666666663</v>
      </c>
      <c r="M8490" s="14">
        <v>652</v>
      </c>
      <c r="N8490" s="14">
        <v>0</v>
      </c>
      <c r="O8490" s="14">
        <v>-678</v>
      </c>
      <c r="P8490" s="14">
        <v>-26</v>
      </c>
      <c r="Q8490">
        <v>8908</v>
      </c>
      <c r="R8490">
        <v>2024</v>
      </c>
      <c r="S8490">
        <v>1818</v>
      </c>
    </row>
    <row r="8491" spans="11:19" x14ac:dyDescent="0.3">
      <c r="K8491" s="16">
        <f t="shared" si="132"/>
        <v>44369</v>
      </c>
      <c r="L8491" s="17">
        <v>0.70833333333333337</v>
      </c>
      <c r="M8491" s="14">
        <v>652</v>
      </c>
      <c r="N8491" s="14">
        <v>0</v>
      </c>
      <c r="O8491" s="14">
        <v>-498</v>
      </c>
      <c r="P8491" s="14">
        <v>154</v>
      </c>
      <c r="Q8491">
        <v>8788</v>
      </c>
      <c r="R8491">
        <v>2094</v>
      </c>
      <c r="S8491">
        <v>1453</v>
      </c>
    </row>
    <row r="8492" spans="11:19" x14ac:dyDescent="0.3">
      <c r="K8492" s="16">
        <f t="shared" si="132"/>
        <v>44369</v>
      </c>
      <c r="L8492" s="17">
        <v>0.75</v>
      </c>
      <c r="M8492" s="14">
        <v>652</v>
      </c>
      <c r="N8492" s="14">
        <v>114</v>
      </c>
      <c r="O8492" s="14">
        <v>0</v>
      </c>
      <c r="P8492" s="14">
        <v>766</v>
      </c>
      <c r="Q8492">
        <v>8959</v>
      </c>
      <c r="R8492">
        <v>2121</v>
      </c>
      <c r="S8492">
        <v>992</v>
      </c>
    </row>
    <row r="8493" spans="11:19" x14ac:dyDescent="0.3">
      <c r="K8493" s="16">
        <f t="shared" si="132"/>
        <v>44369</v>
      </c>
      <c r="L8493" s="17">
        <v>0.79166666666666663</v>
      </c>
      <c r="M8493" s="14">
        <v>652</v>
      </c>
      <c r="N8493" s="14">
        <v>550</v>
      </c>
      <c r="O8493" s="14">
        <v>0</v>
      </c>
      <c r="P8493" s="14">
        <v>1202</v>
      </c>
      <c r="Q8493">
        <v>8896</v>
      </c>
      <c r="R8493">
        <v>1973</v>
      </c>
      <c r="S8493">
        <v>497</v>
      </c>
    </row>
    <row r="8494" spans="11:19" x14ac:dyDescent="0.3">
      <c r="K8494" s="16">
        <f t="shared" si="132"/>
        <v>44369</v>
      </c>
      <c r="L8494" s="17">
        <v>0.83333333333333337</v>
      </c>
      <c r="M8494" s="14">
        <v>652</v>
      </c>
      <c r="N8494" s="14">
        <v>539</v>
      </c>
      <c r="O8494" s="14">
        <v>0</v>
      </c>
      <c r="P8494" s="14">
        <v>1191</v>
      </c>
      <c r="Q8494">
        <v>8343</v>
      </c>
      <c r="R8494">
        <v>1780</v>
      </c>
      <c r="S8494">
        <v>158</v>
      </c>
    </row>
    <row r="8495" spans="11:19" x14ac:dyDescent="0.3">
      <c r="K8495" s="16">
        <f t="shared" si="132"/>
        <v>44369</v>
      </c>
      <c r="L8495" s="17">
        <v>0.875</v>
      </c>
      <c r="M8495" s="14">
        <v>652</v>
      </c>
      <c r="N8495" s="14">
        <v>322</v>
      </c>
      <c r="O8495" s="14">
        <v>0</v>
      </c>
      <c r="P8495" s="14">
        <v>974</v>
      </c>
      <c r="Q8495">
        <v>8008</v>
      </c>
      <c r="R8495">
        <v>1812</v>
      </c>
      <c r="S8495">
        <v>14</v>
      </c>
    </row>
    <row r="8496" spans="11:19" x14ac:dyDescent="0.3">
      <c r="K8496" s="16">
        <f t="shared" si="132"/>
        <v>44369</v>
      </c>
      <c r="L8496" s="17">
        <v>0.91666666666666663</v>
      </c>
      <c r="M8496" s="14">
        <v>652</v>
      </c>
      <c r="N8496" s="14">
        <v>0</v>
      </c>
      <c r="O8496" s="14">
        <v>756</v>
      </c>
      <c r="P8496" s="14">
        <v>1408</v>
      </c>
      <c r="Q8496">
        <v>8435</v>
      </c>
      <c r="R8496">
        <v>1818</v>
      </c>
      <c r="S8496">
        <v>0</v>
      </c>
    </row>
    <row r="8497" spans="11:19" x14ac:dyDescent="0.3">
      <c r="K8497" s="16">
        <f t="shared" si="132"/>
        <v>44369</v>
      </c>
      <c r="L8497" s="17">
        <v>0.95833333333333337</v>
      </c>
      <c r="M8497" s="14">
        <v>652</v>
      </c>
      <c r="N8497" s="14">
        <v>993</v>
      </c>
      <c r="O8497" s="14">
        <v>0</v>
      </c>
      <c r="P8497" s="14">
        <v>1645</v>
      </c>
      <c r="Q8497">
        <v>8563</v>
      </c>
      <c r="R8497">
        <v>1717</v>
      </c>
      <c r="S8497">
        <v>0</v>
      </c>
    </row>
    <row r="8498" spans="11:19" x14ac:dyDescent="0.3">
      <c r="K8498" s="16">
        <f t="shared" si="132"/>
        <v>44370</v>
      </c>
      <c r="L8498" s="17">
        <v>0</v>
      </c>
      <c r="M8498" s="14">
        <v>652</v>
      </c>
      <c r="N8498" s="14">
        <v>0</v>
      </c>
      <c r="O8498" s="14">
        <v>509</v>
      </c>
      <c r="P8498" s="14">
        <v>1161</v>
      </c>
      <c r="Q8498">
        <v>7869</v>
      </c>
      <c r="R8498">
        <v>1675</v>
      </c>
      <c r="S8498">
        <v>0</v>
      </c>
    </row>
    <row r="8499" spans="11:19" x14ac:dyDescent="0.3">
      <c r="K8499" s="16">
        <f t="shared" si="132"/>
        <v>44370</v>
      </c>
      <c r="L8499" s="17">
        <v>4.1666666666666664E-2</v>
      </c>
      <c r="M8499" s="14">
        <v>652</v>
      </c>
      <c r="N8499" s="14">
        <v>85</v>
      </c>
      <c r="O8499" s="14">
        <v>0</v>
      </c>
      <c r="P8499" s="14">
        <v>737</v>
      </c>
      <c r="Q8499">
        <v>7452</v>
      </c>
      <c r="R8499">
        <v>1682</v>
      </c>
      <c r="S8499">
        <v>0</v>
      </c>
    </row>
    <row r="8500" spans="11:19" x14ac:dyDescent="0.3">
      <c r="K8500" s="16">
        <f t="shared" si="132"/>
        <v>44370</v>
      </c>
      <c r="L8500" s="17">
        <v>8.3333333333333329E-2</v>
      </c>
      <c r="M8500" s="14">
        <v>652</v>
      </c>
      <c r="N8500" s="14">
        <v>0</v>
      </c>
      <c r="O8500" s="14">
        <v>-280</v>
      </c>
      <c r="P8500" s="14">
        <v>372</v>
      </c>
      <c r="Q8500">
        <v>7151</v>
      </c>
      <c r="R8500">
        <v>1746</v>
      </c>
      <c r="S8500">
        <v>0</v>
      </c>
    </row>
    <row r="8501" spans="11:19" x14ac:dyDescent="0.3">
      <c r="K8501" s="16">
        <f t="shared" si="132"/>
        <v>44370</v>
      </c>
      <c r="L8501" s="17">
        <v>0.125</v>
      </c>
      <c r="M8501" s="14">
        <v>652</v>
      </c>
      <c r="N8501" s="14">
        <v>0</v>
      </c>
      <c r="O8501" s="14">
        <v>-667</v>
      </c>
      <c r="P8501" s="14">
        <v>-15</v>
      </c>
      <c r="Q8501">
        <v>6795</v>
      </c>
      <c r="R8501">
        <v>1779</v>
      </c>
      <c r="S8501">
        <v>0</v>
      </c>
    </row>
    <row r="8502" spans="11:19" x14ac:dyDescent="0.3">
      <c r="K8502" s="16">
        <f t="shared" si="132"/>
        <v>44370</v>
      </c>
      <c r="L8502" s="17">
        <v>0.16666666666666666</v>
      </c>
      <c r="M8502" s="14">
        <v>652</v>
      </c>
      <c r="N8502" s="14">
        <v>0</v>
      </c>
      <c r="O8502" s="14">
        <v>-717</v>
      </c>
      <c r="P8502" s="14">
        <v>-65</v>
      </c>
      <c r="Q8502">
        <v>6707</v>
      </c>
      <c r="R8502">
        <v>1741</v>
      </c>
      <c r="S8502">
        <v>0</v>
      </c>
    </row>
    <row r="8503" spans="11:19" x14ac:dyDescent="0.3">
      <c r="K8503" s="16">
        <f t="shared" si="132"/>
        <v>44370</v>
      </c>
      <c r="L8503" s="17">
        <v>0.20833333333333334</v>
      </c>
      <c r="M8503" s="14">
        <v>652</v>
      </c>
      <c r="N8503" s="14">
        <v>0</v>
      </c>
      <c r="O8503" s="14">
        <v>-620</v>
      </c>
      <c r="P8503" s="14">
        <v>32</v>
      </c>
      <c r="Q8503">
        <v>6988</v>
      </c>
      <c r="R8503">
        <v>1916</v>
      </c>
      <c r="S8503">
        <v>1</v>
      </c>
    </row>
    <row r="8504" spans="11:19" x14ac:dyDescent="0.3">
      <c r="K8504" s="16">
        <f t="shared" si="132"/>
        <v>44370</v>
      </c>
      <c r="L8504" s="17">
        <v>0.25</v>
      </c>
      <c r="M8504" s="14">
        <v>652</v>
      </c>
      <c r="N8504" s="14">
        <v>0</v>
      </c>
      <c r="O8504" s="14">
        <v>-87</v>
      </c>
      <c r="P8504" s="14">
        <v>565</v>
      </c>
      <c r="Q8504">
        <v>7705</v>
      </c>
      <c r="R8504">
        <v>2013</v>
      </c>
      <c r="S8504">
        <v>48</v>
      </c>
    </row>
    <row r="8505" spans="11:19" x14ac:dyDescent="0.3">
      <c r="K8505" s="16">
        <f t="shared" si="132"/>
        <v>44370</v>
      </c>
      <c r="L8505" s="17">
        <v>0.29166666666666669</v>
      </c>
      <c r="M8505" s="14">
        <v>652</v>
      </c>
      <c r="N8505" s="14">
        <v>0</v>
      </c>
      <c r="O8505" s="14">
        <v>505</v>
      </c>
      <c r="P8505" s="14">
        <v>1157</v>
      </c>
      <c r="Q8505">
        <v>8545</v>
      </c>
      <c r="R8505">
        <v>2035</v>
      </c>
      <c r="S8505">
        <v>250</v>
      </c>
    </row>
    <row r="8506" spans="11:19" x14ac:dyDescent="0.3">
      <c r="K8506" s="16">
        <f t="shared" si="132"/>
        <v>44370</v>
      </c>
      <c r="L8506" s="17">
        <v>0.33333333333333331</v>
      </c>
      <c r="M8506" s="14">
        <v>652</v>
      </c>
      <c r="N8506" s="14">
        <v>0</v>
      </c>
      <c r="O8506" s="14">
        <v>697</v>
      </c>
      <c r="P8506" s="14">
        <v>1349</v>
      </c>
      <c r="Q8506">
        <v>9089</v>
      </c>
      <c r="R8506">
        <v>2016</v>
      </c>
      <c r="S8506">
        <v>617</v>
      </c>
    </row>
    <row r="8507" spans="11:19" x14ac:dyDescent="0.3">
      <c r="K8507" s="16">
        <f t="shared" si="132"/>
        <v>44370</v>
      </c>
      <c r="L8507" s="17">
        <v>0.375</v>
      </c>
      <c r="M8507" s="14">
        <v>652</v>
      </c>
      <c r="N8507" s="14">
        <v>772</v>
      </c>
      <c r="O8507" s="14">
        <v>0</v>
      </c>
      <c r="P8507" s="14">
        <v>1424</v>
      </c>
      <c r="Q8507">
        <v>9419</v>
      </c>
      <c r="R8507">
        <v>1791</v>
      </c>
      <c r="S8507">
        <v>1098</v>
      </c>
    </row>
    <row r="8508" spans="11:19" x14ac:dyDescent="0.3">
      <c r="K8508" s="16">
        <f t="shared" si="132"/>
        <v>44370</v>
      </c>
      <c r="L8508" s="17">
        <v>0.41666666666666669</v>
      </c>
      <c r="M8508" s="14">
        <v>652</v>
      </c>
      <c r="N8508" s="14">
        <v>140</v>
      </c>
      <c r="O8508" s="14">
        <v>298</v>
      </c>
      <c r="P8508" s="14">
        <v>1090</v>
      </c>
      <c r="Q8508">
        <v>9563</v>
      </c>
      <c r="R8508">
        <v>1857</v>
      </c>
      <c r="S8508">
        <v>1511</v>
      </c>
    </row>
    <row r="8509" spans="11:19" x14ac:dyDescent="0.3">
      <c r="K8509" s="16">
        <f t="shared" si="132"/>
        <v>44370</v>
      </c>
      <c r="L8509" s="17">
        <v>0.45833333333333331</v>
      </c>
      <c r="M8509" s="14">
        <v>652</v>
      </c>
      <c r="N8509" s="14">
        <v>0</v>
      </c>
      <c r="O8509" s="14">
        <v>486</v>
      </c>
      <c r="P8509" s="14">
        <v>1138</v>
      </c>
      <c r="Q8509">
        <v>9724</v>
      </c>
      <c r="R8509">
        <v>1715</v>
      </c>
      <c r="S8509">
        <v>1764</v>
      </c>
    </row>
    <row r="8510" spans="11:19" x14ac:dyDescent="0.3">
      <c r="K8510" s="16">
        <f t="shared" si="132"/>
        <v>44370</v>
      </c>
      <c r="L8510" s="17">
        <v>0.5</v>
      </c>
      <c r="M8510" s="14">
        <v>652</v>
      </c>
      <c r="N8510" s="14">
        <v>0</v>
      </c>
      <c r="O8510" s="14">
        <v>337</v>
      </c>
      <c r="P8510" s="14">
        <v>989</v>
      </c>
      <c r="Q8510">
        <v>9772</v>
      </c>
      <c r="R8510">
        <v>1750</v>
      </c>
      <c r="S8510">
        <v>1929</v>
      </c>
    </row>
    <row r="8511" spans="11:19" x14ac:dyDescent="0.3">
      <c r="K8511" s="16">
        <f t="shared" si="132"/>
        <v>44370</v>
      </c>
      <c r="L8511" s="17">
        <v>0.54166666666666663</v>
      </c>
      <c r="M8511" s="14">
        <v>652</v>
      </c>
      <c r="N8511" s="14">
        <v>0</v>
      </c>
      <c r="O8511" s="14">
        <v>-78</v>
      </c>
      <c r="P8511" s="14">
        <v>574</v>
      </c>
      <c r="Q8511">
        <v>9592</v>
      </c>
      <c r="R8511">
        <v>1866</v>
      </c>
      <c r="S8511">
        <v>2050</v>
      </c>
    </row>
    <row r="8512" spans="11:19" x14ac:dyDescent="0.3">
      <c r="K8512" s="16">
        <f t="shared" si="132"/>
        <v>44370</v>
      </c>
      <c r="L8512" s="17">
        <v>0.58333333333333337</v>
      </c>
      <c r="M8512" s="14">
        <v>652</v>
      </c>
      <c r="N8512" s="14">
        <v>0</v>
      </c>
      <c r="O8512" s="14">
        <v>-325</v>
      </c>
      <c r="P8512" s="14">
        <v>327</v>
      </c>
      <c r="Q8512">
        <v>9454</v>
      </c>
      <c r="R8512">
        <v>1950</v>
      </c>
      <c r="S8512">
        <v>2078</v>
      </c>
    </row>
    <row r="8513" spans="11:19" x14ac:dyDescent="0.3">
      <c r="K8513" s="16">
        <f t="shared" si="132"/>
        <v>44370</v>
      </c>
      <c r="L8513" s="17">
        <v>0.625</v>
      </c>
      <c r="M8513" s="14">
        <v>652</v>
      </c>
      <c r="N8513" s="14">
        <v>0</v>
      </c>
      <c r="O8513" s="14">
        <v>-680</v>
      </c>
      <c r="P8513" s="14">
        <v>-28</v>
      </c>
      <c r="Q8513">
        <v>9161</v>
      </c>
      <c r="R8513">
        <v>2077</v>
      </c>
      <c r="S8513">
        <v>2015</v>
      </c>
    </row>
    <row r="8514" spans="11:19" x14ac:dyDescent="0.3">
      <c r="K8514" s="16">
        <f t="shared" si="132"/>
        <v>44370</v>
      </c>
      <c r="L8514" s="17">
        <v>0.66666666666666663</v>
      </c>
      <c r="M8514" s="14">
        <v>652</v>
      </c>
      <c r="N8514" s="14">
        <v>0</v>
      </c>
      <c r="O8514" s="14">
        <v>-862</v>
      </c>
      <c r="P8514" s="14">
        <v>-210</v>
      </c>
      <c r="Q8514">
        <v>8915</v>
      </c>
      <c r="R8514">
        <v>2196</v>
      </c>
      <c r="S8514">
        <v>1838</v>
      </c>
    </row>
    <row r="8515" spans="11:19" x14ac:dyDescent="0.3">
      <c r="K8515" s="16">
        <f t="shared" si="132"/>
        <v>44370</v>
      </c>
      <c r="L8515" s="17">
        <v>0.70833333333333337</v>
      </c>
      <c r="M8515" s="14">
        <v>652</v>
      </c>
      <c r="N8515" s="14">
        <v>0</v>
      </c>
      <c r="O8515" s="14">
        <v>-847</v>
      </c>
      <c r="P8515" s="14">
        <v>-195</v>
      </c>
      <c r="Q8515">
        <v>8794</v>
      </c>
      <c r="R8515">
        <v>2418</v>
      </c>
      <c r="S8515">
        <v>1485</v>
      </c>
    </row>
    <row r="8516" spans="11:19" x14ac:dyDescent="0.3">
      <c r="K8516" s="16">
        <f t="shared" si="132"/>
        <v>44370</v>
      </c>
      <c r="L8516" s="17">
        <v>0.75</v>
      </c>
      <c r="M8516" s="14">
        <v>652</v>
      </c>
      <c r="N8516" s="14">
        <v>0</v>
      </c>
      <c r="O8516" s="14">
        <v>-186</v>
      </c>
      <c r="P8516" s="14">
        <v>466</v>
      </c>
      <c r="Q8516">
        <v>8966</v>
      </c>
      <c r="R8516">
        <v>2365</v>
      </c>
      <c r="S8516">
        <v>1056</v>
      </c>
    </row>
    <row r="8517" spans="11:19" x14ac:dyDescent="0.3">
      <c r="K8517" s="16">
        <f t="shared" si="132"/>
        <v>44370</v>
      </c>
      <c r="L8517" s="17">
        <v>0.79166666666666663</v>
      </c>
      <c r="M8517" s="14">
        <v>652</v>
      </c>
      <c r="N8517" s="14">
        <v>0</v>
      </c>
      <c r="O8517" s="14">
        <v>476</v>
      </c>
      <c r="P8517" s="14">
        <v>1128</v>
      </c>
      <c r="Q8517">
        <v>8904</v>
      </c>
      <c r="R8517">
        <v>2165</v>
      </c>
      <c r="S8517">
        <v>548</v>
      </c>
    </row>
    <row r="8518" spans="11:19" x14ac:dyDescent="0.3">
      <c r="K8518" s="16">
        <f t="shared" si="132"/>
        <v>44370</v>
      </c>
      <c r="L8518" s="17">
        <v>0.83333333333333337</v>
      </c>
      <c r="M8518" s="14">
        <v>652</v>
      </c>
      <c r="N8518" s="14">
        <v>0</v>
      </c>
      <c r="O8518" s="14">
        <v>278</v>
      </c>
      <c r="P8518" s="14">
        <v>930</v>
      </c>
      <c r="Q8518">
        <v>8352</v>
      </c>
      <c r="R8518">
        <v>2018</v>
      </c>
      <c r="S8518">
        <v>191</v>
      </c>
    </row>
    <row r="8519" spans="11:19" x14ac:dyDescent="0.3">
      <c r="K8519" s="16">
        <f t="shared" si="132"/>
        <v>44370</v>
      </c>
      <c r="L8519" s="17">
        <v>0.875</v>
      </c>
      <c r="M8519" s="14">
        <v>652</v>
      </c>
      <c r="N8519" s="14">
        <v>0</v>
      </c>
      <c r="O8519" s="14">
        <v>441</v>
      </c>
      <c r="P8519" s="14">
        <v>1093</v>
      </c>
      <c r="Q8519">
        <v>8017</v>
      </c>
      <c r="R8519">
        <v>1699</v>
      </c>
      <c r="S8519">
        <v>18</v>
      </c>
    </row>
    <row r="8520" spans="11:19" x14ac:dyDescent="0.3">
      <c r="K8520" s="16">
        <f t="shared" si="132"/>
        <v>44370</v>
      </c>
      <c r="L8520" s="17">
        <v>0.91666666666666663</v>
      </c>
      <c r="M8520" s="14">
        <v>652</v>
      </c>
      <c r="N8520" s="14">
        <v>962</v>
      </c>
      <c r="O8520" s="14">
        <v>18</v>
      </c>
      <c r="P8520" s="14">
        <v>1632</v>
      </c>
      <c r="Q8520">
        <v>8441</v>
      </c>
      <c r="R8520">
        <v>1601</v>
      </c>
      <c r="S8520">
        <v>0</v>
      </c>
    </row>
    <row r="8521" spans="11:19" x14ac:dyDescent="0.3">
      <c r="K8521" s="16">
        <f t="shared" si="132"/>
        <v>44370</v>
      </c>
      <c r="L8521" s="17">
        <v>0.95833333333333337</v>
      </c>
      <c r="M8521" s="14">
        <v>652</v>
      </c>
      <c r="N8521" s="14">
        <v>962</v>
      </c>
      <c r="O8521" s="14">
        <v>240</v>
      </c>
      <c r="P8521" s="14">
        <v>1854</v>
      </c>
      <c r="Q8521">
        <v>8570</v>
      </c>
      <c r="R8521">
        <v>1516</v>
      </c>
      <c r="S8521">
        <v>0</v>
      </c>
    </row>
    <row r="8522" spans="11:19" x14ac:dyDescent="0.3">
      <c r="K8522" s="16">
        <f t="shared" si="132"/>
        <v>44371</v>
      </c>
      <c r="L8522" s="17">
        <v>0</v>
      </c>
      <c r="M8522" s="14">
        <v>652</v>
      </c>
      <c r="N8522" s="14">
        <v>0</v>
      </c>
      <c r="O8522" s="14">
        <v>0</v>
      </c>
      <c r="P8522" s="14">
        <v>652</v>
      </c>
      <c r="Q8522">
        <v>7877</v>
      </c>
      <c r="R8522">
        <v>1527</v>
      </c>
      <c r="S8522">
        <v>0</v>
      </c>
    </row>
    <row r="8523" spans="11:19" x14ac:dyDescent="0.3">
      <c r="K8523" s="16">
        <f t="shared" si="132"/>
        <v>44371</v>
      </c>
      <c r="L8523" s="17">
        <v>4.1666666666666664E-2</v>
      </c>
      <c r="M8523" s="14">
        <v>652</v>
      </c>
      <c r="N8523" s="14">
        <v>494</v>
      </c>
      <c r="O8523" s="14">
        <v>0</v>
      </c>
      <c r="P8523" s="14">
        <v>1146</v>
      </c>
      <c r="Q8523">
        <v>7460</v>
      </c>
      <c r="R8523">
        <v>1280</v>
      </c>
      <c r="S8523">
        <v>0</v>
      </c>
    </row>
    <row r="8524" spans="11:19" x14ac:dyDescent="0.3">
      <c r="K8524" s="16">
        <f t="shared" si="132"/>
        <v>44371</v>
      </c>
      <c r="L8524" s="17">
        <v>8.3333333333333329E-2</v>
      </c>
      <c r="M8524" s="14">
        <v>652</v>
      </c>
      <c r="N8524" s="14">
        <v>246</v>
      </c>
      <c r="O8524" s="14">
        <v>0</v>
      </c>
      <c r="P8524" s="14">
        <v>898</v>
      </c>
      <c r="Q8524">
        <v>7158</v>
      </c>
      <c r="R8524">
        <v>1226</v>
      </c>
      <c r="S8524">
        <v>0</v>
      </c>
    </row>
    <row r="8525" spans="11:19" x14ac:dyDescent="0.3">
      <c r="K8525" s="16">
        <f t="shared" si="132"/>
        <v>44371</v>
      </c>
      <c r="L8525" s="17">
        <v>0.125</v>
      </c>
      <c r="M8525" s="14">
        <v>652</v>
      </c>
      <c r="N8525" s="14">
        <v>0</v>
      </c>
      <c r="O8525" s="14">
        <v>-87</v>
      </c>
      <c r="P8525" s="14">
        <v>565</v>
      </c>
      <c r="Q8525">
        <v>6803</v>
      </c>
      <c r="R8525">
        <v>1206</v>
      </c>
      <c r="S8525">
        <v>0</v>
      </c>
    </row>
    <row r="8526" spans="11:19" x14ac:dyDescent="0.3">
      <c r="K8526" s="16">
        <f t="shared" si="132"/>
        <v>44371</v>
      </c>
      <c r="L8526" s="17">
        <v>0.16666666666666666</v>
      </c>
      <c r="M8526" s="14">
        <v>652</v>
      </c>
      <c r="N8526" s="14">
        <v>0</v>
      </c>
      <c r="O8526" s="14">
        <v>-132</v>
      </c>
      <c r="P8526" s="14">
        <v>520</v>
      </c>
      <c r="Q8526">
        <v>6717</v>
      </c>
      <c r="R8526">
        <v>1166</v>
      </c>
      <c r="S8526">
        <v>0</v>
      </c>
    </row>
    <row r="8527" spans="11:19" x14ac:dyDescent="0.3">
      <c r="K8527" s="16">
        <f t="shared" si="132"/>
        <v>44371</v>
      </c>
      <c r="L8527" s="17">
        <v>0.20833333333333334</v>
      </c>
      <c r="M8527" s="14">
        <v>652</v>
      </c>
      <c r="N8527" s="14">
        <v>114</v>
      </c>
      <c r="O8527" s="14">
        <v>0</v>
      </c>
      <c r="P8527" s="14">
        <v>766</v>
      </c>
      <c r="Q8527">
        <v>7003</v>
      </c>
      <c r="R8527">
        <v>1196</v>
      </c>
      <c r="S8527">
        <v>1</v>
      </c>
    </row>
    <row r="8528" spans="11:19" x14ac:dyDescent="0.3">
      <c r="K8528" s="16">
        <f t="shared" si="132"/>
        <v>44371</v>
      </c>
      <c r="L8528" s="17">
        <v>0.25</v>
      </c>
      <c r="M8528" s="14">
        <v>652</v>
      </c>
      <c r="N8528" s="14">
        <v>618</v>
      </c>
      <c r="O8528" s="14">
        <v>0</v>
      </c>
      <c r="P8528" s="14">
        <v>1270</v>
      </c>
      <c r="Q8528">
        <v>7723</v>
      </c>
      <c r="R8528">
        <v>1231</v>
      </c>
      <c r="S8528">
        <v>62</v>
      </c>
    </row>
    <row r="8529" spans="11:19" x14ac:dyDescent="0.3">
      <c r="K8529" s="16">
        <f t="shared" si="132"/>
        <v>44371</v>
      </c>
      <c r="L8529" s="17">
        <v>0.29166666666666669</v>
      </c>
      <c r="M8529" s="14">
        <v>652</v>
      </c>
      <c r="N8529" s="14">
        <v>39</v>
      </c>
      <c r="O8529" s="14">
        <v>1075</v>
      </c>
      <c r="P8529" s="14">
        <v>1766</v>
      </c>
      <c r="Q8529">
        <v>8560</v>
      </c>
      <c r="R8529">
        <v>1248</v>
      </c>
      <c r="S8529">
        <v>319</v>
      </c>
    </row>
    <row r="8530" spans="11:19" x14ac:dyDescent="0.3">
      <c r="K8530" s="16">
        <f t="shared" si="132"/>
        <v>44371</v>
      </c>
      <c r="L8530" s="17">
        <v>0.33333333333333331</v>
      </c>
      <c r="M8530" s="14">
        <v>652</v>
      </c>
      <c r="N8530" s="14">
        <v>1069</v>
      </c>
      <c r="O8530" s="14">
        <v>0</v>
      </c>
      <c r="P8530" s="14">
        <v>1721</v>
      </c>
      <c r="Q8530">
        <v>9091</v>
      </c>
      <c r="R8530">
        <v>1415</v>
      </c>
      <c r="S8530">
        <v>766</v>
      </c>
    </row>
    <row r="8531" spans="11:19" x14ac:dyDescent="0.3">
      <c r="K8531" s="16">
        <f t="shared" si="132"/>
        <v>44371</v>
      </c>
      <c r="L8531" s="17">
        <v>0.375</v>
      </c>
      <c r="M8531" s="14">
        <v>652</v>
      </c>
      <c r="N8531" s="14">
        <v>832</v>
      </c>
      <c r="O8531" s="14">
        <v>0</v>
      </c>
      <c r="P8531" s="14">
        <v>1484</v>
      </c>
      <c r="Q8531">
        <v>9405</v>
      </c>
      <c r="R8531">
        <v>1384</v>
      </c>
      <c r="S8531">
        <v>1349</v>
      </c>
    </row>
    <row r="8532" spans="11:19" x14ac:dyDescent="0.3">
      <c r="K8532" s="16">
        <f t="shared" si="132"/>
        <v>44371</v>
      </c>
      <c r="L8532" s="17">
        <v>0.41666666666666669</v>
      </c>
      <c r="M8532" s="14">
        <v>652</v>
      </c>
      <c r="N8532" s="14">
        <v>405</v>
      </c>
      <c r="O8532" s="14">
        <v>0</v>
      </c>
      <c r="P8532" s="14">
        <v>1057</v>
      </c>
      <c r="Q8532">
        <v>9538</v>
      </c>
      <c r="R8532">
        <v>1447</v>
      </c>
      <c r="S8532">
        <v>1847</v>
      </c>
    </row>
    <row r="8533" spans="11:19" x14ac:dyDescent="0.3">
      <c r="K8533" s="16">
        <f t="shared" si="132"/>
        <v>44371</v>
      </c>
      <c r="L8533" s="17">
        <v>0.45833333333333331</v>
      </c>
      <c r="M8533" s="14">
        <v>652</v>
      </c>
      <c r="N8533" s="14">
        <v>450</v>
      </c>
      <c r="O8533" s="14">
        <v>0</v>
      </c>
      <c r="P8533" s="14">
        <v>1102</v>
      </c>
      <c r="Q8533">
        <v>9697</v>
      </c>
      <c r="R8533">
        <v>1328</v>
      </c>
      <c r="S8533">
        <v>2159</v>
      </c>
    </row>
    <row r="8534" spans="11:19" x14ac:dyDescent="0.3">
      <c r="K8534" s="16">
        <f t="shared" si="132"/>
        <v>44371</v>
      </c>
      <c r="L8534" s="17">
        <v>0.5</v>
      </c>
      <c r="M8534" s="14">
        <v>652</v>
      </c>
      <c r="N8534" s="14">
        <v>354</v>
      </c>
      <c r="O8534" s="14">
        <v>0</v>
      </c>
      <c r="P8534" s="14">
        <v>1006</v>
      </c>
      <c r="Q8534">
        <v>9746</v>
      </c>
      <c r="R8534">
        <v>1251</v>
      </c>
      <c r="S8534">
        <v>2383</v>
      </c>
    </row>
    <row r="8535" spans="11:19" x14ac:dyDescent="0.3">
      <c r="K8535" s="16">
        <f t="shared" si="132"/>
        <v>44371</v>
      </c>
      <c r="L8535" s="17">
        <v>0.54166666666666663</v>
      </c>
      <c r="M8535" s="14">
        <v>652</v>
      </c>
      <c r="N8535" s="14">
        <v>12</v>
      </c>
      <c r="O8535" s="14">
        <v>0</v>
      </c>
      <c r="P8535" s="14">
        <v>664</v>
      </c>
      <c r="Q8535">
        <v>9571</v>
      </c>
      <c r="R8535">
        <v>1328</v>
      </c>
      <c r="S8535">
        <v>2475</v>
      </c>
    </row>
    <row r="8536" spans="11:19" x14ac:dyDescent="0.3">
      <c r="K8536" s="16">
        <f t="shared" si="132"/>
        <v>44371</v>
      </c>
      <c r="L8536" s="17">
        <v>0.58333333333333337</v>
      </c>
      <c r="M8536" s="14">
        <v>652</v>
      </c>
      <c r="N8536" s="14">
        <v>0</v>
      </c>
      <c r="O8536" s="14">
        <v>-145</v>
      </c>
      <c r="P8536" s="14">
        <v>507</v>
      </c>
      <c r="Q8536">
        <v>9444</v>
      </c>
      <c r="R8536">
        <v>1375</v>
      </c>
      <c r="S8536">
        <v>2461</v>
      </c>
    </row>
    <row r="8537" spans="11:19" x14ac:dyDescent="0.3">
      <c r="K8537" s="16">
        <f t="shared" si="132"/>
        <v>44371</v>
      </c>
      <c r="L8537" s="17">
        <v>0.625</v>
      </c>
      <c r="M8537" s="14">
        <v>652</v>
      </c>
      <c r="N8537" s="14">
        <v>0</v>
      </c>
      <c r="O8537" s="14">
        <v>-338</v>
      </c>
      <c r="P8537" s="14">
        <v>314</v>
      </c>
      <c r="Q8537">
        <v>9165</v>
      </c>
      <c r="R8537">
        <v>1447</v>
      </c>
      <c r="S8537">
        <v>2305</v>
      </c>
    </row>
    <row r="8538" spans="11:19" x14ac:dyDescent="0.3">
      <c r="K8538" s="16">
        <f t="shared" si="132"/>
        <v>44371</v>
      </c>
      <c r="L8538" s="17">
        <v>0.66666666666666663</v>
      </c>
      <c r="M8538" s="14">
        <v>652</v>
      </c>
      <c r="N8538" s="14">
        <v>0</v>
      </c>
      <c r="O8538" s="14">
        <v>-360</v>
      </c>
      <c r="P8538" s="14">
        <v>292</v>
      </c>
      <c r="Q8538">
        <v>8935</v>
      </c>
      <c r="R8538">
        <v>1432</v>
      </c>
      <c r="S8538">
        <v>2038</v>
      </c>
    </row>
    <row r="8539" spans="11:19" x14ac:dyDescent="0.3">
      <c r="K8539" s="16">
        <f t="shared" ref="K8539:K8602" si="133">K8515+1</f>
        <v>44371</v>
      </c>
      <c r="L8539" s="17">
        <v>0.70833333333333337</v>
      </c>
      <c r="M8539" s="14">
        <v>652</v>
      </c>
      <c r="N8539" s="14">
        <v>0</v>
      </c>
      <c r="O8539" s="14">
        <v>-280</v>
      </c>
      <c r="P8539" s="14">
        <v>372</v>
      </c>
      <c r="Q8539">
        <v>8827</v>
      </c>
      <c r="R8539">
        <v>1624</v>
      </c>
      <c r="S8539">
        <v>1664</v>
      </c>
    </row>
    <row r="8540" spans="11:19" x14ac:dyDescent="0.3">
      <c r="K8540" s="16">
        <f t="shared" si="133"/>
        <v>44371</v>
      </c>
      <c r="L8540" s="17">
        <v>0.75</v>
      </c>
      <c r="M8540" s="14">
        <v>652</v>
      </c>
      <c r="N8540" s="14">
        <v>347</v>
      </c>
      <c r="O8540" s="14">
        <v>0</v>
      </c>
      <c r="P8540" s="14">
        <v>999</v>
      </c>
      <c r="Q8540">
        <v>8999</v>
      </c>
      <c r="R8540">
        <v>1710</v>
      </c>
      <c r="S8540">
        <v>1130</v>
      </c>
    </row>
    <row r="8541" spans="11:19" x14ac:dyDescent="0.3">
      <c r="K8541" s="16">
        <f t="shared" si="133"/>
        <v>44371</v>
      </c>
      <c r="L8541" s="17">
        <v>0.79166666666666663</v>
      </c>
      <c r="M8541" s="14">
        <v>652</v>
      </c>
      <c r="N8541" s="14">
        <v>1176</v>
      </c>
      <c r="O8541" s="14">
        <v>0</v>
      </c>
      <c r="P8541" s="14">
        <v>1828</v>
      </c>
      <c r="Q8541">
        <v>8938</v>
      </c>
      <c r="R8541">
        <v>1411</v>
      </c>
      <c r="S8541">
        <v>555</v>
      </c>
    </row>
    <row r="8542" spans="11:19" x14ac:dyDescent="0.3">
      <c r="K8542" s="16">
        <f t="shared" si="133"/>
        <v>44371</v>
      </c>
      <c r="L8542" s="17">
        <v>0.83333333333333337</v>
      </c>
      <c r="M8542" s="14">
        <v>652</v>
      </c>
      <c r="N8542" s="14">
        <v>1262</v>
      </c>
      <c r="O8542" s="14">
        <v>0</v>
      </c>
      <c r="P8542" s="14">
        <v>1914</v>
      </c>
      <c r="Q8542">
        <v>8388</v>
      </c>
      <c r="R8542">
        <v>1132</v>
      </c>
      <c r="S8542">
        <v>196</v>
      </c>
    </row>
    <row r="8543" spans="11:19" x14ac:dyDescent="0.3">
      <c r="K8543" s="16">
        <f t="shared" si="133"/>
        <v>44371</v>
      </c>
      <c r="L8543" s="17">
        <v>0.875</v>
      </c>
      <c r="M8543" s="14">
        <v>652</v>
      </c>
      <c r="N8543" s="14">
        <v>1041</v>
      </c>
      <c r="O8543" s="14">
        <v>0</v>
      </c>
      <c r="P8543" s="14">
        <v>1693</v>
      </c>
      <c r="Q8543">
        <v>8057</v>
      </c>
      <c r="R8543">
        <v>979</v>
      </c>
      <c r="S8543">
        <v>17</v>
      </c>
    </row>
    <row r="8544" spans="11:19" x14ac:dyDescent="0.3">
      <c r="K8544" s="16">
        <f t="shared" si="133"/>
        <v>44371</v>
      </c>
      <c r="L8544" s="17">
        <v>0.91666666666666663</v>
      </c>
      <c r="M8544" s="14">
        <v>652</v>
      </c>
      <c r="N8544" s="14">
        <v>1262</v>
      </c>
      <c r="O8544" s="14">
        <v>0</v>
      </c>
      <c r="P8544" s="14">
        <v>1914</v>
      </c>
      <c r="Q8544">
        <v>8492</v>
      </c>
      <c r="R8544">
        <v>982</v>
      </c>
      <c r="S8544">
        <v>0</v>
      </c>
    </row>
    <row r="8545" spans="11:19" x14ac:dyDescent="0.3">
      <c r="K8545" s="16">
        <f t="shared" si="133"/>
        <v>44371</v>
      </c>
      <c r="L8545" s="17">
        <v>0.95833333333333337</v>
      </c>
      <c r="M8545" s="14">
        <v>652</v>
      </c>
      <c r="N8545" s="14">
        <v>0</v>
      </c>
      <c r="O8545" s="14">
        <v>0</v>
      </c>
      <c r="P8545" s="14">
        <v>652</v>
      </c>
      <c r="Q8545">
        <v>8606</v>
      </c>
      <c r="R8545">
        <v>910</v>
      </c>
      <c r="S8545">
        <v>0</v>
      </c>
    </row>
    <row r="8546" spans="11:19" x14ac:dyDescent="0.3">
      <c r="K8546" s="16">
        <f t="shared" si="133"/>
        <v>44372</v>
      </c>
      <c r="L8546" s="17">
        <v>0</v>
      </c>
      <c r="M8546" s="14">
        <v>652</v>
      </c>
      <c r="N8546" s="14">
        <v>994</v>
      </c>
      <c r="O8546" s="14">
        <v>0</v>
      </c>
      <c r="P8546" s="14">
        <v>1646</v>
      </c>
      <c r="Q8546">
        <v>7916</v>
      </c>
      <c r="R8546">
        <v>913</v>
      </c>
      <c r="S8546">
        <v>0</v>
      </c>
    </row>
    <row r="8547" spans="11:19" x14ac:dyDescent="0.3">
      <c r="K8547" s="16">
        <f t="shared" si="133"/>
        <v>44372</v>
      </c>
      <c r="L8547" s="17">
        <v>4.1666666666666664E-2</v>
      </c>
      <c r="M8547" s="14">
        <v>652</v>
      </c>
      <c r="N8547" s="14">
        <v>828</v>
      </c>
      <c r="O8547" s="14">
        <v>0</v>
      </c>
      <c r="P8547" s="14">
        <v>1480</v>
      </c>
      <c r="Q8547">
        <v>7495</v>
      </c>
      <c r="R8547">
        <v>659</v>
      </c>
      <c r="S8547">
        <v>0</v>
      </c>
    </row>
    <row r="8548" spans="11:19" x14ac:dyDescent="0.3">
      <c r="K8548" s="16">
        <f t="shared" si="133"/>
        <v>44372</v>
      </c>
      <c r="L8548" s="17">
        <v>8.3333333333333329E-2</v>
      </c>
      <c r="M8548" s="14">
        <v>652</v>
      </c>
      <c r="N8548" s="14">
        <v>949</v>
      </c>
      <c r="O8548" s="14">
        <v>0</v>
      </c>
      <c r="P8548" s="14">
        <v>1601</v>
      </c>
      <c r="Q8548">
        <v>7181</v>
      </c>
      <c r="R8548">
        <v>544</v>
      </c>
      <c r="S8548">
        <v>0</v>
      </c>
    </row>
    <row r="8549" spans="11:19" x14ac:dyDescent="0.3">
      <c r="K8549" s="16">
        <f t="shared" si="133"/>
        <v>44372</v>
      </c>
      <c r="L8549" s="17">
        <v>0.125</v>
      </c>
      <c r="M8549" s="14">
        <v>652</v>
      </c>
      <c r="N8549" s="14">
        <v>702</v>
      </c>
      <c r="O8549" s="14">
        <v>0</v>
      </c>
      <c r="P8549" s="14">
        <v>1354</v>
      </c>
      <c r="Q8549">
        <v>6834</v>
      </c>
      <c r="R8549">
        <v>446</v>
      </c>
      <c r="S8549">
        <v>0</v>
      </c>
    </row>
    <row r="8550" spans="11:19" x14ac:dyDescent="0.3">
      <c r="K8550" s="16">
        <f t="shared" si="133"/>
        <v>44372</v>
      </c>
      <c r="L8550" s="17">
        <v>0.16666666666666666</v>
      </c>
      <c r="M8550" s="14">
        <v>652</v>
      </c>
      <c r="N8550" s="14">
        <v>693</v>
      </c>
      <c r="O8550" s="14">
        <v>0</v>
      </c>
      <c r="P8550" s="14">
        <v>1345</v>
      </c>
      <c r="Q8550">
        <v>6753</v>
      </c>
      <c r="R8550">
        <v>375</v>
      </c>
      <c r="S8550">
        <v>0</v>
      </c>
    </row>
    <row r="8551" spans="11:19" x14ac:dyDescent="0.3">
      <c r="K8551" s="16">
        <f t="shared" si="133"/>
        <v>44372</v>
      </c>
      <c r="L8551" s="17">
        <v>0.20833333333333334</v>
      </c>
      <c r="M8551" s="14">
        <v>652</v>
      </c>
      <c r="N8551" s="14">
        <v>997</v>
      </c>
      <c r="O8551" s="14">
        <v>0</v>
      </c>
      <c r="P8551" s="14">
        <v>1649</v>
      </c>
      <c r="Q8551">
        <v>7012</v>
      </c>
      <c r="R8551">
        <v>320</v>
      </c>
      <c r="S8551">
        <v>1</v>
      </c>
    </row>
    <row r="8552" spans="11:19" x14ac:dyDescent="0.3">
      <c r="K8552" s="16">
        <f t="shared" si="133"/>
        <v>44372</v>
      </c>
      <c r="L8552" s="17">
        <v>0.25</v>
      </c>
      <c r="M8552" s="14">
        <v>652</v>
      </c>
      <c r="N8552" s="14">
        <v>1656</v>
      </c>
      <c r="O8552" s="14">
        <v>0</v>
      </c>
      <c r="P8552" s="14">
        <v>2308</v>
      </c>
      <c r="Q8552">
        <v>7710</v>
      </c>
      <c r="R8552">
        <v>261</v>
      </c>
      <c r="S8552">
        <v>59</v>
      </c>
    </row>
    <row r="8553" spans="11:19" x14ac:dyDescent="0.3">
      <c r="K8553" s="16">
        <f t="shared" si="133"/>
        <v>44372</v>
      </c>
      <c r="L8553" s="17">
        <v>0.29166666666666669</v>
      </c>
      <c r="M8553" s="14">
        <v>652</v>
      </c>
      <c r="N8553" s="14">
        <v>0</v>
      </c>
      <c r="O8553" s="14">
        <v>0</v>
      </c>
      <c r="P8553" s="14">
        <v>652</v>
      </c>
      <c r="Q8553">
        <v>8519</v>
      </c>
      <c r="R8553">
        <v>261</v>
      </c>
      <c r="S8553">
        <v>351</v>
      </c>
    </row>
    <row r="8554" spans="11:19" x14ac:dyDescent="0.3">
      <c r="K8554" s="16">
        <f t="shared" si="133"/>
        <v>44372</v>
      </c>
      <c r="L8554" s="17">
        <v>0.33333333333333331</v>
      </c>
      <c r="M8554" s="14">
        <v>652</v>
      </c>
      <c r="N8554" s="14">
        <v>1722</v>
      </c>
      <c r="O8554" s="14">
        <v>0</v>
      </c>
      <c r="P8554" s="14">
        <v>2374</v>
      </c>
      <c r="Q8554">
        <v>9037</v>
      </c>
      <c r="R8554">
        <v>373</v>
      </c>
      <c r="S8554">
        <v>803</v>
      </c>
    </row>
    <row r="8555" spans="11:19" x14ac:dyDescent="0.3">
      <c r="K8555" s="16">
        <f t="shared" si="133"/>
        <v>44372</v>
      </c>
      <c r="L8555" s="17">
        <v>0.375</v>
      </c>
      <c r="M8555" s="14">
        <v>652</v>
      </c>
      <c r="N8555" s="14">
        <v>1496</v>
      </c>
      <c r="O8555" s="14">
        <v>0</v>
      </c>
      <c r="P8555" s="14">
        <v>2148</v>
      </c>
      <c r="Q8555">
        <v>9352</v>
      </c>
      <c r="R8555">
        <v>375</v>
      </c>
      <c r="S8555">
        <v>1398</v>
      </c>
    </row>
    <row r="8556" spans="11:19" x14ac:dyDescent="0.3">
      <c r="K8556" s="16">
        <f t="shared" si="133"/>
        <v>44372</v>
      </c>
      <c r="L8556" s="17">
        <v>0.41666666666666669</v>
      </c>
      <c r="M8556" s="14">
        <v>652</v>
      </c>
      <c r="N8556" s="14">
        <v>1160</v>
      </c>
      <c r="O8556" s="14">
        <v>0</v>
      </c>
      <c r="P8556" s="14">
        <v>1812</v>
      </c>
      <c r="Q8556">
        <v>9471</v>
      </c>
      <c r="R8556">
        <v>399</v>
      </c>
      <c r="S8556">
        <v>1830</v>
      </c>
    </row>
    <row r="8557" spans="11:19" x14ac:dyDescent="0.3">
      <c r="K8557" s="16">
        <f t="shared" si="133"/>
        <v>44372</v>
      </c>
      <c r="L8557" s="17">
        <v>0.45833333333333331</v>
      </c>
      <c r="M8557" s="14">
        <v>652</v>
      </c>
      <c r="N8557" s="14">
        <v>1081</v>
      </c>
      <c r="O8557" s="14">
        <v>0</v>
      </c>
      <c r="P8557" s="14">
        <v>1733</v>
      </c>
      <c r="Q8557">
        <v>9617</v>
      </c>
      <c r="R8557">
        <v>378</v>
      </c>
      <c r="S8557">
        <v>2075</v>
      </c>
    </row>
    <row r="8558" spans="11:19" x14ac:dyDescent="0.3">
      <c r="K8558" s="16">
        <f t="shared" si="133"/>
        <v>44372</v>
      </c>
      <c r="L8558" s="17">
        <v>0.5</v>
      </c>
      <c r="M8558" s="14">
        <v>652</v>
      </c>
      <c r="N8558" s="14">
        <v>0</v>
      </c>
      <c r="O8558" s="14">
        <v>0</v>
      </c>
      <c r="P8558" s="14">
        <v>652</v>
      </c>
      <c r="Q8558">
        <v>9692</v>
      </c>
      <c r="R8558">
        <v>368</v>
      </c>
      <c r="S8558">
        <v>2253</v>
      </c>
    </row>
    <row r="8559" spans="11:19" x14ac:dyDescent="0.3">
      <c r="K8559" s="16">
        <f t="shared" si="133"/>
        <v>44372</v>
      </c>
      <c r="L8559" s="17">
        <v>0.54166666666666663</v>
      </c>
      <c r="M8559" s="14">
        <v>652</v>
      </c>
      <c r="N8559" s="14">
        <v>728</v>
      </c>
      <c r="O8559" s="14">
        <v>0</v>
      </c>
      <c r="P8559" s="14">
        <v>1380</v>
      </c>
      <c r="Q8559">
        <v>9475</v>
      </c>
      <c r="R8559">
        <v>411</v>
      </c>
      <c r="S8559">
        <v>2337</v>
      </c>
    </row>
    <row r="8560" spans="11:19" x14ac:dyDescent="0.3">
      <c r="K8560" s="16">
        <f t="shared" si="133"/>
        <v>44372</v>
      </c>
      <c r="L8560" s="17">
        <v>0.58333333333333337</v>
      </c>
      <c r="M8560" s="14">
        <v>652</v>
      </c>
      <c r="N8560" s="14">
        <v>685</v>
      </c>
      <c r="O8560" s="14">
        <v>0</v>
      </c>
      <c r="P8560" s="14">
        <v>1337</v>
      </c>
      <c r="Q8560">
        <v>9347</v>
      </c>
      <c r="R8560">
        <v>417</v>
      </c>
      <c r="S8560">
        <v>2249</v>
      </c>
    </row>
    <row r="8561" spans="11:19" x14ac:dyDescent="0.3">
      <c r="K8561" s="16">
        <f t="shared" si="133"/>
        <v>44372</v>
      </c>
      <c r="L8561" s="17">
        <v>0.625</v>
      </c>
      <c r="M8561" s="14">
        <v>652</v>
      </c>
      <c r="N8561" s="14">
        <v>0</v>
      </c>
      <c r="O8561" s="14">
        <v>0</v>
      </c>
      <c r="P8561" s="14">
        <v>652</v>
      </c>
      <c r="Q8561">
        <v>9080</v>
      </c>
      <c r="R8561">
        <v>509</v>
      </c>
      <c r="S8561">
        <v>2121</v>
      </c>
    </row>
    <row r="8562" spans="11:19" x14ac:dyDescent="0.3">
      <c r="K8562" s="16">
        <f t="shared" si="133"/>
        <v>44372</v>
      </c>
      <c r="L8562" s="17">
        <v>0.66666666666666663</v>
      </c>
      <c r="M8562" s="14">
        <v>652</v>
      </c>
      <c r="N8562" s="14">
        <v>0</v>
      </c>
      <c r="O8562" s="14">
        <v>0</v>
      </c>
      <c r="P8562" s="14">
        <v>652</v>
      </c>
      <c r="Q8562">
        <v>8827</v>
      </c>
      <c r="R8562">
        <v>536</v>
      </c>
      <c r="S8562">
        <v>1879</v>
      </c>
    </row>
    <row r="8563" spans="11:19" x14ac:dyDescent="0.3">
      <c r="K8563" s="16">
        <f t="shared" si="133"/>
        <v>44372</v>
      </c>
      <c r="L8563" s="17">
        <v>0.70833333333333337</v>
      </c>
      <c r="M8563" s="14">
        <v>652</v>
      </c>
      <c r="N8563" s="14">
        <v>777</v>
      </c>
      <c r="O8563" s="14">
        <v>0</v>
      </c>
      <c r="P8563" s="14">
        <v>1429</v>
      </c>
      <c r="Q8563">
        <v>8775</v>
      </c>
      <c r="R8563">
        <v>704</v>
      </c>
      <c r="S8563">
        <v>1552</v>
      </c>
    </row>
    <row r="8564" spans="11:19" x14ac:dyDescent="0.3">
      <c r="K8564" s="16">
        <f t="shared" si="133"/>
        <v>44372</v>
      </c>
      <c r="L8564" s="17">
        <v>0.75</v>
      </c>
      <c r="M8564" s="14">
        <v>652</v>
      </c>
      <c r="N8564" s="14">
        <v>1283</v>
      </c>
      <c r="O8564" s="14">
        <v>0</v>
      </c>
      <c r="P8564" s="14">
        <v>1935</v>
      </c>
      <c r="Q8564">
        <v>8858</v>
      </c>
      <c r="R8564">
        <v>764</v>
      </c>
      <c r="S8564">
        <v>1076</v>
      </c>
    </row>
    <row r="8565" spans="11:19" x14ac:dyDescent="0.3">
      <c r="K8565" s="16">
        <f t="shared" si="133"/>
        <v>44372</v>
      </c>
      <c r="L8565" s="17">
        <v>0.79166666666666663</v>
      </c>
      <c r="M8565" s="14">
        <v>652</v>
      </c>
      <c r="N8565" s="14">
        <v>1331</v>
      </c>
      <c r="O8565" s="14">
        <v>0</v>
      </c>
      <c r="P8565" s="14">
        <v>1983</v>
      </c>
      <c r="Q8565">
        <v>8707</v>
      </c>
      <c r="R8565">
        <v>1061</v>
      </c>
      <c r="S8565">
        <v>596</v>
      </c>
    </row>
    <row r="8566" spans="11:19" x14ac:dyDescent="0.3">
      <c r="K8566" s="16">
        <f t="shared" si="133"/>
        <v>44372</v>
      </c>
      <c r="L8566" s="17">
        <v>0.83333333333333337</v>
      </c>
      <c r="M8566" s="14">
        <v>652</v>
      </c>
      <c r="N8566" s="14">
        <v>924</v>
      </c>
      <c r="O8566" s="14">
        <v>0</v>
      </c>
      <c r="P8566" s="14">
        <v>1576</v>
      </c>
      <c r="Q8566">
        <v>8223</v>
      </c>
      <c r="R8566">
        <v>1376</v>
      </c>
      <c r="S8566">
        <v>214</v>
      </c>
    </row>
    <row r="8567" spans="11:19" x14ac:dyDescent="0.3">
      <c r="K8567" s="16">
        <f t="shared" si="133"/>
        <v>44372</v>
      </c>
      <c r="L8567" s="17">
        <v>0.875</v>
      </c>
      <c r="M8567" s="14">
        <v>652</v>
      </c>
      <c r="N8567" s="14">
        <v>680</v>
      </c>
      <c r="O8567" s="14">
        <v>0</v>
      </c>
      <c r="P8567" s="14">
        <v>1332</v>
      </c>
      <c r="Q8567">
        <v>7942</v>
      </c>
      <c r="R8567">
        <v>1550</v>
      </c>
      <c r="S8567">
        <v>10</v>
      </c>
    </row>
    <row r="8568" spans="11:19" x14ac:dyDescent="0.3">
      <c r="K8568" s="16">
        <f t="shared" si="133"/>
        <v>44372</v>
      </c>
      <c r="L8568" s="17">
        <v>0.91666666666666663</v>
      </c>
      <c r="M8568" s="14">
        <v>652</v>
      </c>
      <c r="N8568" s="14">
        <v>944</v>
      </c>
      <c r="O8568" s="14">
        <v>0</v>
      </c>
      <c r="P8568" s="14">
        <v>1596</v>
      </c>
      <c r="Q8568">
        <v>8435</v>
      </c>
      <c r="R8568">
        <v>1788</v>
      </c>
      <c r="S8568">
        <v>0</v>
      </c>
    </row>
    <row r="8569" spans="11:19" x14ac:dyDescent="0.3">
      <c r="K8569" s="16">
        <f t="shared" si="133"/>
        <v>44372</v>
      </c>
      <c r="L8569" s="17">
        <v>0.95833333333333337</v>
      </c>
      <c r="M8569" s="14">
        <v>652</v>
      </c>
      <c r="N8569" s="14">
        <v>1195</v>
      </c>
      <c r="O8569" s="14">
        <v>0</v>
      </c>
      <c r="P8569" s="14">
        <v>1847</v>
      </c>
      <c r="Q8569">
        <v>8577</v>
      </c>
      <c r="R8569">
        <v>1687</v>
      </c>
      <c r="S8569">
        <v>0</v>
      </c>
    </row>
    <row r="8570" spans="11:19" x14ac:dyDescent="0.3">
      <c r="K8570" s="16">
        <f t="shared" si="133"/>
        <v>44373</v>
      </c>
      <c r="L8570" s="17">
        <v>0</v>
      </c>
      <c r="M8570" s="14">
        <v>652</v>
      </c>
      <c r="N8570" s="14">
        <v>0</v>
      </c>
      <c r="O8570" s="14">
        <v>382</v>
      </c>
      <c r="P8570" s="14">
        <v>1034</v>
      </c>
      <c r="Q8570">
        <v>7808</v>
      </c>
      <c r="R8570">
        <v>1654</v>
      </c>
      <c r="S8570">
        <v>0</v>
      </c>
    </row>
    <row r="8571" spans="11:19" x14ac:dyDescent="0.3">
      <c r="K8571" s="16">
        <f t="shared" si="133"/>
        <v>44373</v>
      </c>
      <c r="L8571" s="17">
        <v>4.1666666666666664E-2</v>
      </c>
      <c r="M8571" s="14">
        <v>652</v>
      </c>
      <c r="N8571" s="14">
        <v>0</v>
      </c>
      <c r="O8571" s="14">
        <v>410</v>
      </c>
      <c r="P8571" s="14">
        <v>1062</v>
      </c>
      <c r="Q8571">
        <v>7334</v>
      </c>
      <c r="R8571">
        <v>1155</v>
      </c>
      <c r="S8571">
        <v>0</v>
      </c>
    </row>
    <row r="8572" spans="11:19" x14ac:dyDescent="0.3">
      <c r="K8572" s="16">
        <f t="shared" si="133"/>
        <v>44373</v>
      </c>
      <c r="L8572" s="17">
        <v>8.3333333333333329E-2</v>
      </c>
      <c r="M8572" s="14">
        <v>652</v>
      </c>
      <c r="N8572" s="14">
        <v>0</v>
      </c>
      <c r="O8572" s="14">
        <v>201</v>
      </c>
      <c r="P8572" s="14">
        <v>853</v>
      </c>
      <c r="Q8572">
        <v>6980</v>
      </c>
      <c r="R8572">
        <v>1016</v>
      </c>
      <c r="S8572">
        <v>0</v>
      </c>
    </row>
    <row r="8573" spans="11:19" x14ac:dyDescent="0.3">
      <c r="K8573" s="16">
        <f t="shared" si="133"/>
        <v>44373</v>
      </c>
      <c r="L8573" s="17">
        <v>0.125</v>
      </c>
      <c r="M8573" s="14">
        <v>652</v>
      </c>
      <c r="N8573" s="14">
        <v>0</v>
      </c>
      <c r="O8573" s="14">
        <v>0</v>
      </c>
      <c r="P8573" s="14">
        <v>652</v>
      </c>
      <c r="Q8573">
        <v>6576</v>
      </c>
      <c r="R8573">
        <v>939</v>
      </c>
      <c r="S8573">
        <v>0</v>
      </c>
    </row>
    <row r="8574" spans="11:19" x14ac:dyDescent="0.3">
      <c r="K8574" s="16">
        <f t="shared" si="133"/>
        <v>44373</v>
      </c>
      <c r="L8574" s="17">
        <v>0.16666666666666666</v>
      </c>
      <c r="M8574" s="14">
        <v>652</v>
      </c>
      <c r="N8574" s="14">
        <v>0</v>
      </c>
      <c r="O8574" s="14">
        <v>0</v>
      </c>
      <c r="P8574" s="14">
        <v>652</v>
      </c>
      <c r="Q8574">
        <v>6388</v>
      </c>
      <c r="R8574">
        <v>1018</v>
      </c>
      <c r="S8574">
        <v>0</v>
      </c>
    </row>
    <row r="8575" spans="11:19" x14ac:dyDescent="0.3">
      <c r="K8575" s="16">
        <f t="shared" si="133"/>
        <v>44373</v>
      </c>
      <c r="L8575" s="17">
        <v>0.20833333333333334</v>
      </c>
      <c r="M8575" s="14">
        <v>652</v>
      </c>
      <c r="N8575" s="14">
        <v>0</v>
      </c>
      <c r="O8575" s="14">
        <v>0</v>
      </c>
      <c r="P8575" s="14">
        <v>652</v>
      </c>
      <c r="Q8575">
        <v>6369</v>
      </c>
      <c r="R8575">
        <v>1112</v>
      </c>
      <c r="S8575">
        <v>1</v>
      </c>
    </row>
    <row r="8576" spans="11:19" x14ac:dyDescent="0.3">
      <c r="K8576" s="16">
        <f t="shared" si="133"/>
        <v>44373</v>
      </c>
      <c r="L8576" s="17">
        <v>0.25</v>
      </c>
      <c r="M8576" s="14">
        <v>652</v>
      </c>
      <c r="N8576" s="14">
        <v>0</v>
      </c>
      <c r="O8576" s="14">
        <v>-454</v>
      </c>
      <c r="P8576" s="14">
        <v>198</v>
      </c>
      <c r="Q8576">
        <v>6497</v>
      </c>
      <c r="R8576">
        <v>1193</v>
      </c>
      <c r="S8576">
        <v>34</v>
      </c>
    </row>
    <row r="8577" spans="11:19" x14ac:dyDescent="0.3">
      <c r="K8577" s="16">
        <f t="shared" si="133"/>
        <v>44373</v>
      </c>
      <c r="L8577" s="17">
        <v>0.29166666666666669</v>
      </c>
      <c r="M8577" s="14">
        <v>652</v>
      </c>
      <c r="N8577" s="14">
        <v>0</v>
      </c>
      <c r="O8577" s="14">
        <v>-405</v>
      </c>
      <c r="P8577" s="14">
        <v>247</v>
      </c>
      <c r="Q8577">
        <v>6857</v>
      </c>
      <c r="R8577">
        <v>1247</v>
      </c>
      <c r="S8577">
        <v>270</v>
      </c>
    </row>
    <row r="8578" spans="11:19" x14ac:dyDescent="0.3">
      <c r="K8578" s="16">
        <f t="shared" si="133"/>
        <v>44373</v>
      </c>
      <c r="L8578" s="17">
        <v>0.33333333333333331</v>
      </c>
      <c r="M8578" s="14">
        <v>652</v>
      </c>
      <c r="N8578" s="14">
        <v>0</v>
      </c>
      <c r="O8578" s="14">
        <v>0</v>
      </c>
      <c r="P8578" s="14">
        <v>652</v>
      </c>
      <c r="Q8578">
        <v>7411</v>
      </c>
      <c r="R8578">
        <v>1189</v>
      </c>
      <c r="S8578">
        <v>699</v>
      </c>
    </row>
    <row r="8579" spans="11:19" x14ac:dyDescent="0.3">
      <c r="K8579" s="16">
        <f t="shared" si="133"/>
        <v>44373</v>
      </c>
      <c r="L8579" s="17">
        <v>0.375</v>
      </c>
      <c r="M8579" s="14">
        <v>652</v>
      </c>
      <c r="N8579" s="14">
        <v>0</v>
      </c>
      <c r="O8579" s="14">
        <v>-159</v>
      </c>
      <c r="P8579" s="14">
        <v>493</v>
      </c>
      <c r="Q8579">
        <v>7901</v>
      </c>
      <c r="R8579">
        <v>1158</v>
      </c>
      <c r="S8579">
        <v>1153</v>
      </c>
    </row>
    <row r="8580" spans="11:19" x14ac:dyDescent="0.3">
      <c r="K8580" s="16">
        <f t="shared" si="133"/>
        <v>44373</v>
      </c>
      <c r="L8580" s="17">
        <v>0.41666666666666669</v>
      </c>
      <c r="M8580" s="14">
        <v>652</v>
      </c>
      <c r="N8580" s="14">
        <v>0</v>
      </c>
      <c r="O8580" s="14">
        <v>0</v>
      </c>
      <c r="P8580" s="14">
        <v>652</v>
      </c>
      <c r="Q8580">
        <v>8134</v>
      </c>
      <c r="R8580">
        <v>1191</v>
      </c>
      <c r="S8580">
        <v>1433</v>
      </c>
    </row>
    <row r="8581" spans="11:19" x14ac:dyDescent="0.3">
      <c r="K8581" s="16">
        <f t="shared" si="133"/>
        <v>44373</v>
      </c>
      <c r="L8581" s="17">
        <v>0.45833333333333331</v>
      </c>
      <c r="M8581" s="14">
        <v>652</v>
      </c>
      <c r="N8581" s="14">
        <v>0</v>
      </c>
      <c r="O8581" s="14">
        <v>0</v>
      </c>
      <c r="P8581" s="14">
        <v>652</v>
      </c>
      <c r="Q8581">
        <v>8358</v>
      </c>
      <c r="R8581">
        <v>1191</v>
      </c>
      <c r="S8581">
        <v>1642</v>
      </c>
    </row>
    <row r="8582" spans="11:19" x14ac:dyDescent="0.3">
      <c r="K8582" s="16">
        <f t="shared" si="133"/>
        <v>44373</v>
      </c>
      <c r="L8582" s="17">
        <v>0.5</v>
      </c>
      <c r="M8582" s="14">
        <v>652</v>
      </c>
      <c r="N8582" s="14">
        <v>0</v>
      </c>
      <c r="O8582" s="14">
        <v>-52</v>
      </c>
      <c r="P8582" s="14">
        <v>600</v>
      </c>
      <c r="Q8582">
        <v>8678</v>
      </c>
      <c r="R8582">
        <v>1306</v>
      </c>
      <c r="S8582">
        <v>1670</v>
      </c>
    </row>
    <row r="8583" spans="11:19" x14ac:dyDescent="0.3">
      <c r="K8583" s="16">
        <f t="shared" si="133"/>
        <v>44373</v>
      </c>
      <c r="L8583" s="17">
        <v>0.54166666666666663</v>
      </c>
      <c r="M8583" s="14">
        <v>652</v>
      </c>
      <c r="N8583" s="14">
        <v>0</v>
      </c>
      <c r="O8583" s="14">
        <v>0</v>
      </c>
      <c r="P8583" s="14">
        <v>652</v>
      </c>
      <c r="Q8583">
        <v>8387</v>
      </c>
      <c r="R8583">
        <v>1321</v>
      </c>
      <c r="S8583">
        <v>1755</v>
      </c>
    </row>
    <row r="8584" spans="11:19" x14ac:dyDescent="0.3">
      <c r="K8584" s="16">
        <f t="shared" si="133"/>
        <v>44373</v>
      </c>
      <c r="L8584" s="17">
        <v>0.58333333333333337</v>
      </c>
      <c r="M8584" s="14">
        <v>652</v>
      </c>
      <c r="N8584" s="14">
        <v>0</v>
      </c>
      <c r="O8584" s="14">
        <v>-117</v>
      </c>
      <c r="P8584" s="14">
        <v>535</v>
      </c>
      <c r="Q8584">
        <v>8165</v>
      </c>
      <c r="R8584">
        <v>1392</v>
      </c>
      <c r="S8584">
        <v>1766</v>
      </c>
    </row>
    <row r="8585" spans="11:19" x14ac:dyDescent="0.3">
      <c r="K8585" s="16">
        <f t="shared" si="133"/>
        <v>44373</v>
      </c>
      <c r="L8585" s="17">
        <v>0.625</v>
      </c>
      <c r="M8585" s="14">
        <v>652</v>
      </c>
      <c r="N8585" s="14">
        <v>0</v>
      </c>
      <c r="O8585" s="14">
        <v>-942</v>
      </c>
      <c r="P8585" s="14">
        <v>-290</v>
      </c>
      <c r="Q8585">
        <v>7924</v>
      </c>
      <c r="R8585">
        <v>1394</v>
      </c>
      <c r="S8585">
        <v>1736</v>
      </c>
    </row>
    <row r="8586" spans="11:19" x14ac:dyDescent="0.3">
      <c r="K8586" s="16">
        <f t="shared" si="133"/>
        <v>44373</v>
      </c>
      <c r="L8586" s="17">
        <v>0.66666666666666663</v>
      </c>
      <c r="M8586" s="14">
        <v>652</v>
      </c>
      <c r="N8586" s="14">
        <v>0</v>
      </c>
      <c r="O8586" s="14">
        <v>-805</v>
      </c>
      <c r="P8586" s="14">
        <v>-153</v>
      </c>
      <c r="Q8586">
        <v>7734</v>
      </c>
      <c r="R8586">
        <v>1470</v>
      </c>
      <c r="S8586">
        <v>1568</v>
      </c>
    </row>
    <row r="8587" spans="11:19" x14ac:dyDescent="0.3">
      <c r="K8587" s="16">
        <f t="shared" si="133"/>
        <v>44373</v>
      </c>
      <c r="L8587" s="17">
        <v>0.70833333333333337</v>
      </c>
      <c r="M8587" s="14">
        <v>652</v>
      </c>
      <c r="N8587" s="14">
        <v>0</v>
      </c>
      <c r="O8587" s="14">
        <v>-115</v>
      </c>
      <c r="P8587" s="14">
        <v>537</v>
      </c>
      <c r="Q8587">
        <v>7730</v>
      </c>
      <c r="R8587">
        <v>1466</v>
      </c>
      <c r="S8587">
        <v>1269</v>
      </c>
    </row>
    <row r="8588" spans="11:19" x14ac:dyDescent="0.3">
      <c r="K8588" s="16">
        <f t="shared" si="133"/>
        <v>44373</v>
      </c>
      <c r="L8588" s="17">
        <v>0.75</v>
      </c>
      <c r="M8588" s="14">
        <v>652</v>
      </c>
      <c r="N8588" s="14">
        <v>0</v>
      </c>
      <c r="O8588" s="14">
        <v>0</v>
      </c>
      <c r="P8588" s="14">
        <v>652</v>
      </c>
      <c r="Q8588">
        <v>7882</v>
      </c>
      <c r="R8588">
        <v>1547</v>
      </c>
      <c r="S8588">
        <v>879</v>
      </c>
    </row>
    <row r="8589" spans="11:19" x14ac:dyDescent="0.3">
      <c r="K8589" s="16">
        <f t="shared" si="133"/>
        <v>44373</v>
      </c>
      <c r="L8589" s="17">
        <v>0.79166666666666663</v>
      </c>
      <c r="M8589" s="14">
        <v>652</v>
      </c>
      <c r="N8589" s="14">
        <v>0</v>
      </c>
      <c r="O8589" s="14">
        <v>13</v>
      </c>
      <c r="P8589" s="14">
        <v>665</v>
      </c>
      <c r="Q8589">
        <v>7815</v>
      </c>
      <c r="R8589">
        <v>1635</v>
      </c>
      <c r="S8589">
        <v>459</v>
      </c>
    </row>
    <row r="8590" spans="11:19" x14ac:dyDescent="0.3">
      <c r="K8590" s="16">
        <f t="shared" si="133"/>
        <v>44373</v>
      </c>
      <c r="L8590" s="17">
        <v>0.83333333333333337</v>
      </c>
      <c r="M8590" s="14">
        <v>652</v>
      </c>
      <c r="N8590" s="14">
        <v>0</v>
      </c>
      <c r="O8590" s="14">
        <v>41</v>
      </c>
      <c r="P8590" s="14">
        <v>693</v>
      </c>
      <c r="Q8590">
        <v>7465</v>
      </c>
      <c r="R8590">
        <v>1586</v>
      </c>
      <c r="S8590">
        <v>140</v>
      </c>
    </row>
    <row r="8591" spans="11:19" x14ac:dyDescent="0.3">
      <c r="K8591" s="16">
        <f t="shared" si="133"/>
        <v>44373</v>
      </c>
      <c r="L8591" s="17">
        <v>0.875</v>
      </c>
      <c r="M8591" s="14">
        <v>652</v>
      </c>
      <c r="N8591" s="14">
        <v>0</v>
      </c>
      <c r="O8591" s="14">
        <v>0</v>
      </c>
      <c r="P8591" s="14">
        <v>652</v>
      </c>
      <c r="Q8591">
        <v>7277</v>
      </c>
      <c r="R8591">
        <v>1714</v>
      </c>
      <c r="S8591">
        <v>12</v>
      </c>
    </row>
    <row r="8592" spans="11:19" x14ac:dyDescent="0.3">
      <c r="K8592" s="16">
        <f t="shared" si="133"/>
        <v>44373</v>
      </c>
      <c r="L8592" s="17">
        <v>0.91666666666666663</v>
      </c>
      <c r="M8592" s="14">
        <v>652</v>
      </c>
      <c r="N8592" s="14">
        <v>0</v>
      </c>
      <c r="O8592" s="14">
        <v>520</v>
      </c>
      <c r="P8592" s="14">
        <v>1172</v>
      </c>
      <c r="Q8592">
        <v>7836</v>
      </c>
      <c r="R8592">
        <v>1629</v>
      </c>
      <c r="S8592">
        <v>0</v>
      </c>
    </row>
    <row r="8593" spans="11:19" x14ac:dyDescent="0.3">
      <c r="K8593" s="16">
        <f t="shared" si="133"/>
        <v>44373</v>
      </c>
      <c r="L8593" s="17">
        <v>0.95833333333333337</v>
      </c>
      <c r="M8593" s="14">
        <v>652</v>
      </c>
      <c r="N8593" s="14">
        <v>0</v>
      </c>
      <c r="O8593" s="14">
        <v>875</v>
      </c>
      <c r="P8593" s="14">
        <v>1527</v>
      </c>
      <c r="Q8593">
        <v>8066</v>
      </c>
      <c r="R8593">
        <v>1508</v>
      </c>
      <c r="S8593">
        <v>0</v>
      </c>
    </row>
    <row r="8594" spans="11:19" x14ac:dyDescent="0.3">
      <c r="K8594" s="16">
        <f t="shared" si="133"/>
        <v>44374</v>
      </c>
      <c r="L8594" s="17">
        <v>0</v>
      </c>
      <c r="M8594" s="14">
        <v>652</v>
      </c>
      <c r="N8594" s="14">
        <v>0</v>
      </c>
      <c r="O8594" s="14">
        <v>240</v>
      </c>
      <c r="P8594" s="14">
        <v>892</v>
      </c>
      <c r="Q8594">
        <v>7464</v>
      </c>
      <c r="R8594">
        <v>1534</v>
      </c>
      <c r="S8594">
        <v>0</v>
      </c>
    </row>
    <row r="8595" spans="11:19" x14ac:dyDescent="0.3">
      <c r="K8595" s="16">
        <f t="shared" si="133"/>
        <v>44374</v>
      </c>
      <c r="L8595" s="17">
        <v>4.1666666666666664E-2</v>
      </c>
      <c r="M8595" s="14">
        <v>652</v>
      </c>
      <c r="N8595" s="14">
        <v>0</v>
      </c>
      <c r="O8595" s="14">
        <v>60</v>
      </c>
      <c r="P8595" s="14">
        <v>712</v>
      </c>
      <c r="Q8595">
        <v>7046</v>
      </c>
      <c r="R8595">
        <v>1299</v>
      </c>
      <c r="S8595">
        <v>0</v>
      </c>
    </row>
    <row r="8596" spans="11:19" x14ac:dyDescent="0.3">
      <c r="K8596" s="16">
        <f t="shared" si="133"/>
        <v>44374</v>
      </c>
      <c r="L8596" s="17">
        <v>8.3333333333333329E-2</v>
      </c>
      <c r="M8596" s="14">
        <v>652</v>
      </c>
      <c r="N8596" s="14">
        <v>0</v>
      </c>
      <c r="O8596" s="14">
        <v>0</v>
      </c>
      <c r="P8596" s="14">
        <v>652</v>
      </c>
      <c r="Q8596">
        <v>6652</v>
      </c>
      <c r="R8596">
        <v>1211</v>
      </c>
      <c r="S8596">
        <v>0</v>
      </c>
    </row>
    <row r="8597" spans="11:19" x14ac:dyDescent="0.3">
      <c r="K8597" s="16">
        <f t="shared" si="133"/>
        <v>44374</v>
      </c>
      <c r="L8597" s="17">
        <v>0.125</v>
      </c>
      <c r="M8597" s="14">
        <v>652</v>
      </c>
      <c r="N8597" s="14">
        <v>0</v>
      </c>
      <c r="O8597" s="14">
        <v>0</v>
      </c>
      <c r="P8597" s="14">
        <v>652</v>
      </c>
      <c r="Q8597">
        <v>6224</v>
      </c>
      <c r="R8597">
        <v>1060</v>
      </c>
      <c r="S8597">
        <v>0</v>
      </c>
    </row>
    <row r="8598" spans="11:19" x14ac:dyDescent="0.3">
      <c r="K8598" s="16">
        <f t="shared" si="133"/>
        <v>44374</v>
      </c>
      <c r="L8598" s="17">
        <v>0.16666666666666666</v>
      </c>
      <c r="M8598" s="14">
        <v>652</v>
      </c>
      <c r="N8598" s="14">
        <v>0</v>
      </c>
      <c r="O8598" s="14">
        <v>0</v>
      </c>
      <c r="P8598" s="14">
        <v>652</v>
      </c>
      <c r="Q8598">
        <v>6011</v>
      </c>
      <c r="R8598">
        <v>864</v>
      </c>
      <c r="S8598">
        <v>0</v>
      </c>
    </row>
    <row r="8599" spans="11:19" x14ac:dyDescent="0.3">
      <c r="K8599" s="16">
        <f t="shared" si="133"/>
        <v>44374</v>
      </c>
      <c r="L8599" s="17">
        <v>0.20833333333333334</v>
      </c>
      <c r="M8599" s="14">
        <v>652</v>
      </c>
      <c r="N8599" s="14">
        <v>0</v>
      </c>
      <c r="O8599" s="14">
        <v>-69</v>
      </c>
      <c r="P8599" s="14">
        <v>583</v>
      </c>
      <c r="Q8599">
        <v>5869</v>
      </c>
      <c r="R8599">
        <v>975</v>
      </c>
      <c r="S8599">
        <v>1</v>
      </c>
    </row>
    <row r="8600" spans="11:19" x14ac:dyDescent="0.3">
      <c r="K8600" s="16">
        <f t="shared" si="133"/>
        <v>44374</v>
      </c>
      <c r="L8600" s="17">
        <v>0.25</v>
      </c>
      <c r="M8600" s="14">
        <v>652</v>
      </c>
      <c r="N8600" s="14">
        <v>0</v>
      </c>
      <c r="O8600" s="14">
        <v>0</v>
      </c>
      <c r="P8600" s="14">
        <v>652</v>
      </c>
      <c r="Q8600">
        <v>5824</v>
      </c>
      <c r="R8600">
        <v>1055</v>
      </c>
      <c r="S8600">
        <v>20</v>
      </c>
    </row>
    <row r="8601" spans="11:19" x14ac:dyDescent="0.3">
      <c r="K8601" s="16">
        <f t="shared" si="133"/>
        <v>44374</v>
      </c>
      <c r="L8601" s="17">
        <v>0.29166666666666669</v>
      </c>
      <c r="M8601" s="14">
        <v>652</v>
      </c>
      <c r="N8601" s="14">
        <v>0</v>
      </c>
      <c r="O8601" s="14">
        <v>-217</v>
      </c>
      <c r="P8601" s="14">
        <v>435</v>
      </c>
      <c r="Q8601">
        <v>6048</v>
      </c>
      <c r="R8601">
        <v>939</v>
      </c>
      <c r="S8601">
        <v>197</v>
      </c>
    </row>
    <row r="8602" spans="11:19" x14ac:dyDescent="0.3">
      <c r="K8602" s="16">
        <f t="shared" si="133"/>
        <v>44374</v>
      </c>
      <c r="L8602" s="17">
        <v>0.33333333333333331</v>
      </c>
      <c r="M8602" s="14">
        <v>652</v>
      </c>
      <c r="N8602" s="14">
        <v>0</v>
      </c>
      <c r="O8602" s="14">
        <v>0</v>
      </c>
      <c r="P8602" s="14">
        <v>652</v>
      </c>
      <c r="Q8602">
        <v>6498</v>
      </c>
      <c r="R8602">
        <v>829</v>
      </c>
      <c r="S8602">
        <v>547</v>
      </c>
    </row>
    <row r="8603" spans="11:19" x14ac:dyDescent="0.3">
      <c r="K8603" s="16">
        <f t="shared" ref="K8603:K8666" si="134">K8579+1</f>
        <v>44374</v>
      </c>
      <c r="L8603" s="17">
        <v>0.375</v>
      </c>
      <c r="M8603" s="14">
        <v>652</v>
      </c>
      <c r="N8603" s="14">
        <v>0</v>
      </c>
      <c r="O8603" s="14">
        <v>0</v>
      </c>
      <c r="P8603" s="14">
        <v>652</v>
      </c>
      <c r="Q8603">
        <v>7003</v>
      </c>
      <c r="R8603">
        <v>761</v>
      </c>
      <c r="S8603">
        <v>868</v>
      </c>
    </row>
    <row r="8604" spans="11:19" x14ac:dyDescent="0.3">
      <c r="K8604" s="16">
        <f t="shared" si="134"/>
        <v>44374</v>
      </c>
      <c r="L8604" s="17">
        <v>0.41666666666666669</v>
      </c>
      <c r="M8604" s="14">
        <v>652</v>
      </c>
      <c r="N8604" s="14">
        <v>0</v>
      </c>
      <c r="O8604" s="14">
        <v>0</v>
      </c>
      <c r="P8604" s="14">
        <v>652</v>
      </c>
      <c r="Q8604">
        <v>7364</v>
      </c>
      <c r="R8604">
        <v>907</v>
      </c>
      <c r="S8604">
        <v>1158</v>
      </c>
    </row>
    <row r="8605" spans="11:19" x14ac:dyDescent="0.3">
      <c r="K8605" s="16">
        <f t="shared" si="134"/>
        <v>44374</v>
      </c>
      <c r="L8605" s="17">
        <v>0.45833333333333331</v>
      </c>
      <c r="M8605" s="14">
        <v>652</v>
      </c>
      <c r="N8605" s="14">
        <v>0</v>
      </c>
      <c r="O8605" s="14">
        <v>0</v>
      </c>
      <c r="P8605" s="14">
        <v>652</v>
      </c>
      <c r="Q8605">
        <v>7656</v>
      </c>
      <c r="R8605">
        <v>906</v>
      </c>
      <c r="S8605">
        <v>1330</v>
      </c>
    </row>
    <row r="8606" spans="11:19" x14ac:dyDescent="0.3">
      <c r="K8606" s="16">
        <f t="shared" si="134"/>
        <v>44374</v>
      </c>
      <c r="L8606" s="17">
        <v>0.5</v>
      </c>
      <c r="M8606" s="14">
        <v>652</v>
      </c>
      <c r="N8606" s="14">
        <v>0</v>
      </c>
      <c r="O8606" s="14">
        <v>83</v>
      </c>
      <c r="P8606" s="14">
        <v>735</v>
      </c>
      <c r="Q8606">
        <v>8005</v>
      </c>
      <c r="R8606">
        <v>922</v>
      </c>
      <c r="S8606">
        <v>1249</v>
      </c>
    </row>
    <row r="8607" spans="11:19" x14ac:dyDescent="0.3">
      <c r="K8607" s="16">
        <f t="shared" si="134"/>
        <v>44374</v>
      </c>
      <c r="L8607" s="17">
        <v>0.54166666666666663</v>
      </c>
      <c r="M8607" s="14">
        <v>652</v>
      </c>
      <c r="N8607" s="14">
        <v>0</v>
      </c>
      <c r="O8607" s="14">
        <v>0</v>
      </c>
      <c r="P8607" s="14">
        <v>652</v>
      </c>
      <c r="Q8607">
        <v>7647</v>
      </c>
      <c r="R8607">
        <v>956</v>
      </c>
      <c r="S8607">
        <v>1334</v>
      </c>
    </row>
    <row r="8608" spans="11:19" x14ac:dyDescent="0.3">
      <c r="K8608" s="16">
        <f t="shared" si="134"/>
        <v>44374</v>
      </c>
      <c r="L8608" s="17">
        <v>0.58333333333333337</v>
      </c>
      <c r="M8608" s="14">
        <v>652</v>
      </c>
      <c r="N8608" s="14">
        <v>0</v>
      </c>
      <c r="O8608" s="14">
        <v>0</v>
      </c>
      <c r="P8608" s="14">
        <v>652</v>
      </c>
      <c r="Q8608">
        <v>7345</v>
      </c>
      <c r="R8608">
        <v>917</v>
      </c>
      <c r="S8608">
        <v>1188</v>
      </c>
    </row>
    <row r="8609" spans="11:19" x14ac:dyDescent="0.3">
      <c r="K8609" s="16">
        <f t="shared" si="134"/>
        <v>44374</v>
      </c>
      <c r="L8609" s="17">
        <v>0.625</v>
      </c>
      <c r="M8609" s="14">
        <v>652</v>
      </c>
      <c r="N8609" s="14">
        <v>0</v>
      </c>
      <c r="O8609" s="14">
        <v>-192</v>
      </c>
      <c r="P8609" s="14">
        <v>460</v>
      </c>
      <c r="Q8609">
        <v>7077</v>
      </c>
      <c r="R8609">
        <v>1001</v>
      </c>
      <c r="S8609">
        <v>1148</v>
      </c>
    </row>
    <row r="8610" spans="11:19" x14ac:dyDescent="0.3">
      <c r="K8610" s="16">
        <f t="shared" si="134"/>
        <v>44374</v>
      </c>
      <c r="L8610" s="17">
        <v>0.66666666666666663</v>
      </c>
      <c r="M8610" s="14">
        <v>652</v>
      </c>
      <c r="N8610" s="14">
        <v>0</v>
      </c>
      <c r="O8610" s="14">
        <v>0</v>
      </c>
      <c r="P8610" s="14">
        <v>652</v>
      </c>
      <c r="Q8610">
        <v>6892</v>
      </c>
      <c r="R8610">
        <v>1175</v>
      </c>
      <c r="S8610">
        <v>1041</v>
      </c>
    </row>
    <row r="8611" spans="11:19" x14ac:dyDescent="0.3">
      <c r="K8611" s="16">
        <f t="shared" si="134"/>
        <v>44374</v>
      </c>
      <c r="L8611" s="17">
        <v>0.70833333333333337</v>
      </c>
      <c r="M8611" s="14">
        <v>652</v>
      </c>
      <c r="N8611" s="14">
        <v>0</v>
      </c>
      <c r="O8611" s="14">
        <v>0</v>
      </c>
      <c r="P8611" s="14">
        <v>652</v>
      </c>
      <c r="Q8611">
        <v>6926</v>
      </c>
      <c r="R8611">
        <v>1348</v>
      </c>
      <c r="S8611">
        <v>856</v>
      </c>
    </row>
    <row r="8612" spans="11:19" x14ac:dyDescent="0.3">
      <c r="K8612" s="16">
        <f t="shared" si="134"/>
        <v>44374</v>
      </c>
      <c r="L8612" s="17">
        <v>0.75</v>
      </c>
      <c r="M8612" s="14">
        <v>652</v>
      </c>
      <c r="N8612" s="14">
        <v>0</v>
      </c>
      <c r="O8612" s="14">
        <v>0</v>
      </c>
      <c r="P8612" s="14">
        <v>652</v>
      </c>
      <c r="Q8612">
        <v>7223</v>
      </c>
      <c r="R8612">
        <v>1585</v>
      </c>
      <c r="S8612">
        <v>567</v>
      </c>
    </row>
    <row r="8613" spans="11:19" x14ac:dyDescent="0.3">
      <c r="K8613" s="16">
        <f t="shared" si="134"/>
        <v>44374</v>
      </c>
      <c r="L8613" s="17">
        <v>0.79166666666666663</v>
      </c>
      <c r="M8613" s="14">
        <v>652</v>
      </c>
      <c r="N8613" s="14">
        <v>0</v>
      </c>
      <c r="O8613" s="14">
        <v>0</v>
      </c>
      <c r="P8613" s="14">
        <v>652</v>
      </c>
      <c r="Q8613">
        <v>7433</v>
      </c>
      <c r="R8613">
        <v>1790</v>
      </c>
      <c r="S8613">
        <v>345</v>
      </c>
    </row>
    <row r="8614" spans="11:19" x14ac:dyDescent="0.3">
      <c r="K8614" s="16">
        <f t="shared" si="134"/>
        <v>44374</v>
      </c>
      <c r="L8614" s="17">
        <v>0.83333333333333337</v>
      </c>
      <c r="M8614" s="14">
        <v>652</v>
      </c>
      <c r="N8614" s="14">
        <v>0</v>
      </c>
      <c r="O8614" s="14">
        <v>0</v>
      </c>
      <c r="P8614" s="14">
        <v>652</v>
      </c>
      <c r="Q8614">
        <v>7319</v>
      </c>
      <c r="R8614">
        <v>1937</v>
      </c>
      <c r="S8614">
        <v>100</v>
      </c>
    </row>
    <row r="8615" spans="11:19" x14ac:dyDescent="0.3">
      <c r="K8615" s="16">
        <f t="shared" si="134"/>
        <v>44374</v>
      </c>
      <c r="L8615" s="17">
        <v>0.875</v>
      </c>
      <c r="M8615" s="14">
        <v>652</v>
      </c>
      <c r="N8615" s="14">
        <v>0</v>
      </c>
      <c r="O8615" s="14">
        <v>0</v>
      </c>
      <c r="P8615" s="14">
        <v>652</v>
      </c>
      <c r="Q8615">
        <v>7201</v>
      </c>
      <c r="R8615">
        <v>2155</v>
      </c>
      <c r="S8615">
        <v>6</v>
      </c>
    </row>
    <row r="8616" spans="11:19" x14ac:dyDescent="0.3">
      <c r="K8616" s="16">
        <f t="shared" si="134"/>
        <v>44374</v>
      </c>
      <c r="L8616" s="17">
        <v>0.91666666666666663</v>
      </c>
      <c r="M8616" s="14">
        <v>652</v>
      </c>
      <c r="N8616" s="14">
        <v>0</v>
      </c>
      <c r="O8616" s="14">
        <v>0</v>
      </c>
      <c r="P8616" s="14">
        <v>652</v>
      </c>
      <c r="Q8616">
        <v>7723</v>
      </c>
      <c r="R8616">
        <v>2134</v>
      </c>
      <c r="S8616">
        <v>0</v>
      </c>
    </row>
    <row r="8617" spans="11:19" x14ac:dyDescent="0.3">
      <c r="K8617" s="16">
        <f t="shared" si="134"/>
        <v>44374</v>
      </c>
      <c r="L8617" s="17">
        <v>0.95833333333333337</v>
      </c>
      <c r="M8617" s="14">
        <v>652</v>
      </c>
      <c r="N8617" s="14">
        <v>0</v>
      </c>
      <c r="O8617" s="14">
        <v>0</v>
      </c>
      <c r="P8617" s="14">
        <v>652</v>
      </c>
      <c r="Q8617">
        <v>7895</v>
      </c>
      <c r="R8617">
        <v>2218</v>
      </c>
      <c r="S8617">
        <v>0</v>
      </c>
    </row>
    <row r="8618" spans="11:19" x14ac:dyDescent="0.3">
      <c r="K8618" s="16">
        <f t="shared" si="134"/>
        <v>44375</v>
      </c>
      <c r="L8618" s="17">
        <v>0</v>
      </c>
      <c r="M8618" s="14">
        <v>652</v>
      </c>
      <c r="N8618" s="14">
        <v>0</v>
      </c>
      <c r="O8618" s="14">
        <v>-775</v>
      </c>
      <c r="P8618" s="14">
        <v>-123</v>
      </c>
      <c r="Q8618">
        <v>7292</v>
      </c>
      <c r="R8618">
        <v>2382</v>
      </c>
      <c r="S8618">
        <v>0</v>
      </c>
    </row>
    <row r="8619" spans="11:19" x14ac:dyDescent="0.3">
      <c r="K8619" s="16">
        <f t="shared" si="134"/>
        <v>44375</v>
      </c>
      <c r="L8619" s="17">
        <v>4.1666666666666664E-2</v>
      </c>
      <c r="M8619" s="14">
        <v>652</v>
      </c>
      <c r="N8619" s="14">
        <v>0</v>
      </c>
      <c r="O8619" s="14">
        <v>-1088</v>
      </c>
      <c r="P8619" s="14">
        <v>-436</v>
      </c>
      <c r="Q8619">
        <v>6918</v>
      </c>
      <c r="R8619">
        <v>2322</v>
      </c>
      <c r="S8619">
        <v>0</v>
      </c>
    </row>
    <row r="8620" spans="11:19" x14ac:dyDescent="0.3">
      <c r="K8620" s="16">
        <f t="shared" si="134"/>
        <v>44375</v>
      </c>
      <c r="L8620" s="17">
        <v>8.3333333333333329E-2</v>
      </c>
      <c r="M8620" s="14">
        <v>652</v>
      </c>
      <c r="N8620" s="14">
        <v>0</v>
      </c>
      <c r="O8620" s="14">
        <v>-1189</v>
      </c>
      <c r="P8620" s="14">
        <v>-537</v>
      </c>
      <c r="Q8620">
        <v>6613</v>
      </c>
      <c r="R8620">
        <v>2118</v>
      </c>
      <c r="S8620">
        <v>0</v>
      </c>
    </row>
    <row r="8621" spans="11:19" x14ac:dyDescent="0.3">
      <c r="K8621" s="16">
        <f t="shared" si="134"/>
        <v>44375</v>
      </c>
      <c r="L8621" s="17">
        <v>0.125</v>
      </c>
      <c r="M8621" s="14">
        <v>652</v>
      </c>
      <c r="N8621" s="14">
        <v>0</v>
      </c>
      <c r="O8621" s="14">
        <v>-1200</v>
      </c>
      <c r="P8621" s="14">
        <v>-548</v>
      </c>
      <c r="Q8621">
        <v>6304</v>
      </c>
      <c r="R8621">
        <v>1964</v>
      </c>
      <c r="S8621">
        <v>0</v>
      </c>
    </row>
    <row r="8622" spans="11:19" x14ac:dyDescent="0.3">
      <c r="K8622" s="16">
        <f t="shared" si="134"/>
        <v>44375</v>
      </c>
      <c r="L8622" s="17">
        <v>0.16666666666666666</v>
      </c>
      <c r="M8622" s="14">
        <v>652</v>
      </c>
      <c r="N8622" s="14">
        <v>0</v>
      </c>
      <c r="O8622" s="14">
        <v>-1200</v>
      </c>
      <c r="P8622" s="14">
        <v>-548</v>
      </c>
      <c r="Q8622">
        <v>6295</v>
      </c>
      <c r="R8622">
        <v>1975</v>
      </c>
      <c r="S8622">
        <v>0</v>
      </c>
    </row>
    <row r="8623" spans="11:19" x14ac:dyDescent="0.3">
      <c r="K8623" s="16">
        <f t="shared" si="134"/>
        <v>44375</v>
      </c>
      <c r="L8623" s="17">
        <v>0.20833333333333334</v>
      </c>
      <c r="M8623" s="14">
        <v>652</v>
      </c>
      <c r="N8623" s="14">
        <v>0</v>
      </c>
      <c r="O8623" s="14">
        <v>-907</v>
      </c>
      <c r="P8623" s="14">
        <v>-255</v>
      </c>
      <c r="Q8623">
        <v>6680</v>
      </c>
      <c r="R8623">
        <v>1897</v>
      </c>
      <c r="S8623">
        <v>0</v>
      </c>
    </row>
    <row r="8624" spans="11:19" x14ac:dyDescent="0.3">
      <c r="K8624" s="16">
        <f t="shared" si="134"/>
        <v>44375</v>
      </c>
      <c r="L8624" s="17">
        <v>0.25</v>
      </c>
      <c r="M8624" s="14">
        <v>652</v>
      </c>
      <c r="N8624" s="14">
        <v>0</v>
      </c>
      <c r="O8624" s="14">
        <v>-283</v>
      </c>
      <c r="P8624" s="14">
        <v>369</v>
      </c>
      <c r="Q8624">
        <v>7416</v>
      </c>
      <c r="R8624">
        <v>1943</v>
      </c>
      <c r="S8624">
        <v>26</v>
      </c>
    </row>
    <row r="8625" spans="11:19" x14ac:dyDescent="0.3">
      <c r="K8625" s="16">
        <f t="shared" si="134"/>
        <v>44375</v>
      </c>
      <c r="L8625" s="17">
        <v>0.29166666666666669</v>
      </c>
      <c r="M8625" s="14">
        <v>652</v>
      </c>
      <c r="N8625" s="14">
        <v>308</v>
      </c>
      <c r="O8625" s="14">
        <v>0</v>
      </c>
      <c r="P8625" s="14">
        <v>960</v>
      </c>
      <c r="Q8625">
        <v>8263</v>
      </c>
      <c r="R8625">
        <v>2031</v>
      </c>
      <c r="S8625">
        <v>169</v>
      </c>
    </row>
    <row r="8626" spans="11:19" x14ac:dyDescent="0.3">
      <c r="K8626" s="16">
        <f t="shared" si="134"/>
        <v>44375</v>
      </c>
      <c r="L8626" s="17">
        <v>0.33333333333333331</v>
      </c>
      <c r="M8626" s="14">
        <v>652</v>
      </c>
      <c r="N8626" s="14">
        <v>0</v>
      </c>
      <c r="O8626" s="14">
        <v>494</v>
      </c>
      <c r="P8626" s="14">
        <v>1146</v>
      </c>
      <c r="Q8626">
        <v>8860</v>
      </c>
      <c r="R8626">
        <v>2123</v>
      </c>
      <c r="S8626">
        <v>484</v>
      </c>
    </row>
    <row r="8627" spans="11:19" x14ac:dyDescent="0.3">
      <c r="K8627" s="16">
        <f t="shared" si="134"/>
        <v>44375</v>
      </c>
      <c r="L8627" s="17">
        <v>0.375</v>
      </c>
      <c r="M8627" s="14">
        <v>652</v>
      </c>
      <c r="N8627" s="14">
        <v>620</v>
      </c>
      <c r="O8627" s="14">
        <v>0</v>
      </c>
      <c r="P8627" s="14">
        <v>1272</v>
      </c>
      <c r="Q8627">
        <v>9233</v>
      </c>
      <c r="R8627">
        <v>2021</v>
      </c>
      <c r="S8627">
        <v>834</v>
      </c>
    </row>
    <row r="8628" spans="11:19" x14ac:dyDescent="0.3">
      <c r="K8628" s="16">
        <f t="shared" si="134"/>
        <v>44375</v>
      </c>
      <c r="L8628" s="17">
        <v>0.41666666666666669</v>
      </c>
      <c r="M8628" s="14">
        <v>652</v>
      </c>
      <c r="N8628" s="14">
        <v>0</v>
      </c>
      <c r="O8628" s="14">
        <v>326</v>
      </c>
      <c r="P8628" s="14">
        <v>978</v>
      </c>
      <c r="Q8628">
        <v>9420</v>
      </c>
      <c r="R8628">
        <v>2129</v>
      </c>
      <c r="S8628">
        <v>1209</v>
      </c>
    </row>
    <row r="8629" spans="11:19" x14ac:dyDescent="0.3">
      <c r="K8629" s="16">
        <f t="shared" si="134"/>
        <v>44375</v>
      </c>
      <c r="L8629" s="17">
        <v>0.45833333333333331</v>
      </c>
      <c r="M8629" s="14">
        <v>652</v>
      </c>
      <c r="N8629" s="14">
        <v>403</v>
      </c>
      <c r="O8629" s="14">
        <v>0</v>
      </c>
      <c r="P8629" s="14">
        <v>1055</v>
      </c>
      <c r="Q8629">
        <v>9620</v>
      </c>
      <c r="R8629">
        <v>2018</v>
      </c>
      <c r="S8629">
        <v>1441</v>
      </c>
    </row>
    <row r="8630" spans="11:19" x14ac:dyDescent="0.3">
      <c r="K8630" s="16">
        <f t="shared" si="134"/>
        <v>44375</v>
      </c>
      <c r="L8630" s="17">
        <v>0.5</v>
      </c>
      <c r="M8630" s="14">
        <v>652</v>
      </c>
      <c r="N8630" s="14">
        <v>300</v>
      </c>
      <c r="O8630" s="14">
        <v>0</v>
      </c>
      <c r="P8630" s="14">
        <v>952</v>
      </c>
      <c r="Q8630">
        <v>9705</v>
      </c>
      <c r="R8630">
        <v>2078</v>
      </c>
      <c r="S8630">
        <v>1572</v>
      </c>
    </row>
    <row r="8631" spans="11:19" x14ac:dyDescent="0.3">
      <c r="K8631" s="16">
        <f t="shared" si="134"/>
        <v>44375</v>
      </c>
      <c r="L8631" s="17">
        <v>0.54166666666666663</v>
      </c>
      <c r="M8631" s="14">
        <v>652</v>
      </c>
      <c r="N8631" s="14">
        <v>0</v>
      </c>
      <c r="O8631" s="14">
        <v>137</v>
      </c>
      <c r="P8631" s="14">
        <v>789</v>
      </c>
      <c r="Q8631">
        <v>9549</v>
      </c>
      <c r="R8631">
        <v>1999</v>
      </c>
      <c r="S8631">
        <v>1660</v>
      </c>
    </row>
    <row r="8632" spans="11:19" x14ac:dyDescent="0.3">
      <c r="K8632" s="16">
        <f t="shared" si="134"/>
        <v>44375</v>
      </c>
      <c r="L8632" s="17">
        <v>0.58333333333333337</v>
      </c>
      <c r="M8632" s="14">
        <v>652</v>
      </c>
      <c r="N8632" s="14">
        <v>0</v>
      </c>
      <c r="O8632" s="14">
        <v>27</v>
      </c>
      <c r="P8632" s="14">
        <v>679</v>
      </c>
      <c r="Q8632">
        <v>9426</v>
      </c>
      <c r="R8632">
        <v>1924</v>
      </c>
      <c r="S8632">
        <v>1724</v>
      </c>
    </row>
    <row r="8633" spans="11:19" x14ac:dyDescent="0.3">
      <c r="K8633" s="16">
        <f t="shared" si="134"/>
        <v>44375</v>
      </c>
      <c r="L8633" s="17">
        <v>0.625</v>
      </c>
      <c r="M8633" s="14">
        <v>652</v>
      </c>
      <c r="N8633" s="14">
        <v>0</v>
      </c>
      <c r="O8633" s="14">
        <v>-377</v>
      </c>
      <c r="P8633" s="14">
        <v>275</v>
      </c>
      <c r="Q8633">
        <v>9139</v>
      </c>
      <c r="R8633">
        <v>2087</v>
      </c>
      <c r="S8633">
        <v>1681</v>
      </c>
    </row>
    <row r="8634" spans="11:19" x14ac:dyDescent="0.3">
      <c r="K8634" s="16">
        <f t="shared" si="134"/>
        <v>44375</v>
      </c>
      <c r="L8634" s="17">
        <v>0.66666666666666663</v>
      </c>
      <c r="M8634" s="14">
        <v>652</v>
      </c>
      <c r="N8634" s="14">
        <v>0</v>
      </c>
      <c r="O8634" s="14">
        <v>-458</v>
      </c>
      <c r="P8634" s="14">
        <v>194</v>
      </c>
      <c r="Q8634">
        <v>8896</v>
      </c>
      <c r="R8634">
        <v>2068</v>
      </c>
      <c r="S8634">
        <v>1544</v>
      </c>
    </row>
    <row r="8635" spans="11:19" x14ac:dyDescent="0.3">
      <c r="K8635" s="16">
        <f t="shared" si="134"/>
        <v>44375</v>
      </c>
      <c r="L8635" s="17">
        <v>0.70833333333333337</v>
      </c>
      <c r="M8635" s="14">
        <v>652</v>
      </c>
      <c r="N8635" s="14">
        <v>0</v>
      </c>
      <c r="O8635" s="14">
        <v>-353</v>
      </c>
      <c r="P8635" s="14">
        <v>299</v>
      </c>
      <c r="Q8635">
        <v>8775</v>
      </c>
      <c r="R8635">
        <v>2111</v>
      </c>
      <c r="S8635">
        <v>1280</v>
      </c>
    </row>
    <row r="8636" spans="11:19" x14ac:dyDescent="0.3">
      <c r="K8636" s="16">
        <f t="shared" si="134"/>
        <v>44375</v>
      </c>
      <c r="L8636" s="17">
        <v>0.75</v>
      </c>
      <c r="M8636" s="14">
        <v>652</v>
      </c>
      <c r="N8636" s="14">
        <v>437</v>
      </c>
      <c r="O8636" s="14">
        <v>132</v>
      </c>
      <c r="P8636" s="14">
        <v>1221</v>
      </c>
      <c r="Q8636">
        <v>8976</v>
      </c>
      <c r="R8636">
        <v>1802</v>
      </c>
      <c r="S8636">
        <v>874</v>
      </c>
    </row>
    <row r="8637" spans="11:19" x14ac:dyDescent="0.3">
      <c r="K8637" s="16">
        <f t="shared" si="134"/>
        <v>44375</v>
      </c>
      <c r="L8637" s="17">
        <v>0.79166666666666663</v>
      </c>
      <c r="M8637" s="14">
        <v>652</v>
      </c>
      <c r="N8637" s="14">
        <v>0</v>
      </c>
      <c r="O8637" s="14">
        <v>1090</v>
      </c>
      <c r="P8637" s="14">
        <v>1742</v>
      </c>
      <c r="Q8637">
        <v>8951</v>
      </c>
      <c r="R8637">
        <v>1693</v>
      </c>
      <c r="S8637">
        <v>453</v>
      </c>
    </row>
    <row r="8638" spans="11:19" x14ac:dyDescent="0.3">
      <c r="K8638" s="16">
        <f t="shared" si="134"/>
        <v>44375</v>
      </c>
      <c r="L8638" s="17">
        <v>0.83333333333333337</v>
      </c>
      <c r="M8638" s="14">
        <v>652</v>
      </c>
      <c r="N8638" s="14">
        <v>0</v>
      </c>
      <c r="O8638" s="14">
        <v>933</v>
      </c>
      <c r="P8638" s="14">
        <v>1585</v>
      </c>
      <c r="Q8638">
        <v>8363</v>
      </c>
      <c r="R8638">
        <v>1492</v>
      </c>
      <c r="S8638">
        <v>153</v>
      </c>
    </row>
    <row r="8639" spans="11:19" x14ac:dyDescent="0.3">
      <c r="K8639" s="16">
        <f t="shared" si="134"/>
        <v>44375</v>
      </c>
      <c r="L8639" s="17">
        <v>0.875</v>
      </c>
      <c r="M8639" s="14">
        <v>652</v>
      </c>
      <c r="N8639" s="14">
        <v>0</v>
      </c>
      <c r="O8639" s="14">
        <v>779</v>
      </c>
      <c r="P8639" s="14">
        <v>1431</v>
      </c>
      <c r="Q8639">
        <v>7984</v>
      </c>
      <c r="R8639">
        <v>1407</v>
      </c>
      <c r="S8639">
        <v>19</v>
      </c>
    </row>
    <row r="8640" spans="11:19" x14ac:dyDescent="0.3">
      <c r="K8640" s="16">
        <f t="shared" si="134"/>
        <v>44375</v>
      </c>
      <c r="L8640" s="17">
        <v>0.91666666666666663</v>
      </c>
      <c r="M8640" s="14">
        <v>652</v>
      </c>
      <c r="N8640" s="14">
        <v>0</v>
      </c>
      <c r="O8640" s="14">
        <v>1151</v>
      </c>
      <c r="P8640" s="14">
        <v>1803</v>
      </c>
      <c r="Q8640">
        <v>8396</v>
      </c>
      <c r="R8640">
        <v>1466</v>
      </c>
      <c r="S8640">
        <v>0</v>
      </c>
    </row>
    <row r="8641" spans="11:19" x14ac:dyDescent="0.3">
      <c r="K8641" s="16">
        <f t="shared" si="134"/>
        <v>44375</v>
      </c>
      <c r="L8641" s="17">
        <v>0.95833333333333337</v>
      </c>
      <c r="M8641" s="14">
        <v>652</v>
      </c>
      <c r="N8641" s="14">
        <v>138</v>
      </c>
      <c r="O8641" s="14">
        <v>1200</v>
      </c>
      <c r="P8641" s="14">
        <v>1990</v>
      </c>
      <c r="Q8641">
        <v>8518</v>
      </c>
      <c r="R8641">
        <v>1409</v>
      </c>
      <c r="S8641">
        <v>0</v>
      </c>
    </row>
    <row r="8642" spans="11:19" x14ac:dyDescent="0.3">
      <c r="K8642" s="16">
        <f t="shared" si="134"/>
        <v>44376</v>
      </c>
      <c r="L8642" s="17">
        <v>0</v>
      </c>
      <c r="M8642" s="14">
        <v>652</v>
      </c>
      <c r="N8642" s="14">
        <v>566</v>
      </c>
      <c r="O8642" s="14">
        <v>0</v>
      </c>
      <c r="P8642" s="14">
        <v>1218</v>
      </c>
      <c r="Q8642">
        <v>7844</v>
      </c>
      <c r="R8642">
        <v>1516</v>
      </c>
      <c r="S8642">
        <v>0</v>
      </c>
    </row>
    <row r="8643" spans="11:19" x14ac:dyDescent="0.3">
      <c r="K8643" s="16">
        <f t="shared" si="134"/>
        <v>44376</v>
      </c>
      <c r="L8643" s="17">
        <v>4.1666666666666664E-2</v>
      </c>
      <c r="M8643" s="14">
        <v>652</v>
      </c>
      <c r="N8643" s="14">
        <v>11</v>
      </c>
      <c r="O8643" s="14">
        <v>0</v>
      </c>
      <c r="P8643" s="14">
        <v>663</v>
      </c>
      <c r="Q8643">
        <v>7429</v>
      </c>
      <c r="R8643">
        <v>1737</v>
      </c>
      <c r="S8643">
        <v>0</v>
      </c>
    </row>
    <row r="8644" spans="11:19" x14ac:dyDescent="0.3">
      <c r="K8644" s="16">
        <f t="shared" si="134"/>
        <v>44376</v>
      </c>
      <c r="L8644" s="17">
        <v>8.3333333333333329E-2</v>
      </c>
      <c r="M8644" s="14">
        <v>652</v>
      </c>
      <c r="N8644" s="14">
        <v>0</v>
      </c>
      <c r="O8644" s="14">
        <v>-357</v>
      </c>
      <c r="P8644" s="14">
        <v>295</v>
      </c>
      <c r="Q8644">
        <v>7129</v>
      </c>
      <c r="R8644">
        <v>1804</v>
      </c>
      <c r="S8644">
        <v>0</v>
      </c>
    </row>
    <row r="8645" spans="11:19" x14ac:dyDescent="0.3">
      <c r="K8645" s="16">
        <f t="shared" si="134"/>
        <v>44376</v>
      </c>
      <c r="L8645" s="17">
        <v>0.125</v>
      </c>
      <c r="M8645" s="14">
        <v>652</v>
      </c>
      <c r="N8645" s="14">
        <v>0</v>
      </c>
      <c r="O8645" s="14">
        <v>-570</v>
      </c>
      <c r="P8645" s="14">
        <v>82</v>
      </c>
      <c r="Q8645">
        <v>6791</v>
      </c>
      <c r="R8645">
        <v>1682</v>
      </c>
      <c r="S8645">
        <v>0</v>
      </c>
    </row>
    <row r="8646" spans="11:19" x14ac:dyDescent="0.3">
      <c r="K8646" s="16">
        <f t="shared" si="134"/>
        <v>44376</v>
      </c>
      <c r="L8646" s="17">
        <v>0.16666666666666666</v>
      </c>
      <c r="M8646" s="14">
        <v>652</v>
      </c>
      <c r="N8646" s="14">
        <v>0</v>
      </c>
      <c r="O8646" s="14">
        <v>-455</v>
      </c>
      <c r="P8646" s="14">
        <v>197</v>
      </c>
      <c r="Q8646">
        <v>6720</v>
      </c>
      <c r="R8646">
        <v>1496</v>
      </c>
      <c r="S8646">
        <v>0</v>
      </c>
    </row>
    <row r="8647" spans="11:19" x14ac:dyDescent="0.3">
      <c r="K8647" s="16">
        <f t="shared" si="134"/>
        <v>44376</v>
      </c>
      <c r="L8647" s="17">
        <v>0.20833333333333334</v>
      </c>
      <c r="M8647" s="14">
        <v>652</v>
      </c>
      <c r="N8647" s="14">
        <v>0</v>
      </c>
      <c r="O8647" s="14">
        <v>-28</v>
      </c>
      <c r="P8647" s="14">
        <v>624</v>
      </c>
      <c r="Q8647">
        <v>7014</v>
      </c>
      <c r="R8647">
        <v>1354</v>
      </c>
      <c r="S8647">
        <v>1</v>
      </c>
    </row>
    <row r="8648" spans="11:19" x14ac:dyDescent="0.3">
      <c r="K8648" s="16">
        <f t="shared" si="134"/>
        <v>44376</v>
      </c>
      <c r="L8648" s="17">
        <v>0.25</v>
      </c>
      <c r="M8648" s="14">
        <v>652</v>
      </c>
      <c r="N8648" s="14">
        <v>0</v>
      </c>
      <c r="O8648" s="14">
        <v>437</v>
      </c>
      <c r="P8648" s="14">
        <v>1089</v>
      </c>
      <c r="Q8648">
        <v>7687</v>
      </c>
      <c r="R8648">
        <v>1201</v>
      </c>
      <c r="S8648">
        <v>31</v>
      </c>
    </row>
    <row r="8649" spans="11:19" x14ac:dyDescent="0.3">
      <c r="K8649" s="16">
        <f t="shared" si="134"/>
        <v>44376</v>
      </c>
      <c r="L8649" s="17">
        <v>0.29166666666666669</v>
      </c>
      <c r="M8649" s="14">
        <v>652</v>
      </c>
      <c r="N8649" s="14">
        <v>1294</v>
      </c>
      <c r="O8649" s="14">
        <v>0</v>
      </c>
      <c r="P8649" s="14">
        <v>1946</v>
      </c>
      <c r="Q8649">
        <v>8520</v>
      </c>
      <c r="R8649">
        <v>1022</v>
      </c>
      <c r="S8649">
        <v>214</v>
      </c>
    </row>
    <row r="8650" spans="11:19" x14ac:dyDescent="0.3">
      <c r="K8650" s="16">
        <f t="shared" si="134"/>
        <v>44376</v>
      </c>
      <c r="L8650" s="17">
        <v>0.33333333333333331</v>
      </c>
      <c r="M8650" s="14">
        <v>652</v>
      </c>
      <c r="N8650" s="14">
        <v>1516</v>
      </c>
      <c r="O8650" s="14">
        <v>0</v>
      </c>
      <c r="P8650" s="14">
        <v>2168</v>
      </c>
      <c r="Q8650">
        <v>9059</v>
      </c>
      <c r="R8650">
        <v>919</v>
      </c>
      <c r="S8650">
        <v>630</v>
      </c>
    </row>
    <row r="8651" spans="11:19" x14ac:dyDescent="0.3">
      <c r="K8651" s="16">
        <f t="shared" si="134"/>
        <v>44376</v>
      </c>
      <c r="L8651" s="17">
        <v>0.375</v>
      </c>
      <c r="M8651" s="14">
        <v>652</v>
      </c>
      <c r="N8651" s="14">
        <v>1559</v>
      </c>
      <c r="O8651" s="14">
        <v>0</v>
      </c>
      <c r="P8651" s="14">
        <v>2211</v>
      </c>
      <c r="Q8651">
        <v>9390</v>
      </c>
      <c r="R8651">
        <v>755</v>
      </c>
      <c r="S8651">
        <v>1083</v>
      </c>
    </row>
    <row r="8652" spans="11:19" x14ac:dyDescent="0.3">
      <c r="K8652" s="16">
        <f t="shared" si="134"/>
        <v>44376</v>
      </c>
      <c r="L8652" s="17">
        <v>0.41666666666666669</v>
      </c>
      <c r="M8652" s="14">
        <v>652</v>
      </c>
      <c r="N8652" s="14">
        <v>1428</v>
      </c>
      <c r="O8652" s="14">
        <v>0</v>
      </c>
      <c r="P8652" s="14">
        <v>2080</v>
      </c>
      <c r="Q8652">
        <v>9518</v>
      </c>
      <c r="R8652">
        <v>750</v>
      </c>
      <c r="S8652">
        <v>1348</v>
      </c>
    </row>
    <row r="8653" spans="11:19" x14ac:dyDescent="0.3">
      <c r="K8653" s="16">
        <f t="shared" si="134"/>
        <v>44376</v>
      </c>
      <c r="L8653" s="17">
        <v>0.45833333333333331</v>
      </c>
      <c r="M8653" s="14">
        <v>652</v>
      </c>
      <c r="N8653" s="14">
        <v>1474</v>
      </c>
      <c r="O8653" s="14">
        <v>0</v>
      </c>
      <c r="P8653" s="14">
        <v>2126</v>
      </c>
      <c r="Q8653">
        <v>9679</v>
      </c>
      <c r="R8653">
        <v>633</v>
      </c>
      <c r="S8653">
        <v>1579</v>
      </c>
    </row>
    <row r="8654" spans="11:19" x14ac:dyDescent="0.3">
      <c r="K8654" s="16">
        <f t="shared" si="134"/>
        <v>44376</v>
      </c>
      <c r="L8654" s="17">
        <v>0.5</v>
      </c>
      <c r="M8654" s="14">
        <v>652</v>
      </c>
      <c r="N8654" s="14">
        <v>0</v>
      </c>
      <c r="O8654" s="14">
        <v>0</v>
      </c>
      <c r="P8654" s="14">
        <v>652</v>
      </c>
      <c r="Q8654">
        <v>9719</v>
      </c>
      <c r="R8654">
        <v>671</v>
      </c>
      <c r="S8654">
        <v>1774</v>
      </c>
    </row>
    <row r="8655" spans="11:19" x14ac:dyDescent="0.3">
      <c r="K8655" s="16">
        <f t="shared" si="134"/>
        <v>44376</v>
      </c>
      <c r="L8655" s="17">
        <v>0.54166666666666663</v>
      </c>
      <c r="M8655" s="14">
        <v>652</v>
      </c>
      <c r="N8655" s="14">
        <v>0</v>
      </c>
      <c r="O8655" s="14">
        <v>0</v>
      </c>
      <c r="P8655" s="14">
        <v>652</v>
      </c>
      <c r="Q8655">
        <v>9527</v>
      </c>
      <c r="R8655">
        <v>714</v>
      </c>
      <c r="S8655">
        <v>1856</v>
      </c>
    </row>
    <row r="8656" spans="11:19" x14ac:dyDescent="0.3">
      <c r="K8656" s="16">
        <f t="shared" si="134"/>
        <v>44376</v>
      </c>
      <c r="L8656" s="17">
        <v>0.58333333333333337</v>
      </c>
      <c r="M8656" s="14">
        <v>652</v>
      </c>
      <c r="N8656" s="14">
        <v>0</v>
      </c>
      <c r="O8656" s="14">
        <v>0</v>
      </c>
      <c r="P8656" s="14">
        <v>652</v>
      </c>
      <c r="Q8656">
        <v>9399</v>
      </c>
      <c r="R8656">
        <v>750</v>
      </c>
      <c r="S8656">
        <v>1879</v>
      </c>
    </row>
    <row r="8657" spans="11:19" x14ac:dyDescent="0.3">
      <c r="K8657" s="16">
        <f t="shared" si="134"/>
        <v>44376</v>
      </c>
      <c r="L8657" s="17">
        <v>0.625</v>
      </c>
      <c r="M8657" s="14">
        <v>652</v>
      </c>
      <c r="N8657" s="14">
        <v>538</v>
      </c>
      <c r="O8657" s="14">
        <v>0</v>
      </c>
      <c r="P8657" s="14">
        <v>1190</v>
      </c>
      <c r="Q8657">
        <v>9108</v>
      </c>
      <c r="R8657">
        <v>761</v>
      </c>
      <c r="S8657">
        <v>1825</v>
      </c>
    </row>
    <row r="8658" spans="11:19" x14ac:dyDescent="0.3">
      <c r="K8658" s="16">
        <f t="shared" si="134"/>
        <v>44376</v>
      </c>
      <c r="L8658" s="17">
        <v>0.66666666666666663</v>
      </c>
      <c r="M8658" s="14">
        <v>652</v>
      </c>
      <c r="N8658" s="14">
        <v>0</v>
      </c>
      <c r="O8658" s="14">
        <v>692</v>
      </c>
      <c r="P8658" s="14">
        <v>1344</v>
      </c>
      <c r="Q8658">
        <v>8864</v>
      </c>
      <c r="R8658">
        <v>678</v>
      </c>
      <c r="S8658">
        <v>1596</v>
      </c>
    </row>
    <row r="8659" spans="11:19" x14ac:dyDescent="0.3">
      <c r="K8659" s="16">
        <f t="shared" si="134"/>
        <v>44376</v>
      </c>
      <c r="L8659" s="17">
        <v>0.70833333333333337</v>
      </c>
      <c r="M8659" s="14">
        <v>652</v>
      </c>
      <c r="N8659" s="14">
        <v>647</v>
      </c>
      <c r="O8659" s="14">
        <v>0</v>
      </c>
      <c r="P8659" s="14">
        <v>1299</v>
      </c>
      <c r="Q8659">
        <v>8724</v>
      </c>
      <c r="R8659">
        <v>685</v>
      </c>
      <c r="S8659">
        <v>1293</v>
      </c>
    </row>
    <row r="8660" spans="11:19" x14ac:dyDescent="0.3">
      <c r="K8660" s="16">
        <f t="shared" si="134"/>
        <v>44376</v>
      </c>
      <c r="L8660" s="17">
        <v>0.75</v>
      </c>
      <c r="M8660" s="14">
        <v>652</v>
      </c>
      <c r="N8660" s="14">
        <v>1557</v>
      </c>
      <c r="O8660" s="14">
        <v>0</v>
      </c>
      <c r="P8660" s="14">
        <v>2209</v>
      </c>
      <c r="Q8660">
        <v>8919</v>
      </c>
      <c r="R8660">
        <v>566</v>
      </c>
      <c r="S8660">
        <v>909</v>
      </c>
    </row>
    <row r="8661" spans="11:19" x14ac:dyDescent="0.3">
      <c r="K8661" s="16">
        <f t="shared" si="134"/>
        <v>44376</v>
      </c>
      <c r="L8661" s="17">
        <v>0.79166666666666663</v>
      </c>
      <c r="M8661" s="14">
        <v>652</v>
      </c>
      <c r="N8661" s="14">
        <v>1683</v>
      </c>
      <c r="O8661" s="14">
        <v>0</v>
      </c>
      <c r="P8661" s="14">
        <v>2335</v>
      </c>
      <c r="Q8661">
        <v>8888</v>
      </c>
      <c r="R8661">
        <v>519</v>
      </c>
      <c r="S8661">
        <v>460</v>
      </c>
    </row>
    <row r="8662" spans="11:19" x14ac:dyDescent="0.3">
      <c r="K8662" s="16">
        <f t="shared" si="134"/>
        <v>44376</v>
      </c>
      <c r="L8662" s="17">
        <v>0.83333333333333337</v>
      </c>
      <c r="M8662" s="14">
        <v>652</v>
      </c>
      <c r="N8662" s="14">
        <v>1683</v>
      </c>
      <c r="O8662" s="14">
        <v>0</v>
      </c>
      <c r="P8662" s="14">
        <v>2335</v>
      </c>
      <c r="Q8662">
        <v>8336</v>
      </c>
      <c r="R8662">
        <v>480</v>
      </c>
      <c r="S8662">
        <v>165</v>
      </c>
    </row>
    <row r="8663" spans="11:19" x14ac:dyDescent="0.3">
      <c r="K8663" s="16">
        <f t="shared" si="134"/>
        <v>44376</v>
      </c>
      <c r="L8663" s="17">
        <v>0.875</v>
      </c>
      <c r="M8663" s="14">
        <v>652</v>
      </c>
      <c r="N8663" s="14">
        <v>1493</v>
      </c>
      <c r="O8663" s="14">
        <v>0</v>
      </c>
      <c r="P8663" s="14">
        <v>2145</v>
      </c>
      <c r="Q8663">
        <v>7992</v>
      </c>
      <c r="R8663">
        <v>541</v>
      </c>
      <c r="S8663">
        <v>23</v>
      </c>
    </row>
    <row r="8664" spans="11:19" x14ac:dyDescent="0.3">
      <c r="K8664" s="16">
        <f t="shared" si="134"/>
        <v>44376</v>
      </c>
      <c r="L8664" s="17">
        <v>0.91666666666666663</v>
      </c>
      <c r="M8664" s="14">
        <v>652</v>
      </c>
      <c r="N8664" s="14">
        <v>1683</v>
      </c>
      <c r="O8664" s="14">
        <v>0</v>
      </c>
      <c r="P8664" s="14">
        <v>2335</v>
      </c>
      <c r="Q8664">
        <v>8420</v>
      </c>
      <c r="R8664">
        <v>565</v>
      </c>
      <c r="S8664">
        <v>0</v>
      </c>
    </row>
    <row r="8665" spans="11:19" x14ac:dyDescent="0.3">
      <c r="K8665" s="16">
        <f t="shared" si="134"/>
        <v>44376</v>
      </c>
      <c r="L8665" s="17">
        <v>0.95833333333333337</v>
      </c>
      <c r="M8665" s="14">
        <v>652</v>
      </c>
      <c r="N8665" s="14">
        <v>1683</v>
      </c>
      <c r="O8665" s="14">
        <v>0</v>
      </c>
      <c r="P8665" s="14">
        <v>2335</v>
      </c>
      <c r="Q8665">
        <v>8553</v>
      </c>
      <c r="R8665">
        <v>504</v>
      </c>
      <c r="S8665">
        <v>0</v>
      </c>
    </row>
    <row r="8666" spans="11:19" x14ac:dyDescent="0.3">
      <c r="K8666" s="16">
        <f t="shared" si="134"/>
        <v>44377</v>
      </c>
      <c r="L8666" s="17">
        <v>0</v>
      </c>
      <c r="M8666" s="14">
        <v>652</v>
      </c>
      <c r="N8666" s="14">
        <v>0</v>
      </c>
      <c r="O8666" s="14">
        <v>0</v>
      </c>
      <c r="P8666" s="14">
        <v>652</v>
      </c>
      <c r="Q8666">
        <v>7852</v>
      </c>
      <c r="R8666">
        <v>452</v>
      </c>
      <c r="S8666">
        <v>0</v>
      </c>
    </row>
    <row r="8667" spans="11:19" x14ac:dyDescent="0.3">
      <c r="K8667" s="16">
        <f t="shared" ref="K8667:K8730" si="135">K8643+1</f>
        <v>44377</v>
      </c>
      <c r="L8667" s="17">
        <v>4.1666666666666664E-2</v>
      </c>
      <c r="M8667" s="14">
        <v>652</v>
      </c>
      <c r="N8667" s="14">
        <v>1031</v>
      </c>
      <c r="O8667" s="14">
        <v>0</v>
      </c>
      <c r="P8667" s="14">
        <v>1683</v>
      </c>
      <c r="Q8667">
        <v>7441</v>
      </c>
      <c r="R8667">
        <v>488</v>
      </c>
      <c r="S8667">
        <v>0</v>
      </c>
    </row>
    <row r="8668" spans="11:19" x14ac:dyDescent="0.3">
      <c r="K8668" s="16">
        <f t="shared" si="135"/>
        <v>44377</v>
      </c>
      <c r="L8668" s="17">
        <v>8.3333333333333329E-2</v>
      </c>
      <c r="M8668" s="14">
        <v>652</v>
      </c>
      <c r="N8668" s="14">
        <v>0</v>
      </c>
      <c r="O8668" s="14">
        <v>0</v>
      </c>
      <c r="P8668" s="14">
        <v>652</v>
      </c>
      <c r="Q8668">
        <v>7143</v>
      </c>
      <c r="R8668">
        <v>473</v>
      </c>
      <c r="S8668">
        <v>0</v>
      </c>
    </row>
    <row r="8669" spans="11:19" x14ac:dyDescent="0.3">
      <c r="K8669" s="16">
        <f t="shared" si="135"/>
        <v>44377</v>
      </c>
      <c r="L8669" s="17">
        <v>0.125</v>
      </c>
      <c r="M8669" s="14">
        <v>652</v>
      </c>
      <c r="N8669" s="14">
        <v>450</v>
      </c>
      <c r="O8669" s="14">
        <v>0</v>
      </c>
      <c r="P8669" s="14">
        <v>1102</v>
      </c>
      <c r="Q8669">
        <v>6807</v>
      </c>
      <c r="R8669">
        <v>517</v>
      </c>
      <c r="S8669">
        <v>0</v>
      </c>
    </row>
    <row r="8670" spans="11:19" x14ac:dyDescent="0.3">
      <c r="K8670" s="16">
        <f t="shared" si="135"/>
        <v>44377</v>
      </c>
      <c r="L8670" s="17">
        <v>0.16666666666666666</v>
      </c>
      <c r="M8670" s="14">
        <v>652</v>
      </c>
      <c r="N8670" s="14">
        <v>0</v>
      </c>
      <c r="O8670" s="14">
        <v>0</v>
      </c>
      <c r="P8670" s="14">
        <v>652</v>
      </c>
      <c r="Q8670">
        <v>6742</v>
      </c>
      <c r="R8670">
        <v>527</v>
      </c>
      <c r="S8670">
        <v>0</v>
      </c>
    </row>
    <row r="8671" spans="11:19" x14ac:dyDescent="0.3">
      <c r="K8671" s="16">
        <f t="shared" si="135"/>
        <v>44377</v>
      </c>
      <c r="L8671" s="17">
        <v>0.20833333333333334</v>
      </c>
      <c r="M8671" s="14">
        <v>652</v>
      </c>
      <c r="N8671" s="14">
        <v>603</v>
      </c>
      <c r="O8671" s="14">
        <v>0</v>
      </c>
      <c r="P8671" s="14">
        <v>1255</v>
      </c>
      <c r="Q8671">
        <v>7045</v>
      </c>
      <c r="R8671">
        <v>594</v>
      </c>
      <c r="S8671">
        <v>0</v>
      </c>
    </row>
    <row r="8672" spans="11:19" x14ac:dyDescent="0.3">
      <c r="K8672" s="16">
        <f t="shared" si="135"/>
        <v>44377</v>
      </c>
      <c r="L8672" s="17">
        <v>0.25</v>
      </c>
      <c r="M8672" s="14">
        <v>652</v>
      </c>
      <c r="N8672" s="14">
        <v>1162</v>
      </c>
      <c r="O8672" s="14">
        <v>0</v>
      </c>
      <c r="P8672" s="14">
        <v>1814</v>
      </c>
      <c r="Q8672">
        <v>7729</v>
      </c>
      <c r="R8672">
        <v>643</v>
      </c>
      <c r="S8672">
        <v>38</v>
      </c>
    </row>
    <row r="8673" spans="11:19" x14ac:dyDescent="0.3">
      <c r="K8673" s="16">
        <f t="shared" si="135"/>
        <v>44377</v>
      </c>
      <c r="L8673" s="17">
        <v>0.29166666666666669</v>
      </c>
      <c r="M8673" s="14">
        <v>652</v>
      </c>
      <c r="N8673" s="14">
        <v>1581</v>
      </c>
      <c r="O8673" s="14">
        <v>0</v>
      </c>
      <c r="P8673" s="14">
        <v>2233</v>
      </c>
      <c r="Q8673">
        <v>8568</v>
      </c>
      <c r="R8673">
        <v>695</v>
      </c>
      <c r="S8673">
        <v>221</v>
      </c>
    </row>
    <row r="8674" spans="11:19" x14ac:dyDescent="0.3">
      <c r="K8674" s="16">
        <f t="shared" si="135"/>
        <v>44377</v>
      </c>
      <c r="L8674" s="17">
        <v>0.33333333333333331</v>
      </c>
      <c r="M8674" s="14">
        <v>652</v>
      </c>
      <c r="N8674" s="14">
        <v>0</v>
      </c>
      <c r="O8674" s="14">
        <v>0</v>
      </c>
      <c r="P8674" s="14">
        <v>652</v>
      </c>
      <c r="Q8674">
        <v>9102</v>
      </c>
      <c r="R8674">
        <v>582</v>
      </c>
      <c r="S8674">
        <v>608</v>
      </c>
    </row>
    <row r="8675" spans="11:19" x14ac:dyDescent="0.3">
      <c r="K8675" s="16">
        <f t="shared" si="135"/>
        <v>44377</v>
      </c>
      <c r="L8675" s="17">
        <v>0.375</v>
      </c>
      <c r="M8675" s="14">
        <v>652</v>
      </c>
      <c r="N8675" s="14">
        <v>1758</v>
      </c>
      <c r="O8675" s="14">
        <v>0</v>
      </c>
      <c r="P8675" s="14">
        <v>2410</v>
      </c>
      <c r="Q8675">
        <v>9424</v>
      </c>
      <c r="R8675">
        <v>550</v>
      </c>
      <c r="S8675">
        <v>1043</v>
      </c>
    </row>
    <row r="8676" spans="11:19" x14ac:dyDescent="0.3">
      <c r="K8676" s="16">
        <f t="shared" si="135"/>
        <v>44377</v>
      </c>
      <c r="L8676" s="17">
        <v>0.41666666666666669</v>
      </c>
      <c r="M8676" s="14">
        <v>652</v>
      </c>
      <c r="N8676" s="14">
        <v>1333</v>
      </c>
      <c r="O8676" s="14">
        <v>0</v>
      </c>
      <c r="P8676" s="14">
        <v>1985</v>
      </c>
      <c r="Q8676">
        <v>9537</v>
      </c>
      <c r="R8676">
        <v>638</v>
      </c>
      <c r="S8676">
        <v>1493</v>
      </c>
    </row>
    <row r="8677" spans="11:19" x14ac:dyDescent="0.3">
      <c r="K8677" s="16">
        <f t="shared" si="135"/>
        <v>44377</v>
      </c>
      <c r="L8677" s="17">
        <v>0.45833333333333331</v>
      </c>
      <c r="M8677" s="14">
        <v>652</v>
      </c>
      <c r="N8677" s="14">
        <v>1366</v>
      </c>
      <c r="O8677" s="14">
        <v>0</v>
      </c>
      <c r="P8677" s="14">
        <v>2018</v>
      </c>
      <c r="Q8677">
        <v>9693</v>
      </c>
      <c r="R8677">
        <v>508</v>
      </c>
      <c r="S8677">
        <v>1745</v>
      </c>
    </row>
    <row r="8678" spans="11:19" x14ac:dyDescent="0.3">
      <c r="K8678" s="16">
        <f t="shared" si="135"/>
        <v>44377</v>
      </c>
      <c r="L8678" s="17">
        <v>0.5</v>
      </c>
      <c r="M8678" s="14">
        <v>652</v>
      </c>
      <c r="N8678" s="14">
        <v>0</v>
      </c>
      <c r="O8678" s="14">
        <v>0</v>
      </c>
      <c r="P8678" s="14">
        <v>652</v>
      </c>
      <c r="Q8678">
        <v>9725</v>
      </c>
      <c r="R8678">
        <v>499</v>
      </c>
      <c r="S8678">
        <v>1821</v>
      </c>
    </row>
    <row r="8679" spans="11:19" x14ac:dyDescent="0.3">
      <c r="K8679" s="16">
        <f t="shared" si="135"/>
        <v>44377</v>
      </c>
      <c r="L8679" s="17">
        <v>0.54166666666666663</v>
      </c>
      <c r="M8679" s="14">
        <v>652</v>
      </c>
      <c r="N8679" s="14">
        <v>995</v>
      </c>
      <c r="O8679" s="14">
        <v>0</v>
      </c>
      <c r="P8679" s="14">
        <v>1647</v>
      </c>
      <c r="Q8679">
        <v>9530</v>
      </c>
      <c r="R8679">
        <v>629</v>
      </c>
      <c r="S8679">
        <v>1916</v>
      </c>
    </row>
    <row r="8680" spans="11:19" x14ac:dyDescent="0.3">
      <c r="K8680" s="16">
        <f t="shared" si="135"/>
        <v>44377</v>
      </c>
      <c r="L8680" s="17">
        <v>0.58333333333333337</v>
      </c>
      <c r="M8680" s="14">
        <v>652</v>
      </c>
      <c r="N8680" s="14">
        <v>929</v>
      </c>
      <c r="O8680" s="14">
        <v>0</v>
      </c>
      <c r="P8680" s="14">
        <v>1581</v>
      </c>
      <c r="Q8680">
        <v>9400</v>
      </c>
      <c r="R8680">
        <v>603</v>
      </c>
      <c r="S8680">
        <v>1881</v>
      </c>
    </row>
    <row r="8681" spans="11:19" x14ac:dyDescent="0.3">
      <c r="K8681" s="16">
        <f t="shared" si="135"/>
        <v>44377</v>
      </c>
      <c r="L8681" s="17">
        <v>0.625</v>
      </c>
      <c r="M8681" s="14">
        <v>652</v>
      </c>
      <c r="N8681" s="14">
        <v>665</v>
      </c>
      <c r="O8681" s="14">
        <v>0</v>
      </c>
      <c r="P8681" s="14">
        <v>1317</v>
      </c>
      <c r="Q8681">
        <v>9106</v>
      </c>
      <c r="R8681">
        <v>677</v>
      </c>
      <c r="S8681">
        <v>1779</v>
      </c>
    </row>
    <row r="8682" spans="11:19" x14ac:dyDescent="0.3">
      <c r="K8682" s="16">
        <f t="shared" si="135"/>
        <v>44377</v>
      </c>
      <c r="L8682" s="17">
        <v>0.66666666666666663</v>
      </c>
      <c r="M8682" s="14">
        <v>652</v>
      </c>
      <c r="N8682" s="14">
        <v>0</v>
      </c>
      <c r="O8682" s="14">
        <v>0</v>
      </c>
      <c r="P8682" s="14">
        <v>652</v>
      </c>
      <c r="Q8682">
        <v>8860</v>
      </c>
      <c r="R8682">
        <v>736</v>
      </c>
      <c r="S8682">
        <v>1652</v>
      </c>
    </row>
    <row r="8683" spans="11:19" x14ac:dyDescent="0.3">
      <c r="K8683" s="16">
        <f t="shared" si="135"/>
        <v>44377</v>
      </c>
      <c r="L8683" s="17">
        <v>0.70833333333333337</v>
      </c>
      <c r="M8683" s="14">
        <v>652</v>
      </c>
      <c r="N8683" s="14">
        <v>665</v>
      </c>
      <c r="O8683" s="14">
        <v>0</v>
      </c>
      <c r="P8683" s="14">
        <v>1317</v>
      </c>
      <c r="Q8683">
        <v>8719</v>
      </c>
      <c r="R8683">
        <v>631</v>
      </c>
      <c r="S8683">
        <v>1369</v>
      </c>
    </row>
    <row r="8684" spans="11:19" x14ac:dyDescent="0.3">
      <c r="K8684" s="16">
        <f t="shared" si="135"/>
        <v>44377</v>
      </c>
      <c r="L8684" s="17">
        <v>0.75</v>
      </c>
      <c r="M8684" s="14">
        <v>652</v>
      </c>
      <c r="N8684" s="14">
        <v>1340</v>
      </c>
      <c r="O8684" s="14">
        <v>0</v>
      </c>
      <c r="P8684" s="14">
        <v>1992</v>
      </c>
      <c r="Q8684">
        <v>8912</v>
      </c>
      <c r="R8684">
        <v>577</v>
      </c>
      <c r="S8684">
        <v>948</v>
      </c>
    </row>
    <row r="8685" spans="11:19" x14ac:dyDescent="0.3">
      <c r="K8685" s="16">
        <f t="shared" si="135"/>
        <v>44377</v>
      </c>
      <c r="L8685" s="17">
        <v>0.79166666666666663</v>
      </c>
      <c r="M8685" s="14">
        <v>652</v>
      </c>
      <c r="N8685" s="14">
        <v>1715</v>
      </c>
      <c r="O8685" s="14">
        <v>0</v>
      </c>
      <c r="P8685" s="14">
        <v>2367</v>
      </c>
      <c r="Q8685">
        <v>8868</v>
      </c>
      <c r="R8685">
        <v>606</v>
      </c>
      <c r="S8685">
        <v>516</v>
      </c>
    </row>
    <row r="8686" spans="11:19" x14ac:dyDescent="0.3">
      <c r="K8686" s="16">
        <f t="shared" si="135"/>
        <v>44377</v>
      </c>
      <c r="L8686" s="17">
        <v>0.83333333333333337</v>
      </c>
      <c r="M8686" s="14">
        <v>652</v>
      </c>
      <c r="N8686" s="14">
        <v>1639</v>
      </c>
      <c r="O8686" s="14">
        <v>0</v>
      </c>
      <c r="P8686" s="14">
        <v>2291</v>
      </c>
      <c r="Q8686">
        <v>8318</v>
      </c>
      <c r="R8686">
        <v>509</v>
      </c>
      <c r="S8686">
        <v>148</v>
      </c>
    </row>
    <row r="8687" spans="11:19" x14ac:dyDescent="0.3">
      <c r="K8687" s="16">
        <f t="shared" si="135"/>
        <v>44377</v>
      </c>
      <c r="L8687" s="17">
        <v>0.875</v>
      </c>
      <c r="M8687" s="14">
        <v>652</v>
      </c>
      <c r="N8687" s="14">
        <v>1478</v>
      </c>
      <c r="O8687" s="14">
        <v>0</v>
      </c>
      <c r="P8687" s="14">
        <v>2130</v>
      </c>
      <c r="Q8687">
        <v>7982</v>
      </c>
      <c r="R8687">
        <v>463</v>
      </c>
      <c r="S8687">
        <v>25</v>
      </c>
    </row>
    <row r="8688" spans="11:19" x14ac:dyDescent="0.3">
      <c r="K8688" s="16">
        <f t="shared" si="135"/>
        <v>44377</v>
      </c>
      <c r="L8688" s="17">
        <v>0.91666666666666663</v>
      </c>
      <c r="M8688" s="14">
        <v>652</v>
      </c>
      <c r="N8688" s="14">
        <v>2000</v>
      </c>
      <c r="O8688" s="14">
        <v>0</v>
      </c>
      <c r="P8688" s="14">
        <v>2652</v>
      </c>
      <c r="Q8688">
        <v>8412</v>
      </c>
      <c r="R8688">
        <v>440</v>
      </c>
      <c r="S8688">
        <v>0</v>
      </c>
    </row>
    <row r="8689" spans="11:19" x14ac:dyDescent="0.3">
      <c r="K8689" s="16">
        <f t="shared" si="135"/>
        <v>44377</v>
      </c>
      <c r="L8689" s="17">
        <v>0.95833333333333337</v>
      </c>
      <c r="M8689" s="14">
        <v>652</v>
      </c>
      <c r="N8689" s="14">
        <v>2000</v>
      </c>
      <c r="O8689" s="14">
        <v>0</v>
      </c>
      <c r="P8689" s="14">
        <v>2652</v>
      </c>
      <c r="Q8689">
        <v>8548</v>
      </c>
      <c r="R8689">
        <v>417</v>
      </c>
      <c r="S8689">
        <v>0</v>
      </c>
    </row>
    <row r="8690" spans="11:19" x14ac:dyDescent="0.3">
      <c r="K8690" s="16">
        <f t="shared" si="135"/>
        <v>44378</v>
      </c>
      <c r="L8690" s="17">
        <v>0</v>
      </c>
      <c r="M8690" s="14">
        <v>652</v>
      </c>
      <c r="N8690" s="14">
        <v>1577</v>
      </c>
      <c r="O8690" s="14">
        <v>0</v>
      </c>
      <c r="P8690" s="14">
        <v>2229</v>
      </c>
      <c r="Q8690">
        <v>7851</v>
      </c>
      <c r="R8690">
        <v>351</v>
      </c>
      <c r="S8690">
        <v>0</v>
      </c>
    </row>
    <row r="8691" spans="11:19" x14ac:dyDescent="0.3">
      <c r="K8691" s="16">
        <f t="shared" si="135"/>
        <v>44378</v>
      </c>
      <c r="L8691" s="17">
        <v>4.1666666666666664E-2</v>
      </c>
      <c r="M8691" s="14">
        <v>652</v>
      </c>
      <c r="N8691" s="14">
        <v>1275</v>
      </c>
      <c r="O8691" s="14">
        <v>0</v>
      </c>
      <c r="P8691" s="14">
        <v>1927</v>
      </c>
      <c r="Q8691">
        <v>7444</v>
      </c>
      <c r="R8691">
        <v>247</v>
      </c>
      <c r="S8691">
        <v>0</v>
      </c>
    </row>
    <row r="8692" spans="11:19" x14ac:dyDescent="0.3">
      <c r="K8692" s="16">
        <f t="shared" si="135"/>
        <v>44378</v>
      </c>
      <c r="L8692" s="17">
        <v>8.3333333333333329E-2</v>
      </c>
      <c r="M8692" s="14">
        <v>652</v>
      </c>
      <c r="N8692" s="14">
        <v>988</v>
      </c>
      <c r="O8692" s="14">
        <v>0</v>
      </c>
      <c r="P8692" s="14">
        <v>1640</v>
      </c>
      <c r="Q8692">
        <v>7150</v>
      </c>
      <c r="R8692">
        <v>240</v>
      </c>
      <c r="S8692">
        <v>0</v>
      </c>
    </row>
    <row r="8693" spans="11:19" x14ac:dyDescent="0.3">
      <c r="K8693" s="16">
        <f t="shared" si="135"/>
        <v>44378</v>
      </c>
      <c r="L8693" s="17">
        <v>0.125</v>
      </c>
      <c r="M8693" s="14">
        <v>652</v>
      </c>
      <c r="N8693" s="14">
        <v>0</v>
      </c>
      <c r="O8693" s="14">
        <v>0</v>
      </c>
      <c r="P8693" s="14">
        <v>652</v>
      </c>
      <c r="Q8693">
        <v>6817</v>
      </c>
      <c r="R8693">
        <v>246</v>
      </c>
      <c r="S8693">
        <v>0</v>
      </c>
    </row>
    <row r="8694" spans="11:19" x14ac:dyDescent="0.3">
      <c r="K8694" s="16">
        <f t="shared" si="135"/>
        <v>44378</v>
      </c>
      <c r="L8694" s="17">
        <v>0.16666666666666666</v>
      </c>
      <c r="M8694" s="14">
        <v>652</v>
      </c>
      <c r="N8694" s="14">
        <v>629</v>
      </c>
      <c r="O8694" s="14">
        <v>0</v>
      </c>
      <c r="P8694" s="14">
        <v>1281</v>
      </c>
      <c r="Q8694">
        <v>6757</v>
      </c>
      <c r="R8694">
        <v>288</v>
      </c>
      <c r="S8694">
        <v>0</v>
      </c>
    </row>
    <row r="8695" spans="11:19" x14ac:dyDescent="0.3">
      <c r="K8695" s="16">
        <f t="shared" si="135"/>
        <v>44378</v>
      </c>
      <c r="L8695" s="17">
        <v>0.20833333333333334</v>
      </c>
      <c r="M8695" s="14">
        <v>652</v>
      </c>
      <c r="N8695" s="14">
        <v>910</v>
      </c>
      <c r="O8695" s="14">
        <v>0</v>
      </c>
      <c r="P8695" s="14">
        <v>1562</v>
      </c>
      <c r="Q8695">
        <v>7066</v>
      </c>
      <c r="R8695">
        <v>307</v>
      </c>
      <c r="S8695">
        <v>1</v>
      </c>
    </row>
    <row r="8696" spans="11:19" x14ac:dyDescent="0.3">
      <c r="K8696" s="16">
        <f t="shared" si="135"/>
        <v>44378</v>
      </c>
      <c r="L8696" s="17">
        <v>0.25</v>
      </c>
      <c r="M8696" s="14">
        <v>652</v>
      </c>
      <c r="N8696" s="14">
        <v>1526</v>
      </c>
      <c r="O8696" s="14">
        <v>0</v>
      </c>
      <c r="P8696" s="14">
        <v>2178</v>
      </c>
      <c r="Q8696">
        <v>7751</v>
      </c>
      <c r="R8696">
        <v>289</v>
      </c>
      <c r="S8696">
        <v>49</v>
      </c>
    </row>
    <row r="8697" spans="11:19" x14ac:dyDescent="0.3">
      <c r="K8697" s="16">
        <f t="shared" si="135"/>
        <v>44378</v>
      </c>
      <c r="L8697" s="17">
        <v>0.29166666666666669</v>
      </c>
      <c r="M8697" s="14">
        <v>652</v>
      </c>
      <c r="N8697" s="14">
        <v>1736</v>
      </c>
      <c r="O8697" s="14">
        <v>373</v>
      </c>
      <c r="P8697" s="14">
        <v>2761</v>
      </c>
      <c r="Q8697">
        <v>8584</v>
      </c>
      <c r="R8697">
        <v>300</v>
      </c>
      <c r="S8697">
        <v>264</v>
      </c>
    </row>
    <row r="8698" spans="11:19" x14ac:dyDescent="0.3">
      <c r="K8698" s="16">
        <f t="shared" si="135"/>
        <v>44378</v>
      </c>
      <c r="L8698" s="17">
        <v>0.33333333333333331</v>
      </c>
      <c r="M8698" s="14">
        <v>652</v>
      </c>
      <c r="N8698" s="14">
        <v>0</v>
      </c>
      <c r="O8698" s="14">
        <v>16</v>
      </c>
      <c r="P8698" s="14">
        <v>668</v>
      </c>
      <c r="Q8698">
        <v>9094</v>
      </c>
      <c r="R8698">
        <v>337</v>
      </c>
      <c r="S8698">
        <v>752</v>
      </c>
    </row>
    <row r="8699" spans="11:19" x14ac:dyDescent="0.3">
      <c r="K8699" s="16">
        <f t="shared" si="135"/>
        <v>44378</v>
      </c>
      <c r="L8699" s="17">
        <v>0.375</v>
      </c>
      <c r="M8699" s="14">
        <v>652</v>
      </c>
      <c r="N8699" s="14">
        <v>1643</v>
      </c>
      <c r="O8699" s="14">
        <v>0</v>
      </c>
      <c r="P8699" s="14">
        <v>2295</v>
      </c>
      <c r="Q8699">
        <v>9389</v>
      </c>
      <c r="R8699">
        <v>365</v>
      </c>
      <c r="S8699">
        <v>1307</v>
      </c>
    </row>
    <row r="8700" spans="11:19" x14ac:dyDescent="0.3">
      <c r="K8700" s="16">
        <f t="shared" si="135"/>
        <v>44378</v>
      </c>
      <c r="L8700" s="17">
        <v>0.41666666666666669</v>
      </c>
      <c r="M8700" s="14">
        <v>652</v>
      </c>
      <c r="N8700" s="14">
        <v>1153</v>
      </c>
      <c r="O8700" s="14">
        <v>0</v>
      </c>
      <c r="P8700" s="14">
        <v>1805</v>
      </c>
      <c r="Q8700">
        <v>9490</v>
      </c>
      <c r="R8700">
        <v>526</v>
      </c>
      <c r="S8700">
        <v>1738</v>
      </c>
    </row>
    <row r="8701" spans="11:19" x14ac:dyDescent="0.3">
      <c r="K8701" s="16">
        <f t="shared" si="135"/>
        <v>44378</v>
      </c>
      <c r="L8701" s="17">
        <v>0.45833333333333331</v>
      </c>
      <c r="M8701" s="14">
        <v>652</v>
      </c>
      <c r="N8701" s="14">
        <v>0</v>
      </c>
      <c r="O8701" s="14">
        <v>0</v>
      </c>
      <c r="P8701" s="14">
        <v>652</v>
      </c>
      <c r="Q8701">
        <v>9643</v>
      </c>
      <c r="R8701">
        <v>528</v>
      </c>
      <c r="S8701">
        <v>2056</v>
      </c>
    </row>
    <row r="8702" spans="11:19" x14ac:dyDescent="0.3">
      <c r="K8702" s="16">
        <f t="shared" si="135"/>
        <v>44378</v>
      </c>
      <c r="L8702" s="17">
        <v>0.5</v>
      </c>
      <c r="M8702" s="14">
        <v>652</v>
      </c>
      <c r="N8702" s="14">
        <v>0</v>
      </c>
      <c r="O8702" s="14">
        <v>0</v>
      </c>
      <c r="P8702" s="14">
        <v>652</v>
      </c>
      <c r="Q8702">
        <v>9680</v>
      </c>
      <c r="R8702">
        <v>667</v>
      </c>
      <c r="S8702">
        <v>2282</v>
      </c>
    </row>
    <row r="8703" spans="11:19" x14ac:dyDescent="0.3">
      <c r="K8703" s="16">
        <f t="shared" si="135"/>
        <v>44378</v>
      </c>
      <c r="L8703" s="17">
        <v>0.54166666666666663</v>
      </c>
      <c r="M8703" s="14">
        <v>652</v>
      </c>
      <c r="N8703" s="14">
        <v>0</v>
      </c>
      <c r="O8703" s="14">
        <v>0</v>
      </c>
      <c r="P8703" s="14">
        <v>652</v>
      </c>
      <c r="Q8703">
        <v>9493</v>
      </c>
      <c r="R8703">
        <v>839</v>
      </c>
      <c r="S8703">
        <v>2414</v>
      </c>
    </row>
    <row r="8704" spans="11:19" x14ac:dyDescent="0.3">
      <c r="K8704" s="16">
        <f t="shared" si="135"/>
        <v>44378</v>
      </c>
      <c r="L8704" s="17">
        <v>0.58333333333333337</v>
      </c>
      <c r="M8704" s="14">
        <v>652</v>
      </c>
      <c r="N8704" s="14">
        <v>0</v>
      </c>
      <c r="O8704" s="14">
        <v>0</v>
      </c>
      <c r="P8704" s="14">
        <v>652</v>
      </c>
      <c r="Q8704">
        <v>9376</v>
      </c>
      <c r="R8704">
        <v>949</v>
      </c>
      <c r="S8704">
        <v>2458</v>
      </c>
    </row>
    <row r="8705" spans="11:19" x14ac:dyDescent="0.3">
      <c r="K8705" s="16">
        <f t="shared" si="135"/>
        <v>44378</v>
      </c>
      <c r="L8705" s="17">
        <v>0.625</v>
      </c>
      <c r="M8705" s="14">
        <v>652</v>
      </c>
      <c r="N8705" s="14">
        <v>0</v>
      </c>
      <c r="O8705" s="14">
        <v>-222</v>
      </c>
      <c r="P8705" s="14">
        <v>430</v>
      </c>
      <c r="Q8705">
        <v>9097</v>
      </c>
      <c r="R8705">
        <v>1144</v>
      </c>
      <c r="S8705">
        <v>2350</v>
      </c>
    </row>
    <row r="8706" spans="11:19" x14ac:dyDescent="0.3">
      <c r="K8706" s="16">
        <f t="shared" si="135"/>
        <v>44378</v>
      </c>
      <c r="L8706" s="17">
        <v>0.66666666666666663</v>
      </c>
      <c r="M8706" s="14">
        <v>652</v>
      </c>
      <c r="N8706" s="14">
        <v>0</v>
      </c>
      <c r="O8706" s="14">
        <v>-228</v>
      </c>
      <c r="P8706" s="14">
        <v>424</v>
      </c>
      <c r="Q8706">
        <v>8863</v>
      </c>
      <c r="R8706">
        <v>1133</v>
      </c>
      <c r="S8706">
        <v>2139</v>
      </c>
    </row>
    <row r="8707" spans="11:19" x14ac:dyDescent="0.3">
      <c r="K8707" s="16">
        <f t="shared" si="135"/>
        <v>44378</v>
      </c>
      <c r="L8707" s="17">
        <v>0.70833333333333337</v>
      </c>
      <c r="M8707" s="14">
        <v>652</v>
      </c>
      <c r="N8707" s="14">
        <v>0</v>
      </c>
      <c r="O8707" s="14">
        <v>-35</v>
      </c>
      <c r="P8707" s="14">
        <v>617</v>
      </c>
      <c r="Q8707">
        <v>8730</v>
      </c>
      <c r="R8707">
        <v>1230</v>
      </c>
      <c r="S8707">
        <v>1721</v>
      </c>
    </row>
    <row r="8708" spans="11:19" x14ac:dyDescent="0.3">
      <c r="K8708" s="16">
        <f t="shared" si="135"/>
        <v>44378</v>
      </c>
      <c r="L8708" s="17">
        <v>0.75</v>
      </c>
      <c r="M8708" s="14">
        <v>652</v>
      </c>
      <c r="N8708" s="14">
        <v>0</v>
      </c>
      <c r="O8708" s="14">
        <v>0</v>
      </c>
      <c r="P8708" s="14">
        <v>652</v>
      </c>
      <c r="Q8708">
        <v>8920</v>
      </c>
      <c r="R8708">
        <v>1206</v>
      </c>
      <c r="S8708">
        <v>1175</v>
      </c>
    </row>
    <row r="8709" spans="11:19" x14ac:dyDescent="0.3">
      <c r="K8709" s="16">
        <f t="shared" si="135"/>
        <v>44378</v>
      </c>
      <c r="L8709" s="17">
        <v>0.79166666666666663</v>
      </c>
      <c r="M8709" s="14">
        <v>652</v>
      </c>
      <c r="N8709" s="14">
        <v>1313</v>
      </c>
      <c r="O8709" s="14">
        <v>0</v>
      </c>
      <c r="P8709" s="14">
        <v>1965</v>
      </c>
      <c r="Q8709">
        <v>8861</v>
      </c>
      <c r="R8709">
        <v>1063</v>
      </c>
      <c r="S8709">
        <v>613</v>
      </c>
    </row>
    <row r="8710" spans="11:19" x14ac:dyDescent="0.3">
      <c r="K8710" s="16">
        <f t="shared" si="135"/>
        <v>44378</v>
      </c>
      <c r="L8710" s="17">
        <v>0.83333333333333337</v>
      </c>
      <c r="M8710" s="14">
        <v>652</v>
      </c>
      <c r="N8710" s="14">
        <v>1343</v>
      </c>
      <c r="O8710" s="14">
        <v>0</v>
      </c>
      <c r="P8710" s="14">
        <v>1995</v>
      </c>
      <c r="Q8710">
        <v>8314</v>
      </c>
      <c r="R8710">
        <v>908</v>
      </c>
      <c r="S8710">
        <v>201</v>
      </c>
    </row>
    <row r="8711" spans="11:19" x14ac:dyDescent="0.3">
      <c r="K8711" s="16">
        <f t="shared" si="135"/>
        <v>44378</v>
      </c>
      <c r="L8711" s="17">
        <v>0.875</v>
      </c>
      <c r="M8711" s="14">
        <v>652</v>
      </c>
      <c r="N8711" s="14">
        <v>1166</v>
      </c>
      <c r="O8711" s="14">
        <v>0</v>
      </c>
      <c r="P8711" s="14">
        <v>1818</v>
      </c>
      <c r="Q8711">
        <v>7985</v>
      </c>
      <c r="R8711">
        <v>941</v>
      </c>
      <c r="S8711">
        <v>22</v>
      </c>
    </row>
    <row r="8712" spans="11:19" x14ac:dyDescent="0.3">
      <c r="K8712" s="16">
        <f t="shared" si="135"/>
        <v>44378</v>
      </c>
      <c r="L8712" s="17">
        <v>0.91666666666666663</v>
      </c>
      <c r="M8712" s="14">
        <v>652</v>
      </c>
      <c r="N8712" s="14">
        <v>1698</v>
      </c>
      <c r="O8712" s="14">
        <v>0</v>
      </c>
      <c r="P8712" s="14">
        <v>2350</v>
      </c>
      <c r="Q8712">
        <v>8419</v>
      </c>
      <c r="R8712">
        <v>864</v>
      </c>
      <c r="S8712">
        <v>0</v>
      </c>
    </row>
    <row r="8713" spans="11:19" x14ac:dyDescent="0.3">
      <c r="K8713" s="16">
        <f t="shared" si="135"/>
        <v>44378</v>
      </c>
      <c r="L8713" s="17">
        <v>0.95833333333333337</v>
      </c>
      <c r="M8713" s="14">
        <v>652</v>
      </c>
      <c r="N8713" s="14">
        <v>1664</v>
      </c>
      <c r="O8713" s="14">
        <v>0</v>
      </c>
      <c r="P8713" s="14">
        <v>2316</v>
      </c>
      <c r="Q8713">
        <v>8542</v>
      </c>
      <c r="R8713">
        <v>1029</v>
      </c>
      <c r="S8713">
        <v>0</v>
      </c>
    </row>
    <row r="8714" spans="11:19" x14ac:dyDescent="0.3">
      <c r="K8714" s="16">
        <f t="shared" si="135"/>
        <v>44379</v>
      </c>
      <c r="L8714" s="17">
        <v>0</v>
      </c>
      <c r="M8714" s="14">
        <v>652</v>
      </c>
      <c r="N8714" s="14">
        <v>1035</v>
      </c>
      <c r="O8714" s="14">
        <v>0</v>
      </c>
      <c r="P8714" s="14">
        <v>1687</v>
      </c>
      <c r="Q8714">
        <v>7845</v>
      </c>
      <c r="R8714">
        <v>967</v>
      </c>
      <c r="S8714">
        <v>0</v>
      </c>
    </row>
    <row r="8715" spans="11:19" x14ac:dyDescent="0.3">
      <c r="K8715" s="16">
        <f t="shared" si="135"/>
        <v>44379</v>
      </c>
      <c r="L8715" s="17">
        <v>4.1666666666666664E-2</v>
      </c>
      <c r="M8715" s="14">
        <v>652</v>
      </c>
      <c r="N8715" s="14">
        <v>147</v>
      </c>
      <c r="O8715" s="14">
        <v>537</v>
      </c>
      <c r="P8715" s="14">
        <v>1336</v>
      </c>
      <c r="Q8715">
        <v>7422</v>
      </c>
      <c r="R8715">
        <v>895</v>
      </c>
      <c r="S8715">
        <v>0</v>
      </c>
    </row>
    <row r="8716" spans="11:19" x14ac:dyDescent="0.3">
      <c r="K8716" s="16">
        <f t="shared" si="135"/>
        <v>44379</v>
      </c>
      <c r="L8716" s="17">
        <v>8.3333333333333329E-2</v>
      </c>
      <c r="M8716" s="14">
        <v>652</v>
      </c>
      <c r="N8716" s="14">
        <v>369</v>
      </c>
      <c r="O8716" s="14">
        <v>0</v>
      </c>
      <c r="P8716" s="14">
        <v>1021</v>
      </c>
      <c r="Q8716">
        <v>7129</v>
      </c>
      <c r="R8716">
        <v>917</v>
      </c>
      <c r="S8716">
        <v>0</v>
      </c>
    </row>
    <row r="8717" spans="11:19" x14ac:dyDescent="0.3">
      <c r="K8717" s="16">
        <f t="shared" si="135"/>
        <v>44379</v>
      </c>
      <c r="L8717" s="17">
        <v>0.125</v>
      </c>
      <c r="M8717" s="14">
        <v>652</v>
      </c>
      <c r="N8717" s="14">
        <v>0</v>
      </c>
      <c r="O8717" s="14">
        <v>-12</v>
      </c>
      <c r="P8717" s="14">
        <v>640</v>
      </c>
      <c r="Q8717">
        <v>6800</v>
      </c>
      <c r="R8717">
        <v>972</v>
      </c>
      <c r="S8717">
        <v>0</v>
      </c>
    </row>
    <row r="8718" spans="11:19" x14ac:dyDescent="0.3">
      <c r="K8718" s="16">
        <f t="shared" si="135"/>
        <v>44379</v>
      </c>
      <c r="L8718" s="17">
        <v>0.16666666666666666</v>
      </c>
      <c r="M8718" s="14">
        <v>652</v>
      </c>
      <c r="N8718" s="14">
        <v>0</v>
      </c>
      <c r="O8718" s="14">
        <v>-29</v>
      </c>
      <c r="P8718" s="14">
        <v>623</v>
      </c>
      <c r="Q8718">
        <v>6726</v>
      </c>
      <c r="R8718">
        <v>995</v>
      </c>
      <c r="S8718">
        <v>0</v>
      </c>
    </row>
    <row r="8719" spans="11:19" x14ac:dyDescent="0.3">
      <c r="K8719" s="16">
        <f t="shared" si="135"/>
        <v>44379</v>
      </c>
      <c r="L8719" s="17">
        <v>0.20833333333333334</v>
      </c>
      <c r="M8719" s="14">
        <v>652</v>
      </c>
      <c r="N8719" s="14">
        <v>203</v>
      </c>
      <c r="O8719" s="14">
        <v>0</v>
      </c>
      <c r="P8719" s="14">
        <v>855</v>
      </c>
      <c r="Q8719">
        <v>7004</v>
      </c>
      <c r="R8719">
        <v>1031</v>
      </c>
      <c r="S8719">
        <v>1</v>
      </c>
    </row>
    <row r="8720" spans="11:19" x14ac:dyDescent="0.3">
      <c r="K8720" s="16">
        <f t="shared" si="135"/>
        <v>44379</v>
      </c>
      <c r="L8720" s="17">
        <v>0.25</v>
      </c>
      <c r="M8720" s="14">
        <v>652</v>
      </c>
      <c r="N8720" s="14">
        <v>646</v>
      </c>
      <c r="O8720" s="14">
        <v>0</v>
      </c>
      <c r="P8720" s="14">
        <v>1298</v>
      </c>
      <c r="Q8720">
        <v>7649</v>
      </c>
      <c r="R8720">
        <v>1144</v>
      </c>
      <c r="S8720">
        <v>52</v>
      </c>
    </row>
    <row r="8721" spans="11:19" x14ac:dyDescent="0.3">
      <c r="K8721" s="16">
        <f t="shared" si="135"/>
        <v>44379</v>
      </c>
      <c r="L8721" s="17">
        <v>0.29166666666666669</v>
      </c>
      <c r="M8721" s="14">
        <v>652</v>
      </c>
      <c r="N8721" s="14">
        <v>1015</v>
      </c>
      <c r="O8721" s="14">
        <v>0</v>
      </c>
      <c r="P8721" s="14">
        <v>1667</v>
      </c>
      <c r="Q8721">
        <v>8463</v>
      </c>
      <c r="R8721">
        <v>1353</v>
      </c>
      <c r="S8721">
        <v>263</v>
      </c>
    </row>
    <row r="8722" spans="11:19" x14ac:dyDescent="0.3">
      <c r="K8722" s="16">
        <f t="shared" si="135"/>
        <v>44379</v>
      </c>
      <c r="L8722" s="17">
        <v>0.33333333333333331</v>
      </c>
      <c r="M8722" s="14">
        <v>652</v>
      </c>
      <c r="N8722" s="14">
        <v>0</v>
      </c>
      <c r="O8722" s="14">
        <v>1200</v>
      </c>
      <c r="P8722" s="14">
        <v>1852</v>
      </c>
      <c r="Q8722">
        <v>9009</v>
      </c>
      <c r="R8722">
        <v>1279</v>
      </c>
      <c r="S8722">
        <v>666</v>
      </c>
    </row>
    <row r="8723" spans="11:19" x14ac:dyDescent="0.3">
      <c r="K8723" s="16">
        <f t="shared" si="135"/>
        <v>44379</v>
      </c>
      <c r="L8723" s="17">
        <v>0.375</v>
      </c>
      <c r="M8723" s="14">
        <v>652</v>
      </c>
      <c r="N8723" s="14">
        <v>1065</v>
      </c>
      <c r="O8723" s="14">
        <v>0</v>
      </c>
      <c r="P8723" s="14">
        <v>1717</v>
      </c>
      <c r="Q8723">
        <v>9355</v>
      </c>
      <c r="R8723">
        <v>1313</v>
      </c>
      <c r="S8723">
        <v>1222</v>
      </c>
    </row>
    <row r="8724" spans="11:19" x14ac:dyDescent="0.3">
      <c r="K8724" s="16">
        <f t="shared" si="135"/>
        <v>44379</v>
      </c>
      <c r="L8724" s="17">
        <v>0.41666666666666669</v>
      </c>
      <c r="M8724" s="14">
        <v>652</v>
      </c>
      <c r="N8724" s="14">
        <v>0</v>
      </c>
      <c r="O8724" s="14">
        <v>775</v>
      </c>
      <c r="P8724" s="14">
        <v>1427</v>
      </c>
      <c r="Q8724">
        <v>9509</v>
      </c>
      <c r="R8724">
        <v>1335</v>
      </c>
      <c r="S8724">
        <v>1646</v>
      </c>
    </row>
    <row r="8725" spans="11:19" x14ac:dyDescent="0.3">
      <c r="K8725" s="16">
        <f t="shared" si="135"/>
        <v>44379</v>
      </c>
      <c r="L8725" s="17">
        <v>0.45833333333333331</v>
      </c>
      <c r="M8725" s="14">
        <v>652</v>
      </c>
      <c r="N8725" s="14">
        <v>506</v>
      </c>
      <c r="O8725" s="14">
        <v>0</v>
      </c>
      <c r="P8725" s="14">
        <v>1158</v>
      </c>
      <c r="Q8725">
        <v>9646</v>
      </c>
      <c r="R8725">
        <v>1429</v>
      </c>
      <c r="S8725">
        <v>1956</v>
      </c>
    </row>
    <row r="8726" spans="11:19" x14ac:dyDescent="0.3">
      <c r="K8726" s="16">
        <f t="shared" si="135"/>
        <v>44379</v>
      </c>
      <c r="L8726" s="17">
        <v>0.5</v>
      </c>
      <c r="M8726" s="14">
        <v>652</v>
      </c>
      <c r="N8726" s="14">
        <v>38</v>
      </c>
      <c r="O8726" s="14">
        <v>0</v>
      </c>
      <c r="P8726" s="14">
        <v>690</v>
      </c>
      <c r="Q8726">
        <v>9707</v>
      </c>
      <c r="R8726">
        <v>1779</v>
      </c>
      <c r="S8726">
        <v>2137</v>
      </c>
    </row>
    <row r="8727" spans="11:19" x14ac:dyDescent="0.3">
      <c r="K8727" s="16">
        <f t="shared" si="135"/>
        <v>44379</v>
      </c>
      <c r="L8727" s="17">
        <v>0.54166666666666663</v>
      </c>
      <c r="M8727" s="14">
        <v>652</v>
      </c>
      <c r="N8727" s="14">
        <v>0</v>
      </c>
      <c r="O8727" s="14">
        <v>-367</v>
      </c>
      <c r="P8727" s="14">
        <v>285</v>
      </c>
      <c r="Q8727">
        <v>9458</v>
      </c>
      <c r="R8727">
        <v>1836</v>
      </c>
      <c r="S8727">
        <v>2238</v>
      </c>
    </row>
    <row r="8728" spans="11:19" x14ac:dyDescent="0.3">
      <c r="K8728" s="16">
        <f t="shared" si="135"/>
        <v>44379</v>
      </c>
      <c r="L8728" s="17">
        <v>0.58333333333333337</v>
      </c>
      <c r="M8728" s="14">
        <v>652</v>
      </c>
      <c r="N8728" s="14">
        <v>0</v>
      </c>
      <c r="O8728" s="14">
        <v>-602</v>
      </c>
      <c r="P8728" s="14">
        <v>50</v>
      </c>
      <c r="Q8728">
        <v>9285</v>
      </c>
      <c r="R8728">
        <v>1895</v>
      </c>
      <c r="S8728">
        <v>2244</v>
      </c>
    </row>
    <row r="8729" spans="11:19" x14ac:dyDescent="0.3">
      <c r="K8729" s="16">
        <f t="shared" si="135"/>
        <v>44379</v>
      </c>
      <c r="L8729" s="17">
        <v>0.625</v>
      </c>
      <c r="M8729" s="14">
        <v>652</v>
      </c>
      <c r="N8729" s="14">
        <v>0</v>
      </c>
      <c r="O8729" s="14">
        <v>-816</v>
      </c>
      <c r="P8729" s="14">
        <v>-164</v>
      </c>
      <c r="Q8729">
        <v>8988</v>
      </c>
      <c r="R8729">
        <v>1931</v>
      </c>
      <c r="S8729">
        <v>2127</v>
      </c>
    </row>
    <row r="8730" spans="11:19" x14ac:dyDescent="0.3">
      <c r="K8730" s="16">
        <f t="shared" si="135"/>
        <v>44379</v>
      </c>
      <c r="L8730" s="17">
        <v>0.66666666666666663</v>
      </c>
      <c r="M8730" s="14">
        <v>652</v>
      </c>
      <c r="N8730" s="14">
        <v>0</v>
      </c>
      <c r="O8730" s="14">
        <v>-1081</v>
      </c>
      <c r="P8730" s="14">
        <v>-429</v>
      </c>
      <c r="Q8730">
        <v>8700</v>
      </c>
      <c r="R8730">
        <v>2087</v>
      </c>
      <c r="S8730">
        <v>1954</v>
      </c>
    </row>
    <row r="8731" spans="11:19" x14ac:dyDescent="0.3">
      <c r="K8731" s="16">
        <f t="shared" ref="K8731:K8761" si="136">K8707+1</f>
        <v>44379</v>
      </c>
      <c r="L8731" s="17">
        <v>0.70833333333333337</v>
      </c>
      <c r="M8731" s="14">
        <v>652</v>
      </c>
      <c r="N8731" s="14">
        <v>0</v>
      </c>
      <c r="O8731" s="14">
        <v>-826</v>
      </c>
      <c r="P8731" s="14">
        <v>-174</v>
      </c>
      <c r="Q8731">
        <v>8599</v>
      </c>
      <c r="R8731">
        <v>2081</v>
      </c>
      <c r="S8731">
        <v>1609</v>
      </c>
    </row>
    <row r="8732" spans="11:19" x14ac:dyDescent="0.3">
      <c r="K8732" s="16">
        <f t="shared" si="136"/>
        <v>44379</v>
      </c>
      <c r="L8732" s="17">
        <v>0.75</v>
      </c>
      <c r="M8732" s="14">
        <v>652</v>
      </c>
      <c r="N8732" s="14">
        <v>0</v>
      </c>
      <c r="O8732" s="14">
        <v>-94</v>
      </c>
      <c r="P8732" s="14">
        <v>558</v>
      </c>
      <c r="Q8732">
        <v>8705</v>
      </c>
      <c r="R8732">
        <v>1955</v>
      </c>
      <c r="S8732">
        <v>1116</v>
      </c>
    </row>
    <row r="8733" spans="11:19" x14ac:dyDescent="0.3">
      <c r="K8733" s="16">
        <f t="shared" si="136"/>
        <v>44379</v>
      </c>
      <c r="L8733" s="17">
        <v>0.79166666666666663</v>
      </c>
      <c r="M8733" s="14">
        <v>652</v>
      </c>
      <c r="N8733" s="14">
        <v>510</v>
      </c>
      <c r="O8733" s="14">
        <v>0</v>
      </c>
      <c r="P8733" s="14">
        <v>1162</v>
      </c>
      <c r="Q8733">
        <v>8567</v>
      </c>
      <c r="R8733">
        <v>1774</v>
      </c>
      <c r="S8733">
        <v>571</v>
      </c>
    </row>
    <row r="8734" spans="11:19" x14ac:dyDescent="0.3">
      <c r="K8734" s="16">
        <f t="shared" si="136"/>
        <v>44379</v>
      </c>
      <c r="L8734" s="17">
        <v>0.83333333333333337</v>
      </c>
      <c r="M8734" s="14">
        <v>652</v>
      </c>
      <c r="N8734" s="14">
        <v>704</v>
      </c>
      <c r="O8734" s="14">
        <v>0</v>
      </c>
      <c r="P8734" s="14">
        <v>1356</v>
      </c>
      <c r="Q8734">
        <v>8087</v>
      </c>
      <c r="R8734">
        <v>1478</v>
      </c>
      <c r="S8734">
        <v>202</v>
      </c>
    </row>
    <row r="8735" spans="11:19" x14ac:dyDescent="0.3">
      <c r="K8735" s="16">
        <f t="shared" si="136"/>
        <v>44379</v>
      </c>
      <c r="L8735" s="17">
        <v>0.875</v>
      </c>
      <c r="M8735" s="14">
        <v>652</v>
      </c>
      <c r="N8735" s="14">
        <v>835</v>
      </c>
      <c r="O8735" s="14">
        <v>0</v>
      </c>
      <c r="P8735" s="14">
        <v>1487</v>
      </c>
      <c r="Q8735">
        <v>7847</v>
      </c>
      <c r="R8735">
        <v>1297</v>
      </c>
      <c r="S8735">
        <v>19</v>
      </c>
    </row>
    <row r="8736" spans="11:19" x14ac:dyDescent="0.3">
      <c r="K8736" s="16">
        <f t="shared" si="136"/>
        <v>44379</v>
      </c>
      <c r="L8736" s="17">
        <v>0.91666666666666663</v>
      </c>
      <c r="M8736" s="14">
        <v>652</v>
      </c>
      <c r="N8736" s="14">
        <v>1150</v>
      </c>
      <c r="O8736" s="14">
        <v>189</v>
      </c>
      <c r="P8736" s="14">
        <v>1991</v>
      </c>
      <c r="Q8736">
        <v>8329</v>
      </c>
      <c r="R8736">
        <v>1211</v>
      </c>
      <c r="S8736">
        <v>0</v>
      </c>
    </row>
    <row r="8737" spans="11:19" x14ac:dyDescent="0.3">
      <c r="K8737" s="16">
        <f t="shared" si="136"/>
        <v>44379</v>
      </c>
      <c r="L8737" s="17">
        <v>0.95833333333333337</v>
      </c>
      <c r="M8737" s="14">
        <v>652</v>
      </c>
      <c r="N8737" s="14">
        <v>1150</v>
      </c>
      <c r="O8737" s="14">
        <v>362</v>
      </c>
      <c r="P8737" s="14">
        <v>2164</v>
      </c>
      <c r="Q8737">
        <v>8463</v>
      </c>
      <c r="R8737">
        <v>1181</v>
      </c>
      <c r="S8737">
        <v>0</v>
      </c>
    </row>
    <row r="8738" spans="11:19" x14ac:dyDescent="0.3">
      <c r="K8738" s="16">
        <f t="shared" si="136"/>
        <v>44380</v>
      </c>
      <c r="L8738" s="17">
        <v>0</v>
      </c>
      <c r="M8738" s="14">
        <v>652</v>
      </c>
      <c r="N8738" s="14">
        <v>1035</v>
      </c>
      <c r="O8738" s="14">
        <v>0</v>
      </c>
      <c r="P8738" s="14">
        <v>1687</v>
      </c>
      <c r="Q8738">
        <v>7845</v>
      </c>
      <c r="R8738">
        <v>967</v>
      </c>
      <c r="S8738">
        <v>0</v>
      </c>
    </row>
    <row r="8739" spans="11:19" x14ac:dyDescent="0.3">
      <c r="K8739" s="16">
        <f t="shared" si="136"/>
        <v>44380</v>
      </c>
      <c r="L8739" s="17">
        <v>4.1666666666666664E-2</v>
      </c>
      <c r="M8739" s="14">
        <v>652</v>
      </c>
      <c r="N8739" s="14">
        <v>147</v>
      </c>
      <c r="O8739" s="14">
        <v>537</v>
      </c>
      <c r="P8739" s="14">
        <v>1336</v>
      </c>
      <c r="Q8739">
        <v>7422</v>
      </c>
      <c r="R8739">
        <v>895</v>
      </c>
      <c r="S8739">
        <v>0</v>
      </c>
    </row>
    <row r="8740" spans="11:19" x14ac:dyDescent="0.3">
      <c r="K8740" s="16">
        <f t="shared" si="136"/>
        <v>44380</v>
      </c>
      <c r="L8740" s="17">
        <v>8.3333333333333329E-2</v>
      </c>
      <c r="M8740" s="14">
        <v>652</v>
      </c>
      <c r="N8740" s="14">
        <v>369</v>
      </c>
      <c r="O8740" s="14">
        <v>0</v>
      </c>
      <c r="P8740" s="14">
        <v>1021</v>
      </c>
      <c r="Q8740">
        <v>7129</v>
      </c>
      <c r="R8740">
        <v>917</v>
      </c>
      <c r="S8740">
        <v>0</v>
      </c>
    </row>
    <row r="8741" spans="11:19" x14ac:dyDescent="0.3">
      <c r="K8741" s="16">
        <f t="shared" si="136"/>
        <v>44380</v>
      </c>
      <c r="L8741" s="17">
        <v>0.125</v>
      </c>
      <c r="M8741" s="14">
        <v>652</v>
      </c>
      <c r="N8741" s="14">
        <v>0</v>
      </c>
      <c r="O8741" s="14">
        <v>-12</v>
      </c>
      <c r="P8741" s="14">
        <v>640</v>
      </c>
      <c r="Q8741">
        <v>6800</v>
      </c>
      <c r="R8741">
        <v>972</v>
      </c>
      <c r="S8741">
        <v>0</v>
      </c>
    </row>
    <row r="8742" spans="11:19" x14ac:dyDescent="0.3">
      <c r="K8742" s="16">
        <f t="shared" si="136"/>
        <v>44380</v>
      </c>
      <c r="L8742" s="17">
        <v>0.16666666666666666</v>
      </c>
      <c r="M8742" s="14">
        <v>652</v>
      </c>
      <c r="N8742" s="14">
        <v>0</v>
      </c>
      <c r="O8742" s="14">
        <v>-29</v>
      </c>
      <c r="P8742" s="14">
        <v>623</v>
      </c>
      <c r="Q8742">
        <v>6726</v>
      </c>
      <c r="R8742">
        <v>995</v>
      </c>
      <c r="S8742">
        <v>0</v>
      </c>
    </row>
    <row r="8743" spans="11:19" x14ac:dyDescent="0.3">
      <c r="K8743" s="16">
        <f t="shared" si="136"/>
        <v>44380</v>
      </c>
      <c r="L8743" s="17">
        <v>0.20833333333333334</v>
      </c>
      <c r="M8743" s="14">
        <v>652</v>
      </c>
      <c r="N8743" s="14">
        <v>203</v>
      </c>
      <c r="O8743" s="14">
        <v>0</v>
      </c>
      <c r="P8743" s="14">
        <v>855</v>
      </c>
      <c r="Q8743">
        <v>7004</v>
      </c>
      <c r="R8743">
        <v>1031</v>
      </c>
      <c r="S8743">
        <v>1</v>
      </c>
    </row>
    <row r="8744" spans="11:19" x14ac:dyDescent="0.3">
      <c r="K8744" s="16">
        <f t="shared" si="136"/>
        <v>44380</v>
      </c>
      <c r="L8744" s="17">
        <v>0.25</v>
      </c>
      <c r="M8744" s="14">
        <v>652</v>
      </c>
      <c r="N8744" s="14">
        <v>646</v>
      </c>
      <c r="O8744" s="14">
        <v>0</v>
      </c>
      <c r="P8744" s="14">
        <v>1298</v>
      </c>
      <c r="Q8744">
        <v>7649</v>
      </c>
      <c r="R8744">
        <v>1144</v>
      </c>
      <c r="S8744">
        <v>52</v>
      </c>
    </row>
    <row r="8745" spans="11:19" x14ac:dyDescent="0.3">
      <c r="K8745" s="16">
        <f t="shared" si="136"/>
        <v>44380</v>
      </c>
      <c r="L8745" s="17">
        <v>0.29166666666666669</v>
      </c>
      <c r="M8745" s="14">
        <v>652</v>
      </c>
      <c r="N8745" s="14">
        <v>1015</v>
      </c>
      <c r="O8745" s="14">
        <v>0</v>
      </c>
      <c r="P8745" s="14">
        <v>1667</v>
      </c>
      <c r="Q8745">
        <v>8463</v>
      </c>
      <c r="R8745">
        <v>1353</v>
      </c>
      <c r="S8745">
        <v>263</v>
      </c>
    </row>
    <row r="8746" spans="11:19" x14ac:dyDescent="0.3">
      <c r="K8746" s="16">
        <f t="shared" si="136"/>
        <v>44380</v>
      </c>
      <c r="L8746" s="17">
        <v>0.33333333333333331</v>
      </c>
      <c r="M8746" s="14">
        <v>652</v>
      </c>
      <c r="N8746" s="14">
        <v>0</v>
      </c>
      <c r="O8746" s="14">
        <v>1200</v>
      </c>
      <c r="P8746" s="14">
        <v>1852</v>
      </c>
      <c r="Q8746">
        <v>9009</v>
      </c>
      <c r="R8746">
        <v>1279</v>
      </c>
      <c r="S8746">
        <v>666</v>
      </c>
    </row>
    <row r="8747" spans="11:19" x14ac:dyDescent="0.3">
      <c r="K8747" s="16">
        <f t="shared" si="136"/>
        <v>44380</v>
      </c>
      <c r="L8747" s="17">
        <v>0.375</v>
      </c>
      <c r="M8747" s="14">
        <v>652</v>
      </c>
      <c r="N8747" s="14">
        <v>1065</v>
      </c>
      <c r="O8747" s="14">
        <v>0</v>
      </c>
      <c r="P8747" s="14">
        <v>1717</v>
      </c>
      <c r="Q8747">
        <v>9355</v>
      </c>
      <c r="R8747">
        <v>1313</v>
      </c>
      <c r="S8747">
        <v>1222</v>
      </c>
    </row>
    <row r="8748" spans="11:19" x14ac:dyDescent="0.3">
      <c r="K8748" s="16">
        <f t="shared" si="136"/>
        <v>44380</v>
      </c>
      <c r="L8748" s="17">
        <v>0.41666666666666669</v>
      </c>
      <c r="M8748" s="14">
        <v>652</v>
      </c>
      <c r="N8748" s="14">
        <v>0</v>
      </c>
      <c r="O8748" s="14">
        <v>775</v>
      </c>
      <c r="P8748" s="14">
        <v>1427</v>
      </c>
      <c r="Q8748">
        <v>9509</v>
      </c>
      <c r="R8748">
        <v>1335</v>
      </c>
      <c r="S8748">
        <v>1646</v>
      </c>
    </row>
    <row r="8749" spans="11:19" x14ac:dyDescent="0.3">
      <c r="K8749" s="16">
        <f t="shared" si="136"/>
        <v>44380</v>
      </c>
      <c r="L8749" s="17">
        <v>0.45833333333333331</v>
      </c>
      <c r="M8749" s="14">
        <v>652</v>
      </c>
      <c r="N8749" s="14">
        <v>506</v>
      </c>
      <c r="O8749" s="14">
        <v>0</v>
      </c>
      <c r="P8749" s="14">
        <v>1158</v>
      </c>
      <c r="Q8749">
        <v>9646</v>
      </c>
      <c r="R8749">
        <v>1429</v>
      </c>
      <c r="S8749">
        <v>1956</v>
      </c>
    </row>
    <row r="8750" spans="11:19" x14ac:dyDescent="0.3">
      <c r="K8750" s="16">
        <f t="shared" si="136"/>
        <v>44380</v>
      </c>
      <c r="L8750" s="17">
        <v>0.5</v>
      </c>
      <c r="M8750" s="14">
        <v>652</v>
      </c>
      <c r="N8750" s="14">
        <v>38</v>
      </c>
      <c r="O8750" s="14">
        <v>0</v>
      </c>
      <c r="P8750" s="14">
        <v>690</v>
      </c>
      <c r="Q8750">
        <v>9707</v>
      </c>
      <c r="R8750">
        <v>1779</v>
      </c>
      <c r="S8750">
        <v>2137</v>
      </c>
    </row>
    <row r="8751" spans="11:19" x14ac:dyDescent="0.3">
      <c r="K8751" s="16">
        <f t="shared" si="136"/>
        <v>44380</v>
      </c>
      <c r="L8751" s="17">
        <v>0.54166666666666663</v>
      </c>
      <c r="M8751" s="14">
        <v>652</v>
      </c>
      <c r="N8751" s="14">
        <v>0</v>
      </c>
      <c r="O8751" s="14">
        <v>-367</v>
      </c>
      <c r="P8751" s="14">
        <v>285</v>
      </c>
      <c r="Q8751">
        <v>9458</v>
      </c>
      <c r="R8751">
        <v>1836</v>
      </c>
      <c r="S8751">
        <v>2238</v>
      </c>
    </row>
    <row r="8752" spans="11:19" x14ac:dyDescent="0.3">
      <c r="K8752" s="16">
        <f t="shared" si="136"/>
        <v>44380</v>
      </c>
      <c r="L8752" s="17">
        <v>0.58333333333333337</v>
      </c>
      <c r="M8752" s="14">
        <v>652</v>
      </c>
      <c r="N8752" s="14">
        <v>0</v>
      </c>
      <c r="O8752" s="14">
        <v>-602</v>
      </c>
      <c r="P8752" s="14">
        <v>50</v>
      </c>
      <c r="Q8752">
        <v>9285</v>
      </c>
      <c r="R8752">
        <v>1895</v>
      </c>
      <c r="S8752">
        <v>2244</v>
      </c>
    </row>
    <row r="8753" spans="11:19" x14ac:dyDescent="0.3">
      <c r="K8753" s="16">
        <f t="shared" si="136"/>
        <v>44380</v>
      </c>
      <c r="L8753" s="17">
        <v>0.625</v>
      </c>
      <c r="M8753" s="14">
        <v>652</v>
      </c>
      <c r="N8753" s="14">
        <v>0</v>
      </c>
      <c r="O8753" s="14">
        <v>-816</v>
      </c>
      <c r="P8753" s="14">
        <v>-164</v>
      </c>
      <c r="Q8753">
        <v>8988</v>
      </c>
      <c r="R8753">
        <v>1931</v>
      </c>
      <c r="S8753">
        <v>2127</v>
      </c>
    </row>
    <row r="8754" spans="11:19" x14ac:dyDescent="0.3">
      <c r="K8754" s="16">
        <f t="shared" si="136"/>
        <v>44380</v>
      </c>
      <c r="L8754" s="17">
        <v>0.66666666666666663</v>
      </c>
      <c r="M8754" s="14">
        <v>652</v>
      </c>
      <c r="N8754" s="14">
        <v>0</v>
      </c>
      <c r="O8754" s="14">
        <v>-1081</v>
      </c>
      <c r="P8754" s="14">
        <v>-429</v>
      </c>
      <c r="Q8754">
        <v>8700</v>
      </c>
      <c r="R8754">
        <v>2087</v>
      </c>
      <c r="S8754">
        <v>1954</v>
      </c>
    </row>
    <row r="8755" spans="11:19" x14ac:dyDescent="0.3">
      <c r="K8755" s="16">
        <f t="shared" si="136"/>
        <v>44380</v>
      </c>
      <c r="L8755" s="17">
        <v>0.70833333333333337</v>
      </c>
      <c r="M8755" s="14">
        <v>652</v>
      </c>
      <c r="N8755" s="14">
        <v>0</v>
      </c>
      <c r="O8755" s="14">
        <v>-826</v>
      </c>
      <c r="P8755" s="14">
        <v>-174</v>
      </c>
      <c r="Q8755">
        <v>8599</v>
      </c>
      <c r="R8755">
        <v>2081</v>
      </c>
      <c r="S8755">
        <v>1609</v>
      </c>
    </row>
    <row r="8756" spans="11:19" x14ac:dyDescent="0.3">
      <c r="K8756" s="16">
        <f t="shared" si="136"/>
        <v>44380</v>
      </c>
      <c r="L8756" s="17">
        <v>0.75</v>
      </c>
      <c r="M8756" s="14">
        <v>652</v>
      </c>
      <c r="N8756" s="14">
        <v>0</v>
      </c>
      <c r="O8756" s="14">
        <v>-94</v>
      </c>
      <c r="P8756" s="14">
        <v>558</v>
      </c>
      <c r="Q8756">
        <v>8705</v>
      </c>
      <c r="R8756">
        <v>1955</v>
      </c>
      <c r="S8756">
        <v>1116</v>
      </c>
    </row>
    <row r="8757" spans="11:19" x14ac:dyDescent="0.3">
      <c r="K8757" s="16">
        <f t="shared" si="136"/>
        <v>44380</v>
      </c>
      <c r="L8757" s="17">
        <v>0.79166666666666663</v>
      </c>
      <c r="M8757" s="14">
        <v>652</v>
      </c>
      <c r="N8757" s="14">
        <v>510</v>
      </c>
      <c r="O8757" s="14">
        <v>0</v>
      </c>
      <c r="P8757" s="14">
        <v>1162</v>
      </c>
      <c r="Q8757">
        <v>8567</v>
      </c>
      <c r="R8757">
        <v>1774</v>
      </c>
      <c r="S8757">
        <v>571</v>
      </c>
    </row>
    <row r="8758" spans="11:19" x14ac:dyDescent="0.3">
      <c r="K8758" s="16">
        <f t="shared" si="136"/>
        <v>44380</v>
      </c>
      <c r="L8758" s="17">
        <v>0.83333333333333337</v>
      </c>
      <c r="M8758" s="14">
        <v>652</v>
      </c>
      <c r="N8758" s="14">
        <v>704</v>
      </c>
      <c r="O8758" s="14">
        <v>0</v>
      </c>
      <c r="P8758" s="14">
        <v>1356</v>
      </c>
      <c r="Q8758">
        <v>8087</v>
      </c>
      <c r="R8758">
        <v>1478</v>
      </c>
      <c r="S8758">
        <v>202</v>
      </c>
    </row>
    <row r="8759" spans="11:19" x14ac:dyDescent="0.3">
      <c r="K8759" s="16">
        <f t="shared" si="136"/>
        <v>44380</v>
      </c>
      <c r="L8759" s="17">
        <v>0.875</v>
      </c>
      <c r="M8759" s="14">
        <v>652</v>
      </c>
      <c r="N8759" s="14">
        <v>835</v>
      </c>
      <c r="O8759" s="14">
        <v>0</v>
      </c>
      <c r="P8759" s="14">
        <v>1487</v>
      </c>
      <c r="Q8759">
        <v>7847</v>
      </c>
      <c r="R8759">
        <v>1297</v>
      </c>
      <c r="S8759">
        <v>19</v>
      </c>
    </row>
    <row r="8760" spans="11:19" x14ac:dyDescent="0.3">
      <c r="K8760" s="16">
        <f t="shared" si="136"/>
        <v>44380</v>
      </c>
      <c r="L8760" s="17">
        <v>0.91666666666666663</v>
      </c>
      <c r="M8760" s="14">
        <v>652</v>
      </c>
      <c r="N8760" s="14">
        <v>1150</v>
      </c>
      <c r="O8760" s="14">
        <v>189</v>
      </c>
      <c r="P8760" s="14">
        <v>1991</v>
      </c>
      <c r="Q8760">
        <v>8329</v>
      </c>
      <c r="R8760">
        <v>1211</v>
      </c>
      <c r="S8760">
        <v>0</v>
      </c>
    </row>
    <row r="8761" spans="11:19" x14ac:dyDescent="0.3">
      <c r="K8761" s="16">
        <f t="shared" si="136"/>
        <v>44380</v>
      </c>
      <c r="L8761" s="17">
        <v>0.95833333333333337</v>
      </c>
      <c r="M8761" s="14">
        <v>652</v>
      </c>
      <c r="N8761" s="14">
        <v>1150</v>
      </c>
      <c r="O8761" s="14">
        <v>362</v>
      </c>
      <c r="P8761" s="14">
        <v>2164</v>
      </c>
      <c r="Q8761">
        <v>8463</v>
      </c>
      <c r="R8761">
        <v>1181</v>
      </c>
      <c r="S8761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68"/>
  <sheetViews>
    <sheetView workbookViewId="0">
      <selection activeCell="H14" sqref="H14"/>
    </sheetView>
  </sheetViews>
  <sheetFormatPr baseColWidth="10" defaultColWidth="11.5546875" defaultRowHeight="14.4" x14ac:dyDescent="0.3"/>
  <cols>
    <col min="12" max="12" width="13" customWidth="1"/>
    <col min="14" max="14" width="44.21875" customWidth="1"/>
  </cols>
  <sheetData>
    <row r="1" spans="1:18" x14ac:dyDescent="0.3">
      <c r="A1" t="s">
        <v>871</v>
      </c>
      <c r="B1" t="s">
        <v>874</v>
      </c>
      <c r="E1" s="27" t="s">
        <v>873</v>
      </c>
      <c r="K1" s="27" t="s">
        <v>872</v>
      </c>
      <c r="O1" t="s">
        <v>871</v>
      </c>
      <c r="P1" t="s">
        <v>69</v>
      </c>
      <c r="Q1" t="s">
        <v>870</v>
      </c>
      <c r="R1" t="s">
        <v>70</v>
      </c>
    </row>
    <row r="2" spans="1:18" x14ac:dyDescent="0.3">
      <c r="A2" t="s">
        <v>869</v>
      </c>
      <c r="B2">
        <v>147.57265189102449</v>
      </c>
      <c r="E2" t="s">
        <v>802</v>
      </c>
      <c r="F2" s="4">
        <v>0.4</v>
      </c>
      <c r="G2" t="s">
        <v>864</v>
      </c>
      <c r="O2" t="s">
        <v>869</v>
      </c>
      <c r="P2">
        <v>0.33</v>
      </c>
      <c r="Q2">
        <v>0.58499999999999996</v>
      </c>
      <c r="R2">
        <v>0.84</v>
      </c>
    </row>
    <row r="3" spans="1:18" ht="72" x14ac:dyDescent="0.3">
      <c r="A3" t="s">
        <v>865</v>
      </c>
      <c r="B3">
        <v>144.7933345388883</v>
      </c>
      <c r="E3" s="28" t="s">
        <v>829</v>
      </c>
      <c r="F3" s="28">
        <v>163</v>
      </c>
      <c r="G3" s="28" t="s">
        <v>818</v>
      </c>
      <c r="K3" s="31" t="s">
        <v>868</v>
      </c>
      <c r="L3" s="31" t="s">
        <v>867</v>
      </c>
      <c r="M3" s="31" t="s">
        <v>866</v>
      </c>
      <c r="O3" t="s">
        <v>865</v>
      </c>
      <c r="P3">
        <v>0.33600000000000002</v>
      </c>
      <c r="Q3">
        <v>0.59</v>
      </c>
      <c r="R3">
        <v>0.84299999999999997</v>
      </c>
    </row>
    <row r="4" spans="1:18" x14ac:dyDescent="0.3">
      <c r="A4" t="s">
        <v>863</v>
      </c>
      <c r="B4">
        <v>144.21399181788908</v>
      </c>
      <c r="E4" t="s">
        <v>805</v>
      </c>
      <c r="F4" s="4">
        <v>0.6</v>
      </c>
      <c r="G4" t="s">
        <v>864</v>
      </c>
      <c r="K4" s="31">
        <v>20</v>
      </c>
      <c r="L4" s="31">
        <v>200</v>
      </c>
      <c r="M4" s="31">
        <v>300</v>
      </c>
      <c r="O4" t="s">
        <v>863</v>
      </c>
      <c r="P4">
        <v>0.34300000000000003</v>
      </c>
      <c r="Q4">
        <v>0.59399999999999997</v>
      </c>
      <c r="R4">
        <v>0.84599999999999997</v>
      </c>
    </row>
    <row r="5" spans="1:18" x14ac:dyDescent="0.3">
      <c r="A5" t="s">
        <v>862</v>
      </c>
      <c r="B5">
        <v>143.53786949487963</v>
      </c>
      <c r="E5" s="28" t="s">
        <v>825</v>
      </c>
      <c r="F5" s="28">
        <v>244</v>
      </c>
      <c r="G5" s="28" t="s">
        <v>818</v>
      </c>
      <c r="O5" t="s">
        <v>862</v>
      </c>
      <c r="P5">
        <v>0.34899999999999998</v>
      </c>
      <c r="Q5">
        <v>0.59899999999999998</v>
      </c>
      <c r="R5">
        <v>0.84899999999999998</v>
      </c>
    </row>
    <row r="6" spans="1:18" x14ac:dyDescent="0.3">
      <c r="A6" t="s">
        <v>860</v>
      </c>
      <c r="B6">
        <v>143.17218350444858</v>
      </c>
      <c r="K6" s="30" t="s">
        <v>861</v>
      </c>
      <c r="O6" t="s">
        <v>860</v>
      </c>
      <c r="P6">
        <v>0.35599999999999998</v>
      </c>
      <c r="Q6">
        <v>0.60399999999999998</v>
      </c>
      <c r="R6">
        <v>0.85199999999999998</v>
      </c>
    </row>
    <row r="7" spans="1:18" x14ac:dyDescent="0.3">
      <c r="A7" t="s">
        <v>858</v>
      </c>
      <c r="B7">
        <v>142.83393694140742</v>
      </c>
      <c r="K7" t="s">
        <v>859</v>
      </c>
      <c r="O7" t="s">
        <v>858</v>
      </c>
      <c r="P7">
        <v>0.36199999999999999</v>
      </c>
      <c r="Q7">
        <v>0.60799999999999998</v>
      </c>
      <c r="R7">
        <v>0.85499999999999998</v>
      </c>
    </row>
    <row r="8" spans="1:18" x14ac:dyDescent="0.3">
      <c r="A8" t="s">
        <v>855</v>
      </c>
      <c r="B8">
        <v>142.58891027087731</v>
      </c>
      <c r="E8" s="27" t="s">
        <v>857</v>
      </c>
      <c r="K8" t="s">
        <v>856</v>
      </c>
      <c r="O8" t="s">
        <v>855</v>
      </c>
      <c r="P8">
        <v>0.36899999999999999</v>
      </c>
      <c r="Q8">
        <v>0.61299999999999999</v>
      </c>
      <c r="R8">
        <v>0.85699999999999998</v>
      </c>
    </row>
    <row r="9" spans="1:18" x14ac:dyDescent="0.3">
      <c r="A9" t="s">
        <v>853</v>
      </c>
      <c r="B9">
        <v>142.29026547601507</v>
      </c>
      <c r="E9" t="s">
        <v>819</v>
      </c>
      <c r="F9">
        <v>100</v>
      </c>
      <c r="G9" t="s">
        <v>818</v>
      </c>
      <c r="K9" t="s">
        <v>854</v>
      </c>
      <c r="O9" t="s">
        <v>853</v>
      </c>
      <c r="P9">
        <v>0.375</v>
      </c>
      <c r="Q9">
        <v>0.61799999999999999</v>
      </c>
      <c r="R9">
        <v>0.86</v>
      </c>
    </row>
    <row r="10" spans="1:18" x14ac:dyDescent="0.3">
      <c r="A10" t="s">
        <v>851</v>
      </c>
      <c r="B10">
        <v>142.21402836423994</v>
      </c>
      <c r="K10" t="s">
        <v>852</v>
      </c>
      <c r="O10" t="s">
        <v>851</v>
      </c>
      <c r="P10">
        <v>0.38200000000000001</v>
      </c>
      <c r="Q10">
        <v>0.622</v>
      </c>
      <c r="R10">
        <v>0.86299999999999999</v>
      </c>
    </row>
    <row r="11" spans="1:18" x14ac:dyDescent="0.3">
      <c r="A11" t="s">
        <v>850</v>
      </c>
      <c r="B11">
        <v>142.26304853046886</v>
      </c>
      <c r="O11" t="s">
        <v>850</v>
      </c>
      <c r="P11">
        <v>0.38800000000000001</v>
      </c>
      <c r="Q11">
        <v>0.627</v>
      </c>
      <c r="R11">
        <v>0.86599999999999999</v>
      </c>
    </row>
    <row r="12" spans="1:18" x14ac:dyDescent="0.3">
      <c r="A12" t="s">
        <v>848</v>
      </c>
      <c r="B12">
        <v>142.34113965760818</v>
      </c>
      <c r="E12" s="27" t="s">
        <v>849</v>
      </c>
      <c r="F12" s="27"/>
      <c r="O12" t="s">
        <v>848</v>
      </c>
      <c r="P12">
        <v>0.39500000000000002</v>
      </c>
      <c r="Q12">
        <v>0.63200000000000001</v>
      </c>
      <c r="R12">
        <v>0.86899999999999999</v>
      </c>
    </row>
    <row r="13" spans="1:18" ht="55.2" x14ac:dyDescent="0.3">
      <c r="A13" t="s">
        <v>847</v>
      </c>
      <c r="B13">
        <v>142.80034218300847</v>
      </c>
      <c r="E13" s="8" t="s">
        <v>812</v>
      </c>
      <c r="F13" s="33" t="s">
        <v>811</v>
      </c>
      <c r="G13" s="33"/>
      <c r="H13" s="26" t="s">
        <v>810</v>
      </c>
      <c r="I13" s="25" t="s">
        <v>809</v>
      </c>
      <c r="J13" s="25" t="s">
        <v>808</v>
      </c>
      <c r="K13" s="24" t="s">
        <v>807</v>
      </c>
      <c r="O13" t="s">
        <v>847</v>
      </c>
      <c r="P13">
        <v>0.40100000000000002</v>
      </c>
      <c r="Q13">
        <v>0.63600000000000001</v>
      </c>
      <c r="R13">
        <v>0.872</v>
      </c>
    </row>
    <row r="14" spans="1:18" x14ac:dyDescent="0.3">
      <c r="A14" t="s">
        <v>846</v>
      </c>
      <c r="B14">
        <v>143.08964274043527</v>
      </c>
      <c r="E14" s="10" t="s">
        <v>805</v>
      </c>
      <c r="F14" s="34" t="s">
        <v>843</v>
      </c>
      <c r="G14" s="34"/>
      <c r="H14" s="23">
        <v>100</v>
      </c>
      <c r="I14" s="22">
        <v>96</v>
      </c>
      <c r="J14" s="22">
        <v>168</v>
      </c>
      <c r="K14" s="21">
        <v>24</v>
      </c>
      <c r="O14" t="s">
        <v>846</v>
      </c>
      <c r="P14">
        <v>0.40699999999999997</v>
      </c>
      <c r="Q14">
        <v>0.64100000000000001</v>
      </c>
      <c r="R14">
        <v>0.875</v>
      </c>
    </row>
    <row r="15" spans="1:18" x14ac:dyDescent="0.3">
      <c r="A15" t="s">
        <v>844</v>
      </c>
      <c r="B15">
        <v>143.54061343761862</v>
      </c>
      <c r="E15" s="10" t="s">
        <v>805</v>
      </c>
      <c r="F15" s="34" t="s">
        <v>845</v>
      </c>
      <c r="G15" s="34"/>
      <c r="H15" s="23">
        <v>300</v>
      </c>
      <c r="I15" s="22">
        <v>0</v>
      </c>
      <c r="J15" s="22">
        <v>1</v>
      </c>
      <c r="K15" s="21">
        <v>150</v>
      </c>
      <c r="O15" t="s">
        <v>844</v>
      </c>
      <c r="P15">
        <v>0.41399999999999998</v>
      </c>
      <c r="Q15">
        <v>0.64600000000000002</v>
      </c>
      <c r="R15">
        <v>0.878</v>
      </c>
    </row>
    <row r="16" spans="1:18" x14ac:dyDescent="0.3">
      <c r="A16" t="s">
        <v>842</v>
      </c>
      <c r="B16">
        <v>143.6413235522009</v>
      </c>
      <c r="E16" s="10" t="s">
        <v>802</v>
      </c>
      <c r="F16" s="34" t="s">
        <v>843</v>
      </c>
      <c r="G16" s="34"/>
      <c r="H16" s="23">
        <v>50</v>
      </c>
      <c r="I16" s="22">
        <v>48</v>
      </c>
      <c r="J16" s="22">
        <v>168</v>
      </c>
      <c r="K16" s="21">
        <v>24</v>
      </c>
      <c r="O16" t="s">
        <v>842</v>
      </c>
      <c r="P16">
        <v>0.42</v>
      </c>
      <c r="Q16">
        <v>0.65</v>
      </c>
      <c r="R16">
        <v>0.88100000000000001</v>
      </c>
    </row>
    <row r="17" spans="1:20" x14ac:dyDescent="0.3">
      <c r="A17" t="s">
        <v>840</v>
      </c>
      <c r="B17">
        <v>143.59430572256528</v>
      </c>
      <c r="E17" s="10" t="s">
        <v>802</v>
      </c>
      <c r="F17" s="34" t="s">
        <v>841</v>
      </c>
      <c r="G17" s="34"/>
      <c r="H17" s="23">
        <v>50</v>
      </c>
      <c r="I17" s="22">
        <v>41</v>
      </c>
      <c r="J17" s="22">
        <v>168</v>
      </c>
      <c r="K17" s="21">
        <v>25</v>
      </c>
      <c r="O17" t="s">
        <v>840</v>
      </c>
      <c r="P17">
        <v>0.42699999999999999</v>
      </c>
      <c r="Q17">
        <v>0.65500000000000003</v>
      </c>
      <c r="R17">
        <v>0.88400000000000001</v>
      </c>
    </row>
    <row r="18" spans="1:20" x14ac:dyDescent="0.3">
      <c r="A18" t="s">
        <v>839</v>
      </c>
      <c r="B18">
        <v>143.71140533296693</v>
      </c>
      <c r="O18" t="s">
        <v>839</v>
      </c>
      <c r="P18">
        <v>0.433</v>
      </c>
      <c r="Q18">
        <v>0.66</v>
      </c>
      <c r="R18">
        <v>0.88600000000000001</v>
      </c>
    </row>
    <row r="19" spans="1:20" x14ac:dyDescent="0.3">
      <c r="A19" t="s">
        <v>837</v>
      </c>
      <c r="B19">
        <v>144.36861669926176</v>
      </c>
      <c r="F19" t="s">
        <v>838</v>
      </c>
      <c r="O19" t="s">
        <v>837</v>
      </c>
      <c r="P19">
        <v>0.44</v>
      </c>
      <c r="Q19">
        <v>0.66500000000000004</v>
      </c>
      <c r="R19">
        <v>0.88900000000000001</v>
      </c>
    </row>
    <row r="20" spans="1:20" x14ac:dyDescent="0.3">
      <c r="A20" t="s">
        <v>836</v>
      </c>
      <c r="B20">
        <v>145.17778316480482</v>
      </c>
      <c r="O20" t="s">
        <v>836</v>
      </c>
      <c r="P20">
        <v>0.44600000000000001</v>
      </c>
      <c r="Q20">
        <v>0.66900000000000004</v>
      </c>
      <c r="R20">
        <v>0.89200000000000002</v>
      </c>
    </row>
    <row r="21" spans="1:20" x14ac:dyDescent="0.3">
      <c r="A21" t="s">
        <v>835</v>
      </c>
      <c r="B21">
        <v>145.91301149762438</v>
      </c>
      <c r="E21" s="27"/>
      <c r="O21" t="s">
        <v>835</v>
      </c>
      <c r="P21">
        <v>0.45300000000000001</v>
      </c>
      <c r="Q21">
        <v>0.67400000000000004</v>
      </c>
      <c r="R21">
        <v>0.89500000000000002</v>
      </c>
    </row>
    <row r="22" spans="1:20" x14ac:dyDescent="0.3">
      <c r="A22" t="s">
        <v>834</v>
      </c>
      <c r="B22">
        <v>146.6421586600494</v>
      </c>
      <c r="E22" s="4"/>
      <c r="F22" s="4"/>
      <c r="L22" s="18"/>
      <c r="O22" t="s">
        <v>834</v>
      </c>
      <c r="P22">
        <v>0.45900000000000002</v>
      </c>
      <c r="Q22">
        <v>0.67900000000000005</v>
      </c>
      <c r="R22">
        <v>0.89800000000000002</v>
      </c>
    </row>
    <row r="23" spans="1:20" x14ac:dyDescent="0.3">
      <c r="A23" t="s">
        <v>832</v>
      </c>
      <c r="B23">
        <v>147.67269456007568</v>
      </c>
      <c r="E23" s="27" t="s">
        <v>833</v>
      </c>
      <c r="O23" t="s">
        <v>832</v>
      </c>
      <c r="P23">
        <v>0.46500000000000002</v>
      </c>
      <c r="Q23">
        <v>0.68300000000000005</v>
      </c>
      <c r="R23">
        <v>0.90100000000000002</v>
      </c>
    </row>
    <row r="24" spans="1:20" x14ac:dyDescent="0.3">
      <c r="A24" t="s">
        <v>830</v>
      </c>
      <c r="B24">
        <v>148.56321521979905</v>
      </c>
      <c r="E24" t="s">
        <v>802</v>
      </c>
      <c r="F24" s="5">
        <v>1</v>
      </c>
      <c r="G24" t="s">
        <v>827</v>
      </c>
      <c r="H24" t="s">
        <v>831</v>
      </c>
      <c r="O24" t="s">
        <v>830</v>
      </c>
      <c r="P24">
        <v>0.47199999999999998</v>
      </c>
      <c r="Q24">
        <v>0.68799999999999994</v>
      </c>
      <c r="R24">
        <v>0.90400000000000003</v>
      </c>
    </row>
    <row r="25" spans="1:20" x14ac:dyDescent="0.3">
      <c r="A25" t="s">
        <v>828</v>
      </c>
      <c r="B25">
        <v>149.37408737947717</v>
      </c>
      <c r="E25" s="28" t="s">
        <v>829</v>
      </c>
      <c r="F25" s="29">
        <f>1*1000/365</f>
        <v>2.7397260273972601</v>
      </c>
      <c r="G25" s="28" t="s">
        <v>818</v>
      </c>
      <c r="O25" t="s">
        <v>828</v>
      </c>
      <c r="P25">
        <v>0.47799999999999998</v>
      </c>
      <c r="Q25">
        <v>0.69299999999999995</v>
      </c>
      <c r="R25">
        <v>0.90700000000000003</v>
      </c>
      <c r="T25" s="18"/>
    </row>
    <row r="26" spans="1:20" x14ac:dyDescent="0.3">
      <c r="A26" t="s">
        <v>826</v>
      </c>
      <c r="B26">
        <v>150.52335442342559</v>
      </c>
      <c r="E26" t="s">
        <v>805</v>
      </c>
      <c r="F26" s="5">
        <v>0</v>
      </c>
      <c r="G26" t="s">
        <v>827</v>
      </c>
      <c r="O26" t="s">
        <v>826</v>
      </c>
      <c r="P26">
        <v>0.48499999999999999</v>
      </c>
      <c r="Q26">
        <v>0.69699999999999995</v>
      </c>
      <c r="R26">
        <v>0.91</v>
      </c>
    </row>
    <row r="27" spans="1:20" x14ac:dyDescent="0.3">
      <c r="A27" t="s">
        <v>824</v>
      </c>
      <c r="B27">
        <v>152.10905668410214</v>
      </c>
      <c r="E27" s="28" t="s">
        <v>825</v>
      </c>
      <c r="F27" s="28">
        <v>0</v>
      </c>
      <c r="G27" s="28" t="s">
        <v>818</v>
      </c>
      <c r="O27" t="s">
        <v>824</v>
      </c>
      <c r="P27">
        <v>0.49099999999999999</v>
      </c>
      <c r="Q27">
        <v>0.70199999999999996</v>
      </c>
      <c r="R27">
        <v>0.91300000000000003</v>
      </c>
    </row>
    <row r="28" spans="1:20" x14ac:dyDescent="0.3">
      <c r="A28" t="s">
        <v>823</v>
      </c>
      <c r="B28">
        <v>153.39997050187398</v>
      </c>
      <c r="O28" t="s">
        <v>823</v>
      </c>
      <c r="P28">
        <v>0.498</v>
      </c>
      <c r="Q28">
        <v>0.70699999999999996</v>
      </c>
      <c r="R28">
        <v>0.91500000000000004</v>
      </c>
    </row>
    <row r="29" spans="1:20" x14ac:dyDescent="0.3">
      <c r="A29" t="s">
        <v>822</v>
      </c>
      <c r="B29">
        <v>154.60878851931986</v>
      </c>
      <c r="O29" t="s">
        <v>822</v>
      </c>
      <c r="P29">
        <v>0.504</v>
      </c>
      <c r="Q29">
        <v>0.71099999999999997</v>
      </c>
      <c r="R29">
        <v>0.91800000000000004</v>
      </c>
    </row>
    <row r="30" spans="1:20" x14ac:dyDescent="0.3">
      <c r="A30" t="s">
        <v>820</v>
      </c>
      <c r="B30">
        <v>155.87463604936798</v>
      </c>
      <c r="E30" s="27" t="s">
        <v>821</v>
      </c>
      <c r="O30" t="s">
        <v>820</v>
      </c>
      <c r="P30">
        <v>0.51100000000000001</v>
      </c>
      <c r="Q30">
        <v>0.71599999999999997</v>
      </c>
      <c r="R30">
        <v>0.92100000000000004</v>
      </c>
    </row>
    <row r="31" spans="1:20" x14ac:dyDescent="0.3">
      <c r="A31" t="s">
        <v>817</v>
      </c>
      <c r="B31">
        <v>156.81098796889387</v>
      </c>
      <c r="E31" t="s">
        <v>819</v>
      </c>
      <c r="F31">
        <v>2.5</v>
      </c>
      <c r="G31" t="s">
        <v>818</v>
      </c>
      <c r="O31" t="s">
        <v>817</v>
      </c>
      <c r="P31">
        <v>0.51700000000000002</v>
      </c>
      <c r="Q31">
        <v>0.72099999999999997</v>
      </c>
      <c r="R31">
        <v>0.92400000000000004</v>
      </c>
    </row>
    <row r="32" spans="1:20" x14ac:dyDescent="0.3">
      <c r="A32" t="s">
        <v>816</v>
      </c>
      <c r="B32">
        <v>157.55481893300319</v>
      </c>
      <c r="M32" s="27"/>
      <c r="N32" s="4"/>
      <c r="O32" t="s">
        <v>816</v>
      </c>
      <c r="P32">
        <v>0.52400000000000002</v>
      </c>
      <c r="Q32">
        <v>0.72499999999999998</v>
      </c>
      <c r="R32">
        <v>0.92700000000000005</v>
      </c>
    </row>
    <row r="33" spans="1:18" x14ac:dyDescent="0.3">
      <c r="A33" t="s">
        <v>815</v>
      </c>
      <c r="B33">
        <v>158.57007774642864</v>
      </c>
      <c r="M33" s="4"/>
      <c r="N33" s="4"/>
      <c r="O33" t="s">
        <v>815</v>
      </c>
      <c r="P33">
        <v>0.53</v>
      </c>
      <c r="Q33">
        <v>0.73</v>
      </c>
      <c r="R33">
        <v>0.93</v>
      </c>
    </row>
    <row r="34" spans="1:18" x14ac:dyDescent="0.3">
      <c r="A34" t="s">
        <v>813</v>
      </c>
      <c r="B34">
        <v>161.74837920493653</v>
      </c>
      <c r="E34" s="27" t="s">
        <v>814</v>
      </c>
      <c r="F34" s="27"/>
      <c r="O34" t="s">
        <v>813</v>
      </c>
      <c r="P34">
        <v>0.53500000000000003</v>
      </c>
      <c r="Q34">
        <v>0.73399999999999999</v>
      </c>
      <c r="R34">
        <v>0.93200000000000005</v>
      </c>
    </row>
    <row r="35" spans="1:18" ht="55.2" x14ac:dyDescent="0.3">
      <c r="A35" t="s">
        <v>806</v>
      </c>
      <c r="B35">
        <v>163.14727087751825</v>
      </c>
      <c r="E35" s="8" t="s">
        <v>812</v>
      </c>
      <c r="F35" s="33" t="s">
        <v>811</v>
      </c>
      <c r="G35" s="33"/>
      <c r="H35" s="26" t="s">
        <v>810</v>
      </c>
      <c r="I35" s="25" t="s">
        <v>809</v>
      </c>
      <c r="J35" s="25" t="s">
        <v>808</v>
      </c>
      <c r="K35" s="24" t="s">
        <v>807</v>
      </c>
      <c r="O35" t="s">
        <v>806</v>
      </c>
      <c r="P35">
        <v>0.54100000000000004</v>
      </c>
      <c r="Q35">
        <v>0.73699999999999999</v>
      </c>
      <c r="R35">
        <v>0.93300000000000005</v>
      </c>
    </row>
    <row r="36" spans="1:18" x14ac:dyDescent="0.3">
      <c r="A36" t="s">
        <v>803</v>
      </c>
      <c r="B36">
        <v>164.30447310722536</v>
      </c>
      <c r="E36" s="10" t="s">
        <v>805</v>
      </c>
      <c r="F36" s="34" t="s">
        <v>804</v>
      </c>
      <c r="G36" s="34"/>
      <c r="H36" s="23">
        <v>2.5</v>
      </c>
      <c r="I36" s="22">
        <v>0</v>
      </c>
      <c r="J36" s="22">
        <v>1</v>
      </c>
      <c r="K36" s="21">
        <v>10</v>
      </c>
      <c r="O36" t="s">
        <v>803</v>
      </c>
      <c r="P36">
        <v>0.54600000000000004</v>
      </c>
      <c r="Q36">
        <v>0.74099999999999999</v>
      </c>
      <c r="R36">
        <v>0.93500000000000005</v>
      </c>
    </row>
    <row r="37" spans="1:18" x14ac:dyDescent="0.3">
      <c r="A37" t="s">
        <v>800</v>
      </c>
      <c r="B37">
        <v>165.03072800568228</v>
      </c>
      <c r="E37" s="10" t="s">
        <v>802</v>
      </c>
      <c r="F37" s="34" t="s">
        <v>801</v>
      </c>
      <c r="G37" s="34"/>
      <c r="H37" s="23">
        <v>1</v>
      </c>
      <c r="I37" s="22">
        <v>0.3</v>
      </c>
      <c r="J37" s="22">
        <v>168</v>
      </c>
      <c r="K37" s="21">
        <v>50</v>
      </c>
      <c r="O37" t="s">
        <v>800</v>
      </c>
      <c r="P37">
        <v>0.55200000000000005</v>
      </c>
      <c r="Q37">
        <v>0.74399999999999999</v>
      </c>
      <c r="R37">
        <v>0.93600000000000005</v>
      </c>
    </row>
    <row r="38" spans="1:18" x14ac:dyDescent="0.3">
      <c r="A38" t="s">
        <v>799</v>
      </c>
      <c r="B38">
        <v>165.75735370721202</v>
      </c>
      <c r="O38" t="s">
        <v>799</v>
      </c>
      <c r="P38">
        <v>0.55700000000000005</v>
      </c>
      <c r="Q38">
        <v>0.748</v>
      </c>
      <c r="R38">
        <v>0.93799999999999994</v>
      </c>
    </row>
    <row r="39" spans="1:18" x14ac:dyDescent="0.3">
      <c r="A39" t="s">
        <v>798</v>
      </c>
      <c r="B39">
        <v>166.47478349253544</v>
      </c>
      <c r="O39" t="s">
        <v>798</v>
      </c>
      <c r="P39">
        <v>0.56299999999999994</v>
      </c>
      <c r="Q39">
        <v>0.751</v>
      </c>
      <c r="R39">
        <v>0.94</v>
      </c>
    </row>
    <row r="40" spans="1:18" x14ac:dyDescent="0.3">
      <c r="A40" t="s">
        <v>797</v>
      </c>
      <c r="B40">
        <v>168.18730040412197</v>
      </c>
      <c r="O40" t="s">
        <v>797</v>
      </c>
      <c r="P40">
        <v>0.56799999999999995</v>
      </c>
      <c r="Q40">
        <v>0.755</v>
      </c>
      <c r="R40">
        <v>0.94099999999999995</v>
      </c>
    </row>
    <row r="41" spans="1:18" x14ac:dyDescent="0.3">
      <c r="A41" t="s">
        <v>796</v>
      </c>
      <c r="B41">
        <v>169.77826806843282</v>
      </c>
      <c r="O41" t="s">
        <v>796</v>
      </c>
      <c r="P41">
        <v>0.57399999999999995</v>
      </c>
      <c r="Q41">
        <v>0.75800000000000001</v>
      </c>
      <c r="R41">
        <v>0.94299999999999995</v>
      </c>
    </row>
    <row r="42" spans="1:18" x14ac:dyDescent="0.3">
      <c r="A42" t="s">
        <v>795</v>
      </c>
      <c r="B42">
        <v>170.63756710942334</v>
      </c>
      <c r="O42" t="s">
        <v>795</v>
      </c>
      <c r="P42">
        <v>0.57899999999999996</v>
      </c>
      <c r="Q42">
        <v>0.76200000000000001</v>
      </c>
      <c r="R42">
        <v>0.94499999999999995</v>
      </c>
    </row>
    <row r="43" spans="1:18" x14ac:dyDescent="0.3">
      <c r="A43" t="s">
        <v>794</v>
      </c>
      <c r="B43">
        <v>171.56954355268977</v>
      </c>
      <c r="O43" t="s">
        <v>794</v>
      </c>
      <c r="P43">
        <v>0.58499999999999996</v>
      </c>
      <c r="Q43">
        <v>0.76500000000000001</v>
      </c>
      <c r="R43">
        <v>0.94599999999999995</v>
      </c>
    </row>
    <row r="44" spans="1:18" x14ac:dyDescent="0.3">
      <c r="A44" t="s">
        <v>793</v>
      </c>
      <c r="B44">
        <v>172.32472109082792</v>
      </c>
      <c r="O44" t="s">
        <v>793</v>
      </c>
      <c r="P44">
        <v>0.59</v>
      </c>
      <c r="Q44">
        <v>0.76900000000000002</v>
      </c>
      <c r="R44">
        <v>0.94799999999999995</v>
      </c>
    </row>
    <row r="45" spans="1:18" x14ac:dyDescent="0.3">
      <c r="A45" t="s">
        <v>792</v>
      </c>
      <c r="B45">
        <v>173.21190452289571</v>
      </c>
      <c r="O45" t="s">
        <v>792</v>
      </c>
      <c r="P45">
        <v>0.59599999999999997</v>
      </c>
      <c r="Q45">
        <v>0.77300000000000002</v>
      </c>
      <c r="R45">
        <v>0.94899999999999995</v>
      </c>
    </row>
    <row r="46" spans="1:18" x14ac:dyDescent="0.3">
      <c r="A46" t="s">
        <v>791</v>
      </c>
      <c r="B46">
        <v>173.42474548670367</v>
      </c>
      <c r="O46" t="s">
        <v>791</v>
      </c>
      <c r="P46">
        <v>0.60099999999999998</v>
      </c>
      <c r="Q46">
        <v>0.77600000000000002</v>
      </c>
      <c r="R46">
        <v>0.95099999999999996</v>
      </c>
    </row>
    <row r="47" spans="1:18" x14ac:dyDescent="0.3">
      <c r="A47" t="s">
        <v>790</v>
      </c>
      <c r="B47">
        <v>173.88112990875044</v>
      </c>
      <c r="O47" t="s">
        <v>790</v>
      </c>
      <c r="P47">
        <v>0.60699999999999998</v>
      </c>
      <c r="Q47">
        <v>0.78</v>
      </c>
      <c r="R47">
        <v>0.95299999999999996</v>
      </c>
    </row>
    <row r="48" spans="1:18" x14ac:dyDescent="0.3">
      <c r="A48" t="s">
        <v>789</v>
      </c>
      <c r="B48">
        <v>174.95564305321506</v>
      </c>
      <c r="O48" t="s">
        <v>789</v>
      </c>
      <c r="P48">
        <v>0.61199999999999999</v>
      </c>
      <c r="Q48">
        <v>0.78300000000000003</v>
      </c>
      <c r="R48">
        <v>0.95399999999999996</v>
      </c>
    </row>
    <row r="49" spans="1:18" x14ac:dyDescent="0.3">
      <c r="A49" t="s">
        <v>788</v>
      </c>
      <c r="B49">
        <v>175.83118326879583</v>
      </c>
      <c r="O49" t="s">
        <v>788</v>
      </c>
      <c r="P49">
        <v>0.61799999999999999</v>
      </c>
      <c r="Q49">
        <v>0.78700000000000003</v>
      </c>
      <c r="R49">
        <v>0.95599999999999996</v>
      </c>
    </row>
    <row r="50" spans="1:18" x14ac:dyDescent="0.3">
      <c r="A50" t="s">
        <v>787</v>
      </c>
      <c r="B50">
        <v>177.07767487844188</v>
      </c>
      <c r="O50" t="s">
        <v>787</v>
      </c>
      <c r="P50">
        <v>0.623</v>
      </c>
      <c r="Q50">
        <v>0.79</v>
      </c>
      <c r="R50">
        <v>0.95699999999999996</v>
      </c>
    </row>
    <row r="51" spans="1:18" x14ac:dyDescent="0.3">
      <c r="A51" t="s">
        <v>786</v>
      </c>
      <c r="B51">
        <v>178.40299922137291</v>
      </c>
      <c r="O51" t="s">
        <v>786</v>
      </c>
      <c r="P51">
        <v>0.629</v>
      </c>
      <c r="Q51">
        <v>0.79400000000000004</v>
      </c>
      <c r="R51">
        <v>0.95899999999999996</v>
      </c>
    </row>
    <row r="52" spans="1:18" x14ac:dyDescent="0.3">
      <c r="A52" t="s">
        <v>785</v>
      </c>
      <c r="B52">
        <v>180.00983725720113</v>
      </c>
      <c r="O52" t="s">
        <v>785</v>
      </c>
      <c r="P52">
        <v>0.63400000000000001</v>
      </c>
      <c r="Q52">
        <v>0.79700000000000004</v>
      </c>
      <c r="R52">
        <v>0.96099999999999997</v>
      </c>
    </row>
    <row r="53" spans="1:18" x14ac:dyDescent="0.3">
      <c r="A53" t="s">
        <v>784</v>
      </c>
      <c r="B53">
        <v>181.46078968120906</v>
      </c>
      <c r="O53" t="s">
        <v>784</v>
      </c>
      <c r="P53">
        <v>0.64</v>
      </c>
      <c r="Q53">
        <v>0.80100000000000005</v>
      </c>
      <c r="R53">
        <v>0.96199999999999997</v>
      </c>
    </row>
    <row r="54" spans="1:18" x14ac:dyDescent="0.3">
      <c r="A54" t="s">
        <v>783</v>
      </c>
      <c r="B54">
        <v>182.7555598509384</v>
      </c>
      <c r="O54" t="s">
        <v>783</v>
      </c>
      <c r="P54">
        <v>0.64500000000000002</v>
      </c>
      <c r="Q54">
        <v>0.80500000000000005</v>
      </c>
      <c r="R54">
        <v>0.96399999999999997</v>
      </c>
    </row>
    <row r="55" spans="1:18" x14ac:dyDescent="0.3">
      <c r="A55" t="s">
        <v>782</v>
      </c>
      <c r="B55">
        <v>184.84310699039142</v>
      </c>
      <c r="O55" t="s">
        <v>782</v>
      </c>
      <c r="P55">
        <v>0.65100000000000002</v>
      </c>
      <c r="Q55">
        <v>0.80800000000000005</v>
      </c>
      <c r="R55">
        <v>0.96499999999999997</v>
      </c>
    </row>
    <row r="56" spans="1:18" x14ac:dyDescent="0.3">
      <c r="A56" t="s">
        <v>781</v>
      </c>
      <c r="B56">
        <v>185.79836986663193</v>
      </c>
      <c r="O56" t="s">
        <v>781</v>
      </c>
      <c r="P56">
        <v>0.65600000000000003</v>
      </c>
      <c r="Q56">
        <v>0.81200000000000006</v>
      </c>
      <c r="R56">
        <v>0.96699999999999997</v>
      </c>
    </row>
    <row r="57" spans="1:18" x14ac:dyDescent="0.3">
      <c r="A57" t="s">
        <v>780</v>
      </c>
      <c r="B57">
        <v>186.3092623403856</v>
      </c>
      <c r="O57" t="s">
        <v>780</v>
      </c>
      <c r="P57">
        <v>0.66200000000000003</v>
      </c>
      <c r="Q57">
        <v>0.81499999999999995</v>
      </c>
      <c r="R57">
        <v>0.96899999999999997</v>
      </c>
    </row>
    <row r="58" spans="1:18" x14ac:dyDescent="0.3">
      <c r="A58" t="s">
        <v>779</v>
      </c>
      <c r="B58">
        <v>186.82141554458693</v>
      </c>
      <c r="O58" t="s">
        <v>779</v>
      </c>
      <c r="P58">
        <v>0.66700000000000004</v>
      </c>
      <c r="Q58">
        <v>0.81899999999999995</v>
      </c>
      <c r="R58">
        <v>0.97</v>
      </c>
    </row>
    <row r="59" spans="1:18" x14ac:dyDescent="0.3">
      <c r="A59" t="s">
        <v>778</v>
      </c>
      <c r="B59">
        <v>188.18775070737362</v>
      </c>
      <c r="O59" t="s">
        <v>778</v>
      </c>
      <c r="P59">
        <v>0.67300000000000004</v>
      </c>
      <c r="Q59">
        <v>0.82199999999999995</v>
      </c>
      <c r="R59">
        <v>0.97199999999999998</v>
      </c>
    </row>
    <row r="60" spans="1:18" x14ac:dyDescent="0.3">
      <c r="A60" t="s">
        <v>777</v>
      </c>
      <c r="B60">
        <v>189.43950772065395</v>
      </c>
      <c r="O60" t="s">
        <v>777</v>
      </c>
      <c r="P60">
        <v>0.67800000000000005</v>
      </c>
      <c r="Q60">
        <v>0.82599999999999996</v>
      </c>
      <c r="R60">
        <v>0.97399999999999998</v>
      </c>
    </row>
    <row r="61" spans="1:18" x14ac:dyDescent="0.3">
      <c r="A61" t="s">
        <v>776</v>
      </c>
      <c r="B61">
        <v>190.56593329531566</v>
      </c>
      <c r="O61" t="s">
        <v>776</v>
      </c>
      <c r="P61">
        <v>0.68400000000000005</v>
      </c>
      <c r="Q61">
        <v>0.82899999999999996</v>
      </c>
      <c r="R61">
        <v>0.97499999999999998</v>
      </c>
    </row>
    <row r="62" spans="1:18" x14ac:dyDescent="0.3">
      <c r="A62" t="s">
        <v>775</v>
      </c>
      <c r="B62">
        <v>191.49998623578998</v>
      </c>
      <c r="O62" t="s">
        <v>775</v>
      </c>
      <c r="P62">
        <v>0.68899999999999995</v>
      </c>
      <c r="Q62">
        <v>0.83299999999999996</v>
      </c>
      <c r="R62">
        <v>0.97699999999999998</v>
      </c>
    </row>
    <row r="63" spans="1:18" x14ac:dyDescent="0.3">
      <c r="A63" t="s">
        <v>774</v>
      </c>
      <c r="B63">
        <v>192.41839128659058</v>
      </c>
      <c r="O63" t="s">
        <v>774</v>
      </c>
      <c r="P63">
        <v>0.69499999999999995</v>
      </c>
      <c r="Q63">
        <v>0.83599999999999997</v>
      </c>
      <c r="R63">
        <v>0.97799999999999998</v>
      </c>
    </row>
    <row r="64" spans="1:18" x14ac:dyDescent="0.3">
      <c r="A64" t="s">
        <v>773</v>
      </c>
      <c r="B64">
        <v>193.29741705105599</v>
      </c>
      <c r="O64" t="s">
        <v>773</v>
      </c>
      <c r="P64">
        <v>0.7</v>
      </c>
      <c r="Q64">
        <v>0.84</v>
      </c>
      <c r="R64">
        <v>0.98</v>
      </c>
    </row>
    <row r="65" spans="1:18" x14ac:dyDescent="0.3">
      <c r="A65" t="s">
        <v>772</v>
      </c>
      <c r="B65">
        <v>194.82809213572367</v>
      </c>
      <c r="O65" t="s">
        <v>772</v>
      </c>
      <c r="P65">
        <v>0.70199999999999996</v>
      </c>
      <c r="Q65">
        <v>0.84099999999999997</v>
      </c>
      <c r="R65">
        <v>0.98099999999999998</v>
      </c>
    </row>
    <row r="66" spans="1:18" x14ac:dyDescent="0.3">
      <c r="A66" t="s">
        <v>771</v>
      </c>
      <c r="B66">
        <v>196.96391783525999</v>
      </c>
      <c r="O66" t="s">
        <v>771</v>
      </c>
      <c r="P66">
        <v>0.70399999999999996</v>
      </c>
      <c r="Q66">
        <v>0.84299999999999997</v>
      </c>
      <c r="R66">
        <v>0.98099999999999998</v>
      </c>
    </row>
    <row r="67" spans="1:18" x14ac:dyDescent="0.3">
      <c r="A67" t="s">
        <v>770</v>
      </c>
      <c r="B67">
        <v>199.03744861855981</v>
      </c>
      <c r="O67" t="s">
        <v>770</v>
      </c>
      <c r="P67">
        <v>0.70599999999999996</v>
      </c>
      <c r="Q67">
        <v>0.84399999999999997</v>
      </c>
      <c r="R67">
        <v>0.98199999999999998</v>
      </c>
    </row>
    <row r="68" spans="1:18" x14ac:dyDescent="0.3">
      <c r="A68" t="s">
        <v>769</v>
      </c>
      <c r="B68">
        <v>200.86001988216412</v>
      </c>
      <c r="O68" t="s">
        <v>769</v>
      </c>
      <c r="P68">
        <v>0.70799999999999996</v>
      </c>
      <c r="Q68">
        <v>0.84499999999999997</v>
      </c>
      <c r="R68">
        <v>0.98299999999999998</v>
      </c>
    </row>
    <row r="69" spans="1:18" x14ac:dyDescent="0.3">
      <c r="A69" t="s">
        <v>768</v>
      </c>
      <c r="B69">
        <v>202.44409060932026</v>
      </c>
      <c r="O69" t="s">
        <v>768</v>
      </c>
      <c r="P69">
        <v>0.71</v>
      </c>
      <c r="Q69">
        <v>0.84699999999999998</v>
      </c>
      <c r="R69">
        <v>0.98299999999999998</v>
      </c>
    </row>
    <row r="70" spans="1:18" x14ac:dyDescent="0.3">
      <c r="A70" t="s">
        <v>767</v>
      </c>
      <c r="B70">
        <v>203.60633576081793</v>
      </c>
      <c r="O70" t="s">
        <v>767</v>
      </c>
      <c r="P70">
        <v>0.71199999999999997</v>
      </c>
      <c r="Q70">
        <v>0.84799999999999998</v>
      </c>
      <c r="R70">
        <v>0.98399999999999999</v>
      </c>
    </row>
    <row r="71" spans="1:18" x14ac:dyDescent="0.3">
      <c r="A71" t="s">
        <v>766</v>
      </c>
      <c r="B71">
        <v>205.60155293513475</v>
      </c>
      <c r="O71" t="s">
        <v>766</v>
      </c>
      <c r="P71">
        <v>0.71399999999999997</v>
      </c>
      <c r="Q71">
        <v>0.84899999999999998</v>
      </c>
      <c r="R71">
        <v>0.98499999999999999</v>
      </c>
    </row>
    <row r="72" spans="1:18" x14ac:dyDescent="0.3">
      <c r="A72" t="s">
        <v>765</v>
      </c>
      <c r="B72">
        <v>208.3140515735459</v>
      </c>
      <c r="O72" t="s">
        <v>765</v>
      </c>
      <c r="P72">
        <v>0.71599999999999997</v>
      </c>
      <c r="Q72">
        <v>0.85099999999999998</v>
      </c>
      <c r="R72">
        <v>0.98499999999999999</v>
      </c>
    </row>
    <row r="73" spans="1:18" x14ac:dyDescent="0.3">
      <c r="A73" t="s">
        <v>764</v>
      </c>
      <c r="B73">
        <v>211.20275583216875</v>
      </c>
      <c r="O73" t="s">
        <v>764</v>
      </c>
      <c r="P73">
        <v>0.71799999999999997</v>
      </c>
      <c r="Q73">
        <v>0.85199999999999998</v>
      </c>
      <c r="R73">
        <v>0.98599999999999999</v>
      </c>
    </row>
    <row r="74" spans="1:18" x14ac:dyDescent="0.3">
      <c r="A74" t="s">
        <v>763</v>
      </c>
      <c r="B74">
        <v>213.75506754311462</v>
      </c>
      <c r="O74" t="s">
        <v>763</v>
      </c>
      <c r="P74">
        <v>0.72</v>
      </c>
      <c r="Q74">
        <v>0.85299999999999998</v>
      </c>
      <c r="R74">
        <v>0.98699999999999999</v>
      </c>
    </row>
    <row r="75" spans="1:18" x14ac:dyDescent="0.3">
      <c r="A75" t="s">
        <v>762</v>
      </c>
      <c r="B75">
        <v>215.94606873988897</v>
      </c>
      <c r="O75" t="s">
        <v>762</v>
      </c>
      <c r="P75">
        <v>0.72199999999999998</v>
      </c>
      <c r="Q75">
        <v>0.85499999999999998</v>
      </c>
      <c r="R75">
        <v>0.98699999999999999</v>
      </c>
    </row>
    <row r="76" spans="1:18" x14ac:dyDescent="0.3">
      <c r="A76" t="s">
        <v>761</v>
      </c>
      <c r="B76">
        <v>218.23318209314243</v>
      </c>
      <c r="O76" t="s">
        <v>761</v>
      </c>
      <c r="P76">
        <v>0.72399999999999998</v>
      </c>
      <c r="Q76">
        <v>0.85599999999999998</v>
      </c>
      <c r="R76">
        <v>0.98799999999999999</v>
      </c>
    </row>
    <row r="77" spans="1:18" x14ac:dyDescent="0.3">
      <c r="A77" t="s">
        <v>760</v>
      </c>
      <c r="B77">
        <v>221.40310340220353</v>
      </c>
      <c r="O77" t="s">
        <v>760</v>
      </c>
      <c r="P77">
        <v>0.72599999999999998</v>
      </c>
      <c r="Q77">
        <v>0.85699999999999998</v>
      </c>
      <c r="R77">
        <v>0.98899999999999999</v>
      </c>
    </row>
    <row r="78" spans="1:18" x14ac:dyDescent="0.3">
      <c r="A78" t="s">
        <v>759</v>
      </c>
      <c r="B78">
        <v>224.16899768310375</v>
      </c>
      <c r="O78" t="s">
        <v>759</v>
      </c>
      <c r="P78">
        <v>0.72799999999999998</v>
      </c>
      <c r="Q78">
        <v>0.85899999999999999</v>
      </c>
      <c r="R78">
        <v>0.98899999999999999</v>
      </c>
    </row>
    <row r="79" spans="1:18" x14ac:dyDescent="0.3">
      <c r="A79" t="s">
        <v>758</v>
      </c>
      <c r="B79">
        <v>227.00608615398787</v>
      </c>
      <c r="O79" t="s">
        <v>758</v>
      </c>
      <c r="P79">
        <v>0.73</v>
      </c>
      <c r="Q79">
        <v>0.86</v>
      </c>
      <c r="R79">
        <v>0.99</v>
      </c>
    </row>
    <row r="80" spans="1:18" x14ac:dyDescent="0.3">
      <c r="A80" t="s">
        <v>757</v>
      </c>
      <c r="B80">
        <v>230.32729511676681</v>
      </c>
      <c r="O80" t="s">
        <v>757</v>
      </c>
      <c r="P80">
        <v>0.73199999999999998</v>
      </c>
      <c r="Q80">
        <v>0.86099999999999999</v>
      </c>
      <c r="R80">
        <v>0.99099999999999999</v>
      </c>
    </row>
    <row r="81" spans="1:18" x14ac:dyDescent="0.3">
      <c r="A81" t="s">
        <v>756</v>
      </c>
      <c r="B81">
        <v>233.87988519699553</v>
      </c>
      <c r="O81" t="s">
        <v>756</v>
      </c>
      <c r="P81">
        <v>0.73399999999999999</v>
      </c>
      <c r="Q81">
        <v>0.86299999999999999</v>
      </c>
      <c r="R81">
        <v>0.99099999999999999</v>
      </c>
    </row>
    <row r="82" spans="1:18" x14ac:dyDescent="0.3">
      <c r="A82" t="s">
        <v>755</v>
      </c>
      <c r="B82">
        <v>236.59238383540668</v>
      </c>
      <c r="O82" t="s">
        <v>755</v>
      </c>
      <c r="P82">
        <v>0.73599999999999999</v>
      </c>
      <c r="Q82">
        <v>0.86399999999999999</v>
      </c>
      <c r="R82">
        <v>0.99199999999999999</v>
      </c>
    </row>
    <row r="83" spans="1:18" x14ac:dyDescent="0.3">
      <c r="A83" t="s">
        <v>754</v>
      </c>
      <c r="B83">
        <v>239.08062077536576</v>
      </c>
      <c r="O83" t="s">
        <v>754</v>
      </c>
      <c r="P83">
        <v>0.73799999999999999</v>
      </c>
      <c r="Q83">
        <v>0.86499999999999999</v>
      </c>
      <c r="R83">
        <v>0.99299999999999999</v>
      </c>
    </row>
    <row r="84" spans="1:18" x14ac:dyDescent="0.3">
      <c r="A84" t="s">
        <v>753</v>
      </c>
      <c r="B84">
        <v>241.65607059805663</v>
      </c>
      <c r="O84" t="s">
        <v>753</v>
      </c>
      <c r="P84">
        <v>0.74</v>
      </c>
      <c r="Q84">
        <v>0.86699999999999999</v>
      </c>
      <c r="R84">
        <v>0.99299999999999999</v>
      </c>
    </row>
    <row r="85" spans="1:18" x14ac:dyDescent="0.3">
      <c r="A85" t="s">
        <v>752</v>
      </c>
      <c r="B85">
        <v>244.33119228672658</v>
      </c>
      <c r="O85" t="s">
        <v>752</v>
      </c>
      <c r="P85">
        <v>0.74199999999999999</v>
      </c>
      <c r="Q85">
        <v>0.86799999999999999</v>
      </c>
      <c r="R85">
        <v>0.99399999999999999</v>
      </c>
    </row>
    <row r="86" spans="1:18" x14ac:dyDescent="0.3">
      <c r="A86" t="s">
        <v>751</v>
      </c>
      <c r="B86">
        <v>246.90842196416705</v>
      </c>
      <c r="O86" t="s">
        <v>751</v>
      </c>
      <c r="P86">
        <v>0.74399999999999999</v>
      </c>
      <c r="Q86">
        <v>0.86899999999999999</v>
      </c>
      <c r="R86">
        <v>0.995</v>
      </c>
    </row>
    <row r="87" spans="1:18" x14ac:dyDescent="0.3">
      <c r="A87" t="s">
        <v>750</v>
      </c>
      <c r="B87">
        <v>249.06204621119878</v>
      </c>
      <c r="O87" t="s">
        <v>750</v>
      </c>
      <c r="P87">
        <v>0.746</v>
      </c>
      <c r="Q87">
        <v>0.871</v>
      </c>
      <c r="R87">
        <v>0.995</v>
      </c>
    </row>
    <row r="88" spans="1:18" x14ac:dyDescent="0.3">
      <c r="A88" t="s">
        <v>749</v>
      </c>
      <c r="B88">
        <v>250.19581368670262</v>
      </c>
      <c r="O88" t="s">
        <v>749</v>
      </c>
      <c r="P88">
        <v>0.748</v>
      </c>
      <c r="Q88">
        <v>0.872</v>
      </c>
      <c r="R88">
        <v>0.996</v>
      </c>
    </row>
    <row r="89" spans="1:18" x14ac:dyDescent="0.3">
      <c r="A89" t="s">
        <v>748</v>
      </c>
      <c r="B89">
        <v>250.11038065872117</v>
      </c>
      <c r="O89" t="s">
        <v>748</v>
      </c>
      <c r="P89">
        <v>0.75</v>
      </c>
      <c r="Q89">
        <v>0.873</v>
      </c>
      <c r="R89">
        <v>0.997</v>
      </c>
    </row>
    <row r="90" spans="1:18" x14ac:dyDescent="0.3">
      <c r="A90" t="s">
        <v>747</v>
      </c>
      <c r="B90">
        <v>250.70129243559361</v>
      </c>
      <c r="O90" t="s">
        <v>747</v>
      </c>
      <c r="P90">
        <v>0.752</v>
      </c>
      <c r="Q90">
        <v>0.875</v>
      </c>
      <c r="R90">
        <v>0.997</v>
      </c>
    </row>
    <row r="91" spans="1:18" x14ac:dyDescent="0.3">
      <c r="A91" t="s">
        <v>746</v>
      </c>
      <c r="B91">
        <v>252.19815028001793</v>
      </c>
      <c r="O91" t="s">
        <v>746</v>
      </c>
      <c r="P91">
        <v>0.754</v>
      </c>
      <c r="Q91">
        <v>0.876</v>
      </c>
      <c r="R91">
        <v>0.998</v>
      </c>
    </row>
    <row r="92" spans="1:18" x14ac:dyDescent="0.3">
      <c r="A92" t="s">
        <v>745</v>
      </c>
      <c r="B92">
        <v>253.90681083964697</v>
      </c>
      <c r="O92" t="s">
        <v>745</v>
      </c>
      <c r="P92">
        <v>0.75600000000000001</v>
      </c>
      <c r="Q92">
        <v>0.877</v>
      </c>
      <c r="R92">
        <v>0.999</v>
      </c>
    </row>
    <row r="93" spans="1:18" x14ac:dyDescent="0.3">
      <c r="A93" t="s">
        <v>744</v>
      </c>
      <c r="B93">
        <v>255.4428254885635</v>
      </c>
      <c r="O93" t="s">
        <v>744</v>
      </c>
      <c r="P93">
        <v>0.75800000000000001</v>
      </c>
      <c r="Q93">
        <v>0.879</v>
      </c>
      <c r="R93">
        <v>0.999</v>
      </c>
    </row>
    <row r="94" spans="1:18" x14ac:dyDescent="0.3">
      <c r="A94" t="s">
        <v>743</v>
      </c>
      <c r="B94">
        <v>256.64778715405191</v>
      </c>
      <c r="O94" s="20" t="s">
        <v>743</v>
      </c>
      <c r="P94" s="20">
        <v>0.88</v>
      </c>
      <c r="Q94" s="20">
        <v>0.88</v>
      </c>
      <c r="R94" s="20">
        <v>0.88</v>
      </c>
    </row>
    <row r="95" spans="1:18" x14ac:dyDescent="0.3">
      <c r="A95" t="s">
        <v>742</v>
      </c>
      <c r="B95">
        <v>270.5662512960302</v>
      </c>
      <c r="O95" t="s">
        <v>742</v>
      </c>
      <c r="P95">
        <v>0.75800000000000001</v>
      </c>
      <c r="Q95">
        <v>0.878</v>
      </c>
      <c r="R95">
        <v>0.999</v>
      </c>
    </row>
    <row r="96" spans="1:18" x14ac:dyDescent="0.3">
      <c r="A96" t="s">
        <v>741</v>
      </c>
      <c r="B96">
        <v>274.66169707489109</v>
      </c>
      <c r="O96" t="s">
        <v>741</v>
      </c>
      <c r="P96">
        <v>0.755</v>
      </c>
      <c r="Q96">
        <v>0.876</v>
      </c>
      <c r="R96">
        <v>0.997</v>
      </c>
    </row>
    <row r="97" spans="1:18" x14ac:dyDescent="0.3">
      <c r="A97" t="s">
        <v>740</v>
      </c>
      <c r="B97">
        <v>279.06327787068551</v>
      </c>
      <c r="O97" t="s">
        <v>740</v>
      </c>
      <c r="P97">
        <v>0.753</v>
      </c>
      <c r="Q97">
        <v>0.875</v>
      </c>
      <c r="R97">
        <v>0.996</v>
      </c>
    </row>
    <row r="98" spans="1:18" x14ac:dyDescent="0.3">
      <c r="A98" t="s">
        <v>739</v>
      </c>
      <c r="B98">
        <v>283.55919096820941</v>
      </c>
      <c r="O98" t="s">
        <v>739</v>
      </c>
      <c r="P98">
        <v>0.751</v>
      </c>
      <c r="Q98">
        <v>0.873</v>
      </c>
      <c r="R98">
        <v>0.995</v>
      </c>
    </row>
    <row r="99" spans="1:18" x14ac:dyDescent="0.3">
      <c r="A99" t="s">
        <v>738</v>
      </c>
      <c r="B99">
        <v>287.7044726800595</v>
      </c>
      <c r="O99" t="s">
        <v>738</v>
      </c>
      <c r="P99">
        <v>0.749</v>
      </c>
      <c r="Q99">
        <v>0.871</v>
      </c>
      <c r="R99">
        <v>0.99399999999999999</v>
      </c>
    </row>
    <row r="100" spans="1:18" x14ac:dyDescent="0.3">
      <c r="A100" t="s">
        <v>737</v>
      </c>
      <c r="B100">
        <v>290.27992250275042</v>
      </c>
      <c r="O100" t="s">
        <v>737</v>
      </c>
      <c r="P100">
        <v>0.746</v>
      </c>
      <c r="Q100">
        <v>0.86899999999999999</v>
      </c>
      <c r="R100">
        <v>0.99199999999999999</v>
      </c>
    </row>
    <row r="101" spans="1:18" x14ac:dyDescent="0.3">
      <c r="A101" t="s">
        <v>736</v>
      </c>
      <c r="B101">
        <v>291.93696727464061</v>
      </c>
      <c r="O101" t="s">
        <v>736</v>
      </c>
      <c r="P101">
        <v>0.74399999999999999</v>
      </c>
      <c r="Q101">
        <v>0.86799999999999999</v>
      </c>
      <c r="R101">
        <v>0.99099999999999999</v>
      </c>
    </row>
    <row r="102" spans="1:18" x14ac:dyDescent="0.3">
      <c r="A102" t="s">
        <v>735</v>
      </c>
      <c r="B102">
        <v>294.41452508610274</v>
      </c>
      <c r="O102" t="s">
        <v>735</v>
      </c>
      <c r="P102">
        <v>0.74199999999999999</v>
      </c>
      <c r="Q102">
        <v>0.86599999999999999</v>
      </c>
      <c r="R102">
        <v>0.99</v>
      </c>
    </row>
    <row r="103" spans="1:18" x14ac:dyDescent="0.3">
      <c r="A103" t="s">
        <v>734</v>
      </c>
      <c r="B103">
        <v>297.01489287528818</v>
      </c>
      <c r="O103" t="s">
        <v>734</v>
      </c>
      <c r="P103">
        <v>0.74</v>
      </c>
      <c r="Q103">
        <v>0.86399999999999999</v>
      </c>
      <c r="R103">
        <v>0.98799999999999999</v>
      </c>
    </row>
    <row r="104" spans="1:18" x14ac:dyDescent="0.3">
      <c r="A104" t="s">
        <v>733</v>
      </c>
      <c r="B104">
        <v>300.49094920128431</v>
      </c>
      <c r="O104" t="s">
        <v>733</v>
      </c>
      <c r="P104">
        <v>0.73699999999999999</v>
      </c>
      <c r="Q104">
        <v>0.86199999999999999</v>
      </c>
      <c r="R104">
        <v>0.98699999999999999</v>
      </c>
    </row>
    <row r="105" spans="1:18" x14ac:dyDescent="0.3">
      <c r="A105" t="s">
        <v>732</v>
      </c>
      <c r="B105">
        <v>305.38554976272093</v>
      </c>
      <c r="O105" t="s">
        <v>732</v>
      </c>
      <c r="P105">
        <v>0.73499999999999999</v>
      </c>
      <c r="Q105">
        <v>0.86</v>
      </c>
      <c r="R105">
        <v>0.98599999999999999</v>
      </c>
    </row>
    <row r="106" spans="1:18" x14ac:dyDescent="0.3">
      <c r="A106" t="s">
        <v>731</v>
      </c>
      <c r="B106">
        <v>309.03959156367767</v>
      </c>
      <c r="O106" t="s">
        <v>731</v>
      </c>
      <c r="P106">
        <v>0.73299999999999998</v>
      </c>
      <c r="Q106">
        <v>0.85899999999999999</v>
      </c>
      <c r="R106">
        <v>0.98499999999999999</v>
      </c>
    </row>
    <row r="107" spans="1:18" x14ac:dyDescent="0.3">
      <c r="A107" t="s">
        <v>730</v>
      </c>
      <c r="B107">
        <v>312.53344643716986</v>
      </c>
      <c r="O107" t="s">
        <v>730</v>
      </c>
      <c r="P107">
        <v>0.73099999999999998</v>
      </c>
      <c r="Q107">
        <v>0.85699999999999998</v>
      </c>
      <c r="R107">
        <v>0.98299999999999998</v>
      </c>
    </row>
    <row r="108" spans="1:18" x14ac:dyDescent="0.3">
      <c r="A108" t="s">
        <v>729</v>
      </c>
      <c r="B108">
        <v>315.51648299752225</v>
      </c>
      <c r="O108" t="s">
        <v>729</v>
      </c>
      <c r="P108">
        <v>0.72799999999999998</v>
      </c>
      <c r="Q108">
        <v>0.85499999999999998</v>
      </c>
      <c r="R108">
        <v>0.98199999999999998</v>
      </c>
    </row>
    <row r="109" spans="1:18" x14ac:dyDescent="0.3">
      <c r="A109" t="s">
        <v>728</v>
      </c>
      <c r="B109">
        <v>318.6294489545964</v>
      </c>
      <c r="O109" t="s">
        <v>728</v>
      </c>
      <c r="P109">
        <v>0.72599999999999998</v>
      </c>
      <c r="Q109">
        <v>0.85299999999999998</v>
      </c>
      <c r="R109">
        <v>0.98099999999999998</v>
      </c>
    </row>
    <row r="110" spans="1:18" x14ac:dyDescent="0.3">
      <c r="A110" t="s">
        <v>727</v>
      </c>
      <c r="B110">
        <v>323.21435478960103</v>
      </c>
      <c r="O110" t="s">
        <v>727</v>
      </c>
      <c r="P110">
        <v>0.72399999999999998</v>
      </c>
      <c r="Q110">
        <v>0.85199999999999998</v>
      </c>
      <c r="R110">
        <v>0.97899999999999998</v>
      </c>
    </row>
    <row r="111" spans="1:18" x14ac:dyDescent="0.3">
      <c r="A111" t="s">
        <v>726</v>
      </c>
      <c r="B111">
        <v>326.69931038934448</v>
      </c>
      <c r="O111" t="s">
        <v>726</v>
      </c>
      <c r="P111">
        <v>0.72199999999999998</v>
      </c>
      <c r="Q111">
        <v>0.85</v>
      </c>
      <c r="R111">
        <v>0.97799999999999998</v>
      </c>
    </row>
    <row r="112" spans="1:18" x14ac:dyDescent="0.3">
      <c r="A112" t="s">
        <v>725</v>
      </c>
      <c r="B112">
        <v>329.80693678216977</v>
      </c>
      <c r="O112" t="s">
        <v>725</v>
      </c>
      <c r="P112">
        <v>0.71899999999999997</v>
      </c>
      <c r="Q112">
        <v>0.84799999999999998</v>
      </c>
      <c r="R112">
        <v>0.97699999999999998</v>
      </c>
    </row>
    <row r="113" spans="1:18" x14ac:dyDescent="0.3">
      <c r="A113" t="s">
        <v>724</v>
      </c>
      <c r="B113">
        <v>334.1693607734727</v>
      </c>
      <c r="O113" t="s">
        <v>724</v>
      </c>
      <c r="P113">
        <v>0.71699999999999997</v>
      </c>
      <c r="Q113">
        <v>0.84599999999999997</v>
      </c>
      <c r="R113">
        <v>0.97499999999999998</v>
      </c>
    </row>
    <row r="114" spans="1:18" x14ac:dyDescent="0.3">
      <c r="A114" t="s">
        <v>723</v>
      </c>
      <c r="B114">
        <v>337.80916373643254</v>
      </c>
      <c r="O114" t="s">
        <v>723</v>
      </c>
      <c r="P114">
        <v>0.71499999999999997</v>
      </c>
      <c r="Q114">
        <v>0.84499999999999997</v>
      </c>
      <c r="R114">
        <v>0.97399999999999998</v>
      </c>
    </row>
    <row r="115" spans="1:18" x14ac:dyDescent="0.3">
      <c r="A115" t="s">
        <v>722</v>
      </c>
      <c r="B115">
        <v>341.7640009900739</v>
      </c>
      <c r="O115" t="s">
        <v>722</v>
      </c>
      <c r="P115">
        <v>0.71299999999999997</v>
      </c>
      <c r="Q115">
        <v>0.84299999999999997</v>
      </c>
      <c r="R115">
        <v>0.97299999999999998</v>
      </c>
    </row>
    <row r="116" spans="1:18" x14ac:dyDescent="0.3">
      <c r="A116" t="s">
        <v>721</v>
      </c>
      <c r="B116">
        <v>344.50853701397807</v>
      </c>
      <c r="O116" t="s">
        <v>721</v>
      </c>
      <c r="P116">
        <v>0.71</v>
      </c>
      <c r="Q116">
        <v>0.84099999999999997</v>
      </c>
      <c r="R116">
        <v>0.97199999999999998</v>
      </c>
    </row>
    <row r="117" spans="1:18" x14ac:dyDescent="0.3">
      <c r="A117" t="s">
        <v>720</v>
      </c>
      <c r="B117">
        <v>345.31125150605379</v>
      </c>
      <c r="O117" t="s">
        <v>720</v>
      </c>
      <c r="P117">
        <v>0.70799999999999996</v>
      </c>
      <c r="Q117">
        <v>0.83899999999999997</v>
      </c>
      <c r="R117">
        <v>0.97</v>
      </c>
    </row>
    <row r="118" spans="1:18" x14ac:dyDescent="0.3">
      <c r="A118" t="s">
        <v>719</v>
      </c>
      <c r="B118">
        <v>345.70815911521765</v>
      </c>
      <c r="O118" t="s">
        <v>719</v>
      </c>
      <c r="P118">
        <v>0.70599999999999996</v>
      </c>
      <c r="Q118">
        <v>0.83699999999999997</v>
      </c>
      <c r="R118">
        <v>0.96899999999999997</v>
      </c>
    </row>
    <row r="119" spans="1:18" x14ac:dyDescent="0.3">
      <c r="A119" t="s">
        <v>718</v>
      </c>
      <c r="B119">
        <v>346.11218614337992</v>
      </c>
      <c r="O119" t="s">
        <v>718</v>
      </c>
      <c r="P119">
        <v>0.70399999999999996</v>
      </c>
      <c r="Q119">
        <v>0.83599999999999997</v>
      </c>
      <c r="R119">
        <v>0.96799999999999997</v>
      </c>
    </row>
    <row r="120" spans="1:18" x14ac:dyDescent="0.3">
      <c r="A120" t="s">
        <v>717</v>
      </c>
      <c r="B120">
        <v>346.21007815460865</v>
      </c>
      <c r="O120" t="s">
        <v>717</v>
      </c>
      <c r="P120">
        <v>0.70099999999999996</v>
      </c>
      <c r="Q120">
        <v>0.83399999999999996</v>
      </c>
      <c r="R120">
        <v>0.96599999999999997</v>
      </c>
    </row>
    <row r="121" spans="1:18" x14ac:dyDescent="0.3">
      <c r="A121" t="s">
        <v>716</v>
      </c>
      <c r="B121">
        <v>347.35630461335984</v>
      </c>
      <c r="O121" t="s">
        <v>716</v>
      </c>
      <c r="P121">
        <v>0.69899999999999995</v>
      </c>
      <c r="Q121">
        <v>0.83199999999999996</v>
      </c>
      <c r="R121">
        <v>0.96499999999999997</v>
      </c>
    </row>
    <row r="122" spans="1:18" x14ac:dyDescent="0.3">
      <c r="A122" t="s">
        <v>715</v>
      </c>
      <c r="B122">
        <v>350.18093410099664</v>
      </c>
      <c r="O122" t="s">
        <v>715</v>
      </c>
      <c r="P122">
        <v>0.69699999999999995</v>
      </c>
      <c r="Q122">
        <v>0.83</v>
      </c>
      <c r="R122">
        <v>0.96399999999999997</v>
      </c>
    </row>
    <row r="123" spans="1:18" x14ac:dyDescent="0.3">
      <c r="A123" t="s">
        <v>714</v>
      </c>
      <c r="B123">
        <v>352.16369229206617</v>
      </c>
      <c r="O123" t="s">
        <v>714</v>
      </c>
      <c r="P123">
        <v>0.69499999999999995</v>
      </c>
      <c r="Q123">
        <v>0.82899999999999996</v>
      </c>
      <c r="R123">
        <v>0.96299999999999997</v>
      </c>
    </row>
    <row r="124" spans="1:18" x14ac:dyDescent="0.3">
      <c r="A124" t="s">
        <v>713</v>
      </c>
      <c r="B124">
        <v>351.90383349862259</v>
      </c>
      <c r="O124" t="s">
        <v>713</v>
      </c>
      <c r="P124">
        <v>0.69199999999999995</v>
      </c>
      <c r="Q124">
        <v>0.82699999999999996</v>
      </c>
      <c r="R124">
        <v>0.96099999999999997</v>
      </c>
    </row>
    <row r="125" spans="1:18" x14ac:dyDescent="0.3">
      <c r="A125" t="s">
        <v>712</v>
      </c>
      <c r="B125">
        <v>353.00556358863338</v>
      </c>
      <c r="O125" t="s">
        <v>712</v>
      </c>
      <c r="P125">
        <v>0.69</v>
      </c>
      <c r="Q125">
        <v>0.82499999999999996</v>
      </c>
      <c r="R125">
        <v>0.96</v>
      </c>
    </row>
    <row r="126" spans="1:18" x14ac:dyDescent="0.3">
      <c r="A126" t="s">
        <v>711</v>
      </c>
      <c r="B126">
        <v>356.65070611584201</v>
      </c>
      <c r="O126" t="s">
        <v>711</v>
      </c>
      <c r="P126">
        <v>0.68400000000000005</v>
      </c>
      <c r="Q126">
        <v>0.82099999999999995</v>
      </c>
      <c r="R126">
        <v>0.95699999999999996</v>
      </c>
    </row>
    <row r="127" spans="1:18" x14ac:dyDescent="0.3">
      <c r="A127" t="s">
        <v>710</v>
      </c>
      <c r="B127">
        <v>363.98014797475082</v>
      </c>
      <c r="O127" t="s">
        <v>710</v>
      </c>
      <c r="P127">
        <v>0.67900000000000005</v>
      </c>
      <c r="Q127">
        <v>0.81599999999999995</v>
      </c>
      <c r="R127">
        <v>0.95299999999999996</v>
      </c>
    </row>
    <row r="128" spans="1:18" x14ac:dyDescent="0.3">
      <c r="A128" t="s">
        <v>709</v>
      </c>
      <c r="B128">
        <v>367.16964768605834</v>
      </c>
      <c r="O128" t="s">
        <v>709</v>
      </c>
      <c r="P128">
        <v>0.67300000000000004</v>
      </c>
      <c r="Q128">
        <v>0.81200000000000006</v>
      </c>
      <c r="R128">
        <v>0.95</v>
      </c>
    </row>
    <row r="129" spans="1:18" x14ac:dyDescent="0.3">
      <c r="A129" t="s">
        <v>708</v>
      </c>
      <c r="B129">
        <v>367.53273805497952</v>
      </c>
      <c r="O129" t="s">
        <v>708</v>
      </c>
      <c r="P129">
        <v>0.66700000000000004</v>
      </c>
      <c r="Q129">
        <v>0.80700000000000005</v>
      </c>
      <c r="R129">
        <v>0.94699999999999995</v>
      </c>
    </row>
    <row r="130" spans="1:18" x14ac:dyDescent="0.3">
      <c r="A130" t="s">
        <v>707</v>
      </c>
      <c r="B130">
        <v>370.21141945314798</v>
      </c>
      <c r="O130" t="s">
        <v>707</v>
      </c>
      <c r="P130">
        <v>0.66200000000000003</v>
      </c>
      <c r="Q130">
        <v>0.80300000000000005</v>
      </c>
      <c r="R130">
        <v>0.94299999999999995</v>
      </c>
    </row>
    <row r="131" spans="1:18" x14ac:dyDescent="0.3">
      <c r="A131" t="s">
        <v>706</v>
      </c>
      <c r="B131">
        <v>371.6103852863443</v>
      </c>
      <c r="O131" t="s">
        <v>706</v>
      </c>
      <c r="P131">
        <v>0.65600000000000003</v>
      </c>
      <c r="Q131">
        <v>0.79800000000000004</v>
      </c>
      <c r="R131">
        <v>0.94</v>
      </c>
    </row>
    <row r="132" spans="1:18" x14ac:dyDescent="0.3">
      <c r="A132" t="s">
        <v>705</v>
      </c>
      <c r="B132">
        <v>373.10190356652049</v>
      </c>
      <c r="O132" t="s">
        <v>705</v>
      </c>
      <c r="P132">
        <v>0.65</v>
      </c>
      <c r="Q132">
        <v>0.79400000000000004</v>
      </c>
      <c r="R132">
        <v>0.93700000000000006</v>
      </c>
    </row>
    <row r="133" spans="1:18" x14ac:dyDescent="0.3">
      <c r="A133" t="s">
        <v>704</v>
      </c>
      <c r="B133">
        <v>373.32260555547253</v>
      </c>
      <c r="O133" t="s">
        <v>704</v>
      </c>
      <c r="P133">
        <v>0.64500000000000002</v>
      </c>
      <c r="Q133">
        <v>0.78900000000000003</v>
      </c>
      <c r="R133">
        <v>0.93300000000000005</v>
      </c>
    </row>
    <row r="134" spans="1:18" x14ac:dyDescent="0.3">
      <c r="A134" t="s">
        <v>703</v>
      </c>
      <c r="B134">
        <v>374.2855069750135</v>
      </c>
      <c r="O134" t="s">
        <v>703</v>
      </c>
      <c r="P134">
        <v>0.63900000000000001</v>
      </c>
      <c r="Q134">
        <v>0.78500000000000003</v>
      </c>
      <c r="R134">
        <v>0.93</v>
      </c>
    </row>
    <row r="135" spans="1:18" x14ac:dyDescent="0.3">
      <c r="A135" t="s">
        <v>702</v>
      </c>
      <c r="B135">
        <v>376.70610943448798</v>
      </c>
      <c r="O135" t="s">
        <v>702</v>
      </c>
      <c r="P135">
        <v>0.63300000000000001</v>
      </c>
      <c r="Q135">
        <v>0.78</v>
      </c>
      <c r="R135">
        <v>0.92700000000000005</v>
      </c>
    </row>
    <row r="136" spans="1:18" x14ac:dyDescent="0.3">
      <c r="A136" t="s">
        <v>701</v>
      </c>
      <c r="B136">
        <v>379.89560914579556</v>
      </c>
      <c r="O136" t="s">
        <v>701</v>
      </c>
      <c r="P136">
        <v>0.628</v>
      </c>
      <c r="Q136">
        <v>0.77600000000000002</v>
      </c>
      <c r="R136">
        <v>0.92300000000000004</v>
      </c>
    </row>
    <row r="137" spans="1:18" x14ac:dyDescent="0.3">
      <c r="A137" t="s">
        <v>700</v>
      </c>
      <c r="B137">
        <v>384.50543294729476</v>
      </c>
      <c r="O137" t="s">
        <v>700</v>
      </c>
      <c r="P137">
        <v>0.622</v>
      </c>
      <c r="Q137">
        <v>0.77100000000000002</v>
      </c>
      <c r="R137">
        <v>0.92</v>
      </c>
    </row>
    <row r="138" spans="1:18" x14ac:dyDescent="0.3">
      <c r="A138" t="s">
        <v>699</v>
      </c>
      <c r="B138">
        <v>385.83854415475537</v>
      </c>
      <c r="O138" t="s">
        <v>699</v>
      </c>
      <c r="P138">
        <v>0.61599999999999999</v>
      </c>
      <c r="Q138">
        <v>0.76700000000000002</v>
      </c>
      <c r="R138">
        <v>0.91700000000000004</v>
      </c>
    </row>
    <row r="139" spans="1:18" x14ac:dyDescent="0.3">
      <c r="A139" t="s">
        <v>698</v>
      </c>
      <c r="B139">
        <v>385.60894289205515</v>
      </c>
      <c r="O139" t="s">
        <v>698</v>
      </c>
      <c r="P139">
        <v>0.61099999999999999</v>
      </c>
      <c r="Q139">
        <v>0.76200000000000001</v>
      </c>
      <c r="R139">
        <v>0.91300000000000003</v>
      </c>
    </row>
    <row r="140" spans="1:18" x14ac:dyDescent="0.3">
      <c r="A140" t="s">
        <v>697</v>
      </c>
      <c r="B140">
        <v>385.89727936149256</v>
      </c>
      <c r="O140" t="s">
        <v>697</v>
      </c>
      <c r="P140">
        <v>0.60499999999999998</v>
      </c>
      <c r="Q140">
        <v>0.75800000000000001</v>
      </c>
      <c r="R140">
        <v>0.91</v>
      </c>
    </row>
    <row r="141" spans="1:18" x14ac:dyDescent="0.3">
      <c r="A141" t="s">
        <v>696</v>
      </c>
      <c r="B141">
        <v>386.84594194303668</v>
      </c>
      <c r="O141" t="s">
        <v>696</v>
      </c>
      <c r="P141">
        <v>0.59899999999999998</v>
      </c>
      <c r="Q141">
        <v>0.753</v>
      </c>
      <c r="R141">
        <v>0.90700000000000003</v>
      </c>
    </row>
    <row r="142" spans="1:18" x14ac:dyDescent="0.3">
      <c r="A142" t="s">
        <v>695</v>
      </c>
      <c r="B142">
        <v>386.57362416634578</v>
      </c>
      <c r="O142" t="s">
        <v>695</v>
      </c>
      <c r="P142">
        <v>0.59399999999999997</v>
      </c>
      <c r="Q142">
        <v>0.749</v>
      </c>
      <c r="R142">
        <v>0.90300000000000002</v>
      </c>
    </row>
    <row r="143" spans="1:18" x14ac:dyDescent="0.3">
      <c r="A143" t="s">
        <v>694</v>
      </c>
      <c r="B143">
        <v>387.06130436773992</v>
      </c>
      <c r="O143" t="s">
        <v>694</v>
      </c>
      <c r="P143">
        <v>0.58799999999999997</v>
      </c>
      <c r="Q143">
        <v>0.74399999999999999</v>
      </c>
      <c r="R143">
        <v>0.9</v>
      </c>
    </row>
    <row r="144" spans="1:18" x14ac:dyDescent="0.3">
      <c r="A144" t="s">
        <v>693</v>
      </c>
      <c r="B144">
        <v>386.57184431159612</v>
      </c>
      <c r="O144" t="s">
        <v>693</v>
      </c>
      <c r="P144">
        <v>0.58199999999999996</v>
      </c>
      <c r="Q144">
        <v>0.74</v>
      </c>
      <c r="R144">
        <v>0.89700000000000002</v>
      </c>
    </row>
    <row r="145" spans="1:18" x14ac:dyDescent="0.3">
      <c r="A145" t="s">
        <v>692</v>
      </c>
      <c r="B145">
        <v>388.20753082649099</v>
      </c>
      <c r="O145" t="s">
        <v>692</v>
      </c>
      <c r="P145">
        <v>0.57699999999999996</v>
      </c>
      <c r="Q145">
        <v>0.73499999999999999</v>
      </c>
      <c r="R145">
        <v>0.89300000000000002</v>
      </c>
    </row>
    <row r="146" spans="1:18" x14ac:dyDescent="0.3">
      <c r="A146" t="s">
        <v>691</v>
      </c>
      <c r="B146">
        <v>388.47094932943384</v>
      </c>
      <c r="O146" t="s">
        <v>691</v>
      </c>
      <c r="P146">
        <v>0.57099999999999995</v>
      </c>
      <c r="Q146">
        <v>0.73099999999999998</v>
      </c>
      <c r="R146">
        <v>0.89</v>
      </c>
    </row>
    <row r="147" spans="1:18" x14ac:dyDescent="0.3">
      <c r="A147" t="s">
        <v>690</v>
      </c>
      <c r="B147">
        <v>389.15441355328545</v>
      </c>
      <c r="O147" t="s">
        <v>690</v>
      </c>
      <c r="P147">
        <v>0.56499999999999995</v>
      </c>
      <c r="Q147">
        <v>0.72599999999999998</v>
      </c>
      <c r="R147">
        <v>0.88700000000000001</v>
      </c>
    </row>
    <row r="148" spans="1:18" x14ac:dyDescent="0.3">
      <c r="A148" t="s">
        <v>689</v>
      </c>
      <c r="B148">
        <v>389.21314876002276</v>
      </c>
      <c r="O148" t="s">
        <v>689</v>
      </c>
      <c r="P148">
        <v>0.56000000000000005</v>
      </c>
      <c r="Q148">
        <v>0.72199999999999998</v>
      </c>
      <c r="R148">
        <v>0.88300000000000001</v>
      </c>
    </row>
    <row r="149" spans="1:18" x14ac:dyDescent="0.3">
      <c r="A149" t="s">
        <v>688</v>
      </c>
      <c r="B149">
        <v>387.74654844634114</v>
      </c>
      <c r="O149" t="s">
        <v>688</v>
      </c>
      <c r="P149">
        <v>0.55400000000000005</v>
      </c>
      <c r="Q149">
        <v>0.71699999999999997</v>
      </c>
      <c r="R149">
        <v>0.88</v>
      </c>
    </row>
    <row r="150" spans="1:18" x14ac:dyDescent="0.3">
      <c r="A150" t="s">
        <v>687</v>
      </c>
      <c r="B150">
        <v>385.29746831087277</v>
      </c>
      <c r="O150" t="s">
        <v>687</v>
      </c>
      <c r="P150">
        <v>0.54800000000000004</v>
      </c>
      <c r="Q150">
        <v>0.71299999999999997</v>
      </c>
      <c r="R150">
        <v>0.877</v>
      </c>
    </row>
    <row r="151" spans="1:18" x14ac:dyDescent="0.3">
      <c r="A151" t="s">
        <v>686</v>
      </c>
      <c r="B151">
        <v>382.42834245449569</v>
      </c>
      <c r="O151" t="s">
        <v>686</v>
      </c>
      <c r="P151">
        <v>0.54300000000000004</v>
      </c>
      <c r="Q151">
        <v>0.70799999999999996</v>
      </c>
      <c r="R151">
        <v>0.873</v>
      </c>
    </row>
    <row r="152" spans="1:18" x14ac:dyDescent="0.3">
      <c r="A152" t="s">
        <v>685</v>
      </c>
      <c r="B152">
        <v>380.31031530245554</v>
      </c>
      <c r="O152" t="s">
        <v>685</v>
      </c>
      <c r="P152">
        <v>0.53700000000000003</v>
      </c>
      <c r="Q152">
        <v>0.70399999999999996</v>
      </c>
      <c r="R152">
        <v>0.87</v>
      </c>
    </row>
    <row r="153" spans="1:18" x14ac:dyDescent="0.3">
      <c r="A153" t="s">
        <v>684</v>
      </c>
      <c r="B153">
        <v>381.04717516879555</v>
      </c>
      <c r="O153" t="s">
        <v>684</v>
      </c>
      <c r="P153">
        <v>0.53100000000000003</v>
      </c>
      <c r="Q153">
        <v>0.69899999999999995</v>
      </c>
      <c r="R153">
        <v>0.86699999999999999</v>
      </c>
    </row>
    <row r="154" spans="1:18" x14ac:dyDescent="0.3">
      <c r="A154" t="s">
        <v>683</v>
      </c>
      <c r="B154">
        <v>382.06703194032411</v>
      </c>
      <c r="O154" t="s">
        <v>683</v>
      </c>
      <c r="P154">
        <v>0.52600000000000002</v>
      </c>
      <c r="Q154">
        <v>0.69499999999999995</v>
      </c>
      <c r="R154">
        <v>0.86299999999999999</v>
      </c>
    </row>
    <row r="155" spans="1:18" x14ac:dyDescent="0.3">
      <c r="A155" t="s">
        <v>682</v>
      </c>
      <c r="B155">
        <v>383.62618470098568</v>
      </c>
      <c r="O155" t="s">
        <v>682</v>
      </c>
      <c r="P155">
        <v>0.52</v>
      </c>
      <c r="Q155">
        <v>0.69</v>
      </c>
      <c r="R155">
        <v>0.86</v>
      </c>
    </row>
    <row r="156" spans="1:18" x14ac:dyDescent="0.3">
      <c r="A156" t="s">
        <v>681</v>
      </c>
      <c r="B156">
        <v>390.86388987967479</v>
      </c>
      <c r="O156" t="s">
        <v>681</v>
      </c>
      <c r="P156">
        <v>0.51400000000000001</v>
      </c>
      <c r="Q156">
        <v>0.68500000000000005</v>
      </c>
      <c r="R156">
        <v>0.85599999999999998</v>
      </c>
    </row>
    <row r="157" spans="1:18" x14ac:dyDescent="0.3">
      <c r="A157" t="s">
        <v>680</v>
      </c>
      <c r="B157">
        <v>392.39226598529086</v>
      </c>
      <c r="O157" t="s">
        <v>680</v>
      </c>
      <c r="P157">
        <v>0.50700000000000001</v>
      </c>
      <c r="Q157">
        <v>0.67900000000000005</v>
      </c>
      <c r="R157">
        <v>0.85199999999999998</v>
      </c>
    </row>
    <row r="158" spans="1:18" x14ac:dyDescent="0.3">
      <c r="A158" t="s">
        <v>679</v>
      </c>
      <c r="B158">
        <v>394.40520754648924</v>
      </c>
      <c r="O158" t="s">
        <v>679</v>
      </c>
      <c r="P158">
        <v>0.501</v>
      </c>
      <c r="Q158">
        <v>0.67400000000000004</v>
      </c>
      <c r="R158">
        <v>0.84699999999999998</v>
      </c>
    </row>
    <row r="159" spans="1:18" x14ac:dyDescent="0.3">
      <c r="A159" t="s">
        <v>678</v>
      </c>
      <c r="B159">
        <v>395.52021238650764</v>
      </c>
      <c r="O159" t="s">
        <v>678</v>
      </c>
      <c r="P159">
        <v>0.49399999999999999</v>
      </c>
      <c r="Q159">
        <v>0.66900000000000004</v>
      </c>
      <c r="R159">
        <v>0.84299999999999997</v>
      </c>
    </row>
    <row r="160" spans="1:18" x14ac:dyDescent="0.3">
      <c r="A160" t="s">
        <v>677</v>
      </c>
      <c r="B160">
        <v>397.4060426543378</v>
      </c>
      <c r="O160" t="s">
        <v>677</v>
      </c>
      <c r="P160">
        <v>0.48799999999999999</v>
      </c>
      <c r="Q160">
        <v>0.66300000000000003</v>
      </c>
      <c r="R160">
        <v>0.83899999999999997</v>
      </c>
    </row>
    <row r="161" spans="1:18" x14ac:dyDescent="0.3">
      <c r="A161" t="s">
        <v>676</v>
      </c>
      <c r="B161">
        <v>399.65088445728793</v>
      </c>
      <c r="O161" t="s">
        <v>676</v>
      </c>
      <c r="P161">
        <v>0.48099999999999998</v>
      </c>
      <c r="Q161">
        <v>0.65800000000000003</v>
      </c>
      <c r="R161">
        <v>0.83499999999999996</v>
      </c>
    </row>
    <row r="162" spans="1:18" x14ac:dyDescent="0.3">
      <c r="A162" t="s">
        <v>675</v>
      </c>
      <c r="B162">
        <v>402.65891314474953</v>
      </c>
      <c r="O162" t="s">
        <v>675</v>
      </c>
      <c r="P162">
        <v>0.47499999999999998</v>
      </c>
      <c r="Q162">
        <v>0.65300000000000002</v>
      </c>
      <c r="R162">
        <v>0.83099999999999996</v>
      </c>
    </row>
    <row r="163" spans="1:18" x14ac:dyDescent="0.3">
      <c r="A163" t="s">
        <v>674</v>
      </c>
      <c r="B163">
        <v>404.60963395032599</v>
      </c>
      <c r="O163" t="s">
        <v>674</v>
      </c>
      <c r="P163">
        <v>0.46800000000000003</v>
      </c>
      <c r="Q163">
        <v>0.64700000000000002</v>
      </c>
      <c r="R163">
        <v>0.82599999999999996</v>
      </c>
    </row>
    <row r="164" spans="1:18" x14ac:dyDescent="0.3">
      <c r="A164" t="s">
        <v>673</v>
      </c>
      <c r="B164">
        <v>406.91565826029404</v>
      </c>
      <c r="O164" t="s">
        <v>673</v>
      </c>
      <c r="P164">
        <v>0.46200000000000002</v>
      </c>
      <c r="Q164">
        <v>0.64200000000000002</v>
      </c>
      <c r="R164">
        <v>0.82199999999999995</v>
      </c>
    </row>
    <row r="165" spans="1:18" x14ac:dyDescent="0.3">
      <c r="A165" t="s">
        <v>672</v>
      </c>
      <c r="B165">
        <v>405.52967053464704</v>
      </c>
      <c r="O165" t="s">
        <v>672</v>
      </c>
      <c r="P165">
        <v>0.45500000000000002</v>
      </c>
      <c r="Q165">
        <v>0.63700000000000001</v>
      </c>
      <c r="R165">
        <v>0.81799999999999995</v>
      </c>
    </row>
    <row r="166" spans="1:18" x14ac:dyDescent="0.3">
      <c r="A166" t="s">
        <v>671</v>
      </c>
      <c r="B166">
        <v>404.13574762324134</v>
      </c>
      <c r="O166" t="s">
        <v>671</v>
      </c>
      <c r="P166">
        <v>0.44900000000000001</v>
      </c>
      <c r="Q166">
        <v>0.63100000000000001</v>
      </c>
      <c r="R166">
        <v>0.81399999999999995</v>
      </c>
    </row>
    <row r="167" spans="1:18" x14ac:dyDescent="0.3">
      <c r="A167" t="s">
        <v>670</v>
      </c>
      <c r="B167">
        <v>402.36234484709507</v>
      </c>
      <c r="O167" t="s">
        <v>670</v>
      </c>
      <c r="P167">
        <v>0.443</v>
      </c>
      <c r="Q167">
        <v>0.626</v>
      </c>
      <c r="R167">
        <v>0.81</v>
      </c>
    </row>
    <row r="168" spans="1:18" x14ac:dyDescent="0.3">
      <c r="A168" t="s">
        <v>669</v>
      </c>
      <c r="B168">
        <v>402.43472560691271</v>
      </c>
      <c r="O168" t="s">
        <v>669</v>
      </c>
      <c r="P168">
        <v>0.436</v>
      </c>
      <c r="Q168">
        <v>0.621</v>
      </c>
      <c r="R168">
        <v>0.80500000000000005</v>
      </c>
    </row>
    <row r="169" spans="1:18" x14ac:dyDescent="0.3">
      <c r="A169" t="s">
        <v>668</v>
      </c>
      <c r="B169">
        <v>401.80843921689251</v>
      </c>
      <c r="O169" t="s">
        <v>668</v>
      </c>
      <c r="P169">
        <v>0.43</v>
      </c>
      <c r="Q169">
        <v>0.61499999999999999</v>
      </c>
      <c r="R169">
        <v>0.80100000000000005</v>
      </c>
    </row>
    <row r="170" spans="1:18" x14ac:dyDescent="0.3">
      <c r="A170" t="s">
        <v>667</v>
      </c>
      <c r="B170">
        <v>401.25394030177324</v>
      </c>
      <c r="O170" t="s">
        <v>667</v>
      </c>
      <c r="P170">
        <v>0.42299999999999999</v>
      </c>
      <c r="Q170">
        <v>0.61</v>
      </c>
      <c r="R170">
        <v>0.79700000000000004</v>
      </c>
    </row>
    <row r="171" spans="1:18" x14ac:dyDescent="0.3">
      <c r="A171" t="s">
        <v>666</v>
      </c>
      <c r="B171">
        <v>399.45287561639344</v>
      </c>
      <c r="O171" t="s">
        <v>666</v>
      </c>
      <c r="P171">
        <v>0.41699999999999998</v>
      </c>
      <c r="Q171">
        <v>0.60499999999999998</v>
      </c>
      <c r="R171">
        <v>0.79300000000000004</v>
      </c>
    </row>
    <row r="172" spans="1:18" x14ac:dyDescent="0.3">
      <c r="A172" t="s">
        <v>665</v>
      </c>
      <c r="B172">
        <v>400.1322610064438</v>
      </c>
      <c r="O172" t="s">
        <v>665</v>
      </c>
      <c r="P172">
        <v>0.41</v>
      </c>
      <c r="Q172">
        <v>0.6</v>
      </c>
      <c r="R172">
        <v>0.78900000000000003</v>
      </c>
    </row>
    <row r="173" spans="1:18" x14ac:dyDescent="0.3">
      <c r="A173" t="s">
        <v>664</v>
      </c>
      <c r="B173">
        <v>399.59229757177985</v>
      </c>
      <c r="O173" t="s">
        <v>664</v>
      </c>
      <c r="P173">
        <v>0.40400000000000003</v>
      </c>
      <c r="Q173">
        <v>0.59399999999999997</v>
      </c>
      <c r="R173">
        <v>0.78500000000000003</v>
      </c>
    </row>
    <row r="174" spans="1:18" x14ac:dyDescent="0.3">
      <c r="A174" t="s">
        <v>663</v>
      </c>
      <c r="B174">
        <v>400.81439033923328</v>
      </c>
      <c r="O174" t="s">
        <v>663</v>
      </c>
      <c r="P174">
        <v>0.39700000000000002</v>
      </c>
      <c r="Q174">
        <v>0.58899999999999997</v>
      </c>
      <c r="R174">
        <v>0.78</v>
      </c>
    </row>
    <row r="175" spans="1:18" x14ac:dyDescent="0.3">
      <c r="A175" t="s">
        <v>662</v>
      </c>
      <c r="B175">
        <v>401.90818524348543</v>
      </c>
      <c r="O175" t="s">
        <v>662</v>
      </c>
      <c r="P175">
        <v>0.39100000000000001</v>
      </c>
      <c r="Q175">
        <v>0.58399999999999996</v>
      </c>
      <c r="R175">
        <v>0.77600000000000002</v>
      </c>
    </row>
    <row r="176" spans="1:18" x14ac:dyDescent="0.3">
      <c r="A176" t="s">
        <v>661</v>
      </c>
      <c r="B176">
        <v>400.5639499438397</v>
      </c>
      <c r="O176" t="s">
        <v>661</v>
      </c>
      <c r="P176">
        <v>0.38500000000000001</v>
      </c>
      <c r="Q176">
        <v>0.57799999999999996</v>
      </c>
      <c r="R176">
        <v>0.77200000000000002</v>
      </c>
    </row>
    <row r="177" spans="1:18" x14ac:dyDescent="0.3">
      <c r="A177" t="s">
        <v>660</v>
      </c>
      <c r="B177">
        <v>400.00908022564761</v>
      </c>
      <c r="O177" t="s">
        <v>660</v>
      </c>
      <c r="P177">
        <v>0.378</v>
      </c>
      <c r="Q177">
        <v>0.57299999999999995</v>
      </c>
      <c r="R177">
        <v>0.76800000000000002</v>
      </c>
    </row>
    <row r="178" spans="1:18" x14ac:dyDescent="0.3">
      <c r="A178" t="s">
        <v>659</v>
      </c>
      <c r="B178">
        <v>399.61046692234879</v>
      </c>
      <c r="O178" t="s">
        <v>659</v>
      </c>
      <c r="P178">
        <v>0.372</v>
      </c>
      <c r="Q178">
        <v>0.56799999999999995</v>
      </c>
      <c r="R178">
        <v>0.76400000000000001</v>
      </c>
    </row>
    <row r="179" spans="1:18" x14ac:dyDescent="0.3">
      <c r="A179" t="s">
        <v>658</v>
      </c>
      <c r="B179">
        <v>399.31323117916327</v>
      </c>
      <c r="O179" t="s">
        <v>658</v>
      </c>
      <c r="P179">
        <v>0.36499999999999999</v>
      </c>
      <c r="Q179">
        <v>0.56200000000000006</v>
      </c>
      <c r="R179">
        <v>0.75900000000000001</v>
      </c>
    </row>
    <row r="180" spans="1:18" x14ac:dyDescent="0.3">
      <c r="A180" t="s">
        <v>657</v>
      </c>
      <c r="B180">
        <v>398.39519693143558</v>
      </c>
      <c r="O180" t="s">
        <v>657</v>
      </c>
      <c r="P180">
        <v>0.35899999999999999</v>
      </c>
      <c r="Q180">
        <v>0.55700000000000005</v>
      </c>
      <c r="R180">
        <v>0.755</v>
      </c>
    </row>
    <row r="181" spans="1:18" x14ac:dyDescent="0.3">
      <c r="A181" t="s">
        <v>656</v>
      </c>
      <c r="B181">
        <v>398.70244435758758</v>
      </c>
      <c r="O181" t="s">
        <v>656</v>
      </c>
      <c r="P181">
        <v>0.35199999999999998</v>
      </c>
      <c r="Q181">
        <v>0.55200000000000005</v>
      </c>
      <c r="R181">
        <v>0.751</v>
      </c>
    </row>
    <row r="182" spans="1:18" x14ac:dyDescent="0.3">
      <c r="A182" t="s">
        <v>655</v>
      </c>
      <c r="B182">
        <v>399.85616103840999</v>
      </c>
      <c r="O182" t="s">
        <v>655</v>
      </c>
      <c r="P182">
        <v>0.34599999999999997</v>
      </c>
      <c r="Q182">
        <v>0.54600000000000004</v>
      </c>
      <c r="R182">
        <v>0.747</v>
      </c>
    </row>
    <row r="183" spans="1:18" x14ac:dyDescent="0.3">
      <c r="A183" t="s">
        <v>654</v>
      </c>
      <c r="B183">
        <v>400.09332668379608</v>
      </c>
      <c r="O183" t="s">
        <v>654</v>
      </c>
      <c r="P183">
        <v>0.33900000000000002</v>
      </c>
      <c r="Q183">
        <v>0.54100000000000004</v>
      </c>
      <c r="R183">
        <v>0.74299999999999999</v>
      </c>
    </row>
    <row r="184" spans="1:18" x14ac:dyDescent="0.3">
      <c r="A184" t="s">
        <v>653</v>
      </c>
      <c r="B184">
        <v>398.63710885615387</v>
      </c>
      <c r="O184" t="s">
        <v>653</v>
      </c>
      <c r="P184">
        <v>0.33300000000000002</v>
      </c>
      <c r="Q184">
        <v>0.53600000000000003</v>
      </c>
      <c r="R184">
        <v>0.73799999999999999</v>
      </c>
    </row>
    <row r="185" spans="1:18" x14ac:dyDescent="0.3">
      <c r="A185" t="s">
        <v>652</v>
      </c>
      <c r="B185">
        <v>397.80272778165795</v>
      </c>
      <c r="O185" t="s">
        <v>652</v>
      </c>
      <c r="P185">
        <v>0.32600000000000001</v>
      </c>
      <c r="Q185">
        <v>0.53</v>
      </c>
      <c r="R185">
        <v>0.73399999999999999</v>
      </c>
    </row>
    <row r="186" spans="1:18" x14ac:dyDescent="0.3">
      <c r="A186" t="s">
        <v>651</v>
      </c>
      <c r="B186">
        <v>395.47838579989167</v>
      </c>
      <c r="O186" t="s">
        <v>651</v>
      </c>
      <c r="P186">
        <v>0.32</v>
      </c>
      <c r="Q186">
        <v>0.52500000000000002</v>
      </c>
      <c r="R186">
        <v>0.73</v>
      </c>
    </row>
    <row r="187" spans="1:18" x14ac:dyDescent="0.3">
      <c r="A187" t="s">
        <v>650</v>
      </c>
      <c r="B187">
        <v>393.57631435747129</v>
      </c>
      <c r="O187" t="s">
        <v>650</v>
      </c>
      <c r="P187">
        <v>0.315</v>
      </c>
      <c r="Q187">
        <v>0.52100000000000002</v>
      </c>
      <c r="R187">
        <v>0.72699999999999998</v>
      </c>
    </row>
    <row r="188" spans="1:18" x14ac:dyDescent="0.3">
      <c r="A188" t="s">
        <v>649</v>
      </c>
      <c r="B188">
        <v>391.8893828579105</v>
      </c>
      <c r="O188" t="s">
        <v>649</v>
      </c>
      <c r="P188">
        <v>0.309</v>
      </c>
      <c r="Q188">
        <v>0.51600000000000001</v>
      </c>
      <c r="R188">
        <v>0.72399999999999998</v>
      </c>
    </row>
    <row r="189" spans="1:18" x14ac:dyDescent="0.3">
      <c r="A189" t="s">
        <v>648</v>
      </c>
      <c r="B189">
        <v>392.76440394918922</v>
      </c>
      <c r="O189" t="s">
        <v>648</v>
      </c>
      <c r="P189">
        <v>0.30399999999999999</v>
      </c>
      <c r="Q189">
        <v>0.51200000000000001</v>
      </c>
      <c r="R189">
        <v>0.72</v>
      </c>
    </row>
    <row r="190" spans="1:18" x14ac:dyDescent="0.3">
      <c r="A190" t="s">
        <v>647</v>
      </c>
      <c r="B190">
        <v>393.5663026745047</v>
      </c>
      <c r="O190" t="s">
        <v>647</v>
      </c>
      <c r="P190">
        <v>0.29799999999999999</v>
      </c>
      <c r="Q190">
        <v>0.50800000000000001</v>
      </c>
      <c r="R190">
        <v>0.71699999999999997</v>
      </c>
    </row>
    <row r="191" spans="1:18" x14ac:dyDescent="0.3">
      <c r="A191" t="s">
        <v>646</v>
      </c>
      <c r="B191">
        <v>393.73939354890462</v>
      </c>
      <c r="O191" t="s">
        <v>646</v>
      </c>
      <c r="P191">
        <v>0.29299999999999998</v>
      </c>
      <c r="Q191">
        <v>0.503</v>
      </c>
      <c r="R191">
        <v>0.71399999999999997</v>
      </c>
    </row>
    <row r="192" spans="1:18" x14ac:dyDescent="0.3">
      <c r="A192" t="s">
        <v>645</v>
      </c>
      <c r="B192">
        <v>394.71920358856693</v>
      </c>
      <c r="O192" t="s">
        <v>645</v>
      </c>
      <c r="P192">
        <v>0.28699999999999998</v>
      </c>
      <c r="Q192">
        <v>0.499</v>
      </c>
      <c r="R192">
        <v>0.71099999999999997</v>
      </c>
    </row>
    <row r="193" spans="1:18" x14ac:dyDescent="0.3">
      <c r="A193" t="s">
        <v>644</v>
      </c>
      <c r="B193">
        <v>395.65881857513381</v>
      </c>
      <c r="O193" t="s">
        <v>644</v>
      </c>
      <c r="P193">
        <v>0.28199999999999997</v>
      </c>
      <c r="Q193">
        <v>0.495</v>
      </c>
      <c r="R193">
        <v>0.70699999999999996</v>
      </c>
    </row>
    <row r="194" spans="1:18" x14ac:dyDescent="0.3">
      <c r="A194" t="s">
        <v>643</v>
      </c>
      <c r="B194">
        <v>396.14813031004837</v>
      </c>
      <c r="O194" t="s">
        <v>643</v>
      </c>
      <c r="P194">
        <v>0.27600000000000002</v>
      </c>
      <c r="Q194">
        <v>0.49</v>
      </c>
      <c r="R194">
        <v>0.70399999999999996</v>
      </c>
    </row>
    <row r="195" spans="1:18" x14ac:dyDescent="0.3">
      <c r="A195" t="s">
        <v>642</v>
      </c>
      <c r="B195">
        <v>396.0833880935312</v>
      </c>
      <c r="O195" t="s">
        <v>642</v>
      </c>
      <c r="P195">
        <v>0.27100000000000002</v>
      </c>
      <c r="Q195">
        <v>0.48599999999999999</v>
      </c>
      <c r="R195">
        <v>0.70099999999999996</v>
      </c>
    </row>
    <row r="196" spans="1:18" x14ac:dyDescent="0.3">
      <c r="A196" t="s">
        <v>641</v>
      </c>
      <c r="B196">
        <v>396.0833880935312</v>
      </c>
      <c r="O196" t="s">
        <v>641</v>
      </c>
      <c r="P196">
        <v>0.26500000000000001</v>
      </c>
      <c r="Q196">
        <v>0.48099999999999998</v>
      </c>
      <c r="R196">
        <v>0.69799999999999995</v>
      </c>
    </row>
    <row r="197" spans="1:18" x14ac:dyDescent="0.3">
      <c r="A197" t="s">
        <v>640</v>
      </c>
      <c r="B197">
        <v>396.1605151326811</v>
      </c>
      <c r="O197" t="s">
        <v>640</v>
      </c>
      <c r="P197">
        <v>0.26</v>
      </c>
      <c r="Q197">
        <v>0.47699999999999998</v>
      </c>
      <c r="R197">
        <v>0.69499999999999995</v>
      </c>
    </row>
    <row r="198" spans="1:18" x14ac:dyDescent="0.3">
      <c r="A198" t="s">
        <v>639</v>
      </c>
      <c r="B198">
        <v>395.64532134328255</v>
      </c>
      <c r="O198" t="s">
        <v>639</v>
      </c>
      <c r="P198">
        <v>0.254</v>
      </c>
      <c r="Q198">
        <v>0.47299999999999998</v>
      </c>
      <c r="R198">
        <v>0.69099999999999995</v>
      </c>
    </row>
    <row r="199" spans="1:18" x14ac:dyDescent="0.3">
      <c r="A199" t="s">
        <v>638</v>
      </c>
      <c r="B199">
        <v>396.40272369985775</v>
      </c>
      <c r="O199" t="s">
        <v>638</v>
      </c>
      <c r="P199">
        <v>0.249</v>
      </c>
      <c r="Q199">
        <v>0.46800000000000003</v>
      </c>
      <c r="R199">
        <v>0.68799999999999994</v>
      </c>
    </row>
    <row r="200" spans="1:18" x14ac:dyDescent="0.3">
      <c r="A200" t="s">
        <v>637</v>
      </c>
      <c r="B200">
        <v>397.52373554965601</v>
      </c>
      <c r="O200" t="s">
        <v>637</v>
      </c>
      <c r="P200">
        <v>0.24299999999999999</v>
      </c>
      <c r="Q200">
        <v>0.46400000000000002</v>
      </c>
      <c r="R200">
        <v>0.68500000000000005</v>
      </c>
    </row>
    <row r="201" spans="1:18" x14ac:dyDescent="0.3">
      <c r="A201" t="s">
        <v>636</v>
      </c>
      <c r="B201">
        <v>397.90796169372885</v>
      </c>
      <c r="O201" t="s">
        <v>636</v>
      </c>
      <c r="P201">
        <v>0.23799999999999999</v>
      </c>
      <c r="Q201">
        <v>0.46</v>
      </c>
      <c r="R201">
        <v>0.68200000000000005</v>
      </c>
    </row>
    <row r="202" spans="1:18" x14ac:dyDescent="0.3">
      <c r="A202" t="s">
        <v>635</v>
      </c>
      <c r="B202">
        <v>396.93986903116814</v>
      </c>
      <c r="O202" t="s">
        <v>635</v>
      </c>
      <c r="P202">
        <v>0.23200000000000001</v>
      </c>
      <c r="Q202">
        <v>0.45500000000000002</v>
      </c>
      <c r="R202">
        <v>0.67800000000000005</v>
      </c>
    </row>
    <row r="203" spans="1:18" x14ac:dyDescent="0.3">
      <c r="A203" t="s">
        <v>634</v>
      </c>
      <c r="B203">
        <v>395.43796826495259</v>
      </c>
      <c r="O203" t="s">
        <v>634</v>
      </c>
      <c r="P203">
        <v>0.22700000000000001</v>
      </c>
      <c r="Q203">
        <v>0.45100000000000001</v>
      </c>
      <c r="R203">
        <v>0.67500000000000004</v>
      </c>
    </row>
    <row r="204" spans="1:18" x14ac:dyDescent="0.3">
      <c r="A204" t="s">
        <v>633</v>
      </c>
      <c r="B204">
        <v>396.61682539411328</v>
      </c>
      <c r="O204" t="s">
        <v>633</v>
      </c>
      <c r="P204">
        <v>0.221</v>
      </c>
      <c r="Q204">
        <v>0.44700000000000001</v>
      </c>
      <c r="R204">
        <v>0.67200000000000004</v>
      </c>
    </row>
    <row r="205" spans="1:18" x14ac:dyDescent="0.3">
      <c r="A205" t="s">
        <v>632</v>
      </c>
      <c r="B205">
        <v>396.5970245100238</v>
      </c>
      <c r="O205" t="s">
        <v>632</v>
      </c>
      <c r="P205">
        <v>0.216</v>
      </c>
      <c r="Q205">
        <v>0.442</v>
      </c>
      <c r="R205">
        <v>0.66900000000000004</v>
      </c>
    </row>
    <row r="206" spans="1:18" x14ac:dyDescent="0.3">
      <c r="A206" t="s">
        <v>631</v>
      </c>
      <c r="B206">
        <v>395.55276889630261</v>
      </c>
      <c r="O206" t="s">
        <v>631</v>
      </c>
      <c r="P206">
        <v>0.21</v>
      </c>
      <c r="Q206">
        <v>0.438</v>
      </c>
      <c r="R206">
        <v>0.66500000000000004</v>
      </c>
    </row>
    <row r="207" spans="1:18" x14ac:dyDescent="0.3">
      <c r="A207" t="s">
        <v>630</v>
      </c>
      <c r="B207">
        <v>392.83292835704935</v>
      </c>
      <c r="O207" t="s">
        <v>630</v>
      </c>
      <c r="P207">
        <v>0.20499999999999999</v>
      </c>
      <c r="Q207">
        <v>0.434</v>
      </c>
      <c r="R207">
        <v>0.66200000000000003</v>
      </c>
    </row>
    <row r="208" spans="1:18" x14ac:dyDescent="0.3">
      <c r="A208" t="s">
        <v>629</v>
      </c>
      <c r="B208">
        <v>390.50220856243038</v>
      </c>
      <c r="O208" t="s">
        <v>629</v>
      </c>
      <c r="P208">
        <v>0.19900000000000001</v>
      </c>
      <c r="Q208">
        <v>0.42899999999999999</v>
      </c>
      <c r="R208">
        <v>0.65900000000000003</v>
      </c>
    </row>
    <row r="209" spans="1:18" x14ac:dyDescent="0.3">
      <c r="A209" t="s">
        <v>628</v>
      </c>
      <c r="B209">
        <v>388.04593484734903</v>
      </c>
      <c r="O209" t="s">
        <v>628</v>
      </c>
      <c r="P209">
        <v>0.19400000000000001</v>
      </c>
      <c r="Q209">
        <v>0.42499999999999999</v>
      </c>
      <c r="R209">
        <v>0.65600000000000003</v>
      </c>
    </row>
    <row r="210" spans="1:18" x14ac:dyDescent="0.3">
      <c r="A210" t="s">
        <v>627</v>
      </c>
      <c r="B210">
        <v>386.25592009353977</v>
      </c>
      <c r="O210" t="s">
        <v>627</v>
      </c>
      <c r="P210">
        <v>0.188</v>
      </c>
      <c r="Q210">
        <v>0.42</v>
      </c>
      <c r="R210">
        <v>0.65300000000000002</v>
      </c>
    </row>
    <row r="211" spans="1:18" x14ac:dyDescent="0.3">
      <c r="A211" t="s">
        <v>626</v>
      </c>
      <c r="B211">
        <v>385.81080808490719</v>
      </c>
      <c r="O211" t="s">
        <v>626</v>
      </c>
      <c r="P211">
        <v>0.183</v>
      </c>
      <c r="Q211">
        <v>0.41599999999999998</v>
      </c>
      <c r="R211">
        <v>0.64900000000000002</v>
      </c>
    </row>
    <row r="212" spans="1:18" x14ac:dyDescent="0.3">
      <c r="A212" t="s">
        <v>625</v>
      </c>
      <c r="B212">
        <v>382.99270473135232</v>
      </c>
      <c r="O212" t="s">
        <v>625</v>
      </c>
      <c r="P212">
        <v>0.17699999999999999</v>
      </c>
      <c r="Q212">
        <v>0.41199999999999998</v>
      </c>
      <c r="R212">
        <v>0.64600000000000002</v>
      </c>
    </row>
    <row r="213" spans="1:18" x14ac:dyDescent="0.3">
      <c r="A213" t="s">
        <v>624</v>
      </c>
      <c r="B213">
        <v>380.28806711808539</v>
      </c>
      <c r="O213" t="s">
        <v>624</v>
      </c>
      <c r="P213">
        <v>0.17199999999999999</v>
      </c>
      <c r="Q213">
        <v>0.40699999999999997</v>
      </c>
      <c r="R213">
        <v>0.64300000000000002</v>
      </c>
    </row>
    <row r="214" spans="1:18" x14ac:dyDescent="0.3">
      <c r="A214" t="s">
        <v>623</v>
      </c>
      <c r="B214">
        <v>376.49742146509578</v>
      </c>
      <c r="O214" t="s">
        <v>623</v>
      </c>
      <c r="P214">
        <v>0.16600000000000001</v>
      </c>
      <c r="Q214">
        <v>0.40300000000000002</v>
      </c>
      <c r="R214">
        <v>0.64</v>
      </c>
    </row>
    <row r="215" spans="1:18" x14ac:dyDescent="0.3">
      <c r="A215" t="s">
        <v>622</v>
      </c>
      <c r="B215">
        <v>370.29091963196407</v>
      </c>
      <c r="O215" t="s">
        <v>622</v>
      </c>
      <c r="P215">
        <v>0.161</v>
      </c>
      <c r="Q215">
        <v>0.39900000000000002</v>
      </c>
      <c r="R215">
        <v>0.63600000000000001</v>
      </c>
    </row>
    <row r="216" spans="1:18" x14ac:dyDescent="0.3">
      <c r="A216" t="s">
        <v>621</v>
      </c>
      <c r="B216">
        <v>367.41059552278728</v>
      </c>
      <c r="O216" t="s">
        <v>621</v>
      </c>
      <c r="P216">
        <v>0.155</v>
      </c>
      <c r="Q216">
        <v>0.39400000000000002</v>
      </c>
      <c r="R216">
        <v>0.63300000000000001</v>
      </c>
    </row>
    <row r="217" spans="1:18" x14ac:dyDescent="0.3">
      <c r="A217" t="s">
        <v>620</v>
      </c>
      <c r="B217">
        <v>364.81779211628771</v>
      </c>
      <c r="O217" t="s">
        <v>620</v>
      </c>
      <c r="P217">
        <v>0.15</v>
      </c>
      <c r="Q217">
        <v>0.39</v>
      </c>
      <c r="R217">
        <v>0.63</v>
      </c>
    </row>
    <row r="218" spans="1:18" x14ac:dyDescent="0.3">
      <c r="A218" t="s">
        <v>619</v>
      </c>
      <c r="B218">
        <v>363.00263691414011</v>
      </c>
      <c r="O218" t="s">
        <v>619</v>
      </c>
      <c r="P218">
        <v>0.14799999999999999</v>
      </c>
      <c r="Q218">
        <v>0.38900000000000001</v>
      </c>
      <c r="R218">
        <v>0.629</v>
      </c>
    </row>
    <row r="219" spans="1:18" x14ac:dyDescent="0.3">
      <c r="A219" t="s">
        <v>618</v>
      </c>
      <c r="B219">
        <v>362.12034808263371</v>
      </c>
      <c r="O219" t="s">
        <v>618</v>
      </c>
      <c r="P219">
        <v>0.14599999999999999</v>
      </c>
      <c r="Q219">
        <v>0.38700000000000001</v>
      </c>
      <c r="R219">
        <v>0.628</v>
      </c>
    </row>
    <row r="220" spans="1:18" x14ac:dyDescent="0.3">
      <c r="A220" t="s">
        <v>617</v>
      </c>
      <c r="B220">
        <v>360.69453610696411</v>
      </c>
      <c r="O220" t="s">
        <v>617</v>
      </c>
      <c r="P220">
        <v>0.14499999999999999</v>
      </c>
      <c r="Q220">
        <v>0.38600000000000001</v>
      </c>
      <c r="R220">
        <v>0.627</v>
      </c>
    </row>
    <row r="221" spans="1:18" x14ac:dyDescent="0.3">
      <c r="A221" t="s">
        <v>616</v>
      </c>
      <c r="B221">
        <v>358.67529089352752</v>
      </c>
      <c r="O221" t="s">
        <v>616</v>
      </c>
      <c r="P221">
        <v>0.14299999999999999</v>
      </c>
      <c r="Q221">
        <v>0.38400000000000001</v>
      </c>
      <c r="R221">
        <v>0.626</v>
      </c>
    </row>
    <row r="222" spans="1:18" x14ac:dyDescent="0.3">
      <c r="A222" t="s">
        <v>615</v>
      </c>
      <c r="B222">
        <v>356.33908321343051</v>
      </c>
      <c r="O222" t="s">
        <v>615</v>
      </c>
      <c r="P222">
        <v>0.14099999999999999</v>
      </c>
      <c r="Q222">
        <v>0.38300000000000001</v>
      </c>
      <c r="R222">
        <v>0.625</v>
      </c>
    </row>
    <row r="223" spans="1:18" x14ac:dyDescent="0.3">
      <c r="A223" t="s">
        <v>614</v>
      </c>
      <c r="B223">
        <v>352.34093616088182</v>
      </c>
      <c r="O223" t="s">
        <v>614</v>
      </c>
      <c r="P223">
        <v>0.13900000000000001</v>
      </c>
      <c r="Q223">
        <v>0.38100000000000001</v>
      </c>
      <c r="R223">
        <v>0.624</v>
      </c>
    </row>
    <row r="224" spans="1:18" x14ac:dyDescent="0.3">
      <c r="A224" t="s">
        <v>613</v>
      </c>
      <c r="B224">
        <v>348.45403003018401</v>
      </c>
      <c r="O224" t="s">
        <v>613</v>
      </c>
      <c r="P224">
        <v>0.13800000000000001</v>
      </c>
      <c r="Q224">
        <v>0.38</v>
      </c>
      <c r="R224">
        <v>0.623</v>
      </c>
    </row>
    <row r="225" spans="1:18" x14ac:dyDescent="0.3">
      <c r="A225" t="s">
        <v>612</v>
      </c>
      <c r="B225">
        <v>343.90108742005788</v>
      </c>
      <c r="O225" t="s">
        <v>612</v>
      </c>
      <c r="P225">
        <v>0.13600000000000001</v>
      </c>
      <c r="Q225">
        <v>0.379</v>
      </c>
      <c r="R225">
        <v>0.621</v>
      </c>
    </row>
    <row r="226" spans="1:18" x14ac:dyDescent="0.3">
      <c r="A226" t="s">
        <v>611</v>
      </c>
      <c r="B226">
        <v>338.30596569341839</v>
      </c>
      <c r="O226" t="s">
        <v>611</v>
      </c>
      <c r="P226">
        <v>0.13400000000000001</v>
      </c>
      <c r="Q226">
        <v>0.377</v>
      </c>
      <c r="R226">
        <v>0.62</v>
      </c>
    </row>
    <row r="227" spans="1:18" x14ac:dyDescent="0.3">
      <c r="A227" t="s">
        <v>610</v>
      </c>
      <c r="B227">
        <v>333.83015012244221</v>
      </c>
      <c r="O227" t="s">
        <v>610</v>
      </c>
      <c r="P227">
        <v>0.13200000000000001</v>
      </c>
      <c r="Q227">
        <v>0.376</v>
      </c>
      <c r="R227">
        <v>0.61899999999999999</v>
      </c>
    </row>
    <row r="228" spans="1:18" x14ac:dyDescent="0.3">
      <c r="A228" t="s">
        <v>609</v>
      </c>
      <c r="B228">
        <v>330.81374128553455</v>
      </c>
      <c r="O228" t="s">
        <v>609</v>
      </c>
      <c r="P228">
        <v>0.13</v>
      </c>
      <c r="Q228">
        <v>0.374</v>
      </c>
      <c r="R228">
        <v>0.61799999999999999</v>
      </c>
    </row>
    <row r="229" spans="1:18" x14ac:dyDescent="0.3">
      <c r="A229" t="s">
        <v>608</v>
      </c>
      <c r="B229">
        <v>328.1132566666833</v>
      </c>
      <c r="O229" t="s">
        <v>608</v>
      </c>
      <c r="P229">
        <v>0.129</v>
      </c>
      <c r="Q229">
        <v>0.373</v>
      </c>
      <c r="R229">
        <v>0.61699999999999999</v>
      </c>
    </row>
    <row r="230" spans="1:18" x14ac:dyDescent="0.3">
      <c r="A230" t="s">
        <v>607</v>
      </c>
      <c r="B230">
        <v>327.34554598468333</v>
      </c>
      <c r="O230" t="s">
        <v>607</v>
      </c>
      <c r="P230">
        <v>0.127</v>
      </c>
      <c r="Q230">
        <v>0.371</v>
      </c>
      <c r="R230">
        <v>0.61599999999999999</v>
      </c>
    </row>
    <row r="231" spans="1:18" x14ac:dyDescent="0.3">
      <c r="A231" t="s">
        <v>606</v>
      </c>
      <c r="B231">
        <v>325.1348922250487</v>
      </c>
      <c r="O231" t="s">
        <v>606</v>
      </c>
      <c r="P231">
        <v>0.125</v>
      </c>
      <c r="Q231">
        <v>0.37</v>
      </c>
      <c r="R231">
        <v>0.61499999999999999</v>
      </c>
    </row>
    <row r="232" spans="1:18" x14ac:dyDescent="0.3">
      <c r="A232" t="s">
        <v>605</v>
      </c>
      <c r="B232">
        <v>323.09903503394901</v>
      </c>
      <c r="O232" t="s">
        <v>605</v>
      </c>
      <c r="P232">
        <v>0.123</v>
      </c>
      <c r="Q232">
        <v>0.36899999999999999</v>
      </c>
      <c r="R232">
        <v>0.61399999999999999</v>
      </c>
    </row>
    <row r="233" spans="1:18" x14ac:dyDescent="0.3">
      <c r="A233" t="s">
        <v>604</v>
      </c>
      <c r="B233">
        <v>323.03369953251524</v>
      </c>
      <c r="O233" t="s">
        <v>604</v>
      </c>
      <c r="P233">
        <v>0.121</v>
      </c>
      <c r="Q233">
        <v>0.36699999999999999</v>
      </c>
      <c r="R233">
        <v>0.61299999999999999</v>
      </c>
    </row>
    <row r="234" spans="1:18" x14ac:dyDescent="0.3">
      <c r="A234" t="s">
        <v>603</v>
      </c>
      <c r="B234">
        <v>316.17265611521316</v>
      </c>
      <c r="O234" t="s">
        <v>603</v>
      </c>
      <c r="P234">
        <v>0.12</v>
      </c>
      <c r="Q234">
        <v>0.36599999999999999</v>
      </c>
      <c r="R234">
        <v>0.61199999999999999</v>
      </c>
    </row>
    <row r="235" spans="1:18" x14ac:dyDescent="0.3">
      <c r="A235" t="s">
        <v>602</v>
      </c>
      <c r="B235">
        <v>312.68473409088699</v>
      </c>
      <c r="O235" t="s">
        <v>602</v>
      </c>
      <c r="P235">
        <v>0.11799999999999999</v>
      </c>
      <c r="Q235">
        <v>0.36399999999999999</v>
      </c>
      <c r="R235">
        <v>0.61099999999999999</v>
      </c>
    </row>
    <row r="236" spans="1:18" x14ac:dyDescent="0.3">
      <c r="A236" t="s">
        <v>601</v>
      </c>
      <c r="B236">
        <v>310.70345911210882</v>
      </c>
      <c r="O236" t="s">
        <v>601</v>
      </c>
      <c r="P236">
        <v>0.11600000000000001</v>
      </c>
      <c r="Q236">
        <v>0.36299999999999999</v>
      </c>
      <c r="R236">
        <v>0.61</v>
      </c>
    </row>
    <row r="237" spans="1:18" x14ac:dyDescent="0.3">
      <c r="A237" t="s">
        <v>600</v>
      </c>
      <c r="B237">
        <v>309.64526130284895</v>
      </c>
      <c r="O237" t="s">
        <v>600</v>
      </c>
      <c r="P237">
        <v>0.114</v>
      </c>
      <c r="Q237">
        <v>0.36099999999999999</v>
      </c>
      <c r="R237">
        <v>0.60899999999999999</v>
      </c>
    </row>
    <row r="238" spans="1:18" x14ac:dyDescent="0.3">
      <c r="A238" t="s">
        <v>599</v>
      </c>
      <c r="B238">
        <v>307.97212367759766</v>
      </c>
      <c r="O238" t="s">
        <v>599</v>
      </c>
      <c r="P238">
        <v>0.113</v>
      </c>
      <c r="Q238">
        <v>0.36</v>
      </c>
      <c r="R238">
        <v>0.60799999999999998</v>
      </c>
    </row>
    <row r="239" spans="1:18" x14ac:dyDescent="0.3">
      <c r="A239" t="s">
        <v>598</v>
      </c>
      <c r="B239">
        <v>306.23365055091256</v>
      </c>
      <c r="O239" t="s">
        <v>598</v>
      </c>
      <c r="P239">
        <v>0.111</v>
      </c>
      <c r="Q239">
        <v>0.35899999999999999</v>
      </c>
      <c r="R239">
        <v>0.60599999999999998</v>
      </c>
    </row>
    <row r="240" spans="1:18" x14ac:dyDescent="0.3">
      <c r="A240" t="s">
        <v>597</v>
      </c>
      <c r="B240">
        <v>304.32008421323349</v>
      </c>
      <c r="O240" t="s">
        <v>597</v>
      </c>
      <c r="P240">
        <v>0.109</v>
      </c>
      <c r="Q240">
        <v>0.35699999999999998</v>
      </c>
      <c r="R240">
        <v>0.60499999999999998</v>
      </c>
    </row>
    <row r="241" spans="1:18" x14ac:dyDescent="0.3">
      <c r="A241" t="s">
        <v>596</v>
      </c>
      <c r="B241">
        <v>302.81098986740483</v>
      </c>
      <c r="O241" t="s">
        <v>596</v>
      </c>
      <c r="P241">
        <v>0.107</v>
      </c>
      <c r="Q241">
        <v>0.35599999999999998</v>
      </c>
      <c r="R241">
        <v>0.60399999999999998</v>
      </c>
    </row>
    <row r="242" spans="1:18" x14ac:dyDescent="0.3">
      <c r="A242" t="s">
        <v>595</v>
      </c>
      <c r="B242">
        <v>300.8501832182472</v>
      </c>
      <c r="O242" t="s">
        <v>595</v>
      </c>
      <c r="P242">
        <v>0.105</v>
      </c>
      <c r="Q242">
        <v>0.35399999999999998</v>
      </c>
      <c r="R242">
        <v>0.60299999999999998</v>
      </c>
    </row>
    <row r="243" spans="1:18" x14ac:dyDescent="0.3">
      <c r="A243" t="s">
        <v>594</v>
      </c>
      <c r="B243">
        <v>297.93819252665025</v>
      </c>
      <c r="O243" t="s">
        <v>594</v>
      </c>
      <c r="P243">
        <v>0.104</v>
      </c>
      <c r="Q243">
        <v>0.35299999999999998</v>
      </c>
      <c r="R243">
        <v>0.60199999999999998</v>
      </c>
    </row>
    <row r="244" spans="1:18" x14ac:dyDescent="0.3">
      <c r="A244" t="s">
        <v>593</v>
      </c>
      <c r="B244">
        <v>295.41406184923994</v>
      </c>
      <c r="O244" t="s">
        <v>593</v>
      </c>
      <c r="P244">
        <v>0.10199999999999999</v>
      </c>
      <c r="Q244">
        <v>0.35099999999999998</v>
      </c>
      <c r="R244">
        <v>0.60099999999999998</v>
      </c>
    </row>
    <row r="245" spans="1:18" x14ac:dyDescent="0.3">
      <c r="A245" t="s">
        <v>592</v>
      </c>
      <c r="B245">
        <v>293.54284122247947</v>
      </c>
      <c r="O245" t="s">
        <v>592</v>
      </c>
      <c r="P245">
        <v>0.1</v>
      </c>
      <c r="Q245">
        <v>0.35</v>
      </c>
      <c r="R245">
        <v>0.6</v>
      </c>
    </row>
    <row r="246" spans="1:18" x14ac:dyDescent="0.3">
      <c r="A246" t="s">
        <v>591</v>
      </c>
      <c r="B246">
        <v>280.60389047770514</v>
      </c>
      <c r="O246" t="s">
        <v>591</v>
      </c>
      <c r="P246">
        <v>0.1</v>
      </c>
      <c r="Q246">
        <v>0.35</v>
      </c>
      <c r="R246">
        <v>0.60099999999999998</v>
      </c>
    </row>
    <row r="247" spans="1:18" x14ac:dyDescent="0.3">
      <c r="A247" t="s">
        <v>590</v>
      </c>
      <c r="B247">
        <v>278.25885768447472</v>
      </c>
      <c r="O247" t="s">
        <v>590</v>
      </c>
      <c r="P247">
        <v>0.1</v>
      </c>
      <c r="Q247">
        <v>0.35099999999999998</v>
      </c>
      <c r="R247">
        <v>0.60099999999999998</v>
      </c>
    </row>
    <row r="248" spans="1:18" x14ac:dyDescent="0.3">
      <c r="A248" t="s">
        <v>589</v>
      </c>
      <c r="B248">
        <v>276.33943265824558</v>
      </c>
      <c r="O248" t="s">
        <v>589</v>
      </c>
      <c r="P248">
        <v>0.1</v>
      </c>
      <c r="Q248">
        <v>0.35099999999999998</v>
      </c>
      <c r="R248">
        <v>0.60199999999999998</v>
      </c>
    </row>
    <row r="249" spans="1:18" x14ac:dyDescent="0.3">
      <c r="A249" t="s">
        <v>588</v>
      </c>
      <c r="B249">
        <v>274.57678317121156</v>
      </c>
      <c r="O249" t="s">
        <v>588</v>
      </c>
      <c r="P249">
        <v>0.1</v>
      </c>
      <c r="Q249">
        <v>0.35099999999999998</v>
      </c>
      <c r="R249">
        <v>0.60299999999999998</v>
      </c>
    </row>
    <row r="250" spans="1:18" x14ac:dyDescent="0.3">
      <c r="A250" t="s">
        <v>587</v>
      </c>
      <c r="B250">
        <v>272.73003554725835</v>
      </c>
      <c r="O250" t="s">
        <v>587</v>
      </c>
      <c r="P250">
        <v>0.1</v>
      </c>
      <c r="Q250">
        <v>0.35199999999999998</v>
      </c>
      <c r="R250">
        <v>0.60299999999999998</v>
      </c>
    </row>
    <row r="251" spans="1:18" x14ac:dyDescent="0.3">
      <c r="A251" t="s">
        <v>586</v>
      </c>
      <c r="B251">
        <v>270.59013101392088</v>
      </c>
      <c r="O251" t="s">
        <v>586</v>
      </c>
      <c r="P251">
        <v>0.1</v>
      </c>
      <c r="Q251">
        <v>0.35199999999999998</v>
      </c>
      <c r="R251">
        <v>0.60399999999999998</v>
      </c>
    </row>
    <row r="252" spans="1:18" x14ac:dyDescent="0.3">
      <c r="A252" t="s">
        <v>585</v>
      </c>
      <c r="B252">
        <v>269.73765474947049</v>
      </c>
      <c r="O252" t="s">
        <v>585</v>
      </c>
      <c r="P252">
        <v>0.1</v>
      </c>
      <c r="Q252">
        <v>0.35199999999999998</v>
      </c>
      <c r="R252">
        <v>0.60499999999999998</v>
      </c>
    </row>
    <row r="253" spans="1:18" x14ac:dyDescent="0.3">
      <c r="A253" t="s">
        <v>584</v>
      </c>
      <c r="B253">
        <v>270.18588150391486</v>
      </c>
      <c r="O253" t="s">
        <v>584</v>
      </c>
      <c r="P253">
        <v>0.1</v>
      </c>
      <c r="Q253">
        <v>0.35299999999999998</v>
      </c>
      <c r="R253">
        <v>0.60499999999999998</v>
      </c>
    </row>
    <row r="254" spans="1:18" x14ac:dyDescent="0.3">
      <c r="A254" t="s">
        <v>583</v>
      </c>
      <c r="B254">
        <v>269.66126931646625</v>
      </c>
      <c r="O254" t="s">
        <v>583</v>
      </c>
      <c r="P254">
        <v>0.1</v>
      </c>
      <c r="Q254">
        <v>0.35299999999999998</v>
      </c>
      <c r="R254">
        <v>0.60599999999999998</v>
      </c>
    </row>
    <row r="255" spans="1:18" x14ac:dyDescent="0.3">
      <c r="A255" t="s">
        <v>582</v>
      </c>
      <c r="B255">
        <v>269.05426468623347</v>
      </c>
      <c r="O255" t="s">
        <v>582</v>
      </c>
      <c r="P255">
        <v>0.1</v>
      </c>
      <c r="Q255">
        <v>0.35299999999999998</v>
      </c>
      <c r="R255">
        <v>0.60599999999999998</v>
      </c>
    </row>
    <row r="256" spans="1:18" x14ac:dyDescent="0.3">
      <c r="A256" t="s">
        <v>581</v>
      </c>
      <c r="B256">
        <v>268.2724634874657</v>
      </c>
      <c r="O256" t="s">
        <v>581</v>
      </c>
      <c r="P256">
        <v>0.1</v>
      </c>
      <c r="Q256">
        <v>0.35399999999999998</v>
      </c>
      <c r="R256">
        <v>0.60699999999999998</v>
      </c>
    </row>
    <row r="257" spans="1:18" x14ac:dyDescent="0.3">
      <c r="A257" t="s">
        <v>580</v>
      </c>
      <c r="B257">
        <v>268.1240680977167</v>
      </c>
      <c r="O257" t="s">
        <v>580</v>
      </c>
      <c r="P257">
        <v>0.1</v>
      </c>
      <c r="Q257">
        <v>0.35399999999999998</v>
      </c>
      <c r="R257">
        <v>0.60799999999999998</v>
      </c>
    </row>
    <row r="258" spans="1:18" x14ac:dyDescent="0.3">
      <c r="A258" t="s">
        <v>579</v>
      </c>
      <c r="B258">
        <v>267.86962302913645</v>
      </c>
      <c r="O258" t="s">
        <v>579</v>
      </c>
      <c r="P258">
        <v>0.1</v>
      </c>
      <c r="Q258">
        <v>0.35399999999999998</v>
      </c>
      <c r="R258">
        <v>0.60799999999999998</v>
      </c>
    </row>
    <row r="259" spans="1:18" x14ac:dyDescent="0.3">
      <c r="A259" t="s">
        <v>578</v>
      </c>
      <c r="B259">
        <v>266.79666725757778</v>
      </c>
      <c r="O259" t="s">
        <v>578</v>
      </c>
      <c r="P259">
        <v>0.1</v>
      </c>
      <c r="Q259">
        <v>0.35499999999999998</v>
      </c>
      <c r="R259">
        <v>0.60899999999999999</v>
      </c>
    </row>
    <row r="260" spans="1:18" x14ac:dyDescent="0.3">
      <c r="A260" t="s">
        <v>577</v>
      </c>
      <c r="B260">
        <v>264.48878893224617</v>
      </c>
      <c r="O260" t="s">
        <v>577</v>
      </c>
      <c r="P260">
        <v>0.1</v>
      </c>
      <c r="Q260">
        <v>0.35499999999999998</v>
      </c>
      <c r="R260">
        <v>0.61</v>
      </c>
    </row>
    <row r="261" spans="1:18" x14ac:dyDescent="0.3">
      <c r="A261" t="s">
        <v>576</v>
      </c>
      <c r="B261">
        <v>261.32213069022532</v>
      </c>
      <c r="O261" t="s">
        <v>576</v>
      </c>
      <c r="P261">
        <v>0.1</v>
      </c>
      <c r="Q261">
        <v>0.35499999999999998</v>
      </c>
      <c r="R261">
        <v>0.61</v>
      </c>
    </row>
    <row r="262" spans="1:18" x14ac:dyDescent="0.3">
      <c r="A262" t="s">
        <v>575</v>
      </c>
      <c r="B262">
        <v>257.25100959294252</v>
      </c>
      <c r="O262" t="s">
        <v>575</v>
      </c>
      <c r="P262">
        <v>0.1</v>
      </c>
      <c r="Q262">
        <v>0.35499999999999998</v>
      </c>
      <c r="R262">
        <v>0.61099999999999999</v>
      </c>
    </row>
    <row r="263" spans="1:18" x14ac:dyDescent="0.3">
      <c r="A263" t="s">
        <v>574</v>
      </c>
      <c r="B263">
        <v>254.02183395284075</v>
      </c>
      <c r="O263" t="s">
        <v>574</v>
      </c>
      <c r="P263">
        <v>0.1</v>
      </c>
      <c r="Q263">
        <v>0.35599999999999998</v>
      </c>
      <c r="R263">
        <v>0.61199999999999999</v>
      </c>
    </row>
    <row r="264" spans="1:18" x14ac:dyDescent="0.3">
      <c r="A264" t="s">
        <v>573</v>
      </c>
      <c r="B264">
        <v>250.07300370898002</v>
      </c>
      <c r="O264" t="s">
        <v>573</v>
      </c>
      <c r="P264">
        <v>0.1</v>
      </c>
      <c r="Q264">
        <v>0.35599999999999998</v>
      </c>
      <c r="R264">
        <v>0.61199999999999999</v>
      </c>
    </row>
    <row r="265" spans="1:18" x14ac:dyDescent="0.3">
      <c r="A265" t="s">
        <v>572</v>
      </c>
      <c r="B265">
        <v>247.21856165428721</v>
      </c>
      <c r="O265" t="s">
        <v>572</v>
      </c>
      <c r="P265">
        <v>0.1</v>
      </c>
      <c r="Q265">
        <v>0.35599999999999998</v>
      </c>
      <c r="R265">
        <v>0.61299999999999999</v>
      </c>
    </row>
    <row r="266" spans="1:18" x14ac:dyDescent="0.3">
      <c r="A266" t="s">
        <v>571</v>
      </c>
      <c r="B266">
        <v>244.22425268052061</v>
      </c>
      <c r="O266" t="s">
        <v>571</v>
      </c>
      <c r="P266">
        <v>0.1</v>
      </c>
      <c r="Q266">
        <v>0.35699999999999998</v>
      </c>
      <c r="R266">
        <v>0.61399999999999999</v>
      </c>
    </row>
    <row r="267" spans="1:18" x14ac:dyDescent="0.3">
      <c r="A267" t="s">
        <v>570</v>
      </c>
      <c r="B267">
        <v>241.61179671116068</v>
      </c>
      <c r="O267" t="s">
        <v>570</v>
      </c>
      <c r="P267">
        <v>0.1</v>
      </c>
      <c r="Q267">
        <v>0.35699999999999998</v>
      </c>
      <c r="R267">
        <v>0.61399999999999999</v>
      </c>
    </row>
    <row r="268" spans="1:18" x14ac:dyDescent="0.3">
      <c r="A268" t="s">
        <v>569</v>
      </c>
      <c r="B268">
        <v>239.71906950617577</v>
      </c>
      <c r="O268" t="s">
        <v>569</v>
      </c>
      <c r="P268">
        <v>0.1</v>
      </c>
      <c r="Q268">
        <v>0.35699999999999998</v>
      </c>
      <c r="R268">
        <v>0.61499999999999999</v>
      </c>
    </row>
    <row r="269" spans="1:18" x14ac:dyDescent="0.3">
      <c r="A269" t="s">
        <v>568</v>
      </c>
      <c r="B269">
        <v>237.23246409973646</v>
      </c>
      <c r="O269" t="s">
        <v>568</v>
      </c>
      <c r="P269">
        <v>0.1</v>
      </c>
      <c r="Q269">
        <v>0.35799999999999998</v>
      </c>
      <c r="R269">
        <v>0.61499999999999999</v>
      </c>
    </row>
    <row r="270" spans="1:18" x14ac:dyDescent="0.3">
      <c r="A270" t="s">
        <v>567</v>
      </c>
      <c r="B270">
        <v>234.79213491678709</v>
      </c>
      <c r="O270" t="s">
        <v>567</v>
      </c>
      <c r="P270">
        <v>0.1</v>
      </c>
      <c r="Q270">
        <v>0.35799999999999998</v>
      </c>
      <c r="R270">
        <v>0.61599999999999999</v>
      </c>
    </row>
    <row r="271" spans="1:18" x14ac:dyDescent="0.3">
      <c r="A271" t="s">
        <v>566</v>
      </c>
      <c r="B271">
        <v>231.72218211616118</v>
      </c>
      <c r="O271" t="s">
        <v>566</v>
      </c>
      <c r="P271">
        <v>0.1</v>
      </c>
      <c r="Q271">
        <v>0.35799999999999998</v>
      </c>
      <c r="R271">
        <v>0.61699999999999999</v>
      </c>
    </row>
    <row r="272" spans="1:18" x14ac:dyDescent="0.3">
      <c r="A272" t="s">
        <v>565</v>
      </c>
      <c r="B272">
        <v>228.38962657935414</v>
      </c>
      <c r="O272" t="s">
        <v>565</v>
      </c>
      <c r="P272">
        <v>0.1</v>
      </c>
      <c r="Q272">
        <v>0.35899999999999999</v>
      </c>
      <c r="R272">
        <v>0.61699999999999999</v>
      </c>
    </row>
    <row r="273" spans="1:18" x14ac:dyDescent="0.3">
      <c r="A273" t="s">
        <v>564</v>
      </c>
      <c r="B273">
        <v>225.56076993668702</v>
      </c>
      <c r="O273" t="s">
        <v>564</v>
      </c>
      <c r="P273">
        <v>0.1</v>
      </c>
      <c r="Q273">
        <v>0.35899999999999999</v>
      </c>
      <c r="R273">
        <v>0.61799999999999999</v>
      </c>
    </row>
    <row r="274" spans="1:18" x14ac:dyDescent="0.3">
      <c r="A274" t="s">
        <v>563</v>
      </c>
      <c r="B274">
        <v>223.57808590623134</v>
      </c>
      <c r="O274" t="s">
        <v>563</v>
      </c>
      <c r="P274">
        <v>0.1</v>
      </c>
      <c r="Q274">
        <v>0.35899999999999999</v>
      </c>
      <c r="R274">
        <v>0.61899999999999999</v>
      </c>
    </row>
    <row r="275" spans="1:18" x14ac:dyDescent="0.3">
      <c r="A275" t="s">
        <v>562</v>
      </c>
      <c r="B275">
        <v>221.71687696243819</v>
      </c>
      <c r="O275" t="s">
        <v>562</v>
      </c>
      <c r="P275">
        <v>0.1</v>
      </c>
      <c r="Q275">
        <v>0.36</v>
      </c>
      <c r="R275">
        <v>0.61899999999999999</v>
      </c>
    </row>
    <row r="276" spans="1:18" x14ac:dyDescent="0.3">
      <c r="A276" t="s">
        <v>561</v>
      </c>
      <c r="B276">
        <v>210.44557595743728</v>
      </c>
      <c r="O276" t="s">
        <v>561</v>
      </c>
      <c r="P276">
        <v>0.1</v>
      </c>
      <c r="Q276">
        <v>0.36</v>
      </c>
      <c r="R276">
        <v>0.62</v>
      </c>
    </row>
    <row r="277" spans="1:18" x14ac:dyDescent="0.3">
      <c r="A277" t="s">
        <v>560</v>
      </c>
      <c r="B277">
        <v>207.2106899500146</v>
      </c>
      <c r="O277" t="s">
        <v>560</v>
      </c>
      <c r="P277">
        <v>0.1</v>
      </c>
      <c r="Q277">
        <v>0.36099999999999999</v>
      </c>
      <c r="R277">
        <v>0.622</v>
      </c>
    </row>
    <row r="278" spans="1:18" x14ac:dyDescent="0.3">
      <c r="A278" t="s">
        <v>559</v>
      </c>
      <c r="B278">
        <v>204.70443198071496</v>
      </c>
      <c r="O278" t="s">
        <v>559</v>
      </c>
      <c r="P278">
        <v>0.1</v>
      </c>
      <c r="Q278">
        <v>0.36199999999999999</v>
      </c>
      <c r="R278">
        <v>0.623</v>
      </c>
    </row>
    <row r="279" spans="1:18" x14ac:dyDescent="0.3">
      <c r="A279" t="s">
        <v>558</v>
      </c>
      <c r="B279">
        <v>202.61844221416783</v>
      </c>
      <c r="O279" t="s">
        <v>558</v>
      </c>
      <c r="P279">
        <v>0.1</v>
      </c>
      <c r="Q279">
        <v>0.36299999999999999</v>
      </c>
      <c r="R279">
        <v>0.625</v>
      </c>
    </row>
    <row r="280" spans="1:18" x14ac:dyDescent="0.3">
      <c r="A280" t="s">
        <v>557</v>
      </c>
      <c r="B280">
        <v>201.84272218579457</v>
      </c>
      <c r="O280" t="s">
        <v>557</v>
      </c>
      <c r="P280">
        <v>0.1</v>
      </c>
      <c r="Q280">
        <v>0.36299999999999999</v>
      </c>
      <c r="R280">
        <v>0.627</v>
      </c>
    </row>
    <row r="281" spans="1:18" x14ac:dyDescent="0.3">
      <c r="A281" t="s">
        <v>556</v>
      </c>
      <c r="B281">
        <v>200.76946977177758</v>
      </c>
      <c r="O281" t="s">
        <v>556</v>
      </c>
      <c r="P281">
        <v>0.1</v>
      </c>
      <c r="Q281">
        <v>0.36399999999999999</v>
      </c>
      <c r="R281">
        <v>0.628</v>
      </c>
    </row>
    <row r="282" spans="1:18" x14ac:dyDescent="0.3">
      <c r="A282" t="s">
        <v>555</v>
      </c>
      <c r="B282">
        <v>199.49843099870975</v>
      </c>
      <c r="O282" t="s">
        <v>555</v>
      </c>
      <c r="P282">
        <v>0.1</v>
      </c>
      <c r="Q282">
        <v>0.36499999999999999</v>
      </c>
      <c r="R282">
        <v>0.63</v>
      </c>
    </row>
    <row r="283" spans="1:18" x14ac:dyDescent="0.3">
      <c r="A283" t="s">
        <v>554</v>
      </c>
      <c r="B283">
        <v>197.92896991262342</v>
      </c>
      <c r="O283" t="s">
        <v>554</v>
      </c>
      <c r="P283">
        <v>0.1</v>
      </c>
      <c r="Q283">
        <v>0.36599999999999999</v>
      </c>
      <c r="R283">
        <v>0.63200000000000001</v>
      </c>
    </row>
    <row r="284" spans="1:18" x14ac:dyDescent="0.3">
      <c r="A284" t="s">
        <v>553</v>
      </c>
      <c r="B284">
        <v>197.60199576299644</v>
      </c>
      <c r="O284" t="s">
        <v>553</v>
      </c>
      <c r="P284">
        <v>0.1</v>
      </c>
      <c r="Q284">
        <v>0.36699999999999999</v>
      </c>
      <c r="R284">
        <v>0.63300000000000001</v>
      </c>
    </row>
    <row r="285" spans="1:18" x14ac:dyDescent="0.3">
      <c r="A285" t="s">
        <v>552</v>
      </c>
      <c r="B285">
        <v>196.36544167570241</v>
      </c>
      <c r="O285" t="s">
        <v>552</v>
      </c>
      <c r="P285">
        <v>0.1</v>
      </c>
      <c r="Q285">
        <v>0.36799999999999999</v>
      </c>
      <c r="R285">
        <v>0.63500000000000001</v>
      </c>
    </row>
    <row r="286" spans="1:18" x14ac:dyDescent="0.3">
      <c r="A286" t="s">
        <v>551</v>
      </c>
      <c r="B286">
        <v>194.04747750678897</v>
      </c>
      <c r="O286" t="s">
        <v>551</v>
      </c>
      <c r="P286">
        <v>0.1</v>
      </c>
      <c r="Q286">
        <v>0.36799999999999999</v>
      </c>
      <c r="R286">
        <v>0.63700000000000001</v>
      </c>
    </row>
    <row r="287" spans="1:18" x14ac:dyDescent="0.3">
      <c r="A287" t="s">
        <v>550</v>
      </c>
      <c r="B287">
        <v>192.23076493173548</v>
      </c>
      <c r="O287" t="s">
        <v>550</v>
      </c>
      <c r="P287">
        <v>0.1</v>
      </c>
      <c r="Q287">
        <v>0.36899999999999999</v>
      </c>
      <c r="R287">
        <v>0.63800000000000001</v>
      </c>
    </row>
    <row r="288" spans="1:18" x14ac:dyDescent="0.3">
      <c r="A288" t="s">
        <v>549</v>
      </c>
      <c r="B288">
        <v>190.74599526748489</v>
      </c>
      <c r="O288" t="s">
        <v>549</v>
      </c>
      <c r="P288">
        <v>0.1</v>
      </c>
      <c r="Q288">
        <v>0.37</v>
      </c>
      <c r="R288">
        <v>0.64</v>
      </c>
    </row>
    <row r="289" spans="1:18" x14ac:dyDescent="0.3">
      <c r="A289" t="s">
        <v>548</v>
      </c>
      <c r="B289">
        <v>189.97910035224515</v>
      </c>
      <c r="O289" t="s">
        <v>548</v>
      </c>
      <c r="P289">
        <v>0.1</v>
      </c>
      <c r="Q289">
        <v>0.371</v>
      </c>
      <c r="R289">
        <v>0.64200000000000002</v>
      </c>
    </row>
    <row r="290" spans="1:18" x14ac:dyDescent="0.3">
      <c r="A290" t="s">
        <v>547</v>
      </c>
      <c r="B290">
        <v>189.60154866348336</v>
      </c>
      <c r="O290" t="s">
        <v>547</v>
      </c>
      <c r="P290">
        <v>0.1</v>
      </c>
      <c r="Q290">
        <v>0.372</v>
      </c>
      <c r="R290">
        <v>0.64300000000000002</v>
      </c>
    </row>
    <row r="291" spans="1:18" x14ac:dyDescent="0.3">
      <c r="A291" t="s">
        <v>546</v>
      </c>
      <c r="B291">
        <v>189.27724429598084</v>
      </c>
      <c r="O291" t="s">
        <v>546</v>
      </c>
      <c r="P291">
        <v>0.1</v>
      </c>
      <c r="Q291">
        <v>0.373</v>
      </c>
      <c r="R291">
        <v>0.64500000000000002</v>
      </c>
    </row>
    <row r="292" spans="1:18" x14ac:dyDescent="0.3">
      <c r="A292" t="s">
        <v>545</v>
      </c>
      <c r="B292">
        <v>187.87375466529596</v>
      </c>
      <c r="O292" t="s">
        <v>545</v>
      </c>
      <c r="P292">
        <v>0.1</v>
      </c>
      <c r="Q292">
        <v>0.373</v>
      </c>
      <c r="R292">
        <v>0.64700000000000002</v>
      </c>
    </row>
    <row r="293" spans="1:18" x14ac:dyDescent="0.3">
      <c r="A293" t="s">
        <v>544</v>
      </c>
      <c r="B293">
        <v>186.02982514469628</v>
      </c>
      <c r="O293" t="s">
        <v>544</v>
      </c>
      <c r="P293">
        <v>0.1</v>
      </c>
      <c r="Q293">
        <v>0.374</v>
      </c>
      <c r="R293">
        <v>0.64800000000000002</v>
      </c>
    </row>
    <row r="294" spans="1:18" x14ac:dyDescent="0.3">
      <c r="A294" t="s">
        <v>543</v>
      </c>
      <c r="B294">
        <v>183.7832776476111</v>
      </c>
      <c r="O294" t="s">
        <v>543</v>
      </c>
      <c r="P294">
        <v>0.1</v>
      </c>
      <c r="Q294">
        <v>0.375</v>
      </c>
      <c r="R294">
        <v>0.65</v>
      </c>
    </row>
    <row r="295" spans="1:18" x14ac:dyDescent="0.3">
      <c r="A295" t="s">
        <v>542</v>
      </c>
      <c r="B295">
        <v>181.50395115888716</v>
      </c>
      <c r="O295" t="s">
        <v>542</v>
      </c>
      <c r="P295">
        <v>0.1</v>
      </c>
      <c r="Q295">
        <v>0.376</v>
      </c>
      <c r="R295">
        <v>0.65200000000000002</v>
      </c>
    </row>
    <row r="296" spans="1:18" x14ac:dyDescent="0.3">
      <c r="A296" t="s">
        <v>541</v>
      </c>
      <c r="B296">
        <v>179.6767819371797</v>
      </c>
      <c r="O296" t="s">
        <v>541</v>
      </c>
      <c r="P296">
        <v>0.1</v>
      </c>
      <c r="Q296">
        <v>0.377</v>
      </c>
      <c r="R296">
        <v>0.65300000000000002</v>
      </c>
    </row>
    <row r="297" spans="1:18" x14ac:dyDescent="0.3">
      <c r="A297" t="s">
        <v>540</v>
      </c>
      <c r="B297">
        <v>178.7490326489436</v>
      </c>
      <c r="O297" t="s">
        <v>540</v>
      </c>
      <c r="P297">
        <v>0.1</v>
      </c>
      <c r="Q297">
        <v>0.378</v>
      </c>
      <c r="R297">
        <v>0.65500000000000003</v>
      </c>
    </row>
    <row r="298" spans="1:18" x14ac:dyDescent="0.3">
      <c r="A298" t="s">
        <v>539</v>
      </c>
      <c r="B298">
        <v>178.49755400494612</v>
      </c>
      <c r="O298" t="s">
        <v>539</v>
      </c>
      <c r="P298">
        <v>0.1</v>
      </c>
      <c r="Q298">
        <v>0.378</v>
      </c>
      <c r="R298">
        <v>0.65700000000000003</v>
      </c>
    </row>
    <row r="299" spans="1:18" x14ac:dyDescent="0.3">
      <c r="A299" t="s">
        <v>538</v>
      </c>
      <c r="B299">
        <v>179.18917589640014</v>
      </c>
      <c r="O299" t="s">
        <v>538</v>
      </c>
      <c r="P299">
        <v>0.1</v>
      </c>
      <c r="Q299">
        <v>0.379</v>
      </c>
      <c r="R299">
        <v>0.65800000000000003</v>
      </c>
    </row>
    <row r="300" spans="1:18" x14ac:dyDescent="0.3">
      <c r="A300" t="s">
        <v>537</v>
      </c>
      <c r="B300">
        <v>179.11761090334275</v>
      </c>
      <c r="O300" t="s">
        <v>537</v>
      </c>
      <c r="P300">
        <v>0.1</v>
      </c>
      <c r="Q300">
        <v>0.38</v>
      </c>
      <c r="R300">
        <v>0.66</v>
      </c>
    </row>
    <row r="301" spans="1:18" x14ac:dyDescent="0.3">
      <c r="A301" t="s">
        <v>536</v>
      </c>
      <c r="B301">
        <v>178.6698291125858</v>
      </c>
      <c r="O301" t="s">
        <v>536</v>
      </c>
      <c r="P301">
        <v>0.1</v>
      </c>
      <c r="Q301">
        <v>0.38100000000000001</v>
      </c>
      <c r="R301">
        <v>0.66200000000000003</v>
      </c>
    </row>
    <row r="302" spans="1:18" x14ac:dyDescent="0.3">
      <c r="A302" t="s">
        <v>535</v>
      </c>
      <c r="B302">
        <v>178.25653200760263</v>
      </c>
      <c r="O302" t="s">
        <v>535</v>
      </c>
      <c r="P302">
        <v>0.1</v>
      </c>
      <c r="Q302">
        <v>0.38200000000000001</v>
      </c>
      <c r="R302">
        <v>0.66300000000000003</v>
      </c>
    </row>
    <row r="303" spans="1:18" x14ac:dyDescent="0.3">
      <c r="A303" t="s">
        <v>534</v>
      </c>
      <c r="B303">
        <v>178.01491672534257</v>
      </c>
      <c r="O303" t="s">
        <v>534</v>
      </c>
      <c r="P303">
        <v>0.1</v>
      </c>
      <c r="Q303">
        <v>0.38300000000000001</v>
      </c>
      <c r="R303">
        <v>0.66500000000000004</v>
      </c>
    </row>
    <row r="304" spans="1:18" x14ac:dyDescent="0.3">
      <c r="A304" t="s">
        <v>533</v>
      </c>
      <c r="B304">
        <v>177.35577718306899</v>
      </c>
      <c r="O304" t="s">
        <v>533</v>
      </c>
      <c r="P304">
        <v>0.1</v>
      </c>
      <c r="Q304">
        <v>0.38300000000000001</v>
      </c>
      <c r="R304">
        <v>0.66700000000000004</v>
      </c>
    </row>
    <row r="305" spans="1:18" x14ac:dyDescent="0.3">
      <c r="A305" t="s">
        <v>532</v>
      </c>
      <c r="B305">
        <v>176.58042795776859</v>
      </c>
      <c r="O305" t="s">
        <v>532</v>
      </c>
      <c r="P305">
        <v>0.1</v>
      </c>
      <c r="Q305">
        <v>0.38400000000000001</v>
      </c>
      <c r="R305">
        <v>0.66800000000000004</v>
      </c>
    </row>
    <row r="306" spans="1:18" x14ac:dyDescent="0.3">
      <c r="A306" t="s">
        <v>531</v>
      </c>
      <c r="B306">
        <v>176.12211535974308</v>
      </c>
      <c r="O306" t="s">
        <v>531</v>
      </c>
      <c r="P306">
        <v>0.1</v>
      </c>
      <c r="Q306">
        <v>0.38500000000000001</v>
      </c>
      <c r="R306">
        <v>0.67</v>
      </c>
    </row>
    <row r="307" spans="1:18" x14ac:dyDescent="0.3">
      <c r="A307" t="s">
        <v>530</v>
      </c>
      <c r="B307">
        <v>174.44326736717005</v>
      </c>
      <c r="O307" t="s">
        <v>530</v>
      </c>
      <c r="P307">
        <v>0.10199999999999999</v>
      </c>
      <c r="Q307">
        <v>0.38700000000000001</v>
      </c>
      <c r="R307">
        <v>0.67300000000000004</v>
      </c>
    </row>
    <row r="308" spans="1:18" x14ac:dyDescent="0.3">
      <c r="A308" t="s">
        <v>529</v>
      </c>
      <c r="B308">
        <v>172.77888069443765</v>
      </c>
      <c r="O308" t="s">
        <v>529</v>
      </c>
      <c r="P308">
        <v>0.104</v>
      </c>
      <c r="Q308">
        <v>0.39</v>
      </c>
      <c r="R308">
        <v>0.67600000000000005</v>
      </c>
    </row>
    <row r="309" spans="1:18" x14ac:dyDescent="0.3">
      <c r="A309" t="s">
        <v>528</v>
      </c>
      <c r="B309">
        <v>171.06762451329874</v>
      </c>
      <c r="O309" t="s">
        <v>528</v>
      </c>
      <c r="P309">
        <v>0.106</v>
      </c>
      <c r="Q309">
        <v>0.39200000000000002</v>
      </c>
      <c r="R309">
        <v>0.67900000000000005</v>
      </c>
    </row>
    <row r="310" spans="1:18" x14ac:dyDescent="0.3">
      <c r="A310" t="s">
        <v>527</v>
      </c>
      <c r="B310">
        <v>169.28435837541505</v>
      </c>
      <c r="O310" t="s">
        <v>527</v>
      </c>
      <c r="P310">
        <v>0.108</v>
      </c>
      <c r="Q310">
        <v>0.39500000000000002</v>
      </c>
      <c r="R310">
        <v>0.68200000000000005</v>
      </c>
    </row>
    <row r="311" spans="1:18" x14ac:dyDescent="0.3">
      <c r="A311" t="s">
        <v>526</v>
      </c>
      <c r="B311">
        <v>168.10653949485825</v>
      </c>
      <c r="O311" t="s">
        <v>526</v>
      </c>
      <c r="P311">
        <v>0.11</v>
      </c>
      <c r="Q311">
        <v>0.39700000000000002</v>
      </c>
      <c r="R311">
        <v>0.68500000000000005</v>
      </c>
    </row>
    <row r="312" spans="1:18" x14ac:dyDescent="0.3">
      <c r="A312" t="s">
        <v>525</v>
      </c>
      <c r="B312">
        <v>167.39304022210692</v>
      </c>
      <c r="O312" t="s">
        <v>525</v>
      </c>
      <c r="P312">
        <v>0.112</v>
      </c>
      <c r="Q312">
        <v>0.4</v>
      </c>
      <c r="R312">
        <v>0.68700000000000006</v>
      </c>
    </row>
    <row r="313" spans="1:18" x14ac:dyDescent="0.3">
      <c r="A313" t="s">
        <v>524</v>
      </c>
      <c r="B313">
        <v>166.36509994359051</v>
      </c>
      <c r="O313" t="s">
        <v>524</v>
      </c>
      <c r="P313">
        <v>0.114</v>
      </c>
      <c r="Q313">
        <v>0.40200000000000002</v>
      </c>
      <c r="R313">
        <v>0.69</v>
      </c>
    </row>
    <row r="314" spans="1:18" x14ac:dyDescent="0.3">
      <c r="A314" t="s">
        <v>523</v>
      </c>
      <c r="B314">
        <v>165.93593246708991</v>
      </c>
      <c r="O314" t="s">
        <v>523</v>
      </c>
      <c r="P314">
        <v>0.115</v>
      </c>
      <c r="Q314">
        <v>0.40400000000000003</v>
      </c>
      <c r="R314">
        <v>0.69299999999999995</v>
      </c>
    </row>
    <row r="315" spans="1:18" x14ac:dyDescent="0.3">
      <c r="A315" t="s">
        <v>522</v>
      </c>
      <c r="B315">
        <v>166.2209317088718</v>
      </c>
      <c r="O315" t="s">
        <v>522</v>
      </c>
      <c r="P315">
        <v>0.11700000000000001</v>
      </c>
      <c r="Q315">
        <v>0.40699999999999997</v>
      </c>
      <c r="R315">
        <v>0.69599999999999995</v>
      </c>
    </row>
    <row r="316" spans="1:18" x14ac:dyDescent="0.3">
      <c r="A316" t="s">
        <v>521</v>
      </c>
      <c r="B316">
        <v>166.72885775804278</v>
      </c>
      <c r="O316" t="s">
        <v>521</v>
      </c>
      <c r="P316">
        <v>0.11899999999999999</v>
      </c>
      <c r="Q316">
        <v>0.40899999999999997</v>
      </c>
      <c r="R316">
        <v>0.69899999999999995</v>
      </c>
    </row>
    <row r="317" spans="1:18" x14ac:dyDescent="0.3">
      <c r="A317" t="s">
        <v>520</v>
      </c>
      <c r="B317">
        <v>166.92923973860343</v>
      </c>
      <c r="O317" t="s">
        <v>520</v>
      </c>
      <c r="P317">
        <v>0.121</v>
      </c>
      <c r="Q317">
        <v>0.41199999999999998</v>
      </c>
      <c r="R317">
        <v>0.70199999999999996</v>
      </c>
    </row>
    <row r="318" spans="1:18" x14ac:dyDescent="0.3">
      <c r="A318" t="s">
        <v>519</v>
      </c>
      <c r="B318">
        <v>166.56229301772476</v>
      </c>
      <c r="O318" t="s">
        <v>519</v>
      </c>
      <c r="P318">
        <v>0.123</v>
      </c>
      <c r="Q318">
        <v>0.41399999999999998</v>
      </c>
      <c r="R318">
        <v>0.70499999999999996</v>
      </c>
    </row>
    <row r="319" spans="1:18" x14ac:dyDescent="0.3">
      <c r="A319" t="s">
        <v>518</v>
      </c>
      <c r="B319">
        <v>166.36762140448579</v>
      </c>
      <c r="O319" t="s">
        <v>518</v>
      </c>
      <c r="P319">
        <v>0.125</v>
      </c>
      <c r="Q319">
        <v>0.41599999999999998</v>
      </c>
      <c r="R319">
        <v>0.70799999999999996</v>
      </c>
    </row>
    <row r="320" spans="1:18" x14ac:dyDescent="0.3">
      <c r="A320" t="s">
        <v>517</v>
      </c>
      <c r="B320">
        <v>165.80162759410865</v>
      </c>
      <c r="O320" t="s">
        <v>517</v>
      </c>
      <c r="P320">
        <v>0.127</v>
      </c>
      <c r="Q320">
        <v>0.41899999999999998</v>
      </c>
      <c r="R320">
        <v>0.71099999999999997</v>
      </c>
    </row>
    <row r="321" spans="1:18" x14ac:dyDescent="0.3">
      <c r="A321" t="s">
        <v>516</v>
      </c>
      <c r="B321">
        <v>165.16577448480919</v>
      </c>
      <c r="O321" t="s">
        <v>516</v>
      </c>
      <c r="P321">
        <v>0.129</v>
      </c>
      <c r="Q321">
        <v>0.42099999999999999</v>
      </c>
      <c r="R321">
        <v>0.71399999999999997</v>
      </c>
    </row>
    <row r="322" spans="1:18" x14ac:dyDescent="0.3">
      <c r="A322" t="s">
        <v>515</v>
      </c>
      <c r="B322">
        <v>164.48312602771782</v>
      </c>
      <c r="O322" t="s">
        <v>515</v>
      </c>
      <c r="P322">
        <v>0.13100000000000001</v>
      </c>
      <c r="Q322">
        <v>0.42399999999999999</v>
      </c>
      <c r="R322">
        <v>0.71599999999999997</v>
      </c>
    </row>
    <row r="323" spans="1:18" x14ac:dyDescent="0.3">
      <c r="A323" t="s">
        <v>514</v>
      </c>
      <c r="B323">
        <v>163.91750302041353</v>
      </c>
      <c r="O323" t="s">
        <v>514</v>
      </c>
      <c r="P323">
        <v>0.13300000000000001</v>
      </c>
      <c r="Q323">
        <v>0.42599999999999999</v>
      </c>
      <c r="R323">
        <v>0.71899999999999997</v>
      </c>
    </row>
    <row r="324" spans="1:18" x14ac:dyDescent="0.3">
      <c r="A324" t="s">
        <v>513</v>
      </c>
      <c r="B324">
        <v>163.56227367663649</v>
      </c>
      <c r="O324" t="s">
        <v>513</v>
      </c>
      <c r="P324">
        <v>0.13500000000000001</v>
      </c>
      <c r="Q324">
        <v>0.42899999999999999</v>
      </c>
      <c r="R324">
        <v>0.72199999999999998</v>
      </c>
    </row>
    <row r="325" spans="1:18" x14ac:dyDescent="0.3">
      <c r="A325" t="s">
        <v>512</v>
      </c>
      <c r="B325">
        <v>162.8909717935739</v>
      </c>
      <c r="O325" t="s">
        <v>512</v>
      </c>
      <c r="P325">
        <v>0.13700000000000001</v>
      </c>
      <c r="Q325">
        <v>0.43099999999999999</v>
      </c>
      <c r="R325">
        <v>0.72499999999999998</v>
      </c>
    </row>
    <row r="326" spans="1:18" x14ac:dyDescent="0.3">
      <c r="A326" t="s">
        <v>511</v>
      </c>
      <c r="B326">
        <v>162.30732775692977</v>
      </c>
      <c r="O326" t="s">
        <v>511</v>
      </c>
      <c r="P326">
        <v>0.13900000000000001</v>
      </c>
      <c r="Q326">
        <v>0.433</v>
      </c>
      <c r="R326">
        <v>0.72799999999999998</v>
      </c>
    </row>
    <row r="327" spans="1:18" x14ac:dyDescent="0.3">
      <c r="A327" t="s">
        <v>510</v>
      </c>
      <c r="B327">
        <v>161.35547626895934</v>
      </c>
      <c r="O327" t="s">
        <v>510</v>
      </c>
      <c r="P327">
        <v>0.14099999999999999</v>
      </c>
      <c r="Q327">
        <v>0.436</v>
      </c>
      <c r="R327">
        <v>0.73099999999999998</v>
      </c>
    </row>
    <row r="328" spans="1:18" x14ac:dyDescent="0.3">
      <c r="A328" t="s">
        <v>509</v>
      </c>
      <c r="B328">
        <v>160.87929096282312</v>
      </c>
      <c r="O328" t="s">
        <v>509</v>
      </c>
      <c r="P328">
        <v>0.14299999999999999</v>
      </c>
      <c r="Q328">
        <v>0.438</v>
      </c>
      <c r="R328">
        <v>0.73399999999999999</v>
      </c>
    </row>
    <row r="329" spans="1:18" x14ac:dyDescent="0.3">
      <c r="A329" t="s">
        <v>508</v>
      </c>
      <c r="B329">
        <v>160.64093874760405</v>
      </c>
      <c r="O329" t="s">
        <v>508</v>
      </c>
      <c r="P329">
        <v>0.14499999999999999</v>
      </c>
      <c r="Q329">
        <v>0.441</v>
      </c>
      <c r="R329">
        <v>0.73699999999999999</v>
      </c>
    </row>
    <row r="330" spans="1:18" x14ac:dyDescent="0.3">
      <c r="A330" t="s">
        <v>507</v>
      </c>
      <c r="B330">
        <v>160.11573327523891</v>
      </c>
      <c r="O330" t="s">
        <v>507</v>
      </c>
      <c r="P330">
        <v>0.14599999999999999</v>
      </c>
      <c r="Q330">
        <v>0.443</v>
      </c>
      <c r="R330">
        <v>0.74</v>
      </c>
    </row>
    <row r="331" spans="1:18" x14ac:dyDescent="0.3">
      <c r="A331" t="s">
        <v>506</v>
      </c>
      <c r="B331">
        <v>159.46816278883782</v>
      </c>
      <c r="O331" t="s">
        <v>506</v>
      </c>
      <c r="P331">
        <v>0.14799999999999999</v>
      </c>
      <c r="Q331">
        <v>0.44500000000000001</v>
      </c>
      <c r="R331">
        <v>0.74299999999999999</v>
      </c>
    </row>
    <row r="332" spans="1:18" x14ac:dyDescent="0.3">
      <c r="A332" t="s">
        <v>505</v>
      </c>
      <c r="B332">
        <v>158.94696198965929</v>
      </c>
      <c r="O332" t="s">
        <v>505</v>
      </c>
      <c r="P332">
        <v>0.15</v>
      </c>
      <c r="Q332">
        <v>0.44800000000000001</v>
      </c>
      <c r="R332">
        <v>0.745</v>
      </c>
    </row>
    <row r="333" spans="1:18" x14ac:dyDescent="0.3">
      <c r="A333" t="s">
        <v>504</v>
      </c>
      <c r="B333">
        <v>158.79382032057796</v>
      </c>
      <c r="O333" t="s">
        <v>504</v>
      </c>
      <c r="P333">
        <v>0.152</v>
      </c>
      <c r="Q333">
        <v>0.45</v>
      </c>
      <c r="R333">
        <v>0.748</v>
      </c>
    </row>
    <row r="334" spans="1:18" x14ac:dyDescent="0.3">
      <c r="A334" t="s">
        <v>503</v>
      </c>
      <c r="B334">
        <v>158.22901308003392</v>
      </c>
      <c r="O334" t="s">
        <v>503</v>
      </c>
      <c r="P334">
        <v>0.154</v>
      </c>
      <c r="Q334">
        <v>0.45300000000000001</v>
      </c>
      <c r="R334">
        <v>0.751</v>
      </c>
    </row>
    <row r="335" spans="1:18" x14ac:dyDescent="0.3">
      <c r="A335" t="s">
        <v>502</v>
      </c>
      <c r="B335">
        <v>158.11532485790235</v>
      </c>
      <c r="O335" t="s">
        <v>502</v>
      </c>
      <c r="P335">
        <v>0.156</v>
      </c>
      <c r="Q335">
        <v>0.45500000000000002</v>
      </c>
      <c r="R335">
        <v>0.754</v>
      </c>
    </row>
    <row r="336" spans="1:18" x14ac:dyDescent="0.3">
      <c r="A336" t="s">
        <v>501</v>
      </c>
      <c r="B336">
        <v>158.21292022667285</v>
      </c>
      <c r="O336" t="s">
        <v>501</v>
      </c>
      <c r="P336">
        <v>0.158</v>
      </c>
      <c r="Q336">
        <v>0.45800000000000002</v>
      </c>
      <c r="R336">
        <v>0.75700000000000001</v>
      </c>
    </row>
    <row r="337" spans="1:18" x14ac:dyDescent="0.3">
      <c r="A337" t="s">
        <v>500</v>
      </c>
      <c r="B337">
        <v>158.34507444183163</v>
      </c>
      <c r="O337" t="s">
        <v>500</v>
      </c>
      <c r="P337">
        <v>0.16</v>
      </c>
      <c r="Q337">
        <v>0.46</v>
      </c>
      <c r="R337">
        <v>0.76</v>
      </c>
    </row>
    <row r="338" spans="1:18" x14ac:dyDescent="0.3">
      <c r="A338" t="s">
        <v>499</v>
      </c>
      <c r="B338">
        <v>157.26062377501498</v>
      </c>
      <c r="O338" t="s">
        <v>499</v>
      </c>
      <c r="P338">
        <v>0.16600000000000001</v>
      </c>
      <c r="Q338">
        <v>0.46400000000000002</v>
      </c>
      <c r="R338">
        <v>0.76300000000000001</v>
      </c>
    </row>
    <row r="339" spans="1:18" x14ac:dyDescent="0.3">
      <c r="A339" t="s">
        <v>498</v>
      </c>
      <c r="B339">
        <v>156.28882308172598</v>
      </c>
      <c r="O339" t="s">
        <v>498</v>
      </c>
      <c r="P339">
        <v>0.17100000000000001</v>
      </c>
      <c r="Q339">
        <v>0.46800000000000003</v>
      </c>
      <c r="R339">
        <v>0.76500000000000001</v>
      </c>
    </row>
    <row r="340" spans="1:18" x14ac:dyDescent="0.3">
      <c r="A340" t="s">
        <v>497</v>
      </c>
      <c r="B340">
        <v>155.39259205468093</v>
      </c>
      <c r="O340" t="s">
        <v>497</v>
      </c>
      <c r="P340">
        <v>0.17699999999999999</v>
      </c>
      <c r="Q340">
        <v>0.47299999999999998</v>
      </c>
      <c r="R340">
        <v>0.76800000000000002</v>
      </c>
    </row>
    <row r="341" spans="1:18" x14ac:dyDescent="0.3">
      <c r="A341" t="s">
        <v>496</v>
      </c>
      <c r="B341">
        <v>154.56088076230944</v>
      </c>
      <c r="O341" t="s">
        <v>496</v>
      </c>
      <c r="P341">
        <v>0.183</v>
      </c>
      <c r="Q341">
        <v>0.47699999999999998</v>
      </c>
      <c r="R341">
        <v>0.77100000000000002</v>
      </c>
    </row>
    <row r="342" spans="1:18" x14ac:dyDescent="0.3">
      <c r="A342" t="s">
        <v>495</v>
      </c>
      <c r="B342">
        <v>154.08054246175746</v>
      </c>
      <c r="O342" t="s">
        <v>495</v>
      </c>
      <c r="P342">
        <v>0.188</v>
      </c>
      <c r="Q342">
        <v>0.48099999999999998</v>
      </c>
      <c r="R342">
        <v>0.77300000000000002</v>
      </c>
    </row>
    <row r="343" spans="1:18" x14ac:dyDescent="0.3">
      <c r="A343" t="s">
        <v>494</v>
      </c>
      <c r="B343">
        <v>154.1904484925461</v>
      </c>
      <c r="O343" t="s">
        <v>494</v>
      </c>
      <c r="P343">
        <v>0.19400000000000001</v>
      </c>
      <c r="Q343">
        <v>0.48499999999999999</v>
      </c>
      <c r="R343">
        <v>0.77600000000000002</v>
      </c>
    </row>
    <row r="344" spans="1:18" x14ac:dyDescent="0.3">
      <c r="A344" t="s">
        <v>493</v>
      </c>
      <c r="B344">
        <v>154.38067046891103</v>
      </c>
      <c r="O344" t="s">
        <v>493</v>
      </c>
      <c r="P344">
        <v>0.2</v>
      </c>
      <c r="Q344">
        <v>0.48899999999999999</v>
      </c>
      <c r="R344">
        <v>0.77900000000000003</v>
      </c>
    </row>
    <row r="345" spans="1:18" x14ac:dyDescent="0.3">
      <c r="A345" t="s">
        <v>492</v>
      </c>
      <c r="B345">
        <v>154.38860565466973</v>
      </c>
      <c r="O345" t="s">
        <v>492</v>
      </c>
      <c r="P345">
        <v>0.20499999999999999</v>
      </c>
      <c r="Q345">
        <v>0.49299999999999999</v>
      </c>
      <c r="R345">
        <v>0.78100000000000003</v>
      </c>
    </row>
    <row r="346" spans="1:18" x14ac:dyDescent="0.3">
      <c r="A346" t="s">
        <v>491</v>
      </c>
      <c r="B346">
        <v>154.07943005253895</v>
      </c>
      <c r="O346" t="s">
        <v>491</v>
      </c>
      <c r="P346">
        <v>0.21099999999999999</v>
      </c>
      <c r="Q346">
        <v>0.498</v>
      </c>
      <c r="R346">
        <v>0.78400000000000003</v>
      </c>
    </row>
    <row r="347" spans="1:18" x14ac:dyDescent="0.3">
      <c r="A347" t="s">
        <v>490</v>
      </c>
      <c r="B347">
        <v>153.9163508611056</v>
      </c>
      <c r="O347" t="s">
        <v>490</v>
      </c>
      <c r="P347">
        <v>0.217</v>
      </c>
      <c r="Q347">
        <v>0.502</v>
      </c>
      <c r="R347">
        <v>0.78700000000000003</v>
      </c>
    </row>
    <row r="348" spans="1:18" x14ac:dyDescent="0.3">
      <c r="A348" t="s">
        <v>489</v>
      </c>
      <c r="B348">
        <v>153.49667594326962</v>
      </c>
      <c r="O348" t="s">
        <v>489</v>
      </c>
      <c r="P348">
        <v>0.222</v>
      </c>
      <c r="Q348">
        <v>0.50600000000000001</v>
      </c>
      <c r="R348">
        <v>0.78900000000000003</v>
      </c>
    </row>
    <row r="349" spans="1:18" x14ac:dyDescent="0.3">
      <c r="A349" t="s">
        <v>488</v>
      </c>
      <c r="B349">
        <v>153.17385478805849</v>
      </c>
      <c r="O349" t="s">
        <v>488</v>
      </c>
      <c r="P349">
        <v>0.22800000000000001</v>
      </c>
      <c r="Q349">
        <v>0.51</v>
      </c>
      <c r="R349">
        <v>0.79200000000000004</v>
      </c>
    </row>
    <row r="350" spans="1:18" x14ac:dyDescent="0.3">
      <c r="A350" t="s">
        <v>487</v>
      </c>
      <c r="B350">
        <v>153.28079439426443</v>
      </c>
      <c r="O350" t="s">
        <v>487</v>
      </c>
      <c r="P350">
        <v>0.23400000000000001</v>
      </c>
      <c r="Q350">
        <v>0.51400000000000001</v>
      </c>
      <c r="R350">
        <v>0.79500000000000004</v>
      </c>
    </row>
    <row r="351" spans="1:18" x14ac:dyDescent="0.3">
      <c r="A351" t="s">
        <v>486</v>
      </c>
      <c r="B351">
        <v>153.18156749197345</v>
      </c>
      <c r="O351" t="s">
        <v>486</v>
      </c>
      <c r="P351">
        <v>0.23899999999999999</v>
      </c>
      <c r="Q351">
        <v>0.51800000000000002</v>
      </c>
      <c r="R351">
        <v>0.79700000000000004</v>
      </c>
    </row>
    <row r="352" spans="1:18" x14ac:dyDescent="0.3">
      <c r="A352" t="s">
        <v>485</v>
      </c>
      <c r="B352">
        <v>152.98022142342342</v>
      </c>
      <c r="O352" t="s">
        <v>485</v>
      </c>
      <c r="P352">
        <v>0.245</v>
      </c>
      <c r="Q352">
        <v>0.52300000000000002</v>
      </c>
      <c r="R352">
        <v>0.8</v>
      </c>
    </row>
    <row r="353" spans="1:18" x14ac:dyDescent="0.3">
      <c r="A353" t="s">
        <v>484</v>
      </c>
      <c r="B353">
        <v>152.70998014394041</v>
      </c>
      <c r="O353" t="s">
        <v>484</v>
      </c>
      <c r="P353">
        <v>0.251</v>
      </c>
      <c r="Q353">
        <v>0.52700000000000002</v>
      </c>
      <c r="R353">
        <v>0.80300000000000005</v>
      </c>
    </row>
    <row r="354" spans="1:18" x14ac:dyDescent="0.3">
      <c r="A354" t="s">
        <v>483</v>
      </c>
      <c r="B354">
        <v>152.69203327521515</v>
      </c>
      <c r="O354" t="s">
        <v>483</v>
      </c>
      <c r="P354">
        <v>0.25600000000000001</v>
      </c>
      <c r="Q354">
        <v>0.53100000000000003</v>
      </c>
      <c r="R354">
        <v>0.80500000000000005</v>
      </c>
    </row>
    <row r="355" spans="1:18" x14ac:dyDescent="0.3">
      <c r="A355" t="s">
        <v>482</v>
      </c>
      <c r="B355">
        <v>152.00960729996748</v>
      </c>
      <c r="O355" t="s">
        <v>482</v>
      </c>
      <c r="P355">
        <v>0.26200000000000001</v>
      </c>
      <c r="Q355">
        <v>0.53500000000000003</v>
      </c>
      <c r="R355">
        <v>0.80800000000000005</v>
      </c>
    </row>
    <row r="356" spans="1:18" x14ac:dyDescent="0.3">
      <c r="A356" t="s">
        <v>481</v>
      </c>
      <c r="B356">
        <v>151.21156492660947</v>
      </c>
      <c r="O356" t="s">
        <v>481</v>
      </c>
      <c r="P356">
        <v>0.26800000000000002</v>
      </c>
      <c r="Q356">
        <v>0.53900000000000003</v>
      </c>
      <c r="R356">
        <v>0.81100000000000005</v>
      </c>
    </row>
    <row r="357" spans="1:18" x14ac:dyDescent="0.3">
      <c r="A357" t="s">
        <v>480</v>
      </c>
      <c r="B357">
        <v>150.72944677130792</v>
      </c>
      <c r="O357" t="s">
        <v>480</v>
      </c>
      <c r="P357">
        <v>0.27300000000000002</v>
      </c>
      <c r="Q357">
        <v>0.54300000000000004</v>
      </c>
      <c r="R357">
        <v>0.81299999999999994</v>
      </c>
    </row>
    <row r="358" spans="1:18" x14ac:dyDescent="0.3">
      <c r="A358" t="s">
        <v>479</v>
      </c>
      <c r="B358">
        <v>150.17198143160601</v>
      </c>
      <c r="O358" t="s">
        <v>479</v>
      </c>
      <c r="P358">
        <v>0.27900000000000003</v>
      </c>
      <c r="Q358">
        <v>0.54800000000000004</v>
      </c>
      <c r="R358">
        <v>0.81599999999999995</v>
      </c>
    </row>
    <row r="359" spans="1:18" x14ac:dyDescent="0.3">
      <c r="A359" t="s">
        <v>478</v>
      </c>
      <c r="B359">
        <v>149.77537046490048</v>
      </c>
      <c r="O359" t="s">
        <v>478</v>
      </c>
      <c r="P359">
        <v>0.28499999999999998</v>
      </c>
      <c r="Q359">
        <v>0.55200000000000005</v>
      </c>
      <c r="R359">
        <v>0.81899999999999995</v>
      </c>
    </row>
    <row r="360" spans="1:18" x14ac:dyDescent="0.3">
      <c r="A360" t="s">
        <v>477</v>
      </c>
      <c r="B360">
        <v>149.20010657770243</v>
      </c>
      <c r="O360" t="s">
        <v>477</v>
      </c>
      <c r="P360">
        <v>0.28999999999999998</v>
      </c>
      <c r="Q360">
        <v>0.55600000000000005</v>
      </c>
      <c r="R360">
        <v>0.82099999999999995</v>
      </c>
    </row>
    <row r="361" spans="1:18" x14ac:dyDescent="0.3">
      <c r="A361" t="s">
        <v>476</v>
      </c>
      <c r="B361">
        <v>148.97984955243774</v>
      </c>
      <c r="O361" t="s">
        <v>476</v>
      </c>
      <c r="P361">
        <v>0.29599999999999999</v>
      </c>
      <c r="Q361">
        <v>0.56000000000000005</v>
      </c>
      <c r="R361">
        <v>0.82399999999999995</v>
      </c>
    </row>
    <row r="362" spans="1:18" x14ac:dyDescent="0.3">
      <c r="A362" t="s">
        <v>475</v>
      </c>
      <c r="B362">
        <v>148.73823427017768</v>
      </c>
      <c r="O362" t="s">
        <v>475</v>
      </c>
      <c r="P362">
        <v>0.30199999999999999</v>
      </c>
      <c r="Q362">
        <v>0.56399999999999995</v>
      </c>
      <c r="R362">
        <v>0.82699999999999996</v>
      </c>
    </row>
    <row r="363" spans="1:18" x14ac:dyDescent="0.3">
      <c r="A363" t="s">
        <v>474</v>
      </c>
      <c r="B363">
        <v>148.36350068476946</v>
      </c>
      <c r="O363" t="s">
        <v>474</v>
      </c>
      <c r="P363">
        <v>0.307</v>
      </c>
      <c r="Q363">
        <v>0.56799999999999995</v>
      </c>
      <c r="R363">
        <v>0.82899999999999996</v>
      </c>
    </row>
    <row r="364" spans="1:18" x14ac:dyDescent="0.3">
      <c r="A364" t="s">
        <v>473</v>
      </c>
      <c r="B364">
        <v>148.23438705480794</v>
      </c>
      <c r="O364" t="s">
        <v>473</v>
      </c>
      <c r="P364">
        <v>0.313</v>
      </c>
      <c r="Q364">
        <v>0.57299999999999995</v>
      </c>
      <c r="R364">
        <v>0.83199999999999996</v>
      </c>
    </row>
    <row r="365" spans="1:18" x14ac:dyDescent="0.3">
      <c r="A365" t="s">
        <v>472</v>
      </c>
      <c r="B365">
        <v>148.05766231029421</v>
      </c>
      <c r="O365" t="s">
        <v>472</v>
      </c>
      <c r="P365">
        <v>0.31900000000000001</v>
      </c>
      <c r="Q365">
        <v>0.57699999999999996</v>
      </c>
      <c r="R365">
        <v>0.83499999999999996</v>
      </c>
    </row>
    <row r="366" spans="1:18" x14ac:dyDescent="0.3">
      <c r="A366" t="s">
        <v>471</v>
      </c>
      <c r="B366">
        <v>147.899700201266</v>
      </c>
      <c r="O366" t="s">
        <v>471</v>
      </c>
      <c r="P366">
        <v>0.32400000000000001</v>
      </c>
      <c r="Q366">
        <v>0.58099999999999996</v>
      </c>
      <c r="R366">
        <v>0.83699999999999997</v>
      </c>
    </row>
    <row r="367" spans="1:18" x14ac:dyDescent="0.3">
      <c r="A367" t="s">
        <v>470</v>
      </c>
      <c r="O367" t="s">
        <v>470</v>
      </c>
    </row>
    <row r="368" spans="1:18" x14ac:dyDescent="0.3">
      <c r="A368" t="s">
        <v>469</v>
      </c>
      <c r="B368">
        <f>SUM(B2:B366)*10^(-3)</f>
        <v>95.000000000000014</v>
      </c>
    </row>
  </sheetData>
  <mergeCells count="8">
    <mergeCell ref="F35:G35"/>
    <mergeCell ref="F36:G36"/>
    <mergeCell ref="F37:G37"/>
    <mergeCell ref="F13:G13"/>
    <mergeCell ref="F14:G14"/>
    <mergeCell ref="F15:G15"/>
    <mergeCell ref="F16:G16"/>
    <mergeCell ref="F17:G1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activeCell="B2" sqref="B2"/>
    </sheetView>
  </sheetViews>
  <sheetFormatPr baseColWidth="10" defaultColWidth="11.5546875" defaultRowHeight="14.4" x14ac:dyDescent="0.3"/>
  <sheetData>
    <row r="1" spans="1:3" x14ac:dyDescent="0.3">
      <c r="A1" s="27" t="s">
        <v>881</v>
      </c>
    </row>
    <row r="2" spans="1:3" x14ac:dyDescent="0.3">
      <c r="A2" s="4" t="s">
        <v>43</v>
      </c>
      <c r="B2" s="4">
        <v>0.6</v>
      </c>
      <c r="C2" t="s">
        <v>880</v>
      </c>
    </row>
    <row r="3" spans="1:3" x14ac:dyDescent="0.3">
      <c r="A3" s="4" t="s">
        <v>42</v>
      </c>
      <c r="B3" s="4">
        <v>0.4</v>
      </c>
      <c r="C3" t="s">
        <v>882</v>
      </c>
    </row>
    <row r="4" spans="1:3" x14ac:dyDescent="0.3">
      <c r="A4" t="s">
        <v>879</v>
      </c>
      <c r="B4" s="4">
        <v>0.5</v>
      </c>
      <c r="C4" t="s">
        <v>878</v>
      </c>
    </row>
    <row r="6" spans="1:3" x14ac:dyDescent="0.3">
      <c r="A6" s="27" t="s">
        <v>877</v>
      </c>
    </row>
    <row r="7" spans="1:3" x14ac:dyDescent="0.3">
      <c r="A7" s="4" t="s">
        <v>804</v>
      </c>
      <c r="B7" s="4">
        <v>0.7</v>
      </c>
      <c r="C7" t="s">
        <v>876</v>
      </c>
    </row>
    <row r="8" spans="1:3" x14ac:dyDescent="0.3">
      <c r="A8" t="s">
        <v>801</v>
      </c>
      <c r="B8" s="4">
        <v>0.7</v>
      </c>
      <c r="C8" t="s">
        <v>875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selection activeCell="C9" sqref="C9"/>
    </sheetView>
  </sheetViews>
  <sheetFormatPr baseColWidth="10" defaultRowHeight="14.4" x14ac:dyDescent="0.3"/>
  <cols>
    <col min="1" max="1" width="20.21875" bestFit="1" customWidth="1"/>
  </cols>
  <sheetData>
    <row r="1" spans="1:4" s="9" customFormat="1" ht="28.8" x14ac:dyDescent="0.3">
      <c r="A1" s="19" t="s">
        <v>442</v>
      </c>
      <c r="B1" s="9" t="s">
        <v>447</v>
      </c>
      <c r="C1" s="9" t="s">
        <v>443</v>
      </c>
      <c r="D1" s="9" t="s">
        <v>444</v>
      </c>
    </row>
    <row r="2" spans="1:4" x14ac:dyDescent="0.3">
      <c r="A2" t="s">
        <v>440</v>
      </c>
      <c r="B2">
        <v>1200</v>
      </c>
      <c r="C2">
        <v>35</v>
      </c>
      <c r="D2">
        <v>30</v>
      </c>
    </row>
    <row r="3" spans="1:4" x14ac:dyDescent="0.3">
      <c r="A3" t="s">
        <v>449</v>
      </c>
      <c r="B3">
        <v>1700</v>
      </c>
      <c r="C3">
        <v>58</v>
      </c>
      <c r="D3">
        <v>25</v>
      </c>
    </row>
    <row r="4" spans="1:4" x14ac:dyDescent="0.3">
      <c r="A4" t="s">
        <v>450</v>
      </c>
      <c r="B4">
        <v>2500</v>
      </c>
      <c r="C4">
        <v>80</v>
      </c>
      <c r="D4">
        <v>25</v>
      </c>
    </row>
    <row r="5" spans="1:4" x14ac:dyDescent="0.3">
      <c r="A5" t="s">
        <v>451</v>
      </c>
      <c r="B5">
        <v>600</v>
      </c>
      <c r="C5">
        <v>10</v>
      </c>
      <c r="D5">
        <v>30</v>
      </c>
    </row>
    <row r="6" spans="1:4" x14ac:dyDescent="0.3">
      <c r="A6" t="s">
        <v>452</v>
      </c>
      <c r="B6">
        <v>860</v>
      </c>
      <c r="C6">
        <v>20</v>
      </c>
      <c r="D6">
        <v>30</v>
      </c>
    </row>
    <row r="7" spans="1:4" x14ac:dyDescent="0.3">
      <c r="A7" t="s">
        <v>453</v>
      </c>
      <c r="B7">
        <v>1900</v>
      </c>
      <c r="C7">
        <v>60</v>
      </c>
      <c r="D7">
        <v>30</v>
      </c>
    </row>
    <row r="8" spans="1:4" x14ac:dyDescent="0.3">
      <c r="A8" t="s">
        <v>446</v>
      </c>
      <c r="B8">
        <v>1100</v>
      </c>
      <c r="C8">
        <v>40</v>
      </c>
      <c r="D8">
        <v>40</v>
      </c>
    </row>
    <row r="9" spans="1:4" x14ac:dyDescent="0.3">
      <c r="A9" t="s">
        <v>448</v>
      </c>
      <c r="B9">
        <v>800</v>
      </c>
      <c r="C9">
        <v>20</v>
      </c>
      <c r="D9">
        <v>30</v>
      </c>
    </row>
    <row r="10" spans="1:4" x14ac:dyDescent="0.3">
      <c r="A10" t="s">
        <v>441</v>
      </c>
      <c r="B10">
        <v>641</v>
      </c>
      <c r="C10">
        <v>12</v>
      </c>
      <c r="D10">
        <v>20</v>
      </c>
    </row>
    <row r="11" spans="1:4" x14ac:dyDescent="0.3">
      <c r="A11" t="s">
        <v>445</v>
      </c>
      <c r="B11">
        <v>600</v>
      </c>
      <c r="C11">
        <v>11</v>
      </c>
      <c r="D11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Parc électrique</vt:lpstr>
      <vt:lpstr>Stock hydro</vt:lpstr>
      <vt:lpstr>Détails historique hydro</vt:lpstr>
      <vt:lpstr>Données gaz</vt:lpstr>
      <vt:lpstr>Rendements</vt:lpstr>
      <vt:lpstr>Investissements</vt:lpstr>
    </vt:vector>
  </TitlesOfParts>
  <Company>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Marion</dc:creator>
  <cp:lastModifiedBy>Leon LE-GOIC</cp:lastModifiedBy>
  <dcterms:created xsi:type="dcterms:W3CDTF">2021-09-26T13:47:19Z</dcterms:created>
  <dcterms:modified xsi:type="dcterms:W3CDTF">2026-02-28T17:10:54Z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26f538-337a-4593-a7e6-123667b1a538_Enabled">
    <vt:lpwstr>true</vt:lpwstr>
  </property>
  <property fmtid="{D5CDD505-2E9C-101B-9397-08002B2CF9AE}" pid="3" name="MSIP_Label_2d26f538-337a-4593-a7e6-123667b1a538_SetDate">
    <vt:lpwstr>2024-02-02T17:50:32Z</vt:lpwstr>
  </property>
  <property fmtid="{D5CDD505-2E9C-101B-9397-08002B2CF9AE}" pid="4" name="MSIP_Label_2d26f538-337a-4593-a7e6-123667b1a538_Method">
    <vt:lpwstr>Standard</vt:lpwstr>
  </property>
  <property fmtid="{D5CDD505-2E9C-101B-9397-08002B2CF9AE}" pid="5" name="MSIP_Label_2d26f538-337a-4593-a7e6-123667b1a538_Name">
    <vt:lpwstr>C1 Interne</vt:lpwstr>
  </property>
  <property fmtid="{D5CDD505-2E9C-101B-9397-08002B2CF9AE}" pid="6" name="MSIP_Label_2d26f538-337a-4593-a7e6-123667b1a538_SiteId">
    <vt:lpwstr>e242425b-70fc-44dc-9ddf-c21e304e6c80</vt:lpwstr>
  </property>
  <property fmtid="{D5CDD505-2E9C-101B-9397-08002B2CF9AE}" pid="7" name="MSIP_Label_2d26f538-337a-4593-a7e6-123667b1a538_ActionId">
    <vt:lpwstr>eee2d508-e27c-41fa-96a7-4cbac5f81e24</vt:lpwstr>
  </property>
  <property fmtid="{D5CDD505-2E9C-101B-9397-08002B2CF9AE}" pid="8" name="MSIP_Label_2d26f538-337a-4593-a7e6-123667b1a538_ContentBits">
    <vt:lpwstr>0</vt:lpwstr>
  </property>
</Properties>
</file>